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Sync\Benford Law\NZEP\NZEP_Benford's Law\NZEP Benford's Law Data\"/>
    </mc:Choice>
  </mc:AlternateContent>
  <xr:revisionPtr revIDLastSave="0" documentId="13_ncr:1_{492FE2E7-D0F7-4C00-91B2-2CD32A8DD1C3}" xr6:coauthVersionLast="47" xr6:coauthVersionMax="47" xr10:uidLastSave="{00000000-0000-0000-0000-000000000000}"/>
  <bookViews>
    <workbookView xWindow="-120" yWindow="-120" windowWidth="29040" windowHeight="15720" activeTab="4" xr2:uid="{61D87A0E-B257-476A-AF95-1EC3D50BD01A}"/>
  </bookViews>
  <sheets>
    <sheet name="Yearly Data" sheetId="2" r:id="rId1"/>
    <sheet name="coef" sheetId="7" r:id="rId2"/>
    <sheet name="se" sheetId="8" r:id="rId3"/>
    <sheet name="tstat" sheetId="9" r:id="rId4"/>
    <sheet name="Not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S232" i="2" l="1"/>
  <c r="DS12" i="2"/>
  <c r="DL924" i="2"/>
  <c r="DH323" i="2" l="1"/>
  <c r="DQ51" i="2"/>
  <c r="FD240" i="2"/>
  <c r="FD195" i="2"/>
  <c r="EV7" i="2"/>
  <c r="EN178" i="2"/>
  <c r="FM202" i="2"/>
  <c r="FM17" i="2"/>
  <c r="GP539" i="2"/>
  <c r="GN40" i="2"/>
  <c r="HE7" i="2"/>
  <c r="IB129" i="2"/>
  <c r="IY337" i="2"/>
  <c r="IY269" i="2"/>
  <c r="IY209" i="2"/>
  <c r="IY99" i="2"/>
  <c r="KE221" i="2"/>
  <c r="KE105" i="2"/>
  <c r="CS50" i="2"/>
  <c r="LJ26" i="2"/>
  <c r="LW49" i="2"/>
  <c r="MF346" i="2"/>
  <c r="NG25" i="2"/>
  <c r="NY38" i="2"/>
  <c r="OC65" i="2"/>
  <c r="PP83" i="2"/>
  <c r="PS10" i="2"/>
  <c r="PS156" i="2"/>
  <c r="QR7" i="2"/>
  <c r="QR8" i="2"/>
  <c r="QR9" i="2"/>
  <c r="QR10" i="2"/>
  <c r="QR11" i="2"/>
  <c r="QR12" i="2"/>
  <c r="QR13" i="2"/>
  <c r="QR14" i="2"/>
  <c r="QR15" i="2"/>
  <c r="QR16" i="2"/>
  <c r="QR17" i="2"/>
  <c r="QR18" i="2"/>
  <c r="QR19" i="2"/>
  <c r="QR20" i="2"/>
  <c r="QR21" i="2"/>
  <c r="QR22" i="2"/>
  <c r="QR23" i="2"/>
  <c r="QR24" i="2"/>
  <c r="QR25" i="2"/>
  <c r="QR26" i="2"/>
  <c r="QR27" i="2"/>
  <c r="QR28" i="2"/>
  <c r="QR6" i="2"/>
  <c r="RE43" i="2"/>
  <c r="RE42" i="2"/>
  <c r="RE18" i="2"/>
  <c r="RL44" i="2" l="1"/>
  <c r="RL13" i="2"/>
  <c r="RS35" i="2"/>
  <c r="UE15" i="2"/>
  <c r="UU14" i="2"/>
  <c r="VH15" i="2"/>
  <c r="BV52" i="2"/>
  <c r="BT35" i="2"/>
  <c r="WP39" i="2"/>
  <c r="XG14" i="2"/>
  <c r="BN50" i="2"/>
  <c r="AJ164" i="2"/>
  <c r="V390" i="2"/>
  <c r="V309" i="2"/>
</calcChain>
</file>

<file path=xl/sharedStrings.xml><?xml version="1.0" encoding="utf-8"?>
<sst xmlns="http://schemas.openxmlformats.org/spreadsheetml/2006/main" count="1355" uniqueCount="606">
  <si>
    <t>64-80</t>
  </si>
  <si>
    <t>238-263</t>
  </si>
  <si>
    <t>46-50</t>
  </si>
  <si>
    <t>Pages:</t>
  </si>
  <si>
    <t>81-101</t>
  </si>
  <si>
    <t>102-123</t>
  </si>
  <si>
    <t>213-227</t>
  </si>
  <si>
    <t>1-19</t>
  </si>
  <si>
    <t>20-39</t>
  </si>
  <si>
    <t>40-73</t>
  </si>
  <si>
    <t>74-86</t>
  </si>
  <si>
    <t>87-94</t>
  </si>
  <si>
    <t>95-106</t>
  </si>
  <si>
    <t>147-178</t>
  </si>
  <si>
    <t>179-196</t>
  </si>
  <si>
    <t>197-202</t>
  </si>
  <si>
    <t>coef</t>
  </si>
  <si>
    <t>se</t>
  </si>
  <si>
    <t>|t-stat|</t>
  </si>
  <si>
    <t>207-215</t>
  </si>
  <si>
    <t>243-260</t>
  </si>
  <si>
    <t>261-287</t>
  </si>
  <si>
    <t>299-308</t>
  </si>
  <si>
    <t>1-8</t>
  </si>
  <si>
    <t>NONE</t>
  </si>
  <si>
    <t>216-242</t>
  </si>
  <si>
    <t>tstat</t>
  </si>
  <si>
    <t>61-75</t>
  </si>
  <si>
    <t>229-246</t>
  </si>
  <si>
    <t>247-259</t>
  </si>
  <si>
    <t>17-28</t>
  </si>
  <si>
    <t>98-105</t>
  </si>
  <si>
    <t>106-113</t>
  </si>
  <si>
    <t>169-194</t>
  </si>
  <si>
    <t>195-217</t>
  </si>
  <si>
    <t>235-257</t>
  </si>
  <si>
    <t>|tstat|</t>
  </si>
  <si>
    <t>272-295</t>
  </si>
  <si>
    <t>31-37</t>
  </si>
  <si>
    <t>16-20</t>
  </si>
  <si>
    <t>56-64</t>
  </si>
  <si>
    <t>Vol.</t>
  </si>
  <si>
    <t>(1)</t>
  </si>
  <si>
    <t>(2)</t>
  </si>
  <si>
    <t>(3)</t>
  </si>
  <si>
    <t>38-54</t>
  </si>
  <si>
    <t>55-71</t>
  </si>
  <si>
    <t>1969</t>
  </si>
  <si>
    <t>1970</t>
  </si>
  <si>
    <t>1971</t>
  </si>
  <si>
    <t>14-16</t>
  </si>
  <si>
    <t>45-48</t>
  </si>
  <si>
    <t>75-87</t>
  </si>
  <si>
    <t>88-99</t>
  </si>
  <si>
    <t>100-106</t>
  </si>
  <si>
    <t>120-125</t>
  </si>
  <si>
    <t>129-130</t>
  </si>
  <si>
    <t>296-317</t>
  </si>
  <si>
    <t>318-325</t>
  </si>
  <si>
    <t>326-332</t>
  </si>
  <si>
    <t>2021</t>
  </si>
  <si>
    <t>19-37</t>
  </si>
  <si>
    <t>52-65</t>
  </si>
  <si>
    <t>66-104</t>
  </si>
  <si>
    <t>105-123</t>
  </si>
  <si>
    <t>124-140</t>
  </si>
  <si>
    <t>141-154</t>
  </si>
  <si>
    <t>2020</t>
  </si>
  <si>
    <t>1972</t>
  </si>
  <si>
    <t>29-51</t>
  </si>
  <si>
    <t>73-92</t>
  </si>
  <si>
    <t>1973</t>
  </si>
  <si>
    <t>gg</t>
  </si>
  <si>
    <t>1-24</t>
  </si>
  <si>
    <t>25-47</t>
  </si>
  <si>
    <t>48-76</t>
  </si>
  <si>
    <t>77-95</t>
  </si>
  <si>
    <t>128-134</t>
  </si>
  <si>
    <t>1974</t>
  </si>
  <si>
    <t>58-82</t>
  </si>
  <si>
    <t>83-85</t>
  </si>
  <si>
    <t>107-137</t>
  </si>
  <si>
    <t>138-150</t>
  </si>
  <si>
    <t>1975</t>
  </si>
  <si>
    <t>33-57</t>
  </si>
  <si>
    <t>58-86</t>
  </si>
  <si>
    <t>87-106</t>
  </si>
  <si>
    <t>107-130</t>
  </si>
  <si>
    <t>131-150</t>
  </si>
  <si>
    <t>159-180</t>
  </si>
  <si>
    <t>181-195</t>
  </si>
  <si>
    <t>1976</t>
  </si>
  <si>
    <t>1-29</t>
  </si>
  <si>
    <t>118-151</t>
  </si>
  <si>
    <t>187-196</t>
  </si>
  <si>
    <t>1977</t>
  </si>
  <si>
    <t>52-67</t>
  </si>
  <si>
    <t>92-105</t>
  </si>
  <si>
    <t>1978</t>
  </si>
  <si>
    <t>49-75</t>
  </si>
  <si>
    <t>76-95</t>
  </si>
  <si>
    <t>13-48</t>
  </si>
  <si>
    <t>1979</t>
  </si>
  <si>
    <t>115-139</t>
  </si>
  <si>
    <t>158-185</t>
  </si>
  <si>
    <t>196-201</t>
  </si>
  <si>
    <t>1980</t>
  </si>
  <si>
    <t>108-120</t>
  </si>
  <si>
    <t>75-92</t>
  </si>
  <si>
    <t>28-42</t>
  </si>
  <si>
    <t>1-27</t>
  </si>
  <si>
    <t>93-107</t>
  </si>
  <si>
    <t>1981</t>
  </si>
  <si>
    <t>65-85</t>
  </si>
  <si>
    <t>172-172</t>
  </si>
  <si>
    <t>1982</t>
  </si>
  <si>
    <t>1983</t>
  </si>
  <si>
    <t>123-127</t>
  </si>
  <si>
    <t>59-68</t>
  </si>
  <si>
    <t>109-115</t>
  </si>
  <si>
    <t>69-78</t>
  </si>
  <si>
    <t>1-15</t>
  </si>
  <si>
    <t>1984</t>
  </si>
  <si>
    <t>1985</t>
  </si>
  <si>
    <t>35-59</t>
  </si>
  <si>
    <t>1986</t>
  </si>
  <si>
    <t>53-60</t>
  </si>
  <si>
    <t>121-130</t>
  </si>
  <si>
    <t>1987</t>
  </si>
  <si>
    <t>31-39</t>
  </si>
  <si>
    <t>41-55</t>
  </si>
  <si>
    <t>1988</t>
  </si>
  <si>
    <t>3-13</t>
  </si>
  <si>
    <t>25-34</t>
  </si>
  <si>
    <t>918</t>
  </si>
  <si>
    <t>200</t>
  </si>
  <si>
    <t>-103</t>
  </si>
  <si>
    <t>127</t>
  </si>
  <si>
    <t>84</t>
  </si>
  <si>
    <t>73</t>
  </si>
  <si>
    <t>279</t>
  </si>
  <si>
    <t>-601</t>
  </si>
  <si>
    <t>109</t>
  </si>
  <si>
    <t>168</t>
  </si>
  <si>
    <t>585</t>
  </si>
  <si>
    <t>-183</t>
  </si>
  <si>
    <t>147</t>
  </si>
  <si>
    <t>74</t>
  </si>
  <si>
    <t>-102</t>
  </si>
  <si>
    <t>114</t>
  </si>
  <si>
    <t>12</t>
  </si>
  <si>
    <t>24</t>
  </si>
  <si>
    <t>-5</t>
  </si>
  <si>
    <t>36</t>
  </si>
  <si>
    <t>-9</t>
  </si>
  <si>
    <t>98</t>
  </si>
  <si>
    <t>4</t>
  </si>
  <si>
    <t>124</t>
  </si>
  <si>
    <t>59</t>
  </si>
  <si>
    <t>6</t>
  </si>
  <si>
    <t>96</t>
  </si>
  <si>
    <t>-28</t>
  </si>
  <si>
    <t>180</t>
  </si>
  <si>
    <t>34</t>
  </si>
  <si>
    <t>78</t>
  </si>
  <si>
    <t>44</t>
  </si>
  <si>
    <t>-15</t>
  </si>
  <si>
    <t>191</t>
  </si>
  <si>
    <t>164</t>
  </si>
  <si>
    <t>11</t>
  </si>
  <si>
    <t>93</t>
  </si>
  <si>
    <t>-43</t>
  </si>
  <si>
    <t>310</t>
  </si>
  <si>
    <t>32</t>
  </si>
  <si>
    <t>85</t>
  </si>
  <si>
    <t>1989</t>
  </si>
  <si>
    <t>12-28</t>
  </si>
  <si>
    <t>1990</t>
  </si>
  <si>
    <t>1-23</t>
  </si>
  <si>
    <t>24-41</t>
  </si>
  <si>
    <t>295</t>
  </si>
  <si>
    <t>257</t>
  </si>
  <si>
    <t>134</t>
  </si>
  <si>
    <t>1</t>
  </si>
  <si>
    <t>227</t>
  </si>
  <si>
    <t>877</t>
  </si>
  <si>
    <t>115-127</t>
  </si>
  <si>
    <t>189</t>
  </si>
  <si>
    <t>793</t>
  </si>
  <si>
    <t>387</t>
  </si>
  <si>
    <t>875</t>
  </si>
  <si>
    <t>-152</t>
  </si>
  <si>
    <t>198</t>
  </si>
  <si>
    <t>80</t>
  </si>
  <si>
    <t>173</t>
  </si>
  <si>
    <t>72</t>
  </si>
  <si>
    <t>835</t>
  </si>
  <si>
    <t>17</t>
  </si>
  <si>
    <t>313</t>
  </si>
  <si>
    <t>-122</t>
  </si>
  <si>
    <t>374</t>
  </si>
  <si>
    <t>105</t>
  </si>
  <si>
    <t>97</t>
  </si>
  <si>
    <t>216</t>
  </si>
  <si>
    <t>116</t>
  </si>
  <si>
    <t>-128</t>
  </si>
  <si>
    <t>254</t>
  </si>
  <si>
    <t>110</t>
  </si>
  <si>
    <t>-618</t>
  </si>
  <si>
    <t>350</t>
  </si>
  <si>
    <t>1991</t>
  </si>
  <si>
    <t>100-122</t>
  </si>
  <si>
    <t>219-251</t>
  </si>
  <si>
    <t>2</t>
  </si>
  <si>
    <t>1992</t>
  </si>
  <si>
    <t>1-25</t>
  </si>
  <si>
    <t>83-99</t>
  </si>
  <si>
    <t>219-248</t>
  </si>
  <si>
    <t>199-218</t>
  </si>
  <si>
    <t>177-197</t>
  </si>
  <si>
    <t>-499</t>
  </si>
  <si>
    <t>288</t>
  </si>
  <si>
    <t>-135</t>
  </si>
  <si>
    <t>-33</t>
  </si>
  <si>
    <t>19</t>
  </si>
  <si>
    <t>1993</t>
  </si>
  <si>
    <t>35-55</t>
  </si>
  <si>
    <t>Chisq</t>
  </si>
  <si>
    <t>57-79</t>
  </si>
  <si>
    <t>241</t>
  </si>
  <si>
    <t>135-160</t>
  </si>
  <si>
    <t>739</t>
  </si>
  <si>
    <t>402</t>
  </si>
  <si>
    <t>1994</t>
  </si>
  <si>
    <t>25-52</t>
  </si>
  <si>
    <t>117-131</t>
  </si>
  <si>
    <t>133-142</t>
  </si>
  <si>
    <t>143-163</t>
  </si>
  <si>
    <t>1995</t>
  </si>
  <si>
    <t>119-141</t>
  </si>
  <si>
    <t>77-87</t>
  </si>
  <si>
    <t>21-40</t>
  </si>
  <si>
    <t>195-213</t>
  </si>
  <si>
    <t>1996</t>
  </si>
  <si>
    <t>Vol 1 published in 1966, Volume 2 publshed in 1968</t>
  </si>
  <si>
    <t>39-54</t>
  </si>
  <si>
    <t>19-38</t>
  </si>
  <si>
    <t>1-17</t>
  </si>
  <si>
    <t>131-153</t>
  </si>
  <si>
    <t>171-197</t>
  </si>
  <si>
    <t>1997</t>
  </si>
  <si>
    <t>199-220</t>
  </si>
  <si>
    <t>153-173</t>
  </si>
  <si>
    <t>15-34</t>
  </si>
  <si>
    <t>85-91</t>
  </si>
  <si>
    <t>175-198</t>
  </si>
  <si>
    <t>1998</t>
  </si>
  <si>
    <t>19-39</t>
  </si>
  <si>
    <t>1-18</t>
  </si>
  <si>
    <t>71-82</t>
  </si>
  <si>
    <t>57-69</t>
  </si>
  <si>
    <t>187-195</t>
  </si>
  <si>
    <t>1999</t>
  </si>
  <si>
    <t>39-58</t>
  </si>
  <si>
    <t>51-69</t>
  </si>
  <si>
    <t>59-79</t>
  </si>
  <si>
    <t>15-26</t>
  </si>
  <si>
    <t>93-114</t>
  </si>
  <si>
    <t>115-135</t>
  </si>
  <si>
    <t>27-38</t>
  </si>
  <si>
    <t>2000</t>
  </si>
  <si>
    <t>221-241</t>
  </si>
  <si>
    <t>73-87</t>
  </si>
  <si>
    <t>201-220</t>
  </si>
  <si>
    <t>53-71</t>
  </si>
  <si>
    <t>2001</t>
  </si>
  <si>
    <t>218-239</t>
  </si>
  <si>
    <t>53-75</t>
  </si>
  <si>
    <t>152-174</t>
  </si>
  <si>
    <t>2002</t>
  </si>
  <si>
    <t>235-250</t>
  </si>
  <si>
    <t>2003</t>
  </si>
  <si>
    <t>151-174</t>
  </si>
  <si>
    <t>175-196</t>
  </si>
  <si>
    <t>93-188</t>
  </si>
  <si>
    <t>2004</t>
  </si>
  <si>
    <t>207-218</t>
  </si>
  <si>
    <t>119-139</t>
  </si>
  <si>
    <t>101-118</t>
  </si>
  <si>
    <t>21-47</t>
  </si>
  <si>
    <t>2005</t>
  </si>
  <si>
    <t>51-81</t>
  </si>
  <si>
    <t>83-103</t>
  </si>
  <si>
    <t>2006</t>
  </si>
  <si>
    <t>91-126</t>
  </si>
  <si>
    <t>147-180</t>
  </si>
  <si>
    <t>181-213</t>
  </si>
  <si>
    <t>2007</t>
  </si>
  <si>
    <t>197-223</t>
  </si>
  <si>
    <t>69-90</t>
  </si>
  <si>
    <t>29-68</t>
  </si>
  <si>
    <t>5-28</t>
  </si>
  <si>
    <t>163-195</t>
  </si>
  <si>
    <t>131-162</t>
  </si>
  <si>
    <t>2008</t>
  </si>
  <si>
    <t>127-148</t>
  </si>
  <si>
    <t>17-57</t>
  </si>
  <si>
    <t>103-125</t>
  </si>
  <si>
    <t>59-78</t>
  </si>
  <si>
    <t>2009</t>
  </si>
  <si>
    <t>233-254</t>
  </si>
  <si>
    <t>203-225</t>
  </si>
  <si>
    <t>149-163</t>
  </si>
  <si>
    <t>165-190</t>
  </si>
  <si>
    <t>89-104</t>
  </si>
  <si>
    <t>2010</t>
  </si>
  <si>
    <t>173-187</t>
  </si>
  <si>
    <t>188-202</t>
  </si>
  <si>
    <t>221-243</t>
  </si>
  <si>
    <t>203-220</t>
  </si>
  <si>
    <t>245-262</t>
  </si>
  <si>
    <t>310-318</t>
  </si>
  <si>
    <t>259-268</t>
  </si>
  <si>
    <t>27-59</t>
  </si>
  <si>
    <t>217-229</t>
  </si>
  <si>
    <t>179-199</t>
  </si>
  <si>
    <t>269-287</t>
  </si>
  <si>
    <t>2011</t>
  </si>
  <si>
    <t>(1)-(2)</t>
  </si>
  <si>
    <t>47-57</t>
  </si>
  <si>
    <t>23-45</t>
  </si>
  <si>
    <t>97-117</t>
  </si>
  <si>
    <t>81-95</t>
  </si>
  <si>
    <t>209-229</t>
  </si>
  <si>
    <t>119-138</t>
  </si>
  <si>
    <t>273-298</t>
  </si>
  <si>
    <t>311-324</t>
  </si>
  <si>
    <t>231-254</t>
  </si>
  <si>
    <t>2012</t>
  </si>
  <si>
    <t>11-23</t>
  </si>
  <si>
    <t>2013</t>
  </si>
  <si>
    <t>239-251</t>
  </si>
  <si>
    <t>143-158</t>
  </si>
  <si>
    <t>253-271</t>
  </si>
  <si>
    <t>315-332</t>
  </si>
  <si>
    <t>93-118</t>
  </si>
  <si>
    <t>191-209</t>
  </si>
  <si>
    <t>159-167</t>
  </si>
  <si>
    <t>158-187</t>
  </si>
  <si>
    <t>257-275</t>
  </si>
  <si>
    <t>188-223</t>
  </si>
  <si>
    <t>276-287</t>
  </si>
  <si>
    <t>8-26</t>
  </si>
  <si>
    <t>27-52</t>
  </si>
  <si>
    <t>227-244</t>
  </si>
  <si>
    <t>2014</t>
  </si>
  <si>
    <t>2015</t>
  </si>
  <si>
    <t>Year (Issues):</t>
  </si>
  <si>
    <t>(No. of papers)</t>
  </si>
  <si>
    <t>(10)</t>
  </si>
  <si>
    <t>(11)</t>
  </si>
  <si>
    <t>(7)</t>
  </si>
  <si>
    <t>(8)</t>
  </si>
  <si>
    <t>72-95</t>
  </si>
  <si>
    <t>1-20</t>
  </si>
  <si>
    <t>257-268</t>
  </si>
  <si>
    <t>313-333</t>
  </si>
  <si>
    <t>209-225</t>
  </si>
  <si>
    <t>169-182</t>
  </si>
  <si>
    <t>301-312</t>
  </si>
  <si>
    <t>96-101</t>
  </si>
  <si>
    <t>(12)</t>
  </si>
  <si>
    <t>(9)</t>
  </si>
  <si>
    <t>(15)</t>
  </si>
  <si>
    <t>(14)</t>
  </si>
  <si>
    <t>(5)</t>
  </si>
  <si>
    <t>(4)</t>
  </si>
  <si>
    <t>(13)</t>
  </si>
  <si>
    <t>(25)</t>
  </si>
  <si>
    <t>(16)</t>
  </si>
  <si>
    <t>(18)</t>
  </si>
  <si>
    <t>(20)</t>
  </si>
  <si>
    <t>(17)</t>
  </si>
  <si>
    <t>(23)</t>
  </si>
  <si>
    <t>(19)</t>
  </si>
  <si>
    <t>(27)</t>
  </si>
  <si>
    <t>(28)</t>
  </si>
  <si>
    <t>(21)</t>
  </si>
  <si>
    <t xml:space="preserve"> </t>
  </si>
  <si>
    <t>2019</t>
  </si>
  <si>
    <t>2018</t>
  </si>
  <si>
    <t>2016</t>
  </si>
  <si>
    <t>103-133</t>
  </si>
  <si>
    <t>62-77</t>
  </si>
  <si>
    <t>78-102</t>
  </si>
  <si>
    <t>171-188</t>
  </si>
  <si>
    <t>249-275</t>
  </si>
  <si>
    <t>157-170</t>
  </si>
  <si>
    <t>134-156</t>
  </si>
  <si>
    <t>ECM's highlighted</t>
  </si>
  <si>
    <t>193-211</t>
  </si>
  <si>
    <t>71-87</t>
  </si>
  <si>
    <t>153-176</t>
  </si>
  <si>
    <t>303-322</t>
  </si>
  <si>
    <t>343-361</t>
  </si>
  <si>
    <t>261-280</t>
  </si>
  <si>
    <t>2017</t>
  </si>
  <si>
    <t>1-14</t>
  </si>
  <si>
    <t>28-48</t>
  </si>
  <si>
    <t>15-27</t>
  </si>
  <si>
    <t>302-326</t>
  </si>
  <si>
    <t>148-176</t>
  </si>
  <si>
    <t>217-236</t>
  </si>
  <si>
    <t>21-39</t>
  </si>
  <si>
    <t>277-288</t>
  </si>
  <si>
    <t>304-322</t>
  </si>
  <si>
    <t>109-130</t>
  </si>
  <si>
    <t>289-303</t>
  </si>
  <si>
    <t>185-203</t>
  </si>
  <si>
    <t>131-149</t>
  </si>
  <si>
    <t>150-169</t>
  </si>
  <si>
    <t>40-52</t>
  </si>
  <si>
    <t>170-184</t>
  </si>
  <si>
    <t>227-248</t>
  </si>
  <si>
    <t>166-183</t>
  </si>
  <si>
    <t>8</t>
  </si>
  <si>
    <t>16-38</t>
  </si>
  <si>
    <t>161-189</t>
  </si>
  <si>
    <t>103</t>
  </si>
  <si>
    <t>127-137</t>
  </si>
  <si>
    <t>285-311</t>
  </si>
  <si>
    <t>89-105</t>
  </si>
  <si>
    <t>190-209</t>
  </si>
  <si>
    <t>138-160</t>
  </si>
  <si>
    <t>312-326</t>
  </si>
  <si>
    <t>coef25</t>
  </si>
  <si>
    <t>coef24</t>
  </si>
  <si>
    <t>coef23</t>
  </si>
  <si>
    <t>coef22</t>
  </si>
  <si>
    <t>coef21</t>
  </si>
  <si>
    <t>coef18</t>
  </si>
  <si>
    <t>coef16</t>
  </si>
  <si>
    <t>coef15</t>
  </si>
  <si>
    <t>coef13</t>
  </si>
  <si>
    <t>coef12</t>
  </si>
  <si>
    <t>coef11</t>
  </si>
  <si>
    <t>coef10</t>
  </si>
  <si>
    <t>coef09</t>
  </si>
  <si>
    <t>coef08</t>
  </si>
  <si>
    <t>coef07</t>
  </si>
  <si>
    <t>coef06</t>
  </si>
  <si>
    <t>coef05</t>
  </si>
  <si>
    <t>coef04</t>
  </si>
  <si>
    <t>coef03</t>
  </si>
  <si>
    <t>coef02</t>
  </si>
  <si>
    <t>coef01</t>
  </si>
  <si>
    <t>coef00</t>
  </si>
  <si>
    <t>coef99</t>
  </si>
  <si>
    <t>coef98</t>
  </si>
  <si>
    <t>coef97</t>
  </si>
  <si>
    <t>coef96</t>
  </si>
  <si>
    <t>coef95</t>
  </si>
  <si>
    <t>coef94</t>
  </si>
  <si>
    <t>coef93</t>
  </si>
  <si>
    <t>coef92</t>
  </si>
  <si>
    <t>coef91</t>
  </si>
  <si>
    <t>coef90</t>
  </si>
  <si>
    <t>coef89</t>
  </si>
  <si>
    <t>coef88</t>
  </si>
  <si>
    <t>coef87</t>
  </si>
  <si>
    <t>coef86</t>
  </si>
  <si>
    <t>coef85</t>
  </si>
  <si>
    <t>coef83</t>
  </si>
  <si>
    <t>coef81</t>
  </si>
  <si>
    <t>coef80</t>
  </si>
  <si>
    <t>coef79</t>
  </si>
  <si>
    <t>coef78</t>
  </si>
  <si>
    <t>coef77</t>
  </si>
  <si>
    <t>coef76</t>
  </si>
  <si>
    <t>coef75</t>
  </si>
  <si>
    <t>coef74</t>
  </si>
  <si>
    <t>coef73</t>
  </si>
  <si>
    <t>coef72</t>
  </si>
  <si>
    <t>coef71</t>
  </si>
  <si>
    <t>coef70</t>
  </si>
  <si>
    <t>coef69</t>
  </si>
  <si>
    <t>coef68</t>
  </si>
  <si>
    <t>coef66</t>
  </si>
  <si>
    <t>se66</t>
  </si>
  <si>
    <t>se68</t>
  </si>
  <si>
    <t>se69</t>
  </si>
  <si>
    <t>se71</t>
  </si>
  <si>
    <t>se72</t>
  </si>
  <si>
    <t>se73</t>
  </si>
  <si>
    <t>se74</t>
  </si>
  <si>
    <t>se75</t>
  </si>
  <si>
    <t>se77</t>
  </si>
  <si>
    <t>se79</t>
  </si>
  <si>
    <t>se80</t>
  </si>
  <si>
    <t>se81</t>
  </si>
  <si>
    <t>se83</t>
  </si>
  <si>
    <t>se88</t>
  </si>
  <si>
    <t>se90</t>
  </si>
  <si>
    <t>se92</t>
  </si>
  <si>
    <t>se95</t>
  </si>
  <si>
    <t>se96</t>
  </si>
  <si>
    <t>se97</t>
  </si>
  <si>
    <t>se98</t>
  </si>
  <si>
    <t>se99</t>
  </si>
  <si>
    <t>se00</t>
  </si>
  <si>
    <t>se01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</si>
  <si>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</si>
  <si>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</si>
  <si>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</si>
  <si>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</si>
  <si>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</si>
  <si>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</si>
  <si>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</si>
  <si>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</si>
  <si>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</si>
  <si>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</si>
  <si>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</si>
  <si>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</si>
  <si>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</si>
  <si>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</si>
  <si>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</si>
  <si>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</si>
  <si>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se21</t>
  </si>
  <si>
    <t>se22</t>
  </si>
  <si>
    <t>se23</t>
  </si>
  <si>
    <t>se24</t>
  </si>
  <si>
    <t>se25</t>
  </si>
  <si>
    <t>tstat70</t>
  </si>
  <si>
    <t>tstat71</t>
  </si>
  <si>
    <t>tstat73</t>
  </si>
  <si>
    <t>tstat74</t>
  </si>
  <si>
    <t>tstat75</t>
  </si>
  <si>
    <t>tstat76</t>
  </si>
  <si>
    <t>tstat77</t>
  </si>
  <si>
    <t>tstat78</t>
  </si>
  <si>
    <t>tstat79</t>
  </si>
  <si>
    <t>tstat83</t>
  </si>
  <si>
    <t>tstat85</t>
  </si>
  <si>
    <t>tstat86</t>
  </si>
  <si>
    <t>tstat87</t>
  </si>
  <si>
    <t>tstat88</t>
  </si>
  <si>
    <t>tstat89</t>
  </si>
  <si>
    <t>tstat90</t>
  </si>
  <si>
    <t>tstat91</t>
  </si>
  <si>
    <t>tstat92</t>
  </si>
  <si>
    <t>tstat93</t>
  </si>
  <si>
    <t>tstat94</t>
  </si>
  <si>
    <t>tstat95</t>
  </si>
  <si>
    <t>tstat96</t>
  </si>
  <si>
    <t>tstat97</t>
  </si>
  <si>
    <t>tstat98</t>
  </si>
  <si>
    <t>tstat99</t>
  </si>
  <si>
    <t>tstat00</t>
  </si>
  <si>
    <t>tstat01</t>
  </si>
  <si>
    <t>tstat02</t>
  </si>
  <si>
    <t>tstat03</t>
  </si>
  <si>
    <t>tstat04</t>
  </si>
  <si>
    <t>tstat06</t>
  </si>
  <si>
    <t>tstat08</t>
  </si>
  <si>
    <t>tstat10</t>
  </si>
  <si>
    <t>tstat11</t>
  </si>
  <si>
    <t>tstat12</t>
  </si>
  <si>
    <t>tstat14</t>
  </si>
  <si>
    <t>tstat15</t>
  </si>
  <si>
    <t>tstat16</t>
  </si>
  <si>
    <t>tstat17</t>
  </si>
  <si>
    <t>tstat18</t>
  </si>
  <si>
    <t>tstat21</t>
  </si>
  <si>
    <t>tstat22</t>
  </si>
  <si>
    <t>tstat24</t>
  </si>
  <si>
    <t>109-124</t>
  </si>
  <si>
    <t>44-62</t>
  </si>
  <si>
    <t>215-244</t>
  </si>
  <si>
    <t>245-269</t>
  </si>
  <si>
    <t>204-213</t>
  </si>
  <si>
    <t>63-76</t>
  </si>
  <si>
    <t>288-306</t>
  </si>
  <si>
    <t>89-106</t>
  </si>
  <si>
    <t>184-202</t>
  </si>
  <si>
    <t>coef20</t>
  </si>
  <si>
    <t>se19</t>
  </si>
  <si>
    <t>tstat19</t>
  </si>
  <si>
    <t>coef19</t>
  </si>
  <si>
    <t>Signs of coefficients were recorded. In some case the signs of t-statistics are corded, but not in most cases. (Reflects change of plan when assembling data.)</t>
  </si>
  <si>
    <t>If both s.e. and t-stat reported, then just the s.e. used</t>
  </si>
  <si>
    <t>In general, the first 3 significant digits were recorded, if available. In some cases more digits were recorded - at an earlier stage of asembling the data</t>
  </si>
  <si>
    <t>Why are there more coefficients than std errors or t-v alues?  4 basic reasons (1) No s.e. or t-value reported; (2) Just ****, ** reported instead; (3) Old software didn't report s.e. or t-val for intercept; (4) just a p-value reported</t>
  </si>
  <si>
    <t>If a coefficient of "0.000" reported , the  s.e. or t-stat. is also ignored &amp; not recorded (and vice versa).</t>
  </si>
  <si>
    <t>Paper on pages 214-228, 57(3), 2023:</t>
  </si>
  <si>
    <t>Not included - Bayesian estimates of parameters. Estimate of coeff. depends on choice of loss function (not unique). Ratio of posterior mean to posterior s.d. not really a t-stat</t>
  </si>
  <si>
    <t>coef17</t>
  </si>
  <si>
    <t>coef14</t>
  </si>
  <si>
    <t>se20</t>
  </si>
  <si>
    <t xml:space="preserve">Data assembled personally between February and April, 2026, by David Giles for the paper "Benford's Law and Regression Results Published in </t>
  </si>
  <si>
    <t xml:space="preserve"> Articles in New Zealand Economic Papers" .</t>
  </si>
  <si>
    <t>(Data last checked, June 2026)</t>
  </si>
  <si>
    <t xml:space="preserve"> Contact: David Giles; davegiles1949@gmail.com; davegiles.ca</t>
  </si>
  <si>
    <t>The data here are the same as in the correpsonding pages of the Excel file, Digits_All.xlsx</t>
  </si>
  <si>
    <t>#######################################################</t>
  </si>
  <si>
    <t>_______________________________________________________________________</t>
  </si>
  <si>
    <r>
      <t xml:space="preserve">Notes relating to assembly of data from </t>
    </r>
    <r>
      <rPr>
        <i/>
        <sz val="11"/>
        <color rgb="FFFF0000"/>
        <rFont val="Aptos Narrow"/>
        <family val="2"/>
        <scheme val="minor"/>
      </rPr>
      <t>New Zealand Economic Papers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</si>
</sst>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0"/>
      <color rgb="FF0C0D0E"/>
      <name val="Cascadia Mono"/>
      <family val="3"/>
    </font>
    <font>
      <i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 applyFill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right"/>
    </xf>
    <xf numFmtId="0" fontId="5" fillId="0" borderId="0" xfId="0" applyFont="1"/>
    <xf numFmtId="0" fontId="0" fillId="2" borderId="0" xfId="0" applyFill="1"/>
    <xf numFmtId="0" fontId="5" fillId="0" borderId="0" xfId="0" applyFont="1" applyFill="1"/>
    <xf numFmtId="0" fontId="0" fillId="0" borderId="0" xfId="0" applyFont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Fill="1"/>
    <xf numFmtId="49" fontId="6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/>
    <xf numFmtId="0" fontId="0" fillId="0" borderId="0" xfId="0" applyFont="1" applyFill="1"/>
    <xf numFmtId="0" fontId="10" fillId="3" borderId="0" xfId="0" applyFont="1" applyFill="1"/>
    <xf numFmtId="0" fontId="4" fillId="5" borderId="0" xfId="0" applyFont="1" applyFill="1" applyAlignment="1">
      <alignment horizontal="center"/>
    </xf>
    <xf numFmtId="0" fontId="0" fillId="4" borderId="0" xfId="0" applyFont="1" applyFill="1"/>
    <xf numFmtId="0" fontId="5" fillId="0" borderId="0" xfId="0" applyFont="1" applyFill="1" applyAlignment="1"/>
    <xf numFmtId="0" fontId="11" fillId="0" borderId="0" xfId="0" applyFont="1" applyFill="1"/>
    <xf numFmtId="0" fontId="1" fillId="4" borderId="0" xfId="0" applyFont="1" applyFill="1"/>
    <xf numFmtId="0" fontId="1" fillId="0" borderId="0" xfId="0" applyFont="1" applyFill="1" applyAlignment="1">
      <alignment horizontal="right"/>
    </xf>
    <xf numFmtId="0" fontId="0" fillId="0" borderId="0" xfId="0" applyFont="1" applyFill="1" applyAlignment="1"/>
    <xf numFmtId="0" fontId="0" fillId="0" borderId="0" xfId="0" applyFont="1" applyFill="1" applyAlignment="1">
      <alignment horizontal="right"/>
    </xf>
    <xf numFmtId="0" fontId="0" fillId="3" borderId="0" xfId="0" applyFont="1" applyFill="1" applyAlignment="1">
      <alignment horizontal="center"/>
    </xf>
    <xf numFmtId="17" fontId="0" fillId="0" borderId="0" xfId="0" applyNumberFormat="1" applyFill="1"/>
    <xf numFmtId="49" fontId="11" fillId="4" borderId="0" xfId="0" applyNumberFormat="1" applyFont="1" applyFill="1" applyAlignment="1">
      <alignment horizontal="center"/>
    </xf>
    <xf numFmtId="0" fontId="0" fillId="3" borderId="0" xfId="0" applyFont="1" applyFill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17" fontId="0" fillId="3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right"/>
    </xf>
    <xf numFmtId="49" fontId="0" fillId="0" borderId="0" xfId="0" applyNumberFormat="1" applyFill="1" applyAlignment="1">
      <alignment horizontal="right"/>
    </xf>
    <xf numFmtId="49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" fontId="0" fillId="0" borderId="0" xfId="0" applyNumberFormat="1" applyFill="1"/>
    <xf numFmtId="0" fontId="12" fillId="0" borderId="0" xfId="0" applyFont="1" applyFill="1"/>
    <xf numFmtId="49" fontId="12" fillId="0" borderId="0" xfId="0" applyNumberFormat="1" applyFont="1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17" fontId="0" fillId="3" borderId="0" xfId="0" applyNumberFormat="1" applyFill="1"/>
    <xf numFmtId="49" fontId="1" fillId="0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13" fillId="0" borderId="0" xfId="0" applyFont="1" applyFill="1"/>
    <xf numFmtId="0" fontId="14" fillId="0" borderId="0" xfId="0" applyFont="1" applyFill="1"/>
    <xf numFmtId="0" fontId="1" fillId="2" borderId="0" xfId="0" applyFont="1" applyFill="1"/>
    <xf numFmtId="0" fontId="9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15" fillId="0" borderId="0" xfId="0" applyFont="1" applyFill="1"/>
    <xf numFmtId="0" fontId="16" fillId="0" borderId="0" xfId="0" applyFont="1" applyFill="1"/>
    <xf numFmtId="0" fontId="11" fillId="0" borderId="0" xfId="0" applyFont="1" applyAlignment="1">
      <alignment horizontal="center"/>
    </xf>
    <xf numFmtId="49" fontId="17" fillId="4" borderId="0" xfId="0" applyNumberFormat="1" applyFont="1" applyFill="1" applyAlignment="1">
      <alignment horizontal="center"/>
    </xf>
    <xf numFmtId="49" fontId="18" fillId="4" borderId="0" xfId="0" applyNumberFormat="1" applyFont="1" applyFill="1" applyAlignment="1">
      <alignment horizontal="center"/>
    </xf>
    <xf numFmtId="0" fontId="16" fillId="4" borderId="0" xfId="0" applyFont="1" applyFill="1"/>
    <xf numFmtId="0" fontId="6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/>
    </xf>
    <xf numFmtId="49" fontId="17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2" borderId="0" xfId="0" applyFont="1" applyFill="1"/>
    <xf numFmtId="0" fontId="12" fillId="2" borderId="0" xfId="0" applyFont="1" applyFill="1"/>
    <xf numFmtId="0" fontId="20" fillId="2" borderId="0" xfId="0" applyFont="1" applyFill="1"/>
    <xf numFmtId="49" fontId="19" fillId="4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0" fillId="0" borderId="0" xfId="0" applyFont="1" applyAlignment="1">
      <alignment horizontal="right"/>
    </xf>
    <xf numFmtId="0" fontId="0" fillId="2" borderId="0" xfId="0" applyFont="1" applyFill="1"/>
    <xf numFmtId="49" fontId="1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F76A-5D1E-4931-A132-EDC18D5519E6}">
  <dimension ref="A1:XR1123"/>
  <sheetViews>
    <sheetView workbookViewId="0">
      <pane xSplit="1" topLeftCell="B1" activePane="topRight" state="frozen"/>
      <selection pane="topRight" activeCell="DY25" sqref="DY25"/>
    </sheetView>
  </sheetViews>
  <sheetFormatPr defaultRowHeight="15" x14ac:dyDescent="0.25"/>
  <cols>
    <col min="1" max="1" width="17.42578125" customWidth="1"/>
    <col min="2" max="2" width="9.140625" style="21"/>
    <col min="3" max="4" width="7.7109375" customWidth="1"/>
    <col min="7" max="12" width="9.140625" style="2"/>
    <col min="15" max="15" width="9.140625" style="21"/>
    <col min="19" max="19" width="9.140625" style="8"/>
    <col min="36" max="37" width="9.140625" style="2"/>
    <col min="45" max="45" width="9.140625" style="21"/>
    <col min="48" max="48" width="9.140625" style="2"/>
    <col min="55" max="55" width="9.140625" style="21"/>
    <col min="57" max="57" width="10" bestFit="1" customWidth="1"/>
    <col min="73" max="73" width="9.140625" style="1"/>
    <col min="77" max="77" width="9.140625" style="14"/>
    <col min="78" max="78" width="9.140625" style="21"/>
    <col min="79" max="102" width="9.140625" style="8"/>
    <col min="103" max="103" width="9.140625" style="21"/>
    <col min="104" max="110" width="9.140625" style="23"/>
    <col min="111" max="111" width="7.85546875" style="23" customWidth="1"/>
    <col min="112" max="113" width="9.140625" style="23"/>
    <col min="115" max="119" width="9.140625" style="8"/>
    <col min="120" max="120" width="9.140625" style="7"/>
    <col min="121" max="130" width="9.140625" style="8"/>
    <col min="131" max="131" width="9.140625" style="23"/>
    <col min="132" max="140" width="9.140625" style="8"/>
    <col min="141" max="141" width="9.140625" style="7"/>
    <col min="142" max="167" width="9.140625" style="8"/>
    <col min="168" max="168" width="9.140625" style="7"/>
    <col min="169" max="174" width="9.140625" style="8"/>
    <col min="175" max="175" width="10.7109375" style="8" customWidth="1"/>
    <col min="177" max="181" width="9.140625" style="8"/>
    <col min="182" max="182" width="9.140625" style="7"/>
    <col min="183" max="194" width="9.140625" style="8"/>
    <col min="195" max="195" width="9.140625" style="7"/>
    <col min="196" max="211" width="9.140625" style="8"/>
    <col min="212" max="212" width="9.140625" style="7"/>
    <col min="213" max="228" width="9.140625" style="8"/>
    <col min="229" max="229" width="9.140625" style="7"/>
    <col min="230" max="243" width="9.140625" style="8"/>
    <col min="244" max="244" width="9.140625" style="7"/>
    <col min="245" max="248" width="9.140625" style="8"/>
    <col min="251" max="262" width="9.140625" style="8"/>
    <col min="263" max="263" width="9.140625" style="7"/>
    <col min="264" max="275" width="9.140625" style="8"/>
    <col min="276" max="276" width="9.140625" style="6"/>
    <col min="277" max="281" width="9.140625" style="8"/>
    <col min="282" max="282" width="9.140625" style="7"/>
    <col min="283" max="292" width="9.140625" style="8"/>
    <col min="293" max="293" width="9.140625" style="7"/>
    <col min="294" max="304" width="9.140625" style="8"/>
    <col min="305" max="305" width="9.140625" style="7"/>
    <col min="306" max="314" width="9.140625" style="8"/>
    <col min="315" max="315" width="9.140625" style="7"/>
    <col min="316" max="327" width="9.140625" style="8"/>
    <col min="328" max="328" width="9.140625" style="7"/>
    <col min="329" max="336" width="9.140625" style="8"/>
    <col min="337" max="337" width="9.140625" style="7"/>
    <col min="338" max="342" width="9.140625" style="8"/>
    <col min="343" max="343" width="9.140625" style="7"/>
    <col min="344" max="353" width="9.140625" style="8"/>
    <col min="354" max="354" width="9.140625" style="7"/>
    <col min="355" max="360" width="9.140625" style="8"/>
    <col min="361" max="361" width="9.140625" style="7"/>
    <col min="362" max="365" width="9.140625" style="8"/>
    <col min="366" max="366" width="9.140625" style="7"/>
    <col min="367" max="374" width="9.140625" style="8"/>
    <col min="375" max="375" width="9.140625" style="7"/>
    <col min="376" max="383" width="9.140625" style="8"/>
    <col min="384" max="384" width="9.140625" style="7"/>
    <col min="385" max="399" width="9.140625" style="8"/>
    <col min="400" max="400" width="9.140625" style="7"/>
    <col min="401" max="413" width="9.140625" style="8"/>
    <col min="414" max="414" width="9.140625" style="7"/>
    <col min="415" max="424" width="9.140625" style="8"/>
    <col min="425" max="425" width="9.140625" style="7"/>
    <col min="426" max="437" width="9.140625" style="8"/>
    <col min="438" max="438" width="9.140625" style="7"/>
    <col min="439" max="448" width="9.140625" style="8"/>
    <col min="449" max="449" width="9.140625" style="7"/>
    <col min="450" max="457" width="9.140625" style="8"/>
    <col min="458" max="458" width="9.140625" style="21"/>
    <col min="459" max="465" width="9.140625" style="8"/>
    <col min="466" max="466" width="9.140625" style="21"/>
    <col min="467" max="470" width="9.140625" style="8"/>
    <col min="471" max="471" width="9.140625" style="6"/>
    <col min="472" max="472" width="9.140625" style="8"/>
    <col min="473" max="473" width="9.140625" style="6"/>
    <col min="474" max="476" width="9.140625" style="8"/>
    <col min="477" max="477" width="9.140625" style="7"/>
    <col min="478" max="481" width="9.140625" style="8"/>
    <col min="482" max="482" width="9.140625" style="21"/>
    <col min="483" max="484" width="9.140625" style="8"/>
    <col min="485" max="485" width="8.140625" style="8" customWidth="1"/>
    <col min="486" max="486" width="9.140625" style="8"/>
    <col min="487" max="487" width="9.140625" style="6"/>
    <col min="488" max="488" width="9.140625" style="8"/>
    <col min="489" max="489" width="9.140625" style="21"/>
    <col min="490" max="491" width="9.140625" style="8"/>
    <col min="492" max="492" width="9.140625" style="21"/>
    <col min="493" max="493" width="12.5703125" style="8" customWidth="1"/>
    <col min="494" max="496" width="9.140625" style="8"/>
    <col min="497" max="497" width="9.140625" style="21"/>
    <col min="498" max="501" width="9.140625" style="8"/>
    <col min="502" max="502" width="9.140625" style="21"/>
    <col min="503" max="508" width="9.140625" style="8"/>
    <col min="509" max="509" width="9.140625" style="21"/>
    <col min="510" max="511" width="9.140625" style="8"/>
    <col min="512" max="512" width="9.140625" style="7"/>
    <col min="513" max="513" width="9.140625" style="8"/>
    <col min="514" max="514" width="9.140625" style="7"/>
    <col min="515" max="524" width="9.140625" style="8"/>
    <col min="525" max="525" width="9.140625" style="7"/>
    <col min="526" max="526" width="9.140625" style="8"/>
    <col min="527" max="527" width="9.140625" style="7"/>
    <col min="528" max="531" width="9.140625" style="8"/>
    <col min="532" max="532" width="9.140625" style="21"/>
    <col min="533" max="534" width="9.140625" style="8"/>
    <col min="535" max="535" width="9.140625" style="6"/>
    <col min="536" max="542" width="9.140625" style="8"/>
    <col min="543" max="543" width="9.140625" style="21"/>
    <col min="544" max="549" width="9.140625" style="8"/>
    <col min="550" max="550" width="9.140625" style="21"/>
    <col min="551" max="556" width="9.140625" style="8"/>
    <col min="557" max="557" width="9.140625" style="21"/>
    <col min="558" max="561" width="9.140625" style="8"/>
    <col min="562" max="562" width="9.140625" style="21"/>
    <col min="563" max="568" width="9.140625" style="8"/>
    <col min="569" max="569" width="9.140625" style="7"/>
    <col min="570" max="589" width="9.140625" style="8"/>
    <col min="590" max="590" width="9.140625" style="6"/>
    <col min="591" max="592" width="9.140625" style="8"/>
    <col min="593" max="593" width="9.140625" style="30"/>
    <col min="594" max="598" width="9.140625" style="8"/>
    <col min="599" max="599" width="9.140625" style="28"/>
    <col min="600" max="603" width="9.140625" style="8"/>
    <col min="604" max="604" width="9.140625" style="21"/>
    <col min="605" max="608" width="9.140625" style="8"/>
    <col min="609" max="609" width="9.140625" style="21"/>
    <col min="621" max="621" width="9.140625" style="21"/>
    <col min="624" max="624" width="9.140625" style="21"/>
    <col min="625" max="627" width="9.140625" style="23"/>
    <col min="628" max="628" width="9.140625" style="7"/>
    <col min="634" max="634" width="9.140625" style="7"/>
    <col min="641" max="642" width="9.140625" style="7"/>
  </cols>
  <sheetData>
    <row r="1" spans="1:642" s="17" customFormat="1" ht="31.5" customHeight="1" x14ac:dyDescent="0.3">
      <c r="A1" s="73" t="s">
        <v>41</v>
      </c>
      <c r="B1" s="15">
        <v>59</v>
      </c>
      <c r="H1" s="43"/>
      <c r="J1" s="43"/>
      <c r="O1" s="15">
        <v>58</v>
      </c>
      <c r="S1" s="18"/>
      <c r="AS1" s="15">
        <v>57</v>
      </c>
      <c r="BC1" s="15">
        <v>56</v>
      </c>
      <c r="BU1" s="18"/>
      <c r="BX1" s="18"/>
      <c r="BY1" s="22"/>
      <c r="BZ1" s="15">
        <v>55</v>
      </c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5">
        <v>54</v>
      </c>
      <c r="CZ1" s="22"/>
      <c r="DA1" s="22"/>
      <c r="DB1" s="22"/>
      <c r="DC1" s="22"/>
      <c r="DD1" s="22"/>
      <c r="DE1" s="22"/>
      <c r="DF1" s="85"/>
      <c r="DG1" s="85"/>
      <c r="DH1" s="22"/>
      <c r="DI1" s="22"/>
      <c r="DJ1" s="18"/>
      <c r="DK1" s="18"/>
      <c r="DL1" s="18"/>
      <c r="DM1" s="18"/>
      <c r="DN1" s="18"/>
      <c r="DO1" s="18"/>
      <c r="DP1" s="15">
        <v>53</v>
      </c>
      <c r="DQ1" s="22"/>
      <c r="DR1" s="22"/>
      <c r="DS1" s="85"/>
      <c r="DT1" s="85"/>
      <c r="DU1" s="22"/>
      <c r="DV1" s="22"/>
      <c r="DW1" s="22"/>
      <c r="DX1" s="22"/>
      <c r="DY1" s="22"/>
      <c r="DZ1" s="22"/>
      <c r="EA1" s="22"/>
      <c r="EB1" s="18"/>
      <c r="EC1" s="18"/>
      <c r="ED1" s="18"/>
      <c r="EE1" s="22"/>
      <c r="EF1" s="22"/>
      <c r="EG1" s="22"/>
      <c r="EH1" s="22"/>
      <c r="EI1" s="22"/>
      <c r="EJ1" s="22"/>
      <c r="EK1" s="15">
        <v>52</v>
      </c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15">
        <v>51</v>
      </c>
      <c r="FM1" s="22"/>
      <c r="FN1" s="22"/>
      <c r="FO1" s="22"/>
      <c r="FP1" s="22"/>
      <c r="FQ1" s="22"/>
      <c r="FR1" s="22"/>
      <c r="FS1" s="22"/>
      <c r="FT1" s="18"/>
      <c r="FU1" s="22"/>
      <c r="FV1" s="22"/>
      <c r="FW1" s="22"/>
      <c r="FX1" s="22"/>
      <c r="FY1" s="22"/>
      <c r="FZ1" s="15">
        <v>50</v>
      </c>
      <c r="GA1" s="22"/>
      <c r="GB1" s="22"/>
      <c r="GC1" s="81"/>
      <c r="GD1" s="81"/>
      <c r="GE1" s="81"/>
      <c r="GF1" s="81"/>
      <c r="GG1" s="81"/>
      <c r="GH1" s="81"/>
      <c r="GI1" s="81"/>
      <c r="GJ1" s="81"/>
      <c r="GK1" s="81"/>
      <c r="GL1" s="81"/>
      <c r="GM1" s="15">
        <v>49</v>
      </c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5">
        <v>48</v>
      </c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5">
        <v>47</v>
      </c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5">
        <v>46</v>
      </c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  <c r="IW1" s="67"/>
      <c r="IX1" s="67"/>
      <c r="IY1" s="67"/>
      <c r="IZ1" s="67"/>
      <c r="JA1" s="67"/>
      <c r="JB1" s="67"/>
      <c r="JC1" s="15">
        <v>45</v>
      </c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34"/>
      <c r="JQ1" s="18"/>
      <c r="JR1" s="18"/>
      <c r="JS1" s="18"/>
      <c r="JT1" s="18"/>
      <c r="JU1" s="18"/>
      <c r="JV1" s="15">
        <v>44</v>
      </c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5">
        <v>43</v>
      </c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5">
        <v>42</v>
      </c>
      <c r="KT1" s="18"/>
      <c r="KU1" s="18"/>
      <c r="KV1" s="18"/>
      <c r="KW1" s="18"/>
      <c r="KX1" s="18"/>
      <c r="KY1" s="18"/>
      <c r="KZ1" s="18"/>
      <c r="LA1" s="18"/>
      <c r="LB1" s="18"/>
      <c r="LC1" s="15">
        <v>41</v>
      </c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5">
        <v>40</v>
      </c>
      <c r="LQ1" s="18"/>
      <c r="LR1" s="18"/>
      <c r="LS1" s="18"/>
      <c r="LT1" s="18"/>
      <c r="LU1" s="18"/>
      <c r="LV1" s="18"/>
      <c r="LW1" s="18"/>
      <c r="LX1" s="18"/>
      <c r="LY1" s="15">
        <v>39</v>
      </c>
      <c r="LZ1" s="18"/>
      <c r="MA1" s="18"/>
      <c r="MB1" s="18"/>
      <c r="MC1" s="18"/>
      <c r="MD1" s="18"/>
      <c r="ME1" s="15">
        <v>38</v>
      </c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5">
        <v>37</v>
      </c>
      <c r="MQ1" s="18"/>
      <c r="MR1" s="18"/>
      <c r="MS1" s="18"/>
      <c r="MT1" s="18"/>
      <c r="MU1" s="18"/>
      <c r="MV1" s="18"/>
      <c r="MW1" s="15">
        <v>36</v>
      </c>
      <c r="MX1" s="18"/>
      <c r="MY1" s="18"/>
      <c r="MZ1" s="18"/>
      <c r="NA1" s="18"/>
      <c r="NB1" s="15">
        <v>35</v>
      </c>
      <c r="NC1" s="34"/>
      <c r="ND1" s="18"/>
      <c r="NE1" s="18"/>
      <c r="NF1" s="18"/>
      <c r="NG1" s="18"/>
      <c r="NH1" s="18"/>
      <c r="NI1" s="18"/>
      <c r="NJ1" s="18"/>
      <c r="NK1" s="15">
        <v>34</v>
      </c>
      <c r="NL1" s="18"/>
      <c r="NM1" s="18"/>
      <c r="NN1" s="18"/>
      <c r="NO1" s="18"/>
      <c r="NP1" s="18"/>
      <c r="NQ1" s="18"/>
      <c r="NR1" s="18"/>
      <c r="NS1" s="18"/>
      <c r="NT1" s="15">
        <v>33</v>
      </c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5">
        <v>32</v>
      </c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5">
        <v>31</v>
      </c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5">
        <v>30</v>
      </c>
      <c r="PJ1" s="22"/>
      <c r="PK1" s="22"/>
      <c r="PL1" s="22"/>
      <c r="PM1" s="22"/>
      <c r="PN1" s="18"/>
      <c r="PO1" s="18"/>
      <c r="PP1" s="18"/>
      <c r="PQ1" s="18"/>
      <c r="PR1" s="18"/>
      <c r="PS1" s="18"/>
      <c r="PT1" s="18"/>
      <c r="PU1" s="18"/>
      <c r="PV1" s="15">
        <v>29</v>
      </c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5">
        <v>28</v>
      </c>
      <c r="QH1" s="22"/>
      <c r="QI1" s="22"/>
      <c r="QJ1" s="22"/>
      <c r="QK1" s="18"/>
      <c r="QL1" s="18"/>
      <c r="QM1" s="18"/>
      <c r="QN1" s="18"/>
      <c r="QO1" s="18"/>
      <c r="QP1" s="15">
        <v>27</v>
      </c>
      <c r="QQ1" s="18"/>
      <c r="QR1" s="18"/>
      <c r="QS1" s="18"/>
      <c r="QT1" s="18"/>
      <c r="QU1" s="18"/>
      <c r="QV1" s="18"/>
      <c r="QW1" s="18"/>
      <c r="QX1" s="15">
        <v>26</v>
      </c>
      <c r="QY1" s="18"/>
      <c r="QZ1" s="18"/>
      <c r="RA1" s="18"/>
      <c r="RB1" s="18"/>
      <c r="RC1" s="34"/>
      <c r="RD1" s="18"/>
      <c r="RE1" s="34"/>
      <c r="RF1" s="18"/>
      <c r="RG1" s="18"/>
      <c r="RH1" s="18"/>
      <c r="RI1" s="15">
        <v>25</v>
      </c>
      <c r="RJ1" s="18"/>
      <c r="RK1" s="18"/>
      <c r="RL1" s="18"/>
      <c r="RM1" s="18"/>
      <c r="RN1" s="15">
        <v>24</v>
      </c>
      <c r="RO1" s="18"/>
      <c r="RP1" s="18"/>
      <c r="RQ1" s="18"/>
      <c r="RR1" s="18"/>
      <c r="RS1" s="34"/>
      <c r="RT1" s="18"/>
      <c r="RU1" s="15">
        <v>23</v>
      </c>
      <c r="RV1" s="18"/>
      <c r="RW1" s="18"/>
      <c r="RX1" s="15">
        <v>22</v>
      </c>
      <c r="RY1" s="18"/>
      <c r="RZ1" s="18"/>
      <c r="SA1" s="18"/>
      <c r="SB1" s="18"/>
      <c r="SC1" s="15">
        <v>21</v>
      </c>
      <c r="SD1" s="18"/>
      <c r="SE1" s="18"/>
      <c r="SF1" s="18"/>
      <c r="SG1" s="18"/>
      <c r="SH1" s="15">
        <v>20</v>
      </c>
      <c r="SI1" s="18"/>
      <c r="SJ1" s="18"/>
      <c r="SK1" s="18"/>
      <c r="SL1" s="18"/>
      <c r="SM1" s="18"/>
      <c r="SN1" s="18"/>
      <c r="SO1" s="15">
        <v>19</v>
      </c>
      <c r="SP1" s="18"/>
      <c r="SQ1" s="18"/>
      <c r="SR1" s="15">
        <v>18</v>
      </c>
      <c r="SS1" s="18"/>
      <c r="ST1" s="15">
        <v>17</v>
      </c>
      <c r="SU1" s="22"/>
      <c r="SV1" s="22"/>
      <c r="SW1" s="22"/>
      <c r="SX1" s="22"/>
      <c r="SY1" s="22"/>
      <c r="SZ1" s="22"/>
      <c r="TA1" s="22"/>
      <c r="TB1" s="22"/>
      <c r="TC1" s="18"/>
      <c r="TD1" s="18"/>
      <c r="TE1" s="15">
        <v>16</v>
      </c>
      <c r="TF1" s="18"/>
      <c r="TG1" s="15">
        <v>15</v>
      </c>
      <c r="TH1" s="18"/>
      <c r="TI1" s="18"/>
      <c r="TJ1" s="18"/>
      <c r="TK1" s="18"/>
      <c r="TL1" s="15">
        <v>14</v>
      </c>
      <c r="TM1" s="18"/>
      <c r="TN1" s="18"/>
      <c r="TO1" s="34"/>
      <c r="TP1" s="18"/>
      <c r="TQ1" s="18"/>
      <c r="TR1" s="18"/>
      <c r="TS1" s="18"/>
      <c r="TT1" s="18"/>
      <c r="TU1" s="18"/>
      <c r="TV1" s="18"/>
      <c r="TW1" s="15">
        <v>13</v>
      </c>
      <c r="TX1" s="18"/>
      <c r="TY1" s="18"/>
      <c r="TZ1" s="18"/>
      <c r="UA1" s="18"/>
      <c r="UB1" s="18"/>
      <c r="UC1" s="18"/>
      <c r="UD1" s="15">
        <v>12</v>
      </c>
      <c r="UE1" s="18"/>
      <c r="UF1" s="18"/>
      <c r="UG1" s="18"/>
      <c r="UH1" s="18"/>
      <c r="UI1" s="18"/>
      <c r="UJ1" s="18"/>
      <c r="UK1" s="15">
        <v>11</v>
      </c>
      <c r="UL1" s="18"/>
      <c r="UM1" s="18"/>
      <c r="UN1" s="18"/>
      <c r="UO1" s="18"/>
      <c r="UP1" s="15">
        <v>10</v>
      </c>
      <c r="UQ1" s="18"/>
      <c r="UR1" s="18"/>
      <c r="US1" s="18"/>
      <c r="UT1" s="18"/>
      <c r="UU1" s="18"/>
      <c r="UV1" s="18"/>
      <c r="UW1" s="15">
        <v>9</v>
      </c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15">
        <v>8</v>
      </c>
      <c r="VM1" s="18"/>
      <c r="VN1" s="18"/>
      <c r="VO1" s="18"/>
      <c r="VP1" s="18"/>
      <c r="VQ1" s="18"/>
      <c r="VR1" s="34"/>
      <c r="VS1" s="18"/>
      <c r="VT1" s="18"/>
      <c r="VU1" s="15">
        <v>7</v>
      </c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5">
        <v>6</v>
      </c>
      <c r="WG1" s="18"/>
      <c r="WH1" s="18"/>
      <c r="WI1" s="18"/>
      <c r="WJ1" s="18"/>
      <c r="WK1" s="15">
        <v>5</v>
      </c>
      <c r="WW1" s="15">
        <v>4</v>
      </c>
      <c r="WZ1" s="15">
        <v>3</v>
      </c>
      <c r="XA1" s="69"/>
      <c r="XB1" s="22"/>
      <c r="XC1" s="22"/>
      <c r="XD1" s="15">
        <v>2</v>
      </c>
      <c r="XF1" s="69"/>
      <c r="XJ1" s="15">
        <v>1</v>
      </c>
      <c r="XK1" s="69"/>
      <c r="XQ1" s="18"/>
      <c r="XR1" s="18"/>
    </row>
    <row r="2" spans="1:642" s="19" customFormat="1" ht="27.75" customHeight="1" x14ac:dyDescent="0.3">
      <c r="A2" s="74" t="s">
        <v>357</v>
      </c>
      <c r="B2" s="19">
        <v>2025</v>
      </c>
      <c r="C2" s="19" t="s">
        <v>42</v>
      </c>
      <c r="E2" s="19" t="s">
        <v>43</v>
      </c>
      <c r="K2" s="19" t="s">
        <v>44</v>
      </c>
      <c r="O2" s="19">
        <v>2024</v>
      </c>
      <c r="P2" s="19" t="s">
        <v>42</v>
      </c>
      <c r="AB2" s="19" t="s">
        <v>43</v>
      </c>
      <c r="AH2" s="19" t="s">
        <v>44</v>
      </c>
      <c r="AS2" s="19">
        <v>2023</v>
      </c>
      <c r="AT2" s="19" t="s">
        <v>42</v>
      </c>
      <c r="AX2" s="19" t="s">
        <v>43</v>
      </c>
      <c r="AY2" s="19" t="s">
        <v>44</v>
      </c>
      <c r="BC2" s="19">
        <v>2022</v>
      </c>
      <c r="BD2" s="19" t="s">
        <v>42</v>
      </c>
      <c r="BL2" s="19" t="s">
        <v>43</v>
      </c>
      <c r="BP2" s="19" t="s">
        <v>44</v>
      </c>
      <c r="BZ2" s="19" t="s">
        <v>60</v>
      </c>
      <c r="CA2" s="19" t="s">
        <v>42</v>
      </c>
      <c r="CM2" s="19" t="s">
        <v>43</v>
      </c>
      <c r="CU2" s="19" t="s">
        <v>44</v>
      </c>
      <c r="CY2" s="19" t="s">
        <v>67</v>
      </c>
      <c r="CZ2" s="19" t="s">
        <v>42</v>
      </c>
      <c r="DD2" s="19" t="s">
        <v>43</v>
      </c>
      <c r="DL2" s="19" t="s">
        <v>44</v>
      </c>
      <c r="DP2" s="19" t="s">
        <v>389</v>
      </c>
      <c r="DW2" s="19" t="s">
        <v>43</v>
      </c>
      <c r="EE2" s="19" t="s">
        <v>44</v>
      </c>
      <c r="EK2" s="19" t="s">
        <v>390</v>
      </c>
      <c r="EN2" s="19" t="s">
        <v>42</v>
      </c>
      <c r="ET2" s="19" t="s">
        <v>43</v>
      </c>
      <c r="FF2" s="19" t="s">
        <v>44</v>
      </c>
      <c r="FL2" s="19" t="s">
        <v>406</v>
      </c>
      <c r="FM2" s="19" t="s">
        <v>42</v>
      </c>
      <c r="FS2" s="19" t="s">
        <v>43</v>
      </c>
      <c r="FV2" s="19" t="s">
        <v>44</v>
      </c>
      <c r="FZ2" s="19" t="s">
        <v>391</v>
      </c>
      <c r="GA2" s="19" t="s">
        <v>42</v>
      </c>
      <c r="GC2" s="19" t="s">
        <v>43</v>
      </c>
      <c r="GG2" s="19" t="s">
        <v>44</v>
      </c>
      <c r="GM2" s="19" t="s">
        <v>356</v>
      </c>
      <c r="GN2" s="19" t="s">
        <v>42</v>
      </c>
      <c r="GQ2" s="80"/>
      <c r="GR2" s="19" t="s">
        <v>43</v>
      </c>
      <c r="GZ2" s="19" t="s">
        <v>44</v>
      </c>
      <c r="HD2" s="19" t="s">
        <v>355</v>
      </c>
      <c r="HE2" s="19" t="s">
        <v>42</v>
      </c>
      <c r="HK2" s="19" t="s">
        <v>43</v>
      </c>
      <c r="HO2" s="19" t="s">
        <v>44</v>
      </c>
      <c r="HU2" s="19" t="s">
        <v>340</v>
      </c>
      <c r="HV2" s="19" t="s">
        <v>42</v>
      </c>
      <c r="HZ2" s="19" t="s">
        <v>43</v>
      </c>
      <c r="ID2" s="19" t="s">
        <v>44</v>
      </c>
      <c r="IJ2" s="19" t="s">
        <v>338</v>
      </c>
      <c r="IK2" s="19" t="s">
        <v>42</v>
      </c>
      <c r="IO2" s="19" t="s">
        <v>43</v>
      </c>
      <c r="IU2" s="19" t="s">
        <v>44</v>
      </c>
      <c r="JC2" s="19" t="s">
        <v>327</v>
      </c>
      <c r="JD2" s="19" t="s">
        <v>328</v>
      </c>
      <c r="JN2" s="19" t="s">
        <v>44</v>
      </c>
      <c r="JP2" s="41"/>
      <c r="JV2" s="19" t="s">
        <v>315</v>
      </c>
      <c r="JW2" s="19" t="s">
        <v>42</v>
      </c>
      <c r="JY2" s="19" t="s">
        <v>43</v>
      </c>
      <c r="KA2" s="19" t="s">
        <v>44</v>
      </c>
      <c r="KG2" s="19" t="s">
        <v>309</v>
      </c>
      <c r="KH2" s="19" t="s">
        <v>42</v>
      </c>
      <c r="KI2" s="19" t="s">
        <v>43</v>
      </c>
      <c r="KQ2" s="19" t="s">
        <v>44</v>
      </c>
      <c r="KS2" s="19" t="s">
        <v>304</v>
      </c>
      <c r="KT2" s="19" t="s">
        <v>42</v>
      </c>
      <c r="KV2" s="59"/>
      <c r="KW2" s="59"/>
      <c r="KX2" s="59"/>
      <c r="KY2" s="59"/>
      <c r="KZ2" s="59"/>
      <c r="LA2" s="59"/>
      <c r="LB2" s="19" t="s">
        <v>43</v>
      </c>
      <c r="LC2" s="19" t="s">
        <v>297</v>
      </c>
      <c r="LD2" s="19" t="s">
        <v>42</v>
      </c>
      <c r="LJ2" s="19" t="s">
        <v>43</v>
      </c>
      <c r="LP2" s="19" t="s">
        <v>293</v>
      </c>
      <c r="LQ2" s="19" t="s">
        <v>42</v>
      </c>
      <c r="LS2" s="19" t="s">
        <v>43</v>
      </c>
      <c r="LY2" s="19" t="s">
        <v>290</v>
      </c>
      <c r="LZ2" s="19" t="s">
        <v>42</v>
      </c>
      <c r="MD2" s="19" t="s">
        <v>43</v>
      </c>
      <c r="ME2" s="19" t="s">
        <v>285</v>
      </c>
      <c r="MF2" s="19" t="s">
        <v>42</v>
      </c>
      <c r="MN2" s="19" t="s">
        <v>43</v>
      </c>
      <c r="MP2" s="19" t="s">
        <v>281</v>
      </c>
      <c r="MQ2" s="19" t="s">
        <v>42</v>
      </c>
      <c r="MU2" s="19" t="s">
        <v>43</v>
      </c>
      <c r="MW2" s="19" t="s">
        <v>279</v>
      </c>
      <c r="MX2" s="19" t="s">
        <v>42</v>
      </c>
      <c r="MZ2" s="19" t="s">
        <v>43</v>
      </c>
      <c r="NB2" s="19" t="s">
        <v>275</v>
      </c>
      <c r="NC2" s="19" t="s">
        <v>42</v>
      </c>
      <c r="NG2" s="19" t="s">
        <v>43</v>
      </c>
      <c r="NK2" s="19" t="s">
        <v>270</v>
      </c>
      <c r="NL2" s="19" t="s">
        <v>42</v>
      </c>
      <c r="NP2" s="19" t="s">
        <v>43</v>
      </c>
      <c r="NT2" s="19" t="s">
        <v>262</v>
      </c>
      <c r="NU2" s="19" t="s">
        <v>42</v>
      </c>
      <c r="OA2" s="19" t="s">
        <v>43</v>
      </c>
      <c r="OJ2" s="19" t="s">
        <v>256</v>
      </c>
      <c r="OK2" s="19" t="s">
        <v>42</v>
      </c>
      <c r="OV2" s="19" t="s">
        <v>43</v>
      </c>
      <c r="OX2" s="19" t="s">
        <v>250</v>
      </c>
      <c r="OY2" s="19" t="s">
        <v>42</v>
      </c>
      <c r="PC2" s="19" t="s">
        <v>43</v>
      </c>
      <c r="PI2" s="19" t="s">
        <v>243</v>
      </c>
      <c r="PJ2" s="19" t="s">
        <v>42</v>
      </c>
      <c r="PP2" s="19" t="s">
        <v>43</v>
      </c>
      <c r="PV2" s="19" t="s">
        <v>238</v>
      </c>
      <c r="PW2" s="19" t="s">
        <v>42</v>
      </c>
      <c r="QC2" s="19" t="s">
        <v>43</v>
      </c>
      <c r="QG2" s="19" t="s">
        <v>233</v>
      </c>
      <c r="QH2" s="19" t="s">
        <v>42</v>
      </c>
      <c r="QJ2" s="19" t="s">
        <v>43</v>
      </c>
      <c r="QP2" s="19" t="s">
        <v>225</v>
      </c>
      <c r="QQ2" s="19" t="s">
        <v>42</v>
      </c>
      <c r="QV2" s="19" t="s">
        <v>43</v>
      </c>
      <c r="QX2" s="19" t="s">
        <v>214</v>
      </c>
      <c r="QY2" s="19" t="s">
        <v>42</v>
      </c>
      <c r="RC2" s="19" t="s">
        <v>43</v>
      </c>
      <c r="RE2" s="41"/>
      <c r="RI2" s="19" t="s">
        <v>210</v>
      </c>
      <c r="RJ2" s="19" t="s">
        <v>42</v>
      </c>
      <c r="RL2" s="19" t="s">
        <v>43</v>
      </c>
      <c r="RN2" s="19" t="s">
        <v>177</v>
      </c>
      <c r="RO2" s="19" t="s">
        <v>42</v>
      </c>
      <c r="RS2" s="41"/>
      <c r="RU2" s="19" t="s">
        <v>175</v>
      </c>
      <c r="RV2" s="19" t="s">
        <v>42</v>
      </c>
      <c r="RX2" s="19" t="s">
        <v>131</v>
      </c>
      <c r="RY2" s="19" t="s">
        <v>42</v>
      </c>
      <c r="SC2" s="19" t="s">
        <v>128</v>
      </c>
      <c r="SD2" s="19" t="s">
        <v>42</v>
      </c>
      <c r="SH2" s="19" t="s">
        <v>125</v>
      </c>
      <c r="SI2" s="19" t="s">
        <v>42</v>
      </c>
      <c r="SO2" s="19" t="s">
        <v>123</v>
      </c>
      <c r="SP2" s="19" t="s">
        <v>42</v>
      </c>
      <c r="SR2" s="19" t="s">
        <v>122</v>
      </c>
      <c r="SS2" s="19" t="s">
        <v>42</v>
      </c>
      <c r="ST2" s="19" t="s">
        <v>116</v>
      </c>
      <c r="SU2" s="19" t="s">
        <v>42</v>
      </c>
      <c r="TE2" s="19" t="s">
        <v>115</v>
      </c>
      <c r="TF2" s="19" t="s">
        <v>42</v>
      </c>
      <c r="TG2" s="19" t="s">
        <v>112</v>
      </c>
      <c r="TH2" s="19" t="s">
        <v>42</v>
      </c>
      <c r="TL2" s="19" t="s">
        <v>106</v>
      </c>
      <c r="TM2" s="19" t="s">
        <v>42</v>
      </c>
      <c r="TO2" s="41"/>
      <c r="TW2" s="19" t="s">
        <v>102</v>
      </c>
      <c r="TX2" s="19" t="s">
        <v>42</v>
      </c>
      <c r="UD2" s="19" t="s">
        <v>98</v>
      </c>
      <c r="UE2" s="19" t="s">
        <v>42</v>
      </c>
      <c r="UK2" s="19" t="s">
        <v>95</v>
      </c>
      <c r="UL2" s="19" t="s">
        <v>42</v>
      </c>
      <c r="UP2" s="19" t="s">
        <v>91</v>
      </c>
      <c r="UQ2" s="19" t="s">
        <v>42</v>
      </c>
      <c r="UW2" s="19" t="s">
        <v>83</v>
      </c>
      <c r="UX2" s="19" t="s">
        <v>42</v>
      </c>
      <c r="VL2" s="19" t="s">
        <v>78</v>
      </c>
      <c r="VM2" s="19" t="s">
        <v>42</v>
      </c>
      <c r="VN2" s="32"/>
      <c r="VO2" s="32"/>
      <c r="VP2" s="32"/>
      <c r="VQ2" s="35"/>
      <c r="VR2" s="35"/>
      <c r="VS2" s="32"/>
      <c r="VT2" s="32"/>
      <c r="VU2" s="19" t="s">
        <v>71</v>
      </c>
      <c r="VV2" s="19" t="s">
        <v>42</v>
      </c>
      <c r="WF2" s="19" t="s">
        <v>68</v>
      </c>
      <c r="WG2" s="19" t="s">
        <v>42</v>
      </c>
      <c r="WK2" s="19" t="s">
        <v>49</v>
      </c>
      <c r="WL2" s="19" t="s">
        <v>42</v>
      </c>
      <c r="WW2" s="19" t="s">
        <v>48</v>
      </c>
      <c r="WX2" s="19" t="s">
        <v>42</v>
      </c>
      <c r="WZ2" s="19" t="s">
        <v>47</v>
      </c>
      <c r="XA2" s="19" t="s">
        <v>42</v>
      </c>
      <c r="XB2" s="19" t="s">
        <v>43</v>
      </c>
      <c r="XD2" s="19">
        <v>1968</v>
      </c>
      <c r="XE2" s="19" t="s">
        <v>42</v>
      </c>
      <c r="XI2" s="19" t="s">
        <v>43</v>
      </c>
      <c r="XJ2" s="19">
        <v>1966</v>
      </c>
      <c r="XK2" s="19" t="s">
        <v>42</v>
      </c>
      <c r="XM2" s="19" t="s">
        <v>43</v>
      </c>
    </row>
    <row r="3" spans="1:642" s="70" customFormat="1" ht="27.75" customHeight="1" x14ac:dyDescent="0.3">
      <c r="A3" s="75" t="s">
        <v>358</v>
      </c>
      <c r="B3" s="70" t="s">
        <v>387</v>
      </c>
      <c r="O3" s="70" t="s">
        <v>380</v>
      </c>
      <c r="AS3" s="70" t="s">
        <v>386</v>
      </c>
      <c r="BC3" s="70" t="s">
        <v>385</v>
      </c>
      <c r="BZ3" s="70" t="s">
        <v>384</v>
      </c>
      <c r="CY3" s="70" t="s">
        <v>373</v>
      </c>
      <c r="DP3" s="70" t="s">
        <v>382</v>
      </c>
      <c r="EK3" s="70" t="s">
        <v>384</v>
      </c>
      <c r="FZ3" s="70" t="s">
        <v>379</v>
      </c>
      <c r="GM3" s="70" t="s">
        <v>379</v>
      </c>
      <c r="HD3" s="70" t="s">
        <v>383</v>
      </c>
      <c r="HU3" s="70" t="s">
        <v>382</v>
      </c>
      <c r="IJ3" s="70" t="s">
        <v>381</v>
      </c>
      <c r="JC3" s="70" t="s">
        <v>380</v>
      </c>
      <c r="JV3" s="70" t="s">
        <v>374</v>
      </c>
      <c r="KG3" s="70" t="s">
        <v>379</v>
      </c>
      <c r="KS3" s="70" t="s">
        <v>362</v>
      </c>
      <c r="KV3" s="71"/>
      <c r="KW3" s="71"/>
      <c r="KX3" s="71"/>
      <c r="KY3" s="71"/>
      <c r="KZ3" s="71"/>
      <c r="LA3" s="71"/>
      <c r="LC3" s="70" t="s">
        <v>360</v>
      </c>
      <c r="LP3" s="70" t="s">
        <v>362</v>
      </c>
      <c r="LY3" s="70" t="s">
        <v>362</v>
      </c>
      <c r="ME3" s="70" t="s">
        <v>374</v>
      </c>
      <c r="MP3" s="70" t="s">
        <v>371</v>
      </c>
      <c r="MW3" s="70" t="s">
        <v>378</v>
      </c>
      <c r="NB3" s="70" t="s">
        <v>360</v>
      </c>
      <c r="NK3" s="70" t="s">
        <v>377</v>
      </c>
      <c r="NT3" s="70" t="s">
        <v>377</v>
      </c>
      <c r="OJ3" s="70" t="s">
        <v>360</v>
      </c>
      <c r="OX3" s="70" t="s">
        <v>371</v>
      </c>
      <c r="PI3" s="70" t="s">
        <v>371</v>
      </c>
      <c r="PV3" s="70" t="s">
        <v>371</v>
      </c>
      <c r="QG3" s="70" t="s">
        <v>371</v>
      </c>
      <c r="QP3" s="70" t="s">
        <v>371</v>
      </c>
      <c r="QX3" s="70" t="s">
        <v>359</v>
      </c>
      <c r="RI3" s="70" t="s">
        <v>374</v>
      </c>
      <c r="RN3" s="70" t="s">
        <v>359</v>
      </c>
      <c r="RU3" s="70" t="s">
        <v>376</v>
      </c>
      <c r="RX3" s="70" t="s">
        <v>375</v>
      </c>
      <c r="SC3" s="70" t="s">
        <v>374</v>
      </c>
      <c r="SH3" s="70" t="s">
        <v>359</v>
      </c>
      <c r="SO3" s="70" t="s">
        <v>372</v>
      </c>
      <c r="SR3" s="70" t="s">
        <v>372</v>
      </c>
      <c r="ST3" s="70" t="s">
        <v>373</v>
      </c>
      <c r="TE3" s="70" t="s">
        <v>372</v>
      </c>
      <c r="TG3" s="70" t="s">
        <v>359</v>
      </c>
      <c r="TL3" s="70" t="s">
        <v>362</v>
      </c>
      <c r="TW3" s="70" t="s">
        <v>371</v>
      </c>
      <c r="UD3" s="70" t="s">
        <v>372</v>
      </c>
      <c r="UK3" s="70" t="s">
        <v>359</v>
      </c>
      <c r="UP3" s="70" t="s">
        <v>372</v>
      </c>
      <c r="UW3" s="70" t="s">
        <v>360</v>
      </c>
      <c r="VL3" s="70" t="s">
        <v>362</v>
      </c>
      <c r="VN3" s="72"/>
      <c r="VO3" s="72"/>
      <c r="VP3" s="72"/>
      <c r="VQ3" s="72"/>
      <c r="VR3" s="72"/>
      <c r="VS3" s="72"/>
      <c r="VT3" s="72"/>
      <c r="VU3" s="70" t="s">
        <v>362</v>
      </c>
      <c r="WF3" s="70" t="s">
        <v>361</v>
      </c>
      <c r="WK3" s="70" t="s">
        <v>359</v>
      </c>
      <c r="WW3" s="70" t="s">
        <v>361</v>
      </c>
      <c r="WZ3" s="70" t="s">
        <v>360</v>
      </c>
      <c r="XD3" s="70" t="s">
        <v>359</v>
      </c>
      <c r="XJ3" s="70" t="s">
        <v>359</v>
      </c>
    </row>
    <row r="4" spans="1:642" s="59" customFormat="1" ht="27.75" customHeight="1" x14ac:dyDescent="0.25">
      <c r="A4" s="76" t="s">
        <v>3</v>
      </c>
      <c r="C4" s="58" t="s">
        <v>2</v>
      </c>
      <c r="E4" s="58" t="s">
        <v>0</v>
      </c>
      <c r="G4" s="58" t="s">
        <v>4</v>
      </c>
      <c r="I4" s="58" t="s">
        <v>5</v>
      </c>
      <c r="K4" s="58" t="s">
        <v>6</v>
      </c>
      <c r="M4" s="58" t="s">
        <v>1</v>
      </c>
      <c r="P4" s="59" t="s">
        <v>7</v>
      </c>
      <c r="R4" s="58" t="s">
        <v>8</v>
      </c>
      <c r="T4" s="58" t="s">
        <v>9</v>
      </c>
      <c r="V4" s="58" t="s">
        <v>10</v>
      </c>
      <c r="X4" s="58" t="s">
        <v>11</v>
      </c>
      <c r="Z4" s="58" t="s">
        <v>12</v>
      </c>
      <c r="AB4" s="58" t="s">
        <v>13</v>
      </c>
      <c r="AD4" s="58" t="s">
        <v>14</v>
      </c>
      <c r="AF4" s="58" t="s">
        <v>15</v>
      </c>
      <c r="AH4" s="58" t="s">
        <v>19</v>
      </c>
      <c r="AJ4" s="58" t="s">
        <v>25</v>
      </c>
      <c r="AL4" s="58" t="s">
        <v>20</v>
      </c>
      <c r="AN4" s="58" t="s">
        <v>21</v>
      </c>
      <c r="AQ4" s="58" t="s">
        <v>22</v>
      </c>
      <c r="AT4" s="59" t="s">
        <v>23</v>
      </c>
      <c r="AV4" s="58" t="s">
        <v>27</v>
      </c>
      <c r="AY4" s="58" t="s">
        <v>28</v>
      </c>
      <c r="BA4" s="58" t="s">
        <v>29</v>
      </c>
      <c r="BD4" s="59" t="s">
        <v>23</v>
      </c>
      <c r="BF4" s="58" t="s">
        <v>30</v>
      </c>
      <c r="BH4" s="58" t="s">
        <v>31</v>
      </c>
      <c r="BJ4" s="58" t="s">
        <v>32</v>
      </c>
      <c r="BL4" s="58" t="s">
        <v>33</v>
      </c>
      <c r="BN4" s="58" t="s">
        <v>34</v>
      </c>
      <c r="BP4" s="58" t="s">
        <v>35</v>
      </c>
      <c r="BR4" s="58" t="s">
        <v>37</v>
      </c>
      <c r="BT4" s="58" t="s">
        <v>57</v>
      </c>
      <c r="BV4" s="58" t="s">
        <v>58</v>
      </c>
      <c r="BX4" s="58" t="s">
        <v>59</v>
      </c>
      <c r="CA4" s="58" t="s">
        <v>61</v>
      </c>
      <c r="CC4" s="58" t="s">
        <v>62</v>
      </c>
      <c r="CE4" s="58" t="s">
        <v>63</v>
      </c>
      <c r="CG4" s="58" t="s">
        <v>64</v>
      </c>
      <c r="CI4" s="58" t="s">
        <v>65</v>
      </c>
      <c r="CK4" s="58" t="s">
        <v>66</v>
      </c>
      <c r="CM4" s="59" t="s">
        <v>316</v>
      </c>
      <c r="CO4" s="59" t="s">
        <v>317</v>
      </c>
      <c r="CQ4" s="59" t="s">
        <v>319</v>
      </c>
      <c r="CS4" s="59" t="s">
        <v>318</v>
      </c>
      <c r="CU4" s="59" t="s">
        <v>320</v>
      </c>
      <c r="CW4" s="59" t="s">
        <v>321</v>
      </c>
      <c r="CY4" s="59" t="s">
        <v>425</v>
      </c>
      <c r="CZ4" s="59" t="s">
        <v>426</v>
      </c>
      <c r="DB4" s="59" t="s">
        <v>431</v>
      </c>
      <c r="DD4" s="59" t="s">
        <v>429</v>
      </c>
      <c r="DF4" s="59" t="s">
        <v>433</v>
      </c>
      <c r="DH4" s="59" t="s">
        <v>427</v>
      </c>
      <c r="DJ4" s="59" t="s">
        <v>432</v>
      </c>
      <c r="DL4" s="59" t="s">
        <v>430</v>
      </c>
      <c r="DN4" s="59" t="s">
        <v>434</v>
      </c>
      <c r="DP4" s="59" t="s">
        <v>169</v>
      </c>
      <c r="DQ4" s="59" t="s">
        <v>576</v>
      </c>
      <c r="DS4" s="59" t="s">
        <v>580</v>
      </c>
      <c r="DU4" s="59" t="s">
        <v>582</v>
      </c>
      <c r="DW4" s="59" t="s">
        <v>575</v>
      </c>
      <c r="DY4" s="59" t="s">
        <v>579</v>
      </c>
      <c r="EA4" s="59" t="s">
        <v>424</v>
      </c>
      <c r="EC4" s="59" t="s">
        <v>583</v>
      </c>
      <c r="EE4" s="59" t="s">
        <v>577</v>
      </c>
      <c r="EG4" s="59" t="s">
        <v>578</v>
      </c>
      <c r="EI4" s="59" t="s">
        <v>581</v>
      </c>
      <c r="EL4" s="59" t="s">
        <v>364</v>
      </c>
      <c r="EN4" s="59" t="s">
        <v>413</v>
      </c>
      <c r="EP4" s="59" t="s">
        <v>421</v>
      </c>
      <c r="ER4" s="59" t="s">
        <v>274</v>
      </c>
      <c r="ET4" s="59" t="s">
        <v>416</v>
      </c>
      <c r="EV4" s="59" t="s">
        <v>419</v>
      </c>
      <c r="EX4" s="59" t="s">
        <v>420</v>
      </c>
      <c r="EZ4" s="59" t="s">
        <v>422</v>
      </c>
      <c r="FB4" s="59" t="s">
        <v>418</v>
      </c>
      <c r="FD4" s="59" t="s">
        <v>423</v>
      </c>
      <c r="FF4" s="59" t="s">
        <v>414</v>
      </c>
      <c r="FH4" s="59" t="s">
        <v>415</v>
      </c>
      <c r="FJ4" s="59" t="s">
        <v>417</v>
      </c>
      <c r="FM4" s="59" t="s">
        <v>407</v>
      </c>
      <c r="FO4" s="59" t="s">
        <v>409</v>
      </c>
      <c r="FQ4" s="59" t="s">
        <v>408</v>
      </c>
      <c r="FS4" s="59" t="s">
        <v>411</v>
      </c>
      <c r="FV4" s="59" t="s">
        <v>412</v>
      </c>
      <c r="FX4" s="59" t="s">
        <v>410</v>
      </c>
      <c r="GA4" s="59" t="s">
        <v>401</v>
      </c>
      <c r="GC4" s="59" t="s">
        <v>402</v>
      </c>
      <c r="GE4" s="59" t="s">
        <v>400</v>
      </c>
      <c r="GG4" s="59" t="s">
        <v>405</v>
      </c>
      <c r="GI4" s="59" t="s">
        <v>403</v>
      </c>
      <c r="GK4" s="59" t="s">
        <v>404</v>
      </c>
      <c r="GN4" s="59" t="s">
        <v>393</v>
      </c>
      <c r="GP4" s="59" t="s">
        <v>394</v>
      </c>
      <c r="GR4" s="59" t="s">
        <v>392</v>
      </c>
      <c r="GT4" s="59" t="s">
        <v>398</v>
      </c>
      <c r="GV4" s="59" t="s">
        <v>397</v>
      </c>
      <c r="GX4" s="59" t="s">
        <v>395</v>
      </c>
      <c r="GZ4" s="59" t="s">
        <v>396</v>
      </c>
      <c r="HB4" s="59" t="s">
        <v>57</v>
      </c>
      <c r="HE4" s="59" t="s">
        <v>364</v>
      </c>
      <c r="HG4" s="59" t="s">
        <v>363</v>
      </c>
      <c r="HI4" s="59" t="s">
        <v>370</v>
      </c>
      <c r="HK4" s="59" t="s">
        <v>368</v>
      </c>
      <c r="HM4" s="59" t="s">
        <v>367</v>
      </c>
      <c r="HO4" s="59" t="s">
        <v>365</v>
      </c>
      <c r="HQ4" s="59" t="s">
        <v>369</v>
      </c>
      <c r="HS4" s="59" t="s">
        <v>366</v>
      </c>
      <c r="HV4" s="59" t="s">
        <v>352</v>
      </c>
      <c r="HX4" s="59" t="s">
        <v>353</v>
      </c>
      <c r="HZ4" s="59" t="s">
        <v>348</v>
      </c>
      <c r="IB4" s="59" t="s">
        <v>350</v>
      </c>
      <c r="ID4" s="59" t="s">
        <v>354</v>
      </c>
      <c r="IF4" s="59" t="s">
        <v>349</v>
      </c>
      <c r="IH4" s="59" t="s">
        <v>351</v>
      </c>
      <c r="IK4" s="59" t="s">
        <v>339</v>
      </c>
      <c r="IM4" s="59" t="s">
        <v>133</v>
      </c>
      <c r="IO4" s="59" t="s">
        <v>345</v>
      </c>
      <c r="IQ4" s="59" t="s">
        <v>342</v>
      </c>
      <c r="IS4" s="59" t="s">
        <v>347</v>
      </c>
      <c r="IU4" s="59" t="s">
        <v>346</v>
      </c>
      <c r="IW4" s="59" t="s">
        <v>341</v>
      </c>
      <c r="IY4" s="59" t="s">
        <v>343</v>
      </c>
      <c r="JA4" s="59" t="s">
        <v>344</v>
      </c>
      <c r="JD4" s="59" t="s">
        <v>330</v>
      </c>
      <c r="JF4" s="59" t="s">
        <v>329</v>
      </c>
      <c r="JH4" s="59" t="s">
        <v>332</v>
      </c>
      <c r="JJ4" s="59" t="s">
        <v>331</v>
      </c>
      <c r="JL4" s="59" t="s">
        <v>334</v>
      </c>
      <c r="JN4" s="59" t="s">
        <v>333</v>
      </c>
      <c r="JP4" s="59" t="s">
        <v>337</v>
      </c>
      <c r="JR4" s="59" t="s">
        <v>335</v>
      </c>
      <c r="JT4" s="59" t="s">
        <v>336</v>
      </c>
      <c r="JW4" s="59" t="s">
        <v>323</v>
      </c>
      <c r="JY4" s="59" t="s">
        <v>325</v>
      </c>
      <c r="KA4" s="59" t="s">
        <v>324</v>
      </c>
      <c r="KC4" s="59" t="s">
        <v>322</v>
      </c>
      <c r="KE4" s="59" t="s">
        <v>326</v>
      </c>
      <c r="KI4" s="59" t="s">
        <v>314</v>
      </c>
      <c r="KK4" s="59" t="s">
        <v>312</v>
      </c>
      <c r="KM4" s="59" t="s">
        <v>313</v>
      </c>
      <c r="KO4" s="59" t="s">
        <v>311</v>
      </c>
      <c r="KQ4" s="59" t="s">
        <v>310</v>
      </c>
      <c r="KT4" s="59" t="s">
        <v>306</v>
      </c>
      <c r="KV4" s="59" t="s">
        <v>308</v>
      </c>
      <c r="KX4" s="59" t="s">
        <v>307</v>
      </c>
      <c r="KZ4" s="59" t="s">
        <v>305</v>
      </c>
      <c r="LD4" s="59" t="s">
        <v>301</v>
      </c>
      <c r="LF4" s="59" t="s">
        <v>300</v>
      </c>
      <c r="LH4" s="59" t="s">
        <v>299</v>
      </c>
      <c r="LJ4" s="59" t="s">
        <v>303</v>
      </c>
      <c r="LL4" s="59" t="s">
        <v>302</v>
      </c>
      <c r="LN4" s="59" t="s">
        <v>298</v>
      </c>
      <c r="LS4" s="59" t="s">
        <v>294</v>
      </c>
      <c r="LU4" s="59" t="s">
        <v>295</v>
      </c>
      <c r="LW4" s="59" t="s">
        <v>296</v>
      </c>
      <c r="LZ4" s="59" t="s">
        <v>291</v>
      </c>
      <c r="MB4" s="58" t="s">
        <v>292</v>
      </c>
      <c r="MF4" s="59" t="s">
        <v>289</v>
      </c>
      <c r="MH4" s="59" t="s">
        <v>113</v>
      </c>
      <c r="MJ4" s="65" t="s">
        <v>288</v>
      </c>
      <c r="ML4" s="59" t="s">
        <v>287</v>
      </c>
      <c r="MN4" s="59" t="s">
        <v>286</v>
      </c>
      <c r="MQ4" s="59" t="s">
        <v>284</v>
      </c>
      <c r="MS4" s="59" t="s">
        <v>282</v>
      </c>
      <c r="MU4" s="59" t="s">
        <v>283</v>
      </c>
      <c r="MZ4" s="59" t="s">
        <v>280</v>
      </c>
      <c r="NC4" s="59" t="s">
        <v>73</v>
      </c>
      <c r="NE4" s="59" t="s">
        <v>277</v>
      </c>
      <c r="NG4" s="59" t="s">
        <v>278</v>
      </c>
      <c r="NI4" s="59" t="s">
        <v>276</v>
      </c>
      <c r="NL4" s="59" t="s">
        <v>274</v>
      </c>
      <c r="NN4" s="59" t="s">
        <v>272</v>
      </c>
      <c r="NP4" s="59" t="s">
        <v>273</v>
      </c>
      <c r="NR4" s="59" t="s">
        <v>271</v>
      </c>
      <c r="NU4" s="59" t="s">
        <v>264</v>
      </c>
      <c r="NW4" s="59" t="s">
        <v>267</v>
      </c>
      <c r="NY4" s="59" t="s">
        <v>268</v>
      </c>
      <c r="OA4" s="59" t="s">
        <v>266</v>
      </c>
      <c r="OC4" s="59" t="s">
        <v>269</v>
      </c>
      <c r="OE4" s="59" t="s">
        <v>263</v>
      </c>
      <c r="OH4" s="59" t="s">
        <v>265</v>
      </c>
      <c r="OK4" s="59" t="s">
        <v>258</v>
      </c>
      <c r="OM4" s="59" t="s">
        <v>257</v>
      </c>
      <c r="OO4" s="59" t="s">
        <v>130</v>
      </c>
      <c r="OQ4" s="59" t="s">
        <v>260</v>
      </c>
      <c r="OS4" s="59" t="s">
        <v>259</v>
      </c>
      <c r="OV4" s="59" t="s">
        <v>261</v>
      </c>
      <c r="OY4" s="59" t="s">
        <v>253</v>
      </c>
      <c r="PA4" s="59" t="s">
        <v>254</v>
      </c>
      <c r="PC4" s="59" t="s">
        <v>252</v>
      </c>
      <c r="PE4" s="59" t="s">
        <v>255</v>
      </c>
      <c r="PG4" s="59" t="s">
        <v>251</v>
      </c>
      <c r="PJ4" s="59" t="s">
        <v>247</v>
      </c>
      <c r="PL4" s="59" t="s">
        <v>246</v>
      </c>
      <c r="PN4" s="59" t="s">
        <v>245</v>
      </c>
      <c r="PP4" s="59" t="s">
        <v>248</v>
      </c>
      <c r="PS4" s="59" t="s">
        <v>249</v>
      </c>
      <c r="PW4" s="59" t="s">
        <v>7</v>
      </c>
      <c r="PY4" s="59" t="s">
        <v>241</v>
      </c>
      <c r="QA4" s="59" t="s">
        <v>240</v>
      </c>
      <c r="QC4" s="59" t="s">
        <v>239</v>
      </c>
      <c r="QE4" s="59" t="s">
        <v>242</v>
      </c>
      <c r="QH4" s="59" t="s">
        <v>234</v>
      </c>
      <c r="QJ4" s="59" t="s">
        <v>235</v>
      </c>
      <c r="QL4" s="59" t="s">
        <v>236</v>
      </c>
      <c r="QN4" s="59" t="s">
        <v>237</v>
      </c>
      <c r="QQ4" s="59" t="s">
        <v>226</v>
      </c>
      <c r="QT4" s="59" t="s">
        <v>228</v>
      </c>
      <c r="QV4" s="59" t="s">
        <v>230</v>
      </c>
      <c r="QY4" s="59" t="s">
        <v>215</v>
      </c>
      <c r="RA4" s="58" t="s">
        <v>216</v>
      </c>
      <c r="RC4" s="58" t="s">
        <v>219</v>
      </c>
      <c r="RE4" s="58" t="s">
        <v>218</v>
      </c>
      <c r="RG4" s="58" t="s">
        <v>217</v>
      </c>
      <c r="RJ4" s="58" t="s">
        <v>211</v>
      </c>
      <c r="RL4" s="58" t="s">
        <v>212</v>
      </c>
      <c r="RO4" s="59" t="s">
        <v>178</v>
      </c>
      <c r="RQ4" s="58" t="s">
        <v>179</v>
      </c>
      <c r="RS4" s="58" t="s">
        <v>186</v>
      </c>
      <c r="RV4" s="59" t="s">
        <v>176</v>
      </c>
      <c r="RY4" s="59" t="s">
        <v>132</v>
      </c>
      <c r="SA4" s="58" t="s">
        <v>133</v>
      </c>
      <c r="SD4" s="58" t="s">
        <v>129</v>
      </c>
      <c r="SF4" s="58" t="s">
        <v>130</v>
      </c>
      <c r="SI4" s="58" t="s">
        <v>126</v>
      </c>
      <c r="SK4" s="58" t="s">
        <v>27</v>
      </c>
      <c r="SM4" s="58" t="s">
        <v>127</v>
      </c>
      <c r="SP4" s="58" t="s">
        <v>124</v>
      </c>
      <c r="SU4" s="59" t="s">
        <v>121</v>
      </c>
      <c r="SW4" s="58" t="s">
        <v>118</v>
      </c>
      <c r="SY4" s="58" t="s">
        <v>120</v>
      </c>
      <c r="TA4" s="58" t="s">
        <v>119</v>
      </c>
      <c r="TC4" s="58" t="s">
        <v>117</v>
      </c>
      <c r="TH4" s="58" t="s">
        <v>113</v>
      </c>
      <c r="TJ4" s="58" t="s">
        <v>114</v>
      </c>
      <c r="TM4" s="59" t="s">
        <v>110</v>
      </c>
      <c r="TO4" s="58" t="s">
        <v>109</v>
      </c>
      <c r="TQ4" s="58" t="s">
        <v>108</v>
      </c>
      <c r="TS4" s="58" t="s">
        <v>111</v>
      </c>
      <c r="TU4" s="58" t="s">
        <v>107</v>
      </c>
      <c r="TX4" s="65" t="s">
        <v>103</v>
      </c>
      <c r="TZ4" s="58" t="s">
        <v>104</v>
      </c>
      <c r="UB4" s="58" t="s">
        <v>105</v>
      </c>
      <c r="UE4" s="58" t="s">
        <v>101</v>
      </c>
      <c r="UG4" s="58" t="s">
        <v>99</v>
      </c>
      <c r="UI4" s="58" t="s">
        <v>100</v>
      </c>
      <c r="UL4" s="58" t="s">
        <v>96</v>
      </c>
      <c r="UN4" s="58" t="s">
        <v>97</v>
      </c>
      <c r="UQ4" s="59" t="s">
        <v>92</v>
      </c>
      <c r="US4" s="58" t="s">
        <v>93</v>
      </c>
      <c r="UU4" s="58" t="s">
        <v>94</v>
      </c>
      <c r="UX4" s="58" t="s">
        <v>84</v>
      </c>
      <c r="UZ4" s="58" t="s">
        <v>85</v>
      </c>
      <c r="VB4" s="58" t="s">
        <v>86</v>
      </c>
      <c r="VD4" s="58" t="s">
        <v>87</v>
      </c>
      <c r="VF4" s="58" t="s">
        <v>88</v>
      </c>
      <c r="VH4" s="58" t="s">
        <v>89</v>
      </c>
      <c r="VJ4" s="58" t="s">
        <v>90</v>
      </c>
      <c r="VM4" s="58" t="s">
        <v>79</v>
      </c>
      <c r="VN4" s="66"/>
      <c r="VO4" s="58" t="s">
        <v>80</v>
      </c>
      <c r="VP4" s="66"/>
      <c r="VQ4" s="58" t="s">
        <v>81</v>
      </c>
      <c r="VR4" s="66"/>
      <c r="VS4" s="58" t="s">
        <v>82</v>
      </c>
      <c r="VT4" s="66"/>
      <c r="VV4" s="59" t="s">
        <v>73</v>
      </c>
      <c r="VX4" s="58" t="s">
        <v>74</v>
      </c>
      <c r="VZ4" s="58" t="s">
        <v>75</v>
      </c>
      <c r="WB4" s="58" t="s">
        <v>76</v>
      </c>
      <c r="WD4" s="58" t="s">
        <v>77</v>
      </c>
      <c r="WG4" s="58" t="s">
        <v>69</v>
      </c>
      <c r="WI4" s="58" t="s">
        <v>70</v>
      </c>
      <c r="WL4" s="58" t="s">
        <v>52</v>
      </c>
      <c r="WN4" s="58" t="s">
        <v>53</v>
      </c>
      <c r="WP4" s="58" t="s">
        <v>54</v>
      </c>
      <c r="WS4" s="58" t="s">
        <v>55</v>
      </c>
      <c r="WU4" s="58" t="s">
        <v>56</v>
      </c>
      <c r="WX4" s="58" t="s">
        <v>51</v>
      </c>
      <c r="XB4" s="58" t="s">
        <v>50</v>
      </c>
      <c r="XE4" s="58" t="s">
        <v>45</v>
      </c>
      <c r="XG4" s="58" t="s">
        <v>46</v>
      </c>
      <c r="XK4" s="58" t="s">
        <v>38</v>
      </c>
      <c r="XM4" s="58" t="s">
        <v>39</v>
      </c>
      <c r="XO4" s="58" t="s">
        <v>40</v>
      </c>
    </row>
    <row r="5" spans="1:642" s="16" customFormat="1" ht="14.25" customHeight="1" x14ac:dyDescent="0.25">
      <c r="C5" s="16" t="s">
        <v>16</v>
      </c>
      <c r="D5" s="16" t="s">
        <v>17</v>
      </c>
      <c r="E5" s="16" t="s">
        <v>16</v>
      </c>
      <c r="F5" s="16" t="s">
        <v>17</v>
      </c>
      <c r="G5" s="31" t="s">
        <v>16</v>
      </c>
      <c r="H5" s="31" t="s">
        <v>17</v>
      </c>
      <c r="I5" s="31" t="s">
        <v>16</v>
      </c>
      <c r="J5" s="31" t="s">
        <v>17</v>
      </c>
      <c r="K5" s="31" t="s">
        <v>16</v>
      </c>
      <c r="L5" s="31" t="s">
        <v>17</v>
      </c>
      <c r="M5" s="16" t="s">
        <v>16</v>
      </c>
      <c r="N5" s="16" t="s">
        <v>17</v>
      </c>
      <c r="P5" s="16" t="s">
        <v>16</v>
      </c>
      <c r="Q5" s="16" t="s">
        <v>17</v>
      </c>
      <c r="R5" s="16" t="s">
        <v>16</v>
      </c>
      <c r="S5" s="16" t="s">
        <v>18</v>
      </c>
      <c r="T5" s="16" t="s">
        <v>16</v>
      </c>
      <c r="U5" s="16" t="s">
        <v>17</v>
      </c>
      <c r="V5" s="16" t="s">
        <v>16</v>
      </c>
      <c r="W5" s="16" t="s">
        <v>18</v>
      </c>
      <c r="X5" s="16" t="s">
        <v>16</v>
      </c>
      <c r="Y5" s="16" t="s">
        <v>17</v>
      </c>
      <c r="Z5" s="16" t="s">
        <v>16</v>
      </c>
      <c r="AA5" s="16" t="s">
        <v>17</v>
      </c>
      <c r="AB5" s="16" t="s">
        <v>16</v>
      </c>
      <c r="AC5" s="16" t="s">
        <v>17</v>
      </c>
      <c r="AD5" s="16" t="s">
        <v>16</v>
      </c>
      <c r="AE5" s="16" t="s">
        <v>17</v>
      </c>
      <c r="AF5" s="16" t="s">
        <v>16</v>
      </c>
      <c r="AG5" s="16" t="s">
        <v>17</v>
      </c>
      <c r="AH5" s="16" t="s">
        <v>16</v>
      </c>
      <c r="AI5" s="16" t="s">
        <v>17</v>
      </c>
      <c r="AJ5" s="31" t="s">
        <v>16</v>
      </c>
      <c r="AK5" s="31" t="s">
        <v>18</v>
      </c>
      <c r="AL5" s="16" t="s">
        <v>16</v>
      </c>
      <c r="AM5" s="16" t="s">
        <v>17</v>
      </c>
      <c r="AN5" s="16" t="s">
        <v>16</v>
      </c>
      <c r="AO5" s="16" t="s">
        <v>17</v>
      </c>
      <c r="AP5" s="16" t="s">
        <v>18</v>
      </c>
      <c r="AQ5" s="16" t="s">
        <v>16</v>
      </c>
      <c r="AR5" s="16" t="s">
        <v>17</v>
      </c>
      <c r="AT5" s="16" t="s">
        <v>16</v>
      </c>
      <c r="AU5" s="16" t="s">
        <v>17</v>
      </c>
      <c r="AV5" s="31" t="s">
        <v>16</v>
      </c>
      <c r="AW5" s="16" t="s">
        <v>17</v>
      </c>
      <c r="AX5" s="31" t="s">
        <v>16</v>
      </c>
      <c r="AY5" s="16" t="s">
        <v>16</v>
      </c>
      <c r="AZ5" s="16" t="s">
        <v>17</v>
      </c>
      <c r="BA5" s="16" t="s">
        <v>16</v>
      </c>
      <c r="BB5" s="16" t="s">
        <v>17</v>
      </c>
      <c r="BD5" s="16" t="s">
        <v>16</v>
      </c>
      <c r="BE5" s="16" t="s">
        <v>17</v>
      </c>
      <c r="BF5" s="16" t="s">
        <v>16</v>
      </c>
      <c r="BG5" s="16" t="s">
        <v>17</v>
      </c>
      <c r="BH5" s="16" t="s">
        <v>16</v>
      </c>
      <c r="BI5" s="16" t="s">
        <v>17</v>
      </c>
      <c r="BJ5" s="16" t="s">
        <v>16</v>
      </c>
      <c r="BK5" s="16" t="s">
        <v>17</v>
      </c>
      <c r="BL5" s="16" t="s">
        <v>16</v>
      </c>
      <c r="BM5" s="16" t="s">
        <v>17</v>
      </c>
      <c r="BN5" s="16" t="s">
        <v>16</v>
      </c>
      <c r="BO5" s="16" t="s">
        <v>17</v>
      </c>
      <c r="BP5" s="16" t="s">
        <v>16</v>
      </c>
      <c r="BQ5" s="16" t="s">
        <v>36</v>
      </c>
      <c r="BR5" s="16" t="s">
        <v>16</v>
      </c>
      <c r="BS5" s="16" t="s">
        <v>17</v>
      </c>
      <c r="BT5" s="16" t="s">
        <v>16</v>
      </c>
      <c r="BU5" s="31" t="s">
        <v>17</v>
      </c>
      <c r="BV5" s="16" t="s">
        <v>16</v>
      </c>
      <c r="BW5" s="16" t="s">
        <v>17</v>
      </c>
      <c r="BX5" s="16" t="s">
        <v>16</v>
      </c>
      <c r="BY5" s="16" t="s">
        <v>17</v>
      </c>
      <c r="CA5" s="16" t="s">
        <v>16</v>
      </c>
      <c r="CB5" s="16" t="s">
        <v>17</v>
      </c>
      <c r="CC5" s="16" t="s">
        <v>16</v>
      </c>
      <c r="CD5" s="16" t="s">
        <v>17</v>
      </c>
      <c r="CE5" s="16" t="s">
        <v>16</v>
      </c>
      <c r="CF5" s="16" t="s">
        <v>17</v>
      </c>
      <c r="CG5" s="16" t="s">
        <v>16</v>
      </c>
      <c r="CH5" s="16" t="s">
        <v>17</v>
      </c>
      <c r="CI5" s="16" t="s">
        <v>16</v>
      </c>
      <c r="CJ5" s="16" t="s">
        <v>26</v>
      </c>
      <c r="CK5" s="16" t="s">
        <v>16</v>
      </c>
      <c r="CL5" s="16" t="s">
        <v>17</v>
      </c>
      <c r="CM5" s="16" t="s">
        <v>16</v>
      </c>
      <c r="CN5" s="16" t="s">
        <v>17</v>
      </c>
      <c r="CO5" s="16" t="s">
        <v>16</v>
      </c>
      <c r="CQ5" s="16" t="s">
        <v>16</v>
      </c>
      <c r="CR5" s="16" t="s">
        <v>26</v>
      </c>
      <c r="CS5" s="16" t="s">
        <v>16</v>
      </c>
      <c r="CT5" s="16" t="s">
        <v>17</v>
      </c>
      <c r="CU5" s="16" t="s">
        <v>16</v>
      </c>
      <c r="CW5" s="16" t="s">
        <v>16</v>
      </c>
      <c r="CX5" s="16" t="s">
        <v>17</v>
      </c>
      <c r="CZ5" s="16" t="s">
        <v>16</v>
      </c>
      <c r="DA5" s="16" t="s">
        <v>17</v>
      </c>
      <c r="DB5" s="16" t="s">
        <v>16</v>
      </c>
      <c r="DC5" s="16" t="s">
        <v>17</v>
      </c>
      <c r="DD5" s="16" t="s">
        <v>16</v>
      </c>
      <c r="DE5" s="16" t="s">
        <v>17</v>
      </c>
      <c r="DF5" s="16" t="s">
        <v>16</v>
      </c>
      <c r="DG5" s="16" t="s">
        <v>17</v>
      </c>
      <c r="DH5" s="16" t="s">
        <v>16</v>
      </c>
      <c r="DI5" s="16" t="s">
        <v>17</v>
      </c>
      <c r="DJ5" s="16" t="s">
        <v>16</v>
      </c>
      <c r="DK5" s="16" t="s">
        <v>17</v>
      </c>
      <c r="DL5" s="16" t="s">
        <v>16</v>
      </c>
      <c r="DN5" s="16" t="s">
        <v>16</v>
      </c>
      <c r="DQ5" s="16" t="s">
        <v>16</v>
      </c>
      <c r="DR5" s="16" t="s">
        <v>26</v>
      </c>
      <c r="DS5" s="16" t="s">
        <v>16</v>
      </c>
      <c r="DT5" s="16" t="s">
        <v>26</v>
      </c>
      <c r="DU5" s="16" t="s">
        <v>16</v>
      </c>
      <c r="DV5" s="16" t="s">
        <v>17</v>
      </c>
      <c r="DW5" s="16" t="s">
        <v>16</v>
      </c>
      <c r="DX5" s="16" t="s">
        <v>17</v>
      </c>
      <c r="DY5" s="16" t="s">
        <v>16</v>
      </c>
      <c r="DZ5" s="16" t="s">
        <v>26</v>
      </c>
      <c r="EA5" s="16" t="s">
        <v>16</v>
      </c>
      <c r="EB5" s="16" t="s">
        <v>26</v>
      </c>
      <c r="EC5" s="16" t="s">
        <v>16</v>
      </c>
      <c r="ED5" s="16" t="s">
        <v>17</v>
      </c>
      <c r="EE5" s="16" t="s">
        <v>16</v>
      </c>
      <c r="EF5" s="16" t="s">
        <v>26</v>
      </c>
      <c r="EG5" s="16" t="s">
        <v>16</v>
      </c>
      <c r="EH5" s="16" t="s">
        <v>17</v>
      </c>
      <c r="EI5" s="16" t="s">
        <v>16</v>
      </c>
      <c r="EJ5" s="16" t="s">
        <v>26</v>
      </c>
      <c r="EL5" s="16" t="s">
        <v>16</v>
      </c>
      <c r="EM5" s="16" t="s">
        <v>17</v>
      </c>
      <c r="EN5" s="16" t="s">
        <v>16</v>
      </c>
      <c r="EO5" s="16" t="s">
        <v>17</v>
      </c>
      <c r="EP5" s="16" t="s">
        <v>16</v>
      </c>
      <c r="EQ5" s="16" t="s">
        <v>26</v>
      </c>
      <c r="ER5" s="16" t="s">
        <v>16</v>
      </c>
      <c r="ES5" s="16" t="s">
        <v>26</v>
      </c>
      <c r="ET5" s="16" t="s">
        <v>16</v>
      </c>
      <c r="EU5" s="16" t="s">
        <v>26</v>
      </c>
      <c r="EV5" s="16" t="s">
        <v>16</v>
      </c>
      <c r="EX5" s="16" t="s">
        <v>16</v>
      </c>
      <c r="EY5" s="16" t="s">
        <v>17</v>
      </c>
      <c r="EZ5" s="16" t="s">
        <v>16</v>
      </c>
      <c r="FA5" s="16" t="s">
        <v>26</v>
      </c>
      <c r="FB5" s="16" t="s">
        <v>16</v>
      </c>
      <c r="FC5" s="16" t="s">
        <v>26</v>
      </c>
      <c r="FD5" s="16" t="s">
        <v>16</v>
      </c>
      <c r="FE5" s="16" t="s">
        <v>17</v>
      </c>
      <c r="FF5" s="16" t="s">
        <v>16</v>
      </c>
      <c r="FG5" s="16" t="s">
        <v>17</v>
      </c>
      <c r="FH5" s="16" t="s">
        <v>16</v>
      </c>
      <c r="FI5" s="16" t="s">
        <v>17</v>
      </c>
      <c r="FJ5" s="16" t="s">
        <v>16</v>
      </c>
      <c r="FK5" s="16" t="s">
        <v>26</v>
      </c>
      <c r="FM5" s="16" t="s">
        <v>16</v>
      </c>
      <c r="FN5" s="16" t="s">
        <v>26</v>
      </c>
      <c r="FO5" s="16" t="s">
        <v>16</v>
      </c>
      <c r="FP5" s="16" t="s">
        <v>17</v>
      </c>
      <c r="FQ5" s="16" t="s">
        <v>16</v>
      </c>
      <c r="FR5" s="16" t="s">
        <v>17</v>
      </c>
      <c r="FS5" s="16" t="s">
        <v>16</v>
      </c>
      <c r="FT5" s="16" t="s">
        <v>26</v>
      </c>
      <c r="FU5" s="16" t="s">
        <v>17</v>
      </c>
      <c r="FV5" s="16" t="s">
        <v>16</v>
      </c>
      <c r="FW5" s="16" t="s">
        <v>17</v>
      </c>
      <c r="FX5" s="16" t="s">
        <v>16</v>
      </c>
      <c r="FY5" s="16" t="s">
        <v>17</v>
      </c>
      <c r="GA5" s="16" t="s">
        <v>16</v>
      </c>
      <c r="GB5" s="16" t="s">
        <v>26</v>
      </c>
      <c r="GC5" s="16" t="s">
        <v>16</v>
      </c>
      <c r="GE5" s="16" t="s">
        <v>16</v>
      </c>
      <c r="GF5" s="16" t="s">
        <v>17</v>
      </c>
      <c r="GG5" s="16" t="s">
        <v>16</v>
      </c>
      <c r="GH5" s="16" t="s">
        <v>17</v>
      </c>
      <c r="GI5" s="16" t="s">
        <v>16</v>
      </c>
      <c r="GJ5" s="16" t="s">
        <v>17</v>
      </c>
      <c r="GK5" s="16" t="s">
        <v>16</v>
      </c>
      <c r="GL5" s="16" t="s">
        <v>17</v>
      </c>
      <c r="GN5" s="16" t="s">
        <v>16</v>
      </c>
      <c r="GO5" s="16" t="s">
        <v>17</v>
      </c>
      <c r="GP5" s="16" t="s">
        <v>16</v>
      </c>
      <c r="GQ5" s="16" t="s">
        <v>26</v>
      </c>
      <c r="GR5" s="16" t="s">
        <v>16</v>
      </c>
      <c r="GS5" s="16" t="s">
        <v>17</v>
      </c>
      <c r="GT5" s="16" t="s">
        <v>16</v>
      </c>
      <c r="GU5" s="16" t="s">
        <v>26</v>
      </c>
      <c r="GV5" s="16" t="s">
        <v>16</v>
      </c>
      <c r="GW5" s="16" t="s">
        <v>17</v>
      </c>
      <c r="GX5" s="16" t="s">
        <v>16</v>
      </c>
      <c r="GY5" s="16" t="s">
        <v>26</v>
      </c>
      <c r="GZ5" s="16" t="s">
        <v>16</v>
      </c>
      <c r="HA5" s="16" t="s">
        <v>17</v>
      </c>
      <c r="HB5" s="16" t="s">
        <v>16</v>
      </c>
      <c r="HE5" s="16" t="s">
        <v>16</v>
      </c>
      <c r="HF5" s="16" t="s">
        <v>17</v>
      </c>
      <c r="HG5" s="16" t="s">
        <v>16</v>
      </c>
      <c r="HI5" s="16" t="s">
        <v>16</v>
      </c>
      <c r="HJ5" s="16" t="s">
        <v>17</v>
      </c>
      <c r="HK5" s="16" t="s">
        <v>16</v>
      </c>
      <c r="HL5" s="16" t="s">
        <v>26</v>
      </c>
      <c r="HM5" s="16" t="s">
        <v>16</v>
      </c>
      <c r="HO5" s="16" t="s">
        <v>16</v>
      </c>
      <c r="HP5" s="16" t="s">
        <v>17</v>
      </c>
      <c r="HQ5" s="16" t="s">
        <v>16</v>
      </c>
      <c r="HR5" s="16" t="s">
        <v>17</v>
      </c>
      <c r="HS5" s="16" t="s">
        <v>16</v>
      </c>
      <c r="HT5" s="16" t="s">
        <v>26</v>
      </c>
      <c r="HV5" s="16" t="s">
        <v>16</v>
      </c>
      <c r="HW5" s="16" t="s">
        <v>17</v>
      </c>
      <c r="HX5" s="16" t="s">
        <v>16</v>
      </c>
      <c r="HY5" s="16" t="s">
        <v>17</v>
      </c>
      <c r="HZ5" s="16" t="s">
        <v>16</v>
      </c>
      <c r="IB5" s="16" t="s">
        <v>16</v>
      </c>
      <c r="IC5" s="16" t="s">
        <v>17</v>
      </c>
      <c r="ID5" s="16" t="s">
        <v>16</v>
      </c>
      <c r="IE5" s="16" t="s">
        <v>17</v>
      </c>
      <c r="IF5" s="16" t="s">
        <v>16</v>
      </c>
      <c r="IG5" s="16" t="s">
        <v>17</v>
      </c>
      <c r="IH5" s="16" t="s">
        <v>16</v>
      </c>
      <c r="II5" s="16" t="s">
        <v>17</v>
      </c>
      <c r="IK5" s="16" t="s">
        <v>16</v>
      </c>
      <c r="IM5" s="16" t="s">
        <v>16</v>
      </c>
      <c r="IO5" s="16" t="s">
        <v>16</v>
      </c>
      <c r="IP5" s="16" t="s">
        <v>26</v>
      </c>
      <c r="IQ5" s="16" t="s">
        <v>16</v>
      </c>
      <c r="IR5" s="16" t="s">
        <v>17</v>
      </c>
      <c r="IS5" s="16" t="s">
        <v>16</v>
      </c>
      <c r="IT5" s="16" t="s">
        <v>17</v>
      </c>
      <c r="IU5" s="16" t="s">
        <v>16</v>
      </c>
      <c r="IV5" s="16" t="s">
        <v>17</v>
      </c>
      <c r="IW5" s="16" t="s">
        <v>16</v>
      </c>
      <c r="IY5" s="16" t="s">
        <v>16</v>
      </c>
      <c r="JA5" s="16" t="s">
        <v>16</v>
      </c>
      <c r="JB5" s="16" t="s">
        <v>26</v>
      </c>
      <c r="JD5" s="16" t="s">
        <v>16</v>
      </c>
      <c r="JE5" s="16" t="s">
        <v>17</v>
      </c>
      <c r="JF5" s="16" t="s">
        <v>16</v>
      </c>
      <c r="JG5" s="16" t="s">
        <v>17</v>
      </c>
      <c r="JH5" s="16" t="s">
        <v>16</v>
      </c>
      <c r="JI5" s="16" t="s">
        <v>17</v>
      </c>
      <c r="JJ5" s="16" t="s">
        <v>16</v>
      </c>
      <c r="JK5" s="16" t="s">
        <v>17</v>
      </c>
      <c r="JL5" s="16" t="s">
        <v>16</v>
      </c>
      <c r="JM5" s="16" t="s">
        <v>26</v>
      </c>
      <c r="JN5" s="16" t="s">
        <v>16</v>
      </c>
      <c r="JO5" s="16" t="s">
        <v>17</v>
      </c>
      <c r="JP5" s="31" t="s">
        <v>16</v>
      </c>
      <c r="JQ5" s="16" t="s">
        <v>26</v>
      </c>
      <c r="JR5" s="16" t="s">
        <v>16</v>
      </c>
      <c r="JS5" s="16" t="s">
        <v>26</v>
      </c>
      <c r="JT5" s="16" t="s">
        <v>16</v>
      </c>
      <c r="JU5" s="16" t="s">
        <v>26</v>
      </c>
      <c r="JW5" s="16" t="s">
        <v>16</v>
      </c>
      <c r="JX5" s="16" t="s">
        <v>26</v>
      </c>
      <c r="JY5" s="16" t="s">
        <v>16</v>
      </c>
      <c r="JZ5" s="16" t="s">
        <v>17</v>
      </c>
      <c r="KA5" s="16" t="s">
        <v>16</v>
      </c>
      <c r="KB5" s="16" t="s">
        <v>17</v>
      </c>
      <c r="KC5" s="16" t="s">
        <v>16</v>
      </c>
      <c r="KD5" s="16" t="s">
        <v>17</v>
      </c>
      <c r="KE5" s="16" t="s">
        <v>16</v>
      </c>
      <c r="KF5" s="16" t="s">
        <v>26</v>
      </c>
      <c r="KI5" s="16" t="s">
        <v>16</v>
      </c>
      <c r="KJ5" s="16" t="s">
        <v>17</v>
      </c>
      <c r="KK5" s="16" t="s">
        <v>16</v>
      </c>
      <c r="KL5" s="16" t="s">
        <v>17</v>
      </c>
      <c r="KM5" s="16" t="s">
        <v>16</v>
      </c>
      <c r="KN5" s="16" t="s">
        <v>17</v>
      </c>
      <c r="KO5" s="16" t="s">
        <v>16</v>
      </c>
      <c r="KQ5" s="16" t="s">
        <v>16</v>
      </c>
      <c r="KR5" s="16" t="s">
        <v>17</v>
      </c>
      <c r="KT5" s="31" t="s">
        <v>16</v>
      </c>
      <c r="KU5" s="31" t="s">
        <v>17</v>
      </c>
      <c r="KV5" s="31" t="s">
        <v>16</v>
      </c>
      <c r="KW5" s="31"/>
      <c r="KX5" s="31" t="s">
        <v>16</v>
      </c>
      <c r="KY5" s="31" t="s">
        <v>26</v>
      </c>
      <c r="KZ5" s="31" t="s">
        <v>16</v>
      </c>
      <c r="LA5" s="31" t="s">
        <v>26</v>
      </c>
      <c r="LB5" s="31"/>
      <c r="LD5" s="16" t="s">
        <v>16</v>
      </c>
      <c r="LE5" s="16" t="s">
        <v>17</v>
      </c>
      <c r="LF5" s="16" t="s">
        <v>16</v>
      </c>
      <c r="LG5" s="16" t="s">
        <v>17</v>
      </c>
      <c r="LH5" s="16" t="s">
        <v>16</v>
      </c>
      <c r="LJ5" s="16" t="s">
        <v>16</v>
      </c>
      <c r="LK5" s="16" t="s">
        <v>17</v>
      </c>
      <c r="LL5" s="16" t="s">
        <v>16</v>
      </c>
      <c r="LM5" s="16" t="s">
        <v>17</v>
      </c>
      <c r="LN5" s="16" t="s">
        <v>16</v>
      </c>
      <c r="LO5" s="16" t="s">
        <v>17</v>
      </c>
      <c r="LS5" s="16" t="s">
        <v>16</v>
      </c>
      <c r="LU5" s="16" t="s">
        <v>16</v>
      </c>
      <c r="LV5" s="16" t="s">
        <v>26</v>
      </c>
      <c r="LW5" s="16" t="s">
        <v>16</v>
      </c>
      <c r="LX5" s="16" t="s">
        <v>17</v>
      </c>
      <c r="LZ5" s="16" t="s">
        <v>16</v>
      </c>
      <c r="MB5" s="16" t="s">
        <v>16</v>
      </c>
      <c r="MC5" s="16" t="s">
        <v>17</v>
      </c>
      <c r="MF5" s="16" t="s">
        <v>16</v>
      </c>
      <c r="MG5" s="16" t="s">
        <v>26</v>
      </c>
      <c r="MH5" s="16" t="s">
        <v>16</v>
      </c>
      <c r="MJ5" s="16" t="s">
        <v>16</v>
      </c>
      <c r="MK5" s="16" t="s">
        <v>26</v>
      </c>
      <c r="ML5" s="16" t="s">
        <v>16</v>
      </c>
      <c r="MM5" s="16" t="s">
        <v>26</v>
      </c>
      <c r="MN5" s="16" t="s">
        <v>16</v>
      </c>
      <c r="MO5" s="16" t="s">
        <v>17</v>
      </c>
      <c r="MQ5" s="16" t="s">
        <v>16</v>
      </c>
      <c r="MR5" s="16" t="s">
        <v>17</v>
      </c>
      <c r="MS5" s="16" t="s">
        <v>16</v>
      </c>
      <c r="MT5" s="16" t="s">
        <v>26</v>
      </c>
      <c r="MU5" s="16" t="s">
        <v>16</v>
      </c>
      <c r="MV5" s="16" t="s">
        <v>17</v>
      </c>
      <c r="MZ5" s="16" t="s">
        <v>16</v>
      </c>
      <c r="NA5" s="16" t="s">
        <v>26</v>
      </c>
      <c r="NC5" s="16" t="s">
        <v>16</v>
      </c>
      <c r="ND5" s="16" t="s">
        <v>26</v>
      </c>
      <c r="NE5" s="16" t="s">
        <v>16</v>
      </c>
      <c r="NF5" s="16" t="s">
        <v>17</v>
      </c>
      <c r="NG5" s="16" t="s">
        <v>16</v>
      </c>
      <c r="NH5" s="16" t="s">
        <v>17</v>
      </c>
      <c r="NI5" s="16" t="s">
        <v>16</v>
      </c>
      <c r="NJ5" s="16" t="s">
        <v>17</v>
      </c>
      <c r="NL5" s="16" t="s">
        <v>16</v>
      </c>
      <c r="NM5" s="16" t="s">
        <v>17</v>
      </c>
      <c r="NN5" s="16" t="s">
        <v>16</v>
      </c>
      <c r="NO5" s="16" t="s">
        <v>17</v>
      </c>
      <c r="NP5" s="16" t="s">
        <v>16</v>
      </c>
      <c r="NQ5" s="16" t="s">
        <v>26</v>
      </c>
      <c r="NR5" s="16" t="s">
        <v>16</v>
      </c>
      <c r="NS5" s="16" t="s">
        <v>26</v>
      </c>
      <c r="NU5" s="16" t="s">
        <v>16</v>
      </c>
      <c r="NV5" s="16" t="s">
        <v>26</v>
      </c>
      <c r="NW5" s="16" t="s">
        <v>16</v>
      </c>
      <c r="NX5" s="16" t="s">
        <v>17</v>
      </c>
      <c r="NY5" s="16" t="s">
        <v>16</v>
      </c>
      <c r="NZ5" s="16" t="s">
        <v>26</v>
      </c>
      <c r="OA5" s="16" t="s">
        <v>16</v>
      </c>
      <c r="OB5" s="16" t="s">
        <v>17</v>
      </c>
      <c r="OC5" s="16" t="s">
        <v>16</v>
      </c>
      <c r="OD5" s="16" t="s">
        <v>26</v>
      </c>
      <c r="OE5" s="16" t="s">
        <v>16</v>
      </c>
      <c r="OF5" s="16" t="s">
        <v>26</v>
      </c>
      <c r="OG5" s="16" t="s">
        <v>17</v>
      </c>
      <c r="OH5" s="16" t="s">
        <v>16</v>
      </c>
      <c r="OI5" s="16" t="s">
        <v>17</v>
      </c>
      <c r="OK5" s="16" t="s">
        <v>16</v>
      </c>
      <c r="OL5" s="16" t="s">
        <v>17</v>
      </c>
      <c r="OM5" s="16" t="s">
        <v>16</v>
      </c>
      <c r="ON5" s="16" t="s">
        <v>17</v>
      </c>
      <c r="OO5" s="16" t="s">
        <v>16</v>
      </c>
      <c r="OP5" s="16" t="s">
        <v>17</v>
      </c>
      <c r="OQ5" s="16" t="s">
        <v>16</v>
      </c>
      <c r="OR5" s="16" t="s">
        <v>26</v>
      </c>
      <c r="OS5" s="16" t="s">
        <v>16</v>
      </c>
      <c r="OT5" s="16" t="s">
        <v>17</v>
      </c>
      <c r="OU5" s="16" t="s">
        <v>26</v>
      </c>
      <c r="OV5" s="16" t="s">
        <v>16</v>
      </c>
      <c r="OY5" s="16" t="s">
        <v>16</v>
      </c>
      <c r="OZ5" s="16" t="s">
        <v>26</v>
      </c>
      <c r="PA5" s="16" t="s">
        <v>16</v>
      </c>
      <c r="PC5" s="16" t="s">
        <v>16</v>
      </c>
      <c r="PD5" s="16" t="s">
        <v>17</v>
      </c>
      <c r="PE5" s="16" t="s">
        <v>16</v>
      </c>
      <c r="PF5" s="16" t="s">
        <v>26</v>
      </c>
      <c r="PG5" s="16" t="s">
        <v>16</v>
      </c>
      <c r="PH5" s="16" t="s">
        <v>26</v>
      </c>
      <c r="PJ5" s="16" t="s">
        <v>16</v>
      </c>
      <c r="PK5" s="16" t="s">
        <v>26</v>
      </c>
      <c r="PL5" s="16" t="s">
        <v>16</v>
      </c>
      <c r="PM5" s="16" t="s">
        <v>17</v>
      </c>
      <c r="PN5" s="16" t="s">
        <v>16</v>
      </c>
      <c r="PO5" s="16" t="s">
        <v>17</v>
      </c>
      <c r="PP5" s="16" t="s">
        <v>16</v>
      </c>
      <c r="PQ5" s="16" t="s">
        <v>17</v>
      </c>
      <c r="PR5" s="16" t="s">
        <v>26</v>
      </c>
      <c r="PS5" s="16" t="s">
        <v>16</v>
      </c>
      <c r="PT5" s="16" t="s">
        <v>26</v>
      </c>
      <c r="PU5" s="16" t="s">
        <v>17</v>
      </c>
      <c r="PW5" s="16" t="s">
        <v>16</v>
      </c>
      <c r="PX5" s="16" t="s">
        <v>17</v>
      </c>
      <c r="PY5" s="16" t="s">
        <v>16</v>
      </c>
      <c r="PZ5" s="16" t="s">
        <v>26</v>
      </c>
      <c r="QA5" s="16" t="s">
        <v>16</v>
      </c>
      <c r="QB5" s="16" t="s">
        <v>26</v>
      </c>
      <c r="QC5" s="16" t="s">
        <v>16</v>
      </c>
      <c r="QD5" s="16" t="s">
        <v>26</v>
      </c>
      <c r="QE5" s="16" t="s">
        <v>16</v>
      </c>
      <c r="QF5" s="16" t="s">
        <v>26</v>
      </c>
      <c r="QH5" s="16" t="s">
        <v>16</v>
      </c>
      <c r="QI5" s="16" t="s">
        <v>26</v>
      </c>
      <c r="QJ5" s="16" t="s">
        <v>16</v>
      </c>
      <c r="QL5" s="16" t="s">
        <v>16</v>
      </c>
      <c r="QM5" s="16" t="s">
        <v>26</v>
      </c>
      <c r="QN5" s="16" t="s">
        <v>16</v>
      </c>
      <c r="QQ5" s="16" t="s">
        <v>16</v>
      </c>
      <c r="QR5" s="16" t="s">
        <v>26</v>
      </c>
      <c r="QS5" s="63" t="s">
        <v>227</v>
      </c>
      <c r="QT5" s="16" t="s">
        <v>16</v>
      </c>
      <c r="QU5" s="16" t="s">
        <v>26</v>
      </c>
      <c r="QV5" s="31" t="s">
        <v>16</v>
      </c>
      <c r="QW5" s="16" t="s">
        <v>26</v>
      </c>
      <c r="QY5" s="16" t="s">
        <v>16</v>
      </c>
      <c r="QZ5" s="16" t="s">
        <v>26</v>
      </c>
      <c r="RA5" s="16" t="s">
        <v>16</v>
      </c>
      <c r="RB5" s="16" t="s">
        <v>26</v>
      </c>
      <c r="RC5" s="31" t="s">
        <v>16</v>
      </c>
      <c r="RD5" s="16" t="s">
        <v>26</v>
      </c>
      <c r="RE5" s="31" t="s">
        <v>16</v>
      </c>
      <c r="RF5" s="16" t="s">
        <v>26</v>
      </c>
      <c r="RG5" s="16" t="s">
        <v>16</v>
      </c>
      <c r="RH5" s="16" t="s">
        <v>17</v>
      </c>
      <c r="RJ5" s="16" t="s">
        <v>16</v>
      </c>
      <c r="RK5" s="16" t="s">
        <v>26</v>
      </c>
      <c r="RL5" s="16" t="s">
        <v>16</v>
      </c>
      <c r="RM5" s="16" t="s">
        <v>26</v>
      </c>
      <c r="RO5" s="16" t="s">
        <v>16</v>
      </c>
      <c r="RP5" s="16" t="s">
        <v>17</v>
      </c>
      <c r="RQ5" s="16" t="s">
        <v>16</v>
      </c>
      <c r="RR5" s="16" t="s">
        <v>26</v>
      </c>
      <c r="RS5" s="31" t="s">
        <v>16</v>
      </c>
      <c r="RT5" s="16" t="s">
        <v>26</v>
      </c>
      <c r="RV5" s="16" t="s">
        <v>16</v>
      </c>
      <c r="RW5" s="16" t="s">
        <v>26</v>
      </c>
      <c r="RY5" s="16" t="s">
        <v>16</v>
      </c>
      <c r="RZ5" s="16" t="s">
        <v>26</v>
      </c>
      <c r="SA5" s="16" t="s">
        <v>16</v>
      </c>
      <c r="SB5" s="16" t="s">
        <v>17</v>
      </c>
      <c r="SD5" s="16" t="s">
        <v>16</v>
      </c>
      <c r="SE5" s="16" t="s">
        <v>26</v>
      </c>
      <c r="SF5" s="16" t="s">
        <v>16</v>
      </c>
      <c r="SG5" s="16" t="s">
        <v>26</v>
      </c>
      <c r="SI5" s="16" t="s">
        <v>16</v>
      </c>
      <c r="SJ5" s="16" t="s">
        <v>26</v>
      </c>
      <c r="SK5" s="16" t="s">
        <v>16</v>
      </c>
      <c r="SL5" s="16" t="s">
        <v>26</v>
      </c>
      <c r="SM5" s="16" t="s">
        <v>16</v>
      </c>
      <c r="SN5" s="16" t="s">
        <v>26</v>
      </c>
      <c r="SP5" s="16" t="s">
        <v>16</v>
      </c>
      <c r="SQ5" s="16" t="s">
        <v>26</v>
      </c>
      <c r="SU5" s="16" t="s">
        <v>16</v>
      </c>
      <c r="SV5" s="16" t="s">
        <v>17</v>
      </c>
      <c r="SW5" s="16" t="s">
        <v>16</v>
      </c>
      <c r="SX5" s="16" t="s">
        <v>17</v>
      </c>
      <c r="SY5" s="16" t="s">
        <v>16</v>
      </c>
      <c r="SZ5" s="16" t="s">
        <v>17</v>
      </c>
      <c r="TA5" s="16" t="s">
        <v>16</v>
      </c>
      <c r="TB5" s="16" t="s">
        <v>26</v>
      </c>
      <c r="TC5" s="16" t="s">
        <v>16</v>
      </c>
      <c r="TD5" s="16" t="s">
        <v>17</v>
      </c>
      <c r="TH5" s="16" t="s">
        <v>16</v>
      </c>
      <c r="TI5" s="16" t="s">
        <v>17</v>
      </c>
      <c r="TJ5" s="16" t="s">
        <v>16</v>
      </c>
      <c r="TK5" s="16" t="s">
        <v>17</v>
      </c>
      <c r="TM5" s="16" t="s">
        <v>16</v>
      </c>
      <c r="TN5" s="16" t="s">
        <v>17</v>
      </c>
      <c r="TO5" s="31" t="s">
        <v>16</v>
      </c>
      <c r="TP5" s="16" t="s">
        <v>17</v>
      </c>
      <c r="TQ5" s="16" t="s">
        <v>16</v>
      </c>
      <c r="TR5" s="16" t="s">
        <v>17</v>
      </c>
      <c r="TS5" s="16" t="s">
        <v>16</v>
      </c>
      <c r="TT5" s="16" t="s">
        <v>17</v>
      </c>
      <c r="TU5" s="16" t="s">
        <v>16</v>
      </c>
      <c r="TV5" s="16" t="s">
        <v>17</v>
      </c>
      <c r="TX5" s="16" t="s">
        <v>16</v>
      </c>
      <c r="TY5" s="16" t="s">
        <v>17</v>
      </c>
      <c r="TZ5" s="16" t="s">
        <v>16</v>
      </c>
      <c r="UA5" s="16" t="s">
        <v>26</v>
      </c>
      <c r="UB5" s="16" t="s">
        <v>16</v>
      </c>
      <c r="UC5" s="16" t="s">
        <v>26</v>
      </c>
      <c r="UE5" s="16" t="s">
        <v>16</v>
      </c>
      <c r="UF5" s="16" t="s">
        <v>26</v>
      </c>
      <c r="UG5" s="16" t="s">
        <v>16</v>
      </c>
      <c r="UH5" s="16" t="s">
        <v>26</v>
      </c>
      <c r="UI5" s="16" t="s">
        <v>16</v>
      </c>
      <c r="UJ5" s="16" t="s">
        <v>26</v>
      </c>
      <c r="UL5" s="16" t="s">
        <v>16</v>
      </c>
      <c r="UM5" s="16" t="s">
        <v>17</v>
      </c>
      <c r="UN5" s="16" t="s">
        <v>16</v>
      </c>
      <c r="UO5" s="16" t="s">
        <v>26</v>
      </c>
      <c r="UQ5" s="16" t="s">
        <v>16</v>
      </c>
      <c r="US5" s="16" t="s">
        <v>16</v>
      </c>
      <c r="UT5" s="16" t="s">
        <v>26</v>
      </c>
      <c r="UU5" s="16" t="s">
        <v>16</v>
      </c>
      <c r="UV5" s="16" t="s">
        <v>26</v>
      </c>
      <c r="UX5" s="16" t="s">
        <v>16</v>
      </c>
      <c r="UY5" s="16" t="s">
        <v>17</v>
      </c>
      <c r="UZ5" s="16" t="s">
        <v>16</v>
      </c>
      <c r="VA5" s="16" t="s">
        <v>26</v>
      </c>
      <c r="VB5" s="16" t="s">
        <v>16</v>
      </c>
      <c r="VC5" s="16" t="s">
        <v>26</v>
      </c>
      <c r="VD5" s="16" t="s">
        <v>16</v>
      </c>
      <c r="VE5" s="16" t="s">
        <v>26</v>
      </c>
      <c r="VF5" s="16" t="s">
        <v>16</v>
      </c>
      <c r="VG5" s="16" t="s">
        <v>26</v>
      </c>
      <c r="VH5" s="16" t="s">
        <v>16</v>
      </c>
      <c r="VI5" s="16" t="s">
        <v>17</v>
      </c>
      <c r="VJ5" s="16" t="s">
        <v>16</v>
      </c>
      <c r="VK5" s="16" t="s">
        <v>17</v>
      </c>
      <c r="VM5" s="16" t="s">
        <v>16</v>
      </c>
      <c r="VN5" s="16" t="s">
        <v>26</v>
      </c>
      <c r="VO5" s="16" t="s">
        <v>16</v>
      </c>
      <c r="VP5" s="16" t="s">
        <v>17</v>
      </c>
      <c r="VQ5" s="16" t="s">
        <v>16</v>
      </c>
      <c r="VR5" s="31" t="s">
        <v>17</v>
      </c>
      <c r="VS5" s="16" t="s">
        <v>16</v>
      </c>
      <c r="VT5" s="16" t="s">
        <v>26</v>
      </c>
      <c r="VV5" s="16" t="s">
        <v>16</v>
      </c>
      <c r="VW5" s="16" t="s">
        <v>17</v>
      </c>
      <c r="VX5" s="16" t="s">
        <v>16</v>
      </c>
      <c r="VY5" s="16" t="s">
        <v>26</v>
      </c>
      <c r="VZ5" s="16" t="s">
        <v>16</v>
      </c>
      <c r="WA5" s="31" t="s">
        <v>17</v>
      </c>
      <c r="WB5" s="16" t="s">
        <v>16</v>
      </c>
      <c r="WC5" s="16" t="s">
        <v>26</v>
      </c>
      <c r="WD5" s="16" t="s">
        <v>16</v>
      </c>
      <c r="WE5" s="16" t="s">
        <v>17</v>
      </c>
      <c r="WG5" s="16" t="s">
        <v>16</v>
      </c>
      <c r="WH5" s="16" t="s">
        <v>17</v>
      </c>
      <c r="WI5" s="16" t="s">
        <v>16</v>
      </c>
      <c r="WJ5" s="16" t="s">
        <v>17</v>
      </c>
      <c r="WL5" s="16" t="s">
        <v>16</v>
      </c>
      <c r="WM5" s="16" t="s">
        <v>17</v>
      </c>
      <c r="WN5" s="16" t="s">
        <v>16</v>
      </c>
      <c r="WO5" s="16" t="s">
        <v>26</v>
      </c>
      <c r="WP5" s="64" t="s">
        <v>16</v>
      </c>
      <c r="WQ5" s="16" t="s">
        <v>17</v>
      </c>
      <c r="WR5" s="16" t="s">
        <v>26</v>
      </c>
      <c r="WS5" s="16" t="s">
        <v>16</v>
      </c>
      <c r="WT5" s="16" t="s">
        <v>17</v>
      </c>
      <c r="WU5" s="16" t="s">
        <v>16</v>
      </c>
      <c r="WV5" s="16" t="s">
        <v>17</v>
      </c>
      <c r="WX5" s="16" t="s">
        <v>16</v>
      </c>
      <c r="WY5" s="16" t="s">
        <v>26</v>
      </c>
      <c r="XB5" s="16" t="s">
        <v>16</v>
      </c>
      <c r="XC5" s="16" t="s">
        <v>17</v>
      </c>
      <c r="XE5" s="16" t="s">
        <v>16</v>
      </c>
      <c r="XF5" s="16" t="s">
        <v>17</v>
      </c>
      <c r="XG5" s="16" t="s">
        <v>16</v>
      </c>
      <c r="XH5" s="16" t="s">
        <v>17</v>
      </c>
      <c r="XK5" s="16" t="s">
        <v>16</v>
      </c>
      <c r="XL5" s="16" t="s">
        <v>17</v>
      </c>
      <c r="XM5" s="16" t="s">
        <v>16</v>
      </c>
      <c r="XN5" s="16" t="s">
        <v>17</v>
      </c>
      <c r="XO5" s="16" t="s">
        <v>16</v>
      </c>
      <c r="XP5" s="16" t="s">
        <v>17</v>
      </c>
    </row>
    <row r="6" spans="1:642" s="13" customFormat="1" x14ac:dyDescent="0.25">
      <c r="B6" s="39"/>
      <c r="C6" s="82">
        <v>95</v>
      </c>
      <c r="D6" s="4">
        <v>16</v>
      </c>
      <c r="E6" s="13">
        <v>-615</v>
      </c>
      <c r="F6" s="1">
        <v>664</v>
      </c>
      <c r="G6" s="2">
        <v>-5</v>
      </c>
      <c r="H6" s="5" t="s">
        <v>24</v>
      </c>
      <c r="I6" s="2">
        <v>-98</v>
      </c>
      <c r="J6" s="5" t="s">
        <v>24</v>
      </c>
      <c r="K6" s="2">
        <v>3065</v>
      </c>
      <c r="L6" s="1">
        <v>254</v>
      </c>
      <c r="M6" s="13">
        <v>62</v>
      </c>
      <c r="N6" s="1">
        <v>2</v>
      </c>
      <c r="O6" s="26"/>
      <c r="P6" s="13">
        <v>-351</v>
      </c>
      <c r="Q6" s="1">
        <v>136</v>
      </c>
      <c r="R6" s="13">
        <v>42</v>
      </c>
      <c r="S6" s="12">
        <v>1071</v>
      </c>
      <c r="T6" s="13">
        <v>-6046</v>
      </c>
      <c r="U6" s="1">
        <v>1248</v>
      </c>
      <c r="V6" s="13">
        <v>-13</v>
      </c>
      <c r="W6" s="10">
        <v>153</v>
      </c>
      <c r="X6" s="13">
        <v>292</v>
      </c>
      <c r="Y6" s="5" t="s">
        <v>24</v>
      </c>
      <c r="Z6" s="13">
        <v>-22</v>
      </c>
      <c r="AA6" s="1">
        <v>2</v>
      </c>
      <c r="AB6" s="13">
        <v>-48</v>
      </c>
      <c r="AC6" s="1">
        <v>28</v>
      </c>
      <c r="AD6" s="13">
        <v>-479</v>
      </c>
      <c r="AE6" s="1">
        <v>4</v>
      </c>
      <c r="AF6" s="13">
        <v>-711</v>
      </c>
      <c r="AG6" s="1">
        <v>226</v>
      </c>
      <c r="AH6" s="13">
        <v>42</v>
      </c>
      <c r="AI6" s="1">
        <v>13</v>
      </c>
      <c r="AJ6" s="2">
        <v>3</v>
      </c>
      <c r="AK6" s="10">
        <v>25</v>
      </c>
      <c r="AL6" s="13">
        <v>-1075</v>
      </c>
      <c r="AM6" s="1">
        <v>889</v>
      </c>
      <c r="AN6" s="13">
        <v>-6793</v>
      </c>
      <c r="AO6" s="1">
        <v>3084</v>
      </c>
      <c r="AQ6" s="13">
        <v>-2086</v>
      </c>
      <c r="AR6" s="1">
        <v>472</v>
      </c>
      <c r="AS6" s="39"/>
      <c r="AT6" s="13">
        <v>84</v>
      </c>
      <c r="AU6" s="1">
        <v>11</v>
      </c>
      <c r="AV6" s="2">
        <v>-1</v>
      </c>
      <c r="AW6" s="1">
        <v>2</v>
      </c>
      <c r="AX6" s="5" t="s">
        <v>24</v>
      </c>
      <c r="AY6" s="13">
        <v>-1</v>
      </c>
      <c r="AZ6" s="1">
        <v>6</v>
      </c>
      <c r="BA6" s="13">
        <v>842</v>
      </c>
      <c r="BB6" s="1">
        <v>145</v>
      </c>
      <c r="BC6" s="39"/>
      <c r="BD6" s="29">
        <v>350</v>
      </c>
      <c r="BE6" s="1">
        <v>312</v>
      </c>
      <c r="BF6" s="13">
        <v>78</v>
      </c>
      <c r="BG6" s="1">
        <v>37</v>
      </c>
      <c r="BH6" s="13">
        <v>-8969</v>
      </c>
      <c r="BI6" s="1">
        <v>842</v>
      </c>
      <c r="BJ6" s="13">
        <v>-1406</v>
      </c>
      <c r="BK6" s="5" t="s">
        <v>24</v>
      </c>
      <c r="BL6" s="13">
        <v>-19</v>
      </c>
      <c r="BM6" s="1">
        <v>2</v>
      </c>
      <c r="BN6" s="13">
        <v>57</v>
      </c>
      <c r="BO6" s="5" t="s">
        <v>24</v>
      </c>
      <c r="BP6" s="13">
        <v>-906</v>
      </c>
      <c r="BQ6" s="10">
        <v>2575</v>
      </c>
      <c r="BR6" s="13">
        <v>17265</v>
      </c>
      <c r="BS6" s="1">
        <v>313</v>
      </c>
      <c r="BT6" s="13">
        <v>137</v>
      </c>
      <c r="BU6" s="1">
        <v>285</v>
      </c>
      <c r="BV6" s="13">
        <v>-117</v>
      </c>
      <c r="BW6" s="1">
        <v>19</v>
      </c>
      <c r="BX6" s="13">
        <v>-43</v>
      </c>
      <c r="BY6" s="5" t="s">
        <v>24</v>
      </c>
      <c r="BZ6" s="39"/>
      <c r="CA6" s="29">
        <v>101</v>
      </c>
      <c r="CB6" s="28">
        <v>59</v>
      </c>
      <c r="CC6" s="29">
        <v>191</v>
      </c>
      <c r="CD6" s="28">
        <v>864</v>
      </c>
      <c r="CE6" s="29">
        <v>163</v>
      </c>
      <c r="CF6" s="28">
        <v>796</v>
      </c>
      <c r="CG6" s="29">
        <v>-293</v>
      </c>
      <c r="CH6" s="5" t="s">
        <v>24</v>
      </c>
      <c r="CI6" s="29">
        <v>788</v>
      </c>
      <c r="CJ6" s="12">
        <v>442</v>
      </c>
      <c r="CK6" s="6">
        <v>-43</v>
      </c>
      <c r="CL6" s="28">
        <v>16</v>
      </c>
      <c r="CM6" s="29">
        <v>650</v>
      </c>
      <c r="CN6" s="28">
        <v>119</v>
      </c>
      <c r="CO6" s="6">
        <v>-72</v>
      </c>
      <c r="CP6" s="62" t="s">
        <v>24</v>
      </c>
      <c r="CQ6" s="6">
        <v>717</v>
      </c>
      <c r="CR6" s="12">
        <v>143</v>
      </c>
      <c r="CS6" s="6">
        <v>650</v>
      </c>
      <c r="CT6" s="28">
        <v>692</v>
      </c>
      <c r="CU6" s="6">
        <v>39</v>
      </c>
      <c r="CV6" s="62" t="s">
        <v>24</v>
      </c>
      <c r="CW6" s="6">
        <v>-46</v>
      </c>
      <c r="CX6" s="28">
        <v>13</v>
      </c>
      <c r="CY6" s="39"/>
      <c r="CZ6" s="24">
        <v>119</v>
      </c>
      <c r="DA6" s="25">
        <v>605</v>
      </c>
      <c r="DB6" s="24">
        <v>-93</v>
      </c>
      <c r="DC6" s="25">
        <v>2</v>
      </c>
      <c r="DD6" s="24">
        <v>20</v>
      </c>
      <c r="DE6" s="25">
        <v>16</v>
      </c>
      <c r="DF6" s="86">
        <v>118</v>
      </c>
      <c r="DG6" s="25">
        <v>97</v>
      </c>
      <c r="DH6" s="24">
        <v>194</v>
      </c>
      <c r="DI6" s="25">
        <v>307</v>
      </c>
      <c r="DJ6" s="24">
        <v>162</v>
      </c>
      <c r="DK6" s="28">
        <v>545</v>
      </c>
      <c r="DL6" s="29">
        <v>413</v>
      </c>
      <c r="DM6" s="62" t="s">
        <v>24</v>
      </c>
      <c r="DN6" s="29">
        <v>8</v>
      </c>
      <c r="DO6" s="62" t="s">
        <v>24</v>
      </c>
      <c r="DP6" s="42"/>
      <c r="DQ6" s="29">
        <v>32</v>
      </c>
      <c r="DR6" s="52">
        <v>120</v>
      </c>
      <c r="DS6" s="6">
        <v>-42</v>
      </c>
      <c r="DT6" s="52">
        <v>287</v>
      </c>
      <c r="DU6" s="29">
        <v>613</v>
      </c>
      <c r="DV6" s="28">
        <v>355</v>
      </c>
      <c r="DW6" s="29">
        <v>-278</v>
      </c>
      <c r="DX6" s="28">
        <v>56</v>
      </c>
      <c r="DY6" s="6">
        <v>121</v>
      </c>
      <c r="DZ6" s="52">
        <v>828</v>
      </c>
      <c r="EA6" s="24">
        <v>-387</v>
      </c>
      <c r="EB6" s="52">
        <v>536</v>
      </c>
      <c r="EC6" s="6">
        <v>30</v>
      </c>
      <c r="ED6" s="28">
        <v>9</v>
      </c>
      <c r="EE6" s="29">
        <v>62</v>
      </c>
      <c r="EF6" s="52">
        <v>316</v>
      </c>
      <c r="EG6" s="29">
        <v>525</v>
      </c>
      <c r="EH6" s="28">
        <v>463</v>
      </c>
      <c r="EI6" s="29">
        <v>1</v>
      </c>
      <c r="EJ6" s="52">
        <v>297</v>
      </c>
      <c r="EK6" s="42"/>
      <c r="EL6" s="29">
        <v>-100</v>
      </c>
      <c r="EM6" s="28">
        <v>449</v>
      </c>
      <c r="EN6" s="29">
        <v>257</v>
      </c>
      <c r="EO6" s="28">
        <v>117</v>
      </c>
      <c r="EP6" s="29">
        <v>-110</v>
      </c>
      <c r="EQ6" s="52">
        <v>508</v>
      </c>
      <c r="ER6" s="29">
        <v>47</v>
      </c>
      <c r="ES6" s="52">
        <v>531</v>
      </c>
      <c r="ET6" s="29">
        <v>176</v>
      </c>
      <c r="EU6" s="52">
        <v>153</v>
      </c>
      <c r="EV6" s="29">
        <v>-179</v>
      </c>
      <c r="EW6" s="62" t="s">
        <v>24</v>
      </c>
      <c r="EX6" s="6">
        <v>580</v>
      </c>
      <c r="EY6" s="28">
        <v>187</v>
      </c>
      <c r="EZ6" s="6">
        <v>-542</v>
      </c>
      <c r="FA6" s="52">
        <v>173</v>
      </c>
      <c r="FB6" s="29">
        <v>124</v>
      </c>
      <c r="FC6" s="52">
        <v>143</v>
      </c>
      <c r="FD6" s="6">
        <v>766</v>
      </c>
      <c r="FE6" s="28">
        <v>144</v>
      </c>
      <c r="FF6" s="29">
        <v>978</v>
      </c>
      <c r="FG6" s="28">
        <v>26</v>
      </c>
      <c r="FH6" s="29">
        <v>-6</v>
      </c>
      <c r="FI6" s="28">
        <v>17</v>
      </c>
      <c r="FJ6" s="29">
        <v>686</v>
      </c>
      <c r="FK6" s="52">
        <v>166</v>
      </c>
      <c r="FL6" s="42"/>
      <c r="FM6" s="29">
        <v>128</v>
      </c>
      <c r="FN6" s="52">
        <v>129</v>
      </c>
      <c r="FO6" s="29">
        <v>163</v>
      </c>
      <c r="FP6" s="28">
        <v>48</v>
      </c>
      <c r="FQ6" s="29">
        <v>69</v>
      </c>
      <c r="FR6" s="28">
        <v>5</v>
      </c>
      <c r="FS6" s="29">
        <v>-464</v>
      </c>
      <c r="FU6" s="28">
        <v>394</v>
      </c>
      <c r="FV6" s="29">
        <v>-14</v>
      </c>
      <c r="FW6" s="28">
        <v>42</v>
      </c>
      <c r="FX6" s="29">
        <v>301</v>
      </c>
      <c r="FY6" s="28">
        <v>22</v>
      </c>
      <c r="FZ6" s="42"/>
      <c r="GA6" s="29">
        <v>83</v>
      </c>
      <c r="GB6" s="52">
        <v>24</v>
      </c>
      <c r="GC6" s="29">
        <v>232</v>
      </c>
      <c r="GD6" s="62" t="s">
        <v>24</v>
      </c>
      <c r="GE6" s="29">
        <v>643</v>
      </c>
      <c r="GF6" s="28">
        <v>217</v>
      </c>
      <c r="GG6" s="29">
        <v>273</v>
      </c>
      <c r="GH6" s="28">
        <v>275</v>
      </c>
      <c r="GI6" s="29">
        <v>18</v>
      </c>
      <c r="GJ6" s="28">
        <v>10</v>
      </c>
      <c r="GK6" s="29">
        <v>179</v>
      </c>
      <c r="GL6" s="28">
        <v>413</v>
      </c>
      <c r="GM6" s="42"/>
      <c r="GN6" s="29">
        <v>275</v>
      </c>
      <c r="GO6" s="28">
        <v>376</v>
      </c>
      <c r="GP6" s="29">
        <v>-19</v>
      </c>
      <c r="GQ6" s="52">
        <v>79</v>
      </c>
      <c r="GR6" s="29">
        <v>23</v>
      </c>
      <c r="GS6" s="28">
        <v>12</v>
      </c>
      <c r="GT6" s="6">
        <v>-23</v>
      </c>
      <c r="GU6" s="52">
        <v>206</v>
      </c>
      <c r="GV6" s="6">
        <v>-984</v>
      </c>
      <c r="GW6" s="28">
        <v>619</v>
      </c>
      <c r="GX6" s="29">
        <v>967</v>
      </c>
      <c r="GY6" s="52">
        <v>150</v>
      </c>
      <c r="GZ6" s="29">
        <v>-8</v>
      </c>
      <c r="HA6" s="28">
        <v>21</v>
      </c>
      <c r="HB6" s="6">
        <v>-32</v>
      </c>
      <c r="HC6" s="62" t="s">
        <v>24</v>
      </c>
      <c r="HD6" s="42"/>
      <c r="HE6" s="29">
        <v>-144</v>
      </c>
      <c r="HF6" s="28">
        <v>92</v>
      </c>
      <c r="HG6" s="29">
        <v>92</v>
      </c>
      <c r="HH6" s="62" t="s">
        <v>24</v>
      </c>
      <c r="HI6" s="29">
        <v>449</v>
      </c>
      <c r="HJ6" s="28">
        <v>112</v>
      </c>
      <c r="HK6" s="29">
        <v>121</v>
      </c>
      <c r="HL6" s="52">
        <v>834</v>
      </c>
      <c r="HM6" s="29">
        <v>914</v>
      </c>
      <c r="HN6" s="62" t="s">
        <v>24</v>
      </c>
      <c r="HO6" s="29">
        <v>-48</v>
      </c>
      <c r="HP6" s="28">
        <v>264</v>
      </c>
      <c r="HQ6" s="6">
        <v>-142</v>
      </c>
      <c r="HR6" s="28">
        <v>78</v>
      </c>
      <c r="HS6" s="29">
        <v>11</v>
      </c>
      <c r="HT6" s="52">
        <v>614</v>
      </c>
      <c r="HU6" s="42"/>
      <c r="HV6" s="29">
        <v>-164</v>
      </c>
      <c r="HW6" s="28">
        <v>528</v>
      </c>
      <c r="HX6" s="29">
        <v>21</v>
      </c>
      <c r="HY6" s="28">
        <v>26</v>
      </c>
      <c r="HZ6" s="29">
        <v>2</v>
      </c>
      <c r="IA6" s="62" t="s">
        <v>24</v>
      </c>
      <c r="IB6" s="29">
        <v>-268</v>
      </c>
      <c r="IC6" s="28">
        <v>105</v>
      </c>
      <c r="ID6" s="29">
        <v>-33</v>
      </c>
      <c r="IE6" s="28">
        <v>814</v>
      </c>
      <c r="IF6" s="29">
        <v>-148</v>
      </c>
      <c r="IG6" s="28">
        <v>982</v>
      </c>
      <c r="IH6" s="29">
        <v>561</v>
      </c>
      <c r="II6" s="28">
        <v>136</v>
      </c>
      <c r="IJ6" s="39"/>
      <c r="IK6" s="29">
        <v>5577</v>
      </c>
      <c r="IL6" s="62" t="s">
        <v>24</v>
      </c>
      <c r="IM6" s="29">
        <v>46</v>
      </c>
      <c r="IN6" s="62" t="s">
        <v>24</v>
      </c>
      <c r="IO6" s="13">
        <v>182</v>
      </c>
      <c r="IP6" s="10">
        <v>204</v>
      </c>
      <c r="IQ6" s="29">
        <v>793</v>
      </c>
      <c r="IR6" s="28">
        <v>7</v>
      </c>
      <c r="IS6" s="6">
        <v>325</v>
      </c>
      <c r="IT6" s="28">
        <v>684</v>
      </c>
      <c r="IU6" s="29">
        <v>-437</v>
      </c>
      <c r="IV6" s="28">
        <v>471</v>
      </c>
      <c r="IW6" s="29">
        <v>-234</v>
      </c>
      <c r="IX6" s="62" t="s">
        <v>24</v>
      </c>
      <c r="IY6" s="29">
        <v>-281</v>
      </c>
      <c r="IZ6" s="62" t="s">
        <v>24</v>
      </c>
      <c r="JA6" s="29">
        <v>873</v>
      </c>
      <c r="JB6" s="12">
        <v>326</v>
      </c>
      <c r="JC6" s="42"/>
      <c r="JD6" s="29">
        <v>-710</v>
      </c>
      <c r="JE6" s="28">
        <v>54</v>
      </c>
      <c r="JF6" s="29">
        <v>-661</v>
      </c>
      <c r="JG6" s="28">
        <v>221</v>
      </c>
      <c r="JH6" s="29">
        <v>153</v>
      </c>
      <c r="JI6" s="28">
        <v>76</v>
      </c>
      <c r="JJ6" s="29">
        <v>-30</v>
      </c>
      <c r="JK6" s="28">
        <v>11</v>
      </c>
      <c r="JL6" s="29">
        <v>2</v>
      </c>
      <c r="JM6" s="12">
        <v>3</v>
      </c>
      <c r="JN6" s="29">
        <v>5</v>
      </c>
      <c r="JO6" s="28">
        <v>4</v>
      </c>
      <c r="JP6" s="6">
        <v>126</v>
      </c>
      <c r="JQ6" s="12">
        <v>730</v>
      </c>
      <c r="JR6" s="29">
        <v>557</v>
      </c>
      <c r="JS6" s="12">
        <v>179</v>
      </c>
      <c r="JT6" s="6">
        <v>120</v>
      </c>
      <c r="JU6" s="12">
        <v>170</v>
      </c>
      <c r="JV6" s="42"/>
      <c r="JW6" s="29">
        <v>-282</v>
      </c>
      <c r="JX6" s="12">
        <v>904</v>
      </c>
      <c r="JY6" s="29">
        <v>165</v>
      </c>
      <c r="JZ6" s="28">
        <v>76</v>
      </c>
      <c r="KA6" s="29">
        <v>52</v>
      </c>
      <c r="KB6" s="28">
        <v>6</v>
      </c>
      <c r="KC6" s="29">
        <v>108</v>
      </c>
      <c r="KD6" s="28">
        <v>105</v>
      </c>
      <c r="KE6" s="6">
        <v>-84</v>
      </c>
      <c r="KF6" s="12">
        <v>281</v>
      </c>
      <c r="KG6" s="42"/>
      <c r="KH6" s="62" t="s">
        <v>24</v>
      </c>
      <c r="KI6" s="29">
        <v>55</v>
      </c>
      <c r="KJ6" s="28">
        <v>966</v>
      </c>
      <c r="KK6" s="29">
        <v>293</v>
      </c>
      <c r="KL6" s="28">
        <v>433</v>
      </c>
      <c r="KM6" s="6">
        <v>576</v>
      </c>
      <c r="KN6" s="28">
        <v>162</v>
      </c>
      <c r="KO6" s="29">
        <v>216</v>
      </c>
      <c r="KP6" s="62" t="s">
        <v>24</v>
      </c>
      <c r="KQ6" s="29">
        <v>230</v>
      </c>
      <c r="KR6" s="28">
        <v>33</v>
      </c>
      <c r="KS6" s="42"/>
      <c r="KT6" s="29">
        <v>-1</v>
      </c>
      <c r="KU6" s="28">
        <v>1</v>
      </c>
      <c r="KV6" s="29">
        <v>143</v>
      </c>
      <c r="KW6" s="83" t="s">
        <v>24</v>
      </c>
      <c r="KX6" s="29">
        <v>27</v>
      </c>
      <c r="KY6" s="12">
        <v>202</v>
      </c>
      <c r="KZ6" s="29">
        <v>5</v>
      </c>
      <c r="LA6" s="12">
        <v>73</v>
      </c>
      <c r="LB6" s="83" t="s">
        <v>24</v>
      </c>
      <c r="LC6" s="42"/>
      <c r="LD6" s="29">
        <v>181</v>
      </c>
      <c r="LE6" s="28">
        <v>363</v>
      </c>
      <c r="LF6" s="29">
        <v>333</v>
      </c>
      <c r="LG6" s="28">
        <v>109</v>
      </c>
      <c r="LH6" s="6">
        <v>-762</v>
      </c>
      <c r="LI6" s="83" t="s">
        <v>24</v>
      </c>
      <c r="LJ6" s="29">
        <v>450</v>
      </c>
      <c r="LK6" s="28">
        <v>962</v>
      </c>
      <c r="LL6" s="29">
        <v>105</v>
      </c>
      <c r="LM6" s="28">
        <v>3</v>
      </c>
      <c r="LN6" s="29">
        <v>-217</v>
      </c>
      <c r="LO6" s="28">
        <v>832</v>
      </c>
      <c r="LP6" s="42"/>
      <c r="LQ6" s="83" t="s">
        <v>24</v>
      </c>
      <c r="LR6" s="29"/>
      <c r="LS6" s="29">
        <v>90</v>
      </c>
      <c r="LT6" s="83" t="s">
        <v>24</v>
      </c>
      <c r="LU6" s="29">
        <v>-134</v>
      </c>
      <c r="LV6" s="12">
        <v>515</v>
      </c>
      <c r="LW6" s="29">
        <v>386</v>
      </c>
      <c r="LX6" s="28">
        <v>57</v>
      </c>
      <c r="LY6" s="42"/>
      <c r="LZ6" s="29">
        <v>781</v>
      </c>
      <c r="MA6" s="83" t="s">
        <v>24</v>
      </c>
      <c r="MB6" s="29">
        <v>24</v>
      </c>
      <c r="MC6" s="28">
        <v>4</v>
      </c>
      <c r="MD6" s="83" t="s">
        <v>24</v>
      </c>
      <c r="ME6" s="42"/>
      <c r="MF6" s="29">
        <v>510</v>
      </c>
      <c r="MG6" s="12">
        <v>167</v>
      </c>
      <c r="MH6" s="29">
        <v>2</v>
      </c>
      <c r="MI6" s="83" t="s">
        <v>24</v>
      </c>
      <c r="MJ6" s="29">
        <v>368</v>
      </c>
      <c r="MK6" s="12">
        <v>263</v>
      </c>
      <c r="ML6" s="29">
        <v>-507</v>
      </c>
      <c r="MM6" s="60">
        <v>948</v>
      </c>
      <c r="MN6" s="29">
        <v>370</v>
      </c>
      <c r="MO6" s="28">
        <v>768</v>
      </c>
      <c r="MP6" s="42"/>
      <c r="MQ6" s="29">
        <v>-865</v>
      </c>
      <c r="MR6" s="28">
        <v>15</v>
      </c>
      <c r="MS6" s="29">
        <v>-100</v>
      </c>
      <c r="MT6" s="12">
        <v>810</v>
      </c>
      <c r="MU6" s="29">
        <v>96</v>
      </c>
      <c r="MV6" s="28">
        <v>9</v>
      </c>
      <c r="MW6" s="42"/>
      <c r="MX6" s="83" t="s">
        <v>24</v>
      </c>
      <c r="MY6" s="29"/>
      <c r="MZ6" s="29">
        <v>-147</v>
      </c>
      <c r="NA6" s="12">
        <v>377</v>
      </c>
      <c r="NB6" s="42"/>
      <c r="NC6" s="29">
        <v>-65</v>
      </c>
      <c r="ND6" s="12">
        <v>163</v>
      </c>
      <c r="NE6" s="29">
        <v>-181</v>
      </c>
      <c r="NF6" s="28">
        <v>143</v>
      </c>
      <c r="NG6" s="29">
        <v>38</v>
      </c>
      <c r="NH6" s="28">
        <v>3</v>
      </c>
      <c r="NI6" s="29">
        <v>-98</v>
      </c>
      <c r="NJ6" s="28">
        <v>8</v>
      </c>
      <c r="NK6" s="42"/>
      <c r="NL6" s="29">
        <v>144</v>
      </c>
      <c r="NM6" s="28">
        <v>23</v>
      </c>
      <c r="NN6" s="29">
        <v>184</v>
      </c>
      <c r="NO6" s="28">
        <v>394</v>
      </c>
      <c r="NP6" s="29">
        <v>949</v>
      </c>
      <c r="NQ6" s="12">
        <v>355</v>
      </c>
      <c r="NR6" s="29">
        <v>-126</v>
      </c>
      <c r="NS6" s="12">
        <v>19</v>
      </c>
      <c r="NT6" s="42"/>
      <c r="NU6" s="29">
        <v>318</v>
      </c>
      <c r="NV6" s="12">
        <v>208</v>
      </c>
      <c r="NW6" s="29">
        <v>501</v>
      </c>
      <c r="NX6" s="28">
        <v>119</v>
      </c>
      <c r="NY6" s="29">
        <v>-116</v>
      </c>
      <c r="NZ6" s="12">
        <v>169</v>
      </c>
      <c r="OA6" s="29">
        <v>154</v>
      </c>
      <c r="OB6" s="28">
        <v>408</v>
      </c>
      <c r="OC6" s="29">
        <v>-460</v>
      </c>
      <c r="OD6" s="12">
        <v>355</v>
      </c>
      <c r="OE6" s="29">
        <v>43</v>
      </c>
      <c r="OF6" s="12">
        <v>23</v>
      </c>
      <c r="OG6" s="28"/>
      <c r="OH6" s="29">
        <v>548</v>
      </c>
      <c r="OI6" s="28">
        <v>110</v>
      </c>
      <c r="OJ6" s="42"/>
      <c r="OK6" s="29">
        <v>112</v>
      </c>
      <c r="OL6" s="28">
        <v>15</v>
      </c>
      <c r="OM6" s="29">
        <v>258</v>
      </c>
      <c r="ON6" s="28">
        <v>484</v>
      </c>
      <c r="OO6" s="29">
        <v>-16</v>
      </c>
      <c r="OP6" s="28">
        <v>47</v>
      </c>
      <c r="OQ6" s="29">
        <v>661</v>
      </c>
      <c r="OR6" s="12">
        <v>271</v>
      </c>
      <c r="OS6" s="29">
        <v>529</v>
      </c>
      <c r="OT6" s="28">
        <v>217</v>
      </c>
      <c r="OU6" s="12">
        <v>262</v>
      </c>
      <c r="OV6" s="29">
        <v>73</v>
      </c>
      <c r="OW6" s="83" t="s">
        <v>24</v>
      </c>
      <c r="OX6" s="42"/>
      <c r="OY6" s="29">
        <v>701</v>
      </c>
      <c r="OZ6" s="12">
        <v>187</v>
      </c>
      <c r="PA6" s="29">
        <v>417</v>
      </c>
      <c r="PB6" s="83" t="s">
        <v>24</v>
      </c>
      <c r="PC6" s="29">
        <v>53</v>
      </c>
      <c r="PD6" s="28">
        <v>4</v>
      </c>
      <c r="PE6" s="29">
        <v>-958</v>
      </c>
      <c r="PF6" s="12">
        <v>789</v>
      </c>
      <c r="PG6" s="29">
        <v>665</v>
      </c>
      <c r="PH6" s="12">
        <v>272</v>
      </c>
      <c r="PI6" s="42"/>
      <c r="PJ6" s="29">
        <v>410</v>
      </c>
      <c r="PK6" s="12">
        <v>103</v>
      </c>
      <c r="PL6" s="29">
        <v>167</v>
      </c>
      <c r="PM6" s="28">
        <v>115</v>
      </c>
      <c r="PN6" s="29">
        <v>-42</v>
      </c>
      <c r="PO6" s="28">
        <v>49</v>
      </c>
      <c r="PP6" s="29">
        <v>822</v>
      </c>
      <c r="PQ6" s="28">
        <v>27</v>
      </c>
      <c r="PR6" s="28"/>
      <c r="PS6" s="29">
        <v>-152</v>
      </c>
      <c r="PT6" s="29"/>
      <c r="PU6" s="28">
        <v>174</v>
      </c>
      <c r="PV6" s="42"/>
      <c r="PW6" s="29">
        <v>-766</v>
      </c>
      <c r="PX6" s="28">
        <v>571</v>
      </c>
      <c r="PY6" s="29">
        <v>-240</v>
      </c>
      <c r="PZ6" s="12">
        <v>180</v>
      </c>
      <c r="QA6" s="29">
        <v>113</v>
      </c>
      <c r="QB6" s="12">
        <v>213</v>
      </c>
      <c r="QC6" s="29">
        <v>-367</v>
      </c>
      <c r="QD6" s="12">
        <v>301</v>
      </c>
      <c r="QE6" s="29">
        <v>180</v>
      </c>
      <c r="QF6" s="12">
        <v>239</v>
      </c>
      <c r="QG6" s="42"/>
      <c r="QH6" s="29">
        <v>-53</v>
      </c>
      <c r="QI6" s="12">
        <v>485</v>
      </c>
      <c r="QJ6" s="29">
        <v>624</v>
      </c>
      <c r="QK6" s="45" t="s">
        <v>24</v>
      </c>
      <c r="QL6" s="38">
        <v>60</v>
      </c>
      <c r="QM6" s="50">
        <v>156</v>
      </c>
      <c r="QN6" s="55">
        <v>51</v>
      </c>
      <c r="QO6" s="45" t="s">
        <v>24</v>
      </c>
      <c r="QP6" s="39"/>
      <c r="QQ6" s="29">
        <v>179</v>
      </c>
      <c r="QR6" s="12">
        <f t="shared" ref="QR6:QR28" si="0">SQRT(QS6)</f>
        <v>28.89636655359978</v>
      </c>
      <c r="QS6" s="29">
        <v>835</v>
      </c>
      <c r="QT6" s="29">
        <v>-671</v>
      </c>
      <c r="QU6" s="12">
        <v>324</v>
      </c>
      <c r="QV6" s="6">
        <v>427</v>
      </c>
      <c r="QW6" s="12">
        <v>109</v>
      </c>
      <c r="QX6" s="39"/>
      <c r="QY6" s="29">
        <v>12.37</v>
      </c>
      <c r="QZ6" s="12">
        <v>472</v>
      </c>
      <c r="RA6" s="29">
        <v>188</v>
      </c>
      <c r="RB6" s="12">
        <v>705</v>
      </c>
      <c r="RC6" s="6">
        <v>14</v>
      </c>
      <c r="RD6" s="12">
        <v>19</v>
      </c>
      <c r="RE6" s="6">
        <v>125</v>
      </c>
      <c r="RF6" s="12">
        <v>931</v>
      </c>
      <c r="RG6" s="29">
        <v>-208</v>
      </c>
      <c r="RH6" s="28">
        <v>90</v>
      </c>
      <c r="RI6" s="42"/>
      <c r="RJ6" s="29">
        <v>-4</v>
      </c>
      <c r="RK6" s="12">
        <v>170</v>
      </c>
      <c r="RL6" s="29">
        <v>68</v>
      </c>
      <c r="RM6" s="12">
        <v>16</v>
      </c>
      <c r="RN6" s="39"/>
      <c r="RO6" s="29">
        <v>109</v>
      </c>
      <c r="RP6" s="28">
        <v>55</v>
      </c>
      <c r="RQ6" s="29">
        <v>299</v>
      </c>
      <c r="RR6" s="12">
        <v>302</v>
      </c>
      <c r="RS6" s="6">
        <v>164</v>
      </c>
      <c r="RT6" s="12">
        <v>426</v>
      </c>
      <c r="RU6" s="39"/>
      <c r="RV6" s="29">
        <v>811</v>
      </c>
      <c r="RW6" s="52">
        <v>310</v>
      </c>
      <c r="RX6" s="39"/>
      <c r="RY6" s="47">
        <v>579</v>
      </c>
      <c r="RZ6" s="49">
        <v>190</v>
      </c>
      <c r="SA6" s="29">
        <v>2</v>
      </c>
      <c r="SB6" s="28">
        <v>101</v>
      </c>
      <c r="SC6" s="39"/>
      <c r="SD6" s="29">
        <v>442</v>
      </c>
      <c r="SE6" s="12">
        <v>285</v>
      </c>
      <c r="SF6" s="29">
        <v>-126</v>
      </c>
      <c r="SG6" s="12">
        <v>120</v>
      </c>
      <c r="SH6" s="39"/>
      <c r="SI6" s="29">
        <v>217</v>
      </c>
      <c r="SJ6" s="12">
        <v>452</v>
      </c>
      <c r="SK6" s="29">
        <v>69</v>
      </c>
      <c r="SL6" s="12">
        <v>31</v>
      </c>
      <c r="SM6" s="29">
        <v>-37</v>
      </c>
      <c r="SN6" s="12">
        <v>295</v>
      </c>
      <c r="SO6" s="39"/>
      <c r="SP6" s="29">
        <v>60</v>
      </c>
      <c r="SQ6" s="12">
        <v>53</v>
      </c>
      <c r="SR6" s="42"/>
      <c r="SS6" s="45" t="s">
        <v>24</v>
      </c>
      <c r="ST6" s="42"/>
      <c r="SU6" s="29">
        <v>678</v>
      </c>
      <c r="SV6" s="28">
        <v>15</v>
      </c>
      <c r="SW6" s="29">
        <v>471</v>
      </c>
      <c r="SX6" s="28">
        <v>739</v>
      </c>
      <c r="SY6" s="6">
        <v>587</v>
      </c>
      <c r="SZ6" s="28">
        <v>120</v>
      </c>
      <c r="TA6" s="6">
        <v>527</v>
      </c>
      <c r="TB6" s="12">
        <v>977</v>
      </c>
      <c r="TC6" s="29">
        <v>394</v>
      </c>
      <c r="TD6" s="28">
        <v>183</v>
      </c>
      <c r="TE6" s="42"/>
      <c r="TF6" s="5" t="s">
        <v>24</v>
      </c>
      <c r="TG6" s="42"/>
      <c r="TH6" s="29">
        <v>-277</v>
      </c>
      <c r="TI6" s="28">
        <v>85</v>
      </c>
      <c r="TJ6" s="29">
        <v>303</v>
      </c>
      <c r="TK6" s="28">
        <v>854</v>
      </c>
      <c r="TL6" s="39"/>
      <c r="TM6" s="29">
        <v>107</v>
      </c>
      <c r="TN6" s="28">
        <v>8</v>
      </c>
      <c r="TO6" s="6">
        <v>320</v>
      </c>
      <c r="TP6" s="28">
        <v>136</v>
      </c>
      <c r="TQ6" s="29">
        <v>-29</v>
      </c>
      <c r="TR6" s="36">
        <v>10</v>
      </c>
      <c r="TS6" s="29">
        <v>-358</v>
      </c>
      <c r="TT6" s="28">
        <v>71</v>
      </c>
      <c r="TU6" s="29">
        <v>89</v>
      </c>
      <c r="TV6" s="28">
        <v>10</v>
      </c>
      <c r="TW6" s="39"/>
      <c r="TX6" s="29">
        <v>320</v>
      </c>
      <c r="TY6" s="28">
        <v>114</v>
      </c>
      <c r="TZ6" s="29">
        <v>175</v>
      </c>
      <c r="UA6" s="12">
        <v>114</v>
      </c>
      <c r="UB6" s="29">
        <v>142</v>
      </c>
      <c r="UC6" s="12">
        <v>131</v>
      </c>
      <c r="UD6" s="39"/>
      <c r="UE6" s="29">
        <v>163</v>
      </c>
      <c r="UF6" s="12">
        <v>725</v>
      </c>
      <c r="UG6" s="29">
        <v>-419</v>
      </c>
      <c r="UH6" s="12">
        <v>579</v>
      </c>
      <c r="UI6" s="29">
        <v>552</v>
      </c>
      <c r="UJ6" s="12">
        <v>37</v>
      </c>
      <c r="UK6" s="39"/>
      <c r="UL6" s="29">
        <v>967</v>
      </c>
      <c r="UM6" s="28">
        <v>20</v>
      </c>
      <c r="UN6" s="29">
        <v>772</v>
      </c>
      <c r="UO6" s="12">
        <v>46</v>
      </c>
      <c r="UP6" s="39"/>
      <c r="UQ6" s="38">
        <v>41</v>
      </c>
      <c r="UR6" s="5" t="s">
        <v>24</v>
      </c>
      <c r="US6" s="37">
        <v>879</v>
      </c>
      <c r="UT6" s="33">
        <v>221</v>
      </c>
      <c r="UU6" s="37">
        <v>-223</v>
      </c>
      <c r="UV6" s="33">
        <v>11</v>
      </c>
      <c r="UW6" s="42"/>
      <c r="UX6" s="29">
        <v>34</v>
      </c>
      <c r="UY6" s="28">
        <v>12</v>
      </c>
      <c r="UZ6" s="29">
        <v>139</v>
      </c>
      <c r="VA6" s="12">
        <v>846</v>
      </c>
      <c r="VB6" s="29">
        <v>105</v>
      </c>
      <c r="VC6" s="12">
        <v>284</v>
      </c>
      <c r="VD6" s="29">
        <v>-366</v>
      </c>
      <c r="VE6" s="12">
        <v>268</v>
      </c>
      <c r="VF6" s="29">
        <v>514</v>
      </c>
      <c r="VG6" s="12">
        <v>194</v>
      </c>
      <c r="VH6" s="29">
        <v>-280</v>
      </c>
      <c r="VI6" s="28">
        <v>724</v>
      </c>
      <c r="VJ6" s="29">
        <v>157</v>
      </c>
      <c r="VK6" s="28">
        <v>525</v>
      </c>
      <c r="VL6" s="39"/>
      <c r="VM6" s="29">
        <v>6559</v>
      </c>
      <c r="VN6" s="29"/>
      <c r="VO6" s="29">
        <v>-1107</v>
      </c>
      <c r="VP6" s="5" t="s">
        <v>24</v>
      </c>
      <c r="VQ6" s="38">
        <v>59</v>
      </c>
      <c r="VR6" s="36">
        <v>12</v>
      </c>
      <c r="VS6" s="37">
        <v>-295</v>
      </c>
      <c r="VT6" s="33">
        <v>4655</v>
      </c>
      <c r="VU6" s="30"/>
      <c r="VV6" s="29">
        <v>8566</v>
      </c>
      <c r="VW6" s="28">
        <v>856</v>
      </c>
      <c r="VX6" s="29">
        <v>316</v>
      </c>
      <c r="VY6" s="12">
        <v>280</v>
      </c>
      <c r="VZ6" s="29">
        <v>353</v>
      </c>
      <c r="WA6" s="28">
        <v>151</v>
      </c>
      <c r="WB6" s="29">
        <v>322</v>
      </c>
      <c r="WC6" s="12">
        <v>658</v>
      </c>
      <c r="WD6" s="29">
        <v>-3797</v>
      </c>
      <c r="WE6" s="29"/>
      <c r="WF6" s="39"/>
      <c r="WG6" s="29">
        <v>17</v>
      </c>
      <c r="WH6" s="29"/>
      <c r="WI6" s="29">
        <v>7771</v>
      </c>
      <c r="WJ6" s="29"/>
      <c r="WK6" s="39"/>
      <c r="WL6" s="13">
        <v>-17</v>
      </c>
      <c r="WN6" s="13">
        <v>-19483</v>
      </c>
      <c r="WP6" s="2">
        <v>-2086</v>
      </c>
      <c r="WS6" s="2">
        <v>1624</v>
      </c>
      <c r="WU6" s="2">
        <v>-281</v>
      </c>
      <c r="WW6" s="39"/>
      <c r="WX6" s="13">
        <v>-39754</v>
      </c>
      <c r="WZ6" s="39"/>
      <c r="XA6" s="5" t="s">
        <v>24</v>
      </c>
      <c r="XB6" s="24">
        <v>2</v>
      </c>
      <c r="XC6" s="24"/>
      <c r="XD6" s="42"/>
      <c r="XE6" s="13">
        <v>1985</v>
      </c>
      <c r="XG6" s="2">
        <v>-3961</v>
      </c>
      <c r="XI6" s="5" t="s">
        <v>24</v>
      </c>
      <c r="XJ6" s="42"/>
      <c r="XK6" s="13">
        <v>5</v>
      </c>
      <c r="XM6" s="13">
        <v>30</v>
      </c>
      <c r="XO6" s="13">
        <v>170</v>
      </c>
      <c r="XQ6" s="42"/>
      <c r="XR6" s="42"/>
    </row>
    <row r="7" spans="1:642" x14ac:dyDescent="0.25">
      <c r="C7" s="3">
        <v>23</v>
      </c>
      <c r="D7" s="4">
        <v>5</v>
      </c>
      <c r="E7">
        <v>-664</v>
      </c>
      <c r="F7" s="1">
        <v>699</v>
      </c>
      <c r="G7" s="2">
        <v>4</v>
      </c>
      <c r="H7" s="44"/>
      <c r="I7" s="2">
        <v>-1327</v>
      </c>
      <c r="J7" s="44"/>
      <c r="K7" s="2">
        <v>3092</v>
      </c>
      <c r="L7" s="1">
        <v>255</v>
      </c>
      <c r="M7">
        <v>23</v>
      </c>
      <c r="N7" s="1">
        <v>3</v>
      </c>
      <c r="O7" s="26"/>
      <c r="P7">
        <v>175</v>
      </c>
      <c r="Q7" s="1">
        <v>59</v>
      </c>
      <c r="R7">
        <v>37</v>
      </c>
      <c r="S7" s="12">
        <v>956</v>
      </c>
      <c r="T7">
        <v>-6399</v>
      </c>
      <c r="U7" s="1">
        <v>1302</v>
      </c>
      <c r="V7">
        <v>-21</v>
      </c>
      <c r="W7" s="10">
        <v>553</v>
      </c>
      <c r="X7">
        <v>615</v>
      </c>
      <c r="Z7">
        <v>-15</v>
      </c>
      <c r="AA7" s="1">
        <v>2</v>
      </c>
      <c r="AB7">
        <v>-73</v>
      </c>
      <c r="AC7" s="1">
        <v>21</v>
      </c>
      <c r="AD7">
        <v>-487</v>
      </c>
      <c r="AE7" s="1">
        <v>4</v>
      </c>
      <c r="AF7">
        <v>-678</v>
      </c>
      <c r="AG7" s="1">
        <v>207</v>
      </c>
      <c r="AH7">
        <v>45</v>
      </c>
      <c r="AI7" s="1">
        <v>9</v>
      </c>
      <c r="AJ7" s="2">
        <v>-9</v>
      </c>
      <c r="AK7" s="10">
        <v>66</v>
      </c>
      <c r="AL7">
        <v>-302</v>
      </c>
      <c r="AM7" s="1">
        <v>337</v>
      </c>
      <c r="AN7">
        <v>605</v>
      </c>
      <c r="AO7" s="1">
        <v>156</v>
      </c>
      <c r="AQ7">
        <v>-342</v>
      </c>
      <c r="AR7" s="1">
        <v>351</v>
      </c>
      <c r="AT7">
        <v>41</v>
      </c>
      <c r="AU7" s="1">
        <v>14</v>
      </c>
      <c r="AV7" s="2">
        <v>353</v>
      </c>
      <c r="AW7" s="1">
        <v>70</v>
      </c>
      <c r="AX7" s="1"/>
      <c r="AY7">
        <v>-348</v>
      </c>
      <c r="AZ7" s="1">
        <v>129</v>
      </c>
      <c r="BA7">
        <v>-318</v>
      </c>
      <c r="BB7" s="1">
        <v>484</v>
      </c>
      <c r="BD7" s="8">
        <v>146</v>
      </c>
      <c r="BE7" s="1">
        <v>113</v>
      </c>
      <c r="BF7">
        <v>-15</v>
      </c>
      <c r="BG7" s="1">
        <v>29</v>
      </c>
      <c r="BH7">
        <v>-7369</v>
      </c>
      <c r="BI7" s="1">
        <v>792</v>
      </c>
      <c r="BJ7">
        <v>-186</v>
      </c>
      <c r="BL7">
        <v>26</v>
      </c>
      <c r="BM7" s="1">
        <v>2</v>
      </c>
      <c r="BN7">
        <v>1</v>
      </c>
      <c r="BP7">
        <v>-580</v>
      </c>
      <c r="BQ7" s="10">
        <v>1225</v>
      </c>
      <c r="BR7">
        <v>33609</v>
      </c>
      <c r="BS7" s="1">
        <v>484</v>
      </c>
      <c r="BT7">
        <v>398</v>
      </c>
      <c r="BU7" s="1">
        <v>337</v>
      </c>
      <c r="BV7">
        <v>-75</v>
      </c>
      <c r="BW7" s="1">
        <v>18</v>
      </c>
      <c r="BX7">
        <v>-45</v>
      </c>
      <c r="CA7" s="8">
        <v>19</v>
      </c>
      <c r="CB7" s="28">
        <v>7</v>
      </c>
      <c r="CC7" s="8">
        <v>-272</v>
      </c>
      <c r="CD7" s="28">
        <v>107</v>
      </c>
      <c r="CE7" s="8">
        <v>327</v>
      </c>
      <c r="CF7" s="28">
        <v>113</v>
      </c>
      <c r="CG7" s="8">
        <v>1041</v>
      </c>
      <c r="CI7" s="8">
        <v>721</v>
      </c>
      <c r="CJ7" s="12">
        <v>19</v>
      </c>
      <c r="CK7" s="6">
        <v>-40</v>
      </c>
      <c r="CL7" s="28">
        <v>18</v>
      </c>
      <c r="CM7" s="8">
        <v>5</v>
      </c>
      <c r="CN7" s="28">
        <v>1</v>
      </c>
      <c r="CO7" s="6">
        <v>-116</v>
      </c>
      <c r="CP7" s="28"/>
      <c r="CQ7" s="6">
        <v>711</v>
      </c>
      <c r="CR7" s="12">
        <v>148</v>
      </c>
      <c r="CS7" s="6">
        <v>-53</v>
      </c>
      <c r="CT7" s="28">
        <v>8</v>
      </c>
      <c r="CU7" s="6">
        <v>46</v>
      </c>
      <c r="CV7" s="28"/>
      <c r="CW7" s="6">
        <v>-15</v>
      </c>
      <c r="CX7" s="28">
        <v>7</v>
      </c>
      <c r="CZ7" s="23">
        <v>-429</v>
      </c>
      <c r="DA7" s="25">
        <v>338</v>
      </c>
      <c r="DB7" s="23">
        <v>-62</v>
      </c>
      <c r="DC7" s="25">
        <v>23</v>
      </c>
      <c r="DD7" s="23">
        <v>1</v>
      </c>
      <c r="DE7" s="25">
        <v>20</v>
      </c>
      <c r="DF7" s="86">
        <v>118</v>
      </c>
      <c r="DG7" s="25">
        <v>119</v>
      </c>
      <c r="DH7" s="23">
        <v>-666</v>
      </c>
      <c r="DI7" s="25">
        <v>305</v>
      </c>
      <c r="DJ7" s="23">
        <v>76</v>
      </c>
      <c r="DK7" s="28">
        <v>222</v>
      </c>
      <c r="DL7" s="8">
        <v>777</v>
      </c>
      <c r="DN7" s="8">
        <v>7</v>
      </c>
      <c r="DQ7" s="8">
        <v>-274</v>
      </c>
      <c r="DR7" s="52">
        <v>107</v>
      </c>
      <c r="DS7" s="6">
        <v>-26</v>
      </c>
      <c r="DT7" s="52">
        <v>160</v>
      </c>
      <c r="DU7" s="8">
        <v>557</v>
      </c>
      <c r="DV7" s="28">
        <v>11</v>
      </c>
      <c r="DW7" s="8">
        <v>-16</v>
      </c>
      <c r="DX7" s="28">
        <v>1</v>
      </c>
      <c r="DY7" s="6">
        <v>-113</v>
      </c>
      <c r="DZ7" s="52">
        <v>122</v>
      </c>
      <c r="EA7" s="23">
        <v>362</v>
      </c>
      <c r="EB7" s="52">
        <v>213</v>
      </c>
      <c r="EC7" s="6">
        <v>28</v>
      </c>
      <c r="ED7" s="28">
        <v>8</v>
      </c>
      <c r="EE7" s="8">
        <v>-173</v>
      </c>
      <c r="EF7" s="52">
        <v>645</v>
      </c>
      <c r="EG7" s="8">
        <v>806</v>
      </c>
      <c r="EH7" s="28">
        <v>419</v>
      </c>
      <c r="EI7" s="8">
        <v>11</v>
      </c>
      <c r="EJ7" s="52">
        <v>977</v>
      </c>
      <c r="EL7" s="8">
        <v>-46</v>
      </c>
      <c r="EM7" s="28">
        <v>1</v>
      </c>
      <c r="EN7" s="8">
        <v>493</v>
      </c>
      <c r="EO7" s="28">
        <v>17</v>
      </c>
      <c r="EP7" s="8">
        <v>-165</v>
      </c>
      <c r="EQ7" s="52">
        <v>915</v>
      </c>
      <c r="ER7" s="8">
        <v>161</v>
      </c>
      <c r="ES7" s="52">
        <v>62</v>
      </c>
      <c r="ET7" s="8">
        <v>14</v>
      </c>
      <c r="EU7" s="52">
        <v>579</v>
      </c>
      <c r="EV7" s="8">
        <f>447</f>
        <v>447</v>
      </c>
      <c r="EX7" s="8">
        <v>48</v>
      </c>
      <c r="EY7" s="28">
        <v>1</v>
      </c>
      <c r="EZ7" s="8">
        <v>-323</v>
      </c>
      <c r="FA7" s="52">
        <v>181</v>
      </c>
      <c r="FB7" s="8">
        <v>676</v>
      </c>
      <c r="FC7" s="52">
        <v>54</v>
      </c>
      <c r="FD7" s="6">
        <v>638</v>
      </c>
      <c r="FE7" s="28">
        <v>291</v>
      </c>
      <c r="FF7" s="8">
        <v>553</v>
      </c>
      <c r="FG7" s="28">
        <v>99</v>
      </c>
      <c r="FH7" s="8">
        <v>489</v>
      </c>
      <c r="FI7" s="28">
        <v>214</v>
      </c>
      <c r="FJ7" s="8">
        <v>-706</v>
      </c>
      <c r="FK7" s="52">
        <v>672</v>
      </c>
      <c r="FM7" s="8">
        <v>418</v>
      </c>
      <c r="FN7" s="52">
        <v>185</v>
      </c>
      <c r="FO7" s="8">
        <v>837</v>
      </c>
      <c r="FP7" s="28">
        <v>68</v>
      </c>
      <c r="FQ7" s="8">
        <v>24</v>
      </c>
      <c r="FR7" s="28">
        <v>2</v>
      </c>
      <c r="FS7" s="8">
        <v>-102</v>
      </c>
      <c r="FU7" s="28">
        <v>139</v>
      </c>
      <c r="FV7" s="8">
        <v>-142</v>
      </c>
      <c r="FW7" s="28">
        <v>53</v>
      </c>
      <c r="FX7" s="8">
        <v>118</v>
      </c>
      <c r="FY7" s="28">
        <v>1</v>
      </c>
      <c r="GA7" s="8">
        <v>250</v>
      </c>
      <c r="GB7" s="52">
        <v>217</v>
      </c>
      <c r="GC7" s="8">
        <v>-482</v>
      </c>
      <c r="GE7" s="8">
        <v>565</v>
      </c>
      <c r="GF7" s="28">
        <v>137</v>
      </c>
      <c r="GG7" s="8">
        <v>145</v>
      </c>
      <c r="GH7" s="28">
        <v>78</v>
      </c>
      <c r="GI7" s="8">
        <v>2</v>
      </c>
      <c r="GJ7" s="28">
        <v>1</v>
      </c>
      <c r="GK7" s="8">
        <v>183</v>
      </c>
      <c r="GL7" s="28">
        <v>417</v>
      </c>
      <c r="GN7" s="8">
        <v>915</v>
      </c>
      <c r="GO7" s="28">
        <v>177</v>
      </c>
      <c r="GP7" s="8">
        <v>-13</v>
      </c>
      <c r="GQ7" s="52">
        <v>191</v>
      </c>
      <c r="GR7" s="8">
        <v>14</v>
      </c>
      <c r="GS7" s="28">
        <v>12</v>
      </c>
      <c r="GT7" s="6">
        <v>-165</v>
      </c>
      <c r="GU7" s="52">
        <v>148</v>
      </c>
      <c r="GV7" s="6">
        <v>-2</v>
      </c>
      <c r="GW7" s="28">
        <v>4</v>
      </c>
      <c r="GX7" s="8">
        <v>832</v>
      </c>
      <c r="GY7" s="52">
        <v>689</v>
      </c>
      <c r="GZ7" s="8">
        <v>-196</v>
      </c>
      <c r="HA7" s="28">
        <v>191</v>
      </c>
      <c r="HB7" s="6">
        <v>-68</v>
      </c>
      <c r="HC7" s="28"/>
      <c r="HE7" s="8">
        <f>170</f>
        <v>170</v>
      </c>
      <c r="HF7" s="28">
        <v>73</v>
      </c>
      <c r="HG7" s="8">
        <v>168</v>
      </c>
      <c r="HI7" s="8">
        <v>215</v>
      </c>
      <c r="HJ7" s="28">
        <v>249</v>
      </c>
      <c r="HK7" s="8">
        <v>-692</v>
      </c>
      <c r="HL7" s="52">
        <v>268</v>
      </c>
      <c r="HM7" s="8">
        <v>817</v>
      </c>
      <c r="HO7" s="8">
        <v>-296</v>
      </c>
      <c r="HP7" s="28">
        <v>331</v>
      </c>
      <c r="HQ7" s="6">
        <v>-2</v>
      </c>
      <c r="HR7" s="28">
        <v>2</v>
      </c>
      <c r="HS7" s="8">
        <v>2</v>
      </c>
      <c r="HT7" s="52">
        <v>198</v>
      </c>
      <c r="HV7" s="8">
        <v>907</v>
      </c>
      <c r="HW7" s="28">
        <v>318</v>
      </c>
      <c r="HX7" s="8">
        <v>4</v>
      </c>
      <c r="HY7" s="28">
        <v>36</v>
      </c>
      <c r="HZ7" s="8">
        <v>-1</v>
      </c>
      <c r="IB7" s="8">
        <v>-513</v>
      </c>
      <c r="IC7" s="28">
        <v>473</v>
      </c>
      <c r="ID7" s="8">
        <v>73</v>
      </c>
      <c r="IE7" s="28">
        <v>3</v>
      </c>
      <c r="IF7" s="8">
        <v>140</v>
      </c>
      <c r="IG7" s="28">
        <v>532</v>
      </c>
      <c r="IH7" s="8">
        <v>880</v>
      </c>
      <c r="II7" s="28">
        <v>20</v>
      </c>
      <c r="IK7" s="8">
        <v>1079</v>
      </c>
      <c r="IM7" s="8">
        <v>56</v>
      </c>
      <c r="IO7">
        <v>109</v>
      </c>
      <c r="IP7" s="10">
        <v>76</v>
      </c>
      <c r="IQ7" s="8">
        <v>751</v>
      </c>
      <c r="IR7" s="28">
        <v>17</v>
      </c>
      <c r="IS7" s="6">
        <v>768</v>
      </c>
      <c r="IT7" s="28">
        <v>290</v>
      </c>
      <c r="IU7" s="8">
        <v>53</v>
      </c>
      <c r="IV7" s="28">
        <v>5</v>
      </c>
      <c r="IW7" s="8">
        <v>24</v>
      </c>
      <c r="IY7" s="8">
        <v>230</v>
      </c>
      <c r="JA7" s="8">
        <v>405</v>
      </c>
      <c r="JB7" s="12">
        <v>198</v>
      </c>
      <c r="JD7" s="8">
        <v>126</v>
      </c>
      <c r="JE7" s="28">
        <v>7</v>
      </c>
      <c r="JF7" s="8">
        <v>-379</v>
      </c>
      <c r="JG7" s="28">
        <v>52</v>
      </c>
      <c r="JH7" s="8">
        <v>-520</v>
      </c>
      <c r="JI7" s="28">
        <v>111</v>
      </c>
      <c r="JJ7" s="8">
        <v>-6</v>
      </c>
      <c r="JK7" s="28">
        <v>11</v>
      </c>
      <c r="JL7" s="8">
        <v>608</v>
      </c>
      <c r="JM7" s="12">
        <v>165</v>
      </c>
      <c r="JN7" s="8">
        <v>-9</v>
      </c>
      <c r="JO7" s="28">
        <v>4</v>
      </c>
      <c r="JP7" s="6">
        <v>-2</v>
      </c>
      <c r="JQ7" s="12">
        <v>520</v>
      </c>
      <c r="JR7" s="8">
        <v>310</v>
      </c>
      <c r="JS7" s="12">
        <v>225</v>
      </c>
      <c r="JT7" s="6">
        <v>555</v>
      </c>
      <c r="JU7" s="12">
        <v>305</v>
      </c>
      <c r="JW7" s="8">
        <v>498</v>
      </c>
      <c r="JX7" s="12">
        <v>918</v>
      </c>
      <c r="JY7" s="8">
        <v>856</v>
      </c>
      <c r="JZ7" s="28">
        <v>26</v>
      </c>
      <c r="KA7" s="8">
        <v>-57</v>
      </c>
      <c r="KB7" s="28">
        <v>7</v>
      </c>
      <c r="KC7" s="8">
        <v>825</v>
      </c>
      <c r="KD7" s="28">
        <v>105</v>
      </c>
      <c r="KE7" s="6">
        <v>-587</v>
      </c>
      <c r="KF7" s="12">
        <v>638</v>
      </c>
      <c r="KI7" s="8">
        <v>275</v>
      </c>
      <c r="KJ7" s="28">
        <v>858</v>
      </c>
      <c r="KK7" s="8">
        <v>839</v>
      </c>
      <c r="KL7" s="28">
        <v>416</v>
      </c>
      <c r="KM7" s="6">
        <v>234</v>
      </c>
      <c r="KN7" s="28">
        <v>186</v>
      </c>
      <c r="KO7" s="8">
        <v>-19</v>
      </c>
      <c r="KQ7" s="8">
        <v>278</v>
      </c>
      <c r="KR7" s="28">
        <v>34</v>
      </c>
      <c r="KT7" s="8">
        <v>193</v>
      </c>
      <c r="KU7" s="28">
        <v>4</v>
      </c>
      <c r="KV7" s="8">
        <v>-509</v>
      </c>
      <c r="KX7" s="8">
        <v>645</v>
      </c>
      <c r="KY7" s="12">
        <v>136</v>
      </c>
      <c r="KZ7" s="8">
        <v>18</v>
      </c>
      <c r="LA7" s="12">
        <v>92</v>
      </c>
      <c r="LD7" s="8">
        <v>505</v>
      </c>
      <c r="LE7" s="28">
        <v>323</v>
      </c>
      <c r="LF7" s="8">
        <v>-395</v>
      </c>
      <c r="LG7" s="28">
        <v>833</v>
      </c>
      <c r="LH7" s="6">
        <v>-539</v>
      </c>
      <c r="LJ7" s="8">
        <v>-652</v>
      </c>
      <c r="LK7" s="28">
        <v>197</v>
      </c>
      <c r="LL7" s="8">
        <v>-116</v>
      </c>
      <c r="LM7" s="28">
        <v>33</v>
      </c>
      <c r="LN7" s="8">
        <v>-351</v>
      </c>
      <c r="LO7" s="28">
        <v>574</v>
      </c>
      <c r="LS7" s="8">
        <v>82</v>
      </c>
      <c r="LU7" s="8">
        <v>510</v>
      </c>
      <c r="LV7" s="12">
        <v>114</v>
      </c>
      <c r="LW7" s="8">
        <v>-106</v>
      </c>
      <c r="LX7" s="28">
        <v>154</v>
      </c>
      <c r="LZ7" s="8">
        <v>730</v>
      </c>
      <c r="MB7" s="8">
        <v>10</v>
      </c>
      <c r="MC7" s="28">
        <v>3</v>
      </c>
      <c r="MF7" s="8">
        <v>-591</v>
      </c>
      <c r="MG7" s="12">
        <v>161</v>
      </c>
      <c r="MH7" s="8">
        <v>292</v>
      </c>
      <c r="MJ7" s="8">
        <v>-37</v>
      </c>
      <c r="MK7" s="12">
        <v>227</v>
      </c>
      <c r="ML7" s="8">
        <v>305</v>
      </c>
      <c r="MM7" s="60">
        <v>107</v>
      </c>
      <c r="MN7" s="8">
        <v>165</v>
      </c>
      <c r="MO7" s="28">
        <v>128</v>
      </c>
      <c r="MQ7" s="8">
        <v>121</v>
      </c>
      <c r="MR7" s="28">
        <v>163</v>
      </c>
      <c r="MS7" s="8">
        <v>-110</v>
      </c>
      <c r="MT7" s="12">
        <v>814</v>
      </c>
      <c r="MU7" s="8">
        <v>13</v>
      </c>
      <c r="MV7" s="28">
        <v>12</v>
      </c>
      <c r="MZ7" s="8">
        <v>403</v>
      </c>
      <c r="NA7" s="12">
        <v>71</v>
      </c>
      <c r="NC7" s="8">
        <v>8</v>
      </c>
      <c r="ND7" s="12">
        <v>159</v>
      </c>
      <c r="NE7" s="8">
        <v>145</v>
      </c>
      <c r="NF7" s="28">
        <v>337</v>
      </c>
      <c r="NG7" s="8">
        <v>-66</v>
      </c>
      <c r="NH7" s="28">
        <v>7</v>
      </c>
      <c r="NI7" s="8">
        <v>-114</v>
      </c>
      <c r="NJ7" s="28">
        <v>30</v>
      </c>
      <c r="NL7" s="8">
        <v>364</v>
      </c>
      <c r="NM7" s="28">
        <v>42</v>
      </c>
      <c r="NN7" s="8">
        <v>277</v>
      </c>
      <c r="NO7" s="28">
        <v>755</v>
      </c>
      <c r="NP7" s="8">
        <v>179</v>
      </c>
      <c r="NQ7" s="12">
        <v>737</v>
      </c>
      <c r="NR7" s="8">
        <v>-146</v>
      </c>
      <c r="NS7" s="12">
        <v>25</v>
      </c>
      <c r="NU7" s="8">
        <v>-726</v>
      </c>
      <c r="NV7" s="12">
        <v>90</v>
      </c>
      <c r="NW7" s="8">
        <v>446</v>
      </c>
      <c r="NX7" s="28">
        <v>190</v>
      </c>
      <c r="NY7" s="8">
        <v>557</v>
      </c>
      <c r="NZ7" s="12">
        <v>116</v>
      </c>
      <c r="OA7" s="8">
        <v>-63</v>
      </c>
      <c r="OB7" s="28">
        <v>347</v>
      </c>
      <c r="OC7" s="8">
        <v>-197</v>
      </c>
      <c r="OD7" s="12">
        <v>644</v>
      </c>
      <c r="OE7" s="8">
        <v>799</v>
      </c>
      <c r="OF7" s="12">
        <v>620</v>
      </c>
      <c r="OG7" s="28"/>
      <c r="OH7" s="8">
        <v>47</v>
      </c>
      <c r="OI7" s="28">
        <v>18</v>
      </c>
      <c r="OK7" s="8">
        <v>-85</v>
      </c>
      <c r="OL7" s="28">
        <v>16</v>
      </c>
      <c r="OM7" s="8">
        <v>120</v>
      </c>
      <c r="ON7" s="28">
        <v>261</v>
      </c>
      <c r="OO7" s="8">
        <v>-3</v>
      </c>
      <c r="OP7" s="28">
        <v>54</v>
      </c>
      <c r="OQ7" s="8">
        <v>-262</v>
      </c>
      <c r="OR7" s="12">
        <v>201</v>
      </c>
      <c r="OS7" s="8">
        <v>775</v>
      </c>
      <c r="OT7" s="28">
        <v>448</v>
      </c>
      <c r="OU7" s="12">
        <v>172</v>
      </c>
      <c r="OV7" s="8">
        <v>188</v>
      </c>
      <c r="OY7" s="8">
        <v>918</v>
      </c>
      <c r="OZ7" s="12">
        <v>294</v>
      </c>
      <c r="PA7" s="8">
        <v>867</v>
      </c>
      <c r="PC7" s="8">
        <v>-219</v>
      </c>
      <c r="PD7" s="28">
        <v>78</v>
      </c>
      <c r="PE7" s="8">
        <v>-239</v>
      </c>
      <c r="PF7" s="12">
        <v>138</v>
      </c>
      <c r="PG7" s="8">
        <v>-10</v>
      </c>
      <c r="PH7" s="12">
        <v>22</v>
      </c>
      <c r="PJ7" s="8">
        <v>-103</v>
      </c>
      <c r="PK7" s="12">
        <v>998</v>
      </c>
      <c r="PL7" s="8">
        <v>496</v>
      </c>
      <c r="PM7" s="28">
        <v>276</v>
      </c>
      <c r="PN7" s="8">
        <v>993</v>
      </c>
      <c r="PO7" s="28">
        <v>105</v>
      </c>
      <c r="PP7" s="8">
        <v>668</v>
      </c>
      <c r="PQ7" s="28">
        <v>29</v>
      </c>
      <c r="PR7" s="28"/>
      <c r="PS7" s="8">
        <v>-49</v>
      </c>
      <c r="PU7" s="28">
        <v>25</v>
      </c>
      <c r="PW7" s="8">
        <v>64</v>
      </c>
      <c r="PX7" s="28">
        <v>124</v>
      </c>
      <c r="PY7" s="8">
        <v>24</v>
      </c>
      <c r="PZ7" s="12">
        <v>226</v>
      </c>
      <c r="QA7" s="8">
        <v>76</v>
      </c>
      <c r="QB7" s="12">
        <v>633</v>
      </c>
      <c r="QC7" s="8">
        <v>21</v>
      </c>
      <c r="QD7" s="12">
        <v>275</v>
      </c>
      <c r="QE7" s="8">
        <v>86</v>
      </c>
      <c r="QF7" s="12">
        <v>508</v>
      </c>
      <c r="QH7" s="8">
        <v>361</v>
      </c>
      <c r="QI7" s="12">
        <v>148</v>
      </c>
      <c r="QJ7" s="8">
        <v>111</v>
      </c>
      <c r="QL7" s="8">
        <v>113</v>
      </c>
      <c r="QM7" s="12">
        <v>385</v>
      </c>
      <c r="QN7" s="6">
        <v>50</v>
      </c>
      <c r="QO7" s="12"/>
      <c r="QQ7" s="8">
        <v>-4</v>
      </c>
      <c r="QR7" s="12">
        <f t="shared" si="0"/>
        <v>24.454038521274967</v>
      </c>
      <c r="QS7" s="8">
        <v>598</v>
      </c>
      <c r="QT7" s="8">
        <v>1289</v>
      </c>
      <c r="QU7" s="12">
        <v>149</v>
      </c>
      <c r="QV7" s="6">
        <v>183</v>
      </c>
      <c r="QW7" s="12">
        <v>421</v>
      </c>
      <c r="QY7" s="8">
        <v>13.47</v>
      </c>
      <c r="QZ7" s="12">
        <v>526</v>
      </c>
      <c r="RA7" s="8">
        <v>-489</v>
      </c>
      <c r="RB7" s="12">
        <v>513</v>
      </c>
      <c r="RC7" s="6">
        <v>11</v>
      </c>
      <c r="RD7" s="12">
        <v>17</v>
      </c>
      <c r="RE7" s="6">
        <v>165</v>
      </c>
      <c r="RF7" s="12">
        <v>100</v>
      </c>
      <c r="RG7" s="8">
        <v>858</v>
      </c>
      <c r="RH7" s="28">
        <v>90</v>
      </c>
      <c r="RJ7" s="8">
        <v>-79</v>
      </c>
      <c r="RK7" s="12">
        <v>150</v>
      </c>
      <c r="RL7" s="8">
        <v>-94</v>
      </c>
      <c r="RM7" s="12">
        <v>113</v>
      </c>
      <c r="RO7" s="8">
        <v>-32</v>
      </c>
      <c r="RP7" s="28">
        <v>23</v>
      </c>
      <c r="RQ7" s="8">
        <v>404</v>
      </c>
      <c r="RR7" s="12">
        <v>378</v>
      </c>
      <c r="RS7" s="6">
        <v>789</v>
      </c>
      <c r="RT7" s="12">
        <v>361</v>
      </c>
      <c r="RV7" s="8">
        <v>-43</v>
      </c>
      <c r="RW7" s="52">
        <v>22</v>
      </c>
      <c r="RY7" s="48">
        <v>-478</v>
      </c>
      <c r="RZ7" s="49">
        <v>160</v>
      </c>
      <c r="SA7" s="8">
        <v>66</v>
      </c>
      <c r="SB7" s="28">
        <v>4</v>
      </c>
      <c r="SD7" s="8">
        <v>132</v>
      </c>
      <c r="SE7" s="12">
        <v>580</v>
      </c>
      <c r="SF7" s="8">
        <v>105</v>
      </c>
      <c r="SG7" s="12">
        <v>536</v>
      </c>
      <c r="SI7" s="8">
        <v>203</v>
      </c>
      <c r="SJ7" s="12">
        <v>435</v>
      </c>
      <c r="SK7" s="8">
        <v>670</v>
      </c>
      <c r="SL7" s="12">
        <v>173</v>
      </c>
      <c r="SM7" s="8">
        <v>372</v>
      </c>
      <c r="SN7" s="12">
        <v>222</v>
      </c>
      <c r="SP7" s="8">
        <v>-18</v>
      </c>
      <c r="SQ7" s="12">
        <v>5</v>
      </c>
      <c r="SU7" s="8">
        <v>159</v>
      </c>
      <c r="SV7" s="28">
        <v>1</v>
      </c>
      <c r="SW7" s="8">
        <v>820</v>
      </c>
      <c r="SX7" s="28">
        <v>347</v>
      </c>
      <c r="SY7" s="6">
        <v>108</v>
      </c>
      <c r="SZ7" s="28">
        <v>335</v>
      </c>
      <c r="TA7" s="6">
        <v>527</v>
      </c>
      <c r="TB7" s="12">
        <v>977</v>
      </c>
      <c r="TC7" s="8">
        <v>-761</v>
      </c>
      <c r="TD7" s="28">
        <v>264</v>
      </c>
      <c r="TH7" s="8">
        <v>-159</v>
      </c>
      <c r="TI7" s="28">
        <v>63</v>
      </c>
      <c r="TJ7" s="8">
        <v>160</v>
      </c>
      <c r="TK7" s="28">
        <v>392</v>
      </c>
      <c r="TM7" s="8">
        <v>111</v>
      </c>
      <c r="TN7" s="28">
        <v>9</v>
      </c>
      <c r="TO7" s="6">
        <v>-222</v>
      </c>
      <c r="TP7" s="28">
        <v>6</v>
      </c>
      <c r="TQ7" s="8">
        <v>-14</v>
      </c>
      <c r="TR7" s="28">
        <v>11</v>
      </c>
      <c r="TS7" s="8">
        <v>207</v>
      </c>
      <c r="TT7" s="28">
        <v>41</v>
      </c>
      <c r="TU7" s="8">
        <v>-27</v>
      </c>
      <c r="TV7" s="28">
        <v>13</v>
      </c>
      <c r="TX7" s="8">
        <v>607</v>
      </c>
      <c r="TY7" s="28">
        <v>130</v>
      </c>
      <c r="TZ7" s="8">
        <v>175</v>
      </c>
      <c r="UA7" s="12">
        <v>211</v>
      </c>
      <c r="UB7" s="8">
        <v>-1</v>
      </c>
      <c r="UC7" s="12">
        <v>235</v>
      </c>
      <c r="UE7" s="8">
        <v>173</v>
      </c>
      <c r="UF7" s="12">
        <v>107</v>
      </c>
      <c r="UG7" s="8">
        <v>-722</v>
      </c>
      <c r="UH7" s="12">
        <v>120</v>
      </c>
      <c r="UI7" s="8">
        <v>111</v>
      </c>
      <c r="UJ7" s="12">
        <v>87</v>
      </c>
      <c r="UL7" s="8">
        <v>852</v>
      </c>
      <c r="UM7" s="28">
        <v>16</v>
      </c>
      <c r="UN7" s="8">
        <v>116</v>
      </c>
      <c r="UO7" s="12">
        <v>460</v>
      </c>
      <c r="UQ7" s="8">
        <v>43</v>
      </c>
      <c r="US7" s="8">
        <v>108</v>
      </c>
      <c r="UT7" s="12">
        <v>70</v>
      </c>
      <c r="UU7" s="8">
        <v>222</v>
      </c>
      <c r="UV7" s="12">
        <v>52</v>
      </c>
      <c r="UX7" s="8">
        <v>-104</v>
      </c>
      <c r="UY7" s="28">
        <v>535</v>
      </c>
      <c r="UZ7" s="8">
        <v>130</v>
      </c>
      <c r="VA7" s="12">
        <v>299</v>
      </c>
      <c r="VB7" s="8">
        <v>101</v>
      </c>
      <c r="VC7" s="12">
        <v>274</v>
      </c>
      <c r="VD7" s="8">
        <v>305</v>
      </c>
      <c r="VE7" s="12">
        <v>393</v>
      </c>
      <c r="VF7" s="8">
        <v>113</v>
      </c>
      <c r="VG7" s="12">
        <v>616</v>
      </c>
      <c r="VH7" s="8">
        <v>142</v>
      </c>
      <c r="VI7" s="28">
        <v>129</v>
      </c>
      <c r="VJ7" s="8">
        <v>895</v>
      </c>
      <c r="VK7" s="28">
        <v>458</v>
      </c>
      <c r="VL7" s="21"/>
      <c r="VM7" s="8">
        <v>-2335</v>
      </c>
      <c r="VO7" s="8">
        <v>242</v>
      </c>
      <c r="VQ7" s="8">
        <v>57</v>
      </c>
      <c r="VR7" s="28">
        <v>13</v>
      </c>
      <c r="VS7" s="8">
        <v>-4947</v>
      </c>
      <c r="VT7" s="12">
        <v>3246</v>
      </c>
      <c r="VV7" s="8">
        <v>10356</v>
      </c>
      <c r="VW7" s="28">
        <v>241</v>
      </c>
      <c r="VX7" s="8">
        <v>102</v>
      </c>
      <c r="VY7" s="12">
        <v>387</v>
      </c>
      <c r="VZ7" s="8">
        <v>353</v>
      </c>
      <c r="WA7" s="28">
        <v>144</v>
      </c>
      <c r="WB7" s="8">
        <v>3353</v>
      </c>
      <c r="WC7" s="12">
        <v>517</v>
      </c>
      <c r="WD7" s="8">
        <v>-3885</v>
      </c>
      <c r="WG7" s="8">
        <v>-1133</v>
      </c>
      <c r="WH7" s="27"/>
      <c r="WI7" s="8">
        <v>7789</v>
      </c>
      <c r="WK7" s="20"/>
      <c r="WL7" s="9">
        <v>-382</v>
      </c>
      <c r="WN7">
        <v>15176</v>
      </c>
      <c r="WO7" s="10"/>
      <c r="WP7" s="2">
        <v>-776</v>
      </c>
      <c r="WR7" s="10">
        <v>1648</v>
      </c>
      <c r="WS7">
        <v>1109</v>
      </c>
      <c r="WU7">
        <v>671</v>
      </c>
      <c r="WW7" s="20"/>
      <c r="WX7">
        <v>-38036</v>
      </c>
      <c r="WY7" s="10">
        <v>30263</v>
      </c>
      <c r="WZ7" s="20"/>
      <c r="XA7"/>
      <c r="XB7" s="23">
        <v>3</v>
      </c>
      <c r="XE7" s="8">
        <v>2035</v>
      </c>
      <c r="XG7" s="2">
        <v>277</v>
      </c>
      <c r="XK7">
        <v>8</v>
      </c>
      <c r="XM7">
        <v>26</v>
      </c>
      <c r="XO7">
        <v>-69</v>
      </c>
    </row>
    <row r="8" spans="1:642" x14ac:dyDescent="0.25">
      <c r="C8" s="3">
        <v>-22</v>
      </c>
      <c r="D8" s="4">
        <v>41</v>
      </c>
      <c r="E8">
        <v>-526</v>
      </c>
      <c r="F8" s="1">
        <v>722</v>
      </c>
      <c r="G8" s="2">
        <v>3</v>
      </c>
      <c r="H8" s="44"/>
      <c r="I8" s="2">
        <v>12</v>
      </c>
      <c r="J8" s="44"/>
      <c r="K8" s="2">
        <v>2721</v>
      </c>
      <c r="L8" s="1">
        <v>145</v>
      </c>
      <c r="M8">
        <v>51</v>
      </c>
      <c r="N8" s="1">
        <v>1</v>
      </c>
      <c r="O8" s="26"/>
      <c r="P8">
        <v>-381</v>
      </c>
      <c r="Q8" s="1">
        <v>138</v>
      </c>
      <c r="R8">
        <v>9</v>
      </c>
      <c r="S8" s="12">
        <v>146</v>
      </c>
      <c r="T8">
        <v>-5116</v>
      </c>
      <c r="U8" s="1">
        <v>1089</v>
      </c>
      <c r="V8">
        <v>-19</v>
      </c>
      <c r="W8" s="10">
        <v>354</v>
      </c>
      <c r="X8">
        <v>255</v>
      </c>
      <c r="Z8">
        <v>12</v>
      </c>
      <c r="AA8" s="1">
        <v>6</v>
      </c>
      <c r="AB8">
        <v>-92</v>
      </c>
      <c r="AC8" s="1">
        <v>42</v>
      </c>
      <c r="AD8">
        <v>672</v>
      </c>
      <c r="AE8" s="1">
        <v>3</v>
      </c>
      <c r="AF8">
        <v>-724</v>
      </c>
      <c r="AG8" s="1">
        <v>218</v>
      </c>
      <c r="AH8">
        <v>26</v>
      </c>
      <c r="AI8" s="1">
        <v>1</v>
      </c>
      <c r="AJ8" s="2">
        <v>17</v>
      </c>
      <c r="AK8" s="10">
        <v>143</v>
      </c>
      <c r="AL8">
        <v>-2913</v>
      </c>
      <c r="AM8" s="1">
        <v>641</v>
      </c>
      <c r="AN8">
        <v>-76037</v>
      </c>
      <c r="AO8" s="1">
        <v>3957</v>
      </c>
      <c r="AQ8">
        <v>-4540</v>
      </c>
      <c r="AR8" s="1">
        <v>804</v>
      </c>
      <c r="AT8">
        <v>31</v>
      </c>
      <c r="AU8" s="1">
        <v>11</v>
      </c>
      <c r="AV8" s="2">
        <v>-28</v>
      </c>
      <c r="AW8" s="1">
        <v>42</v>
      </c>
      <c r="AX8" s="1"/>
      <c r="AY8">
        <v>-5</v>
      </c>
      <c r="AZ8" s="1">
        <v>3</v>
      </c>
      <c r="BA8">
        <v>-189</v>
      </c>
      <c r="BB8" s="1">
        <v>436</v>
      </c>
      <c r="BD8" s="8">
        <v>58</v>
      </c>
      <c r="BE8" s="1">
        <v>113</v>
      </c>
      <c r="BF8">
        <v>-1241</v>
      </c>
      <c r="BG8" s="1">
        <v>1229</v>
      </c>
      <c r="BH8">
        <v>-2778</v>
      </c>
      <c r="BI8" s="1">
        <v>1215</v>
      </c>
      <c r="BJ8">
        <v>86</v>
      </c>
      <c r="BL8">
        <v>58</v>
      </c>
      <c r="BM8" s="1">
        <v>2</v>
      </c>
      <c r="BN8">
        <v>-4</v>
      </c>
      <c r="BP8">
        <v>-971</v>
      </c>
      <c r="BQ8" s="10">
        <v>2882</v>
      </c>
      <c r="BR8">
        <v>4633778</v>
      </c>
      <c r="BS8" s="1">
        <v>17627</v>
      </c>
      <c r="BT8">
        <v>111</v>
      </c>
      <c r="BU8" s="1">
        <v>387</v>
      </c>
      <c r="BV8">
        <v>-59</v>
      </c>
      <c r="BW8" s="1">
        <v>20</v>
      </c>
      <c r="BX8">
        <v>10</v>
      </c>
      <c r="CA8" s="8">
        <v>-213</v>
      </c>
      <c r="CB8" s="28">
        <v>554</v>
      </c>
      <c r="CC8" s="8">
        <v>-1</v>
      </c>
      <c r="CD8" s="28">
        <v>8</v>
      </c>
      <c r="CE8" s="8">
        <v>267</v>
      </c>
      <c r="CF8" s="28">
        <v>148</v>
      </c>
      <c r="CG8" s="8">
        <v>1448</v>
      </c>
      <c r="CI8" s="8">
        <v>386</v>
      </c>
      <c r="CJ8" s="12">
        <v>242</v>
      </c>
      <c r="CK8" s="6">
        <v>-45</v>
      </c>
      <c r="CL8" s="28">
        <v>18</v>
      </c>
      <c r="CM8" s="8">
        <v>-207</v>
      </c>
      <c r="CN8" s="28">
        <v>121</v>
      </c>
      <c r="CO8" s="6">
        <v>-102</v>
      </c>
      <c r="CP8" s="28"/>
      <c r="CQ8" s="6">
        <v>723</v>
      </c>
      <c r="CR8" s="12">
        <v>143</v>
      </c>
      <c r="CS8" s="6">
        <v>146</v>
      </c>
      <c r="CT8" s="28">
        <v>445</v>
      </c>
      <c r="CU8" s="6">
        <v>-5</v>
      </c>
      <c r="CV8" s="28"/>
      <c r="CW8" s="6">
        <v>-11</v>
      </c>
      <c r="CX8" s="28">
        <v>7</v>
      </c>
      <c r="CZ8" s="23">
        <v>219</v>
      </c>
      <c r="DA8" s="25">
        <v>551</v>
      </c>
      <c r="DB8" s="23">
        <v>3</v>
      </c>
      <c r="DC8" s="25">
        <v>1</v>
      </c>
      <c r="DD8" s="23">
        <v>-144</v>
      </c>
      <c r="DE8" s="25">
        <v>14</v>
      </c>
      <c r="DF8" s="86">
        <v>118</v>
      </c>
      <c r="DG8" s="25">
        <v>155</v>
      </c>
      <c r="DH8" s="23">
        <v>388</v>
      </c>
      <c r="DI8" s="25">
        <v>248</v>
      </c>
      <c r="DJ8" s="23">
        <v>-180</v>
      </c>
      <c r="DK8" s="28">
        <v>213</v>
      </c>
      <c r="DL8" s="8">
        <v>627</v>
      </c>
      <c r="DN8" s="8">
        <v>10</v>
      </c>
      <c r="DQ8" s="8">
        <v>53</v>
      </c>
      <c r="DR8" s="52">
        <v>137</v>
      </c>
      <c r="DS8" s="6">
        <v>-12</v>
      </c>
      <c r="DT8" s="52">
        <v>7</v>
      </c>
      <c r="DU8" s="8">
        <v>-597</v>
      </c>
      <c r="DV8" s="28">
        <v>142</v>
      </c>
      <c r="DW8" s="8">
        <v>279</v>
      </c>
      <c r="DX8" s="28">
        <v>326</v>
      </c>
      <c r="DY8" s="6">
        <v>121</v>
      </c>
      <c r="DZ8" s="52">
        <v>824</v>
      </c>
      <c r="EA8" s="23">
        <v>-131</v>
      </c>
      <c r="EB8" s="52">
        <v>110</v>
      </c>
      <c r="EC8" s="6">
        <v>49</v>
      </c>
      <c r="ED8" s="28">
        <v>4</v>
      </c>
      <c r="EE8" s="8">
        <v>309</v>
      </c>
      <c r="EF8" s="52">
        <v>506</v>
      </c>
      <c r="EG8" s="8">
        <v>952</v>
      </c>
      <c r="EH8" s="28">
        <v>333</v>
      </c>
      <c r="EI8" s="8">
        <v>-15</v>
      </c>
      <c r="EJ8" s="52">
        <v>416</v>
      </c>
      <c r="EL8" s="8">
        <v>27</v>
      </c>
      <c r="EM8" s="28">
        <v>1</v>
      </c>
      <c r="EN8" s="8">
        <v>100</v>
      </c>
      <c r="EO8" s="28">
        <v>10</v>
      </c>
      <c r="EP8" s="8">
        <v>-299</v>
      </c>
      <c r="EQ8" s="52">
        <v>216</v>
      </c>
      <c r="ER8" s="8">
        <v>5</v>
      </c>
      <c r="ES8" s="52">
        <v>16</v>
      </c>
      <c r="ET8" s="8">
        <v>-8</v>
      </c>
      <c r="EU8" s="52">
        <v>58</v>
      </c>
      <c r="EV8" s="8">
        <v>-230</v>
      </c>
      <c r="EX8" s="8">
        <v>337</v>
      </c>
      <c r="EY8" s="28">
        <v>485</v>
      </c>
      <c r="EZ8" s="8">
        <v>-177</v>
      </c>
      <c r="FA8" s="52">
        <v>949</v>
      </c>
      <c r="FB8" s="8">
        <v>36</v>
      </c>
      <c r="FC8" s="52">
        <v>131</v>
      </c>
      <c r="FD8" s="6">
        <v>554</v>
      </c>
      <c r="FE8" s="28">
        <v>627</v>
      </c>
      <c r="FF8" s="8">
        <v>-175</v>
      </c>
      <c r="FG8" s="28">
        <v>56</v>
      </c>
      <c r="FH8" s="8">
        <v>257</v>
      </c>
      <c r="FI8" s="28">
        <v>263</v>
      </c>
      <c r="FJ8" s="8">
        <v>849</v>
      </c>
      <c r="FK8" s="52">
        <v>486</v>
      </c>
      <c r="FM8" s="8">
        <v>189</v>
      </c>
      <c r="FN8" s="52">
        <v>118</v>
      </c>
      <c r="FO8" s="8">
        <v>404</v>
      </c>
      <c r="FP8" s="28">
        <v>70</v>
      </c>
      <c r="FQ8" s="8">
        <v>-4</v>
      </c>
      <c r="FR8" s="28">
        <v>4</v>
      </c>
      <c r="FS8" s="8">
        <v>523</v>
      </c>
      <c r="FU8" s="28">
        <v>216</v>
      </c>
      <c r="FV8" s="8">
        <v>-91</v>
      </c>
      <c r="FW8" s="28">
        <v>77</v>
      </c>
      <c r="FX8" s="8">
        <v>575</v>
      </c>
      <c r="FY8" s="28">
        <v>2</v>
      </c>
      <c r="GA8" s="8">
        <v>-125</v>
      </c>
      <c r="GB8" s="52">
        <v>5</v>
      </c>
      <c r="GC8" s="8">
        <v>-114</v>
      </c>
      <c r="GE8" s="8">
        <v>-58</v>
      </c>
      <c r="GF8" s="28">
        <v>28</v>
      </c>
      <c r="GG8" s="8">
        <v>519</v>
      </c>
      <c r="GH8" s="28">
        <v>293</v>
      </c>
      <c r="GI8" s="8">
        <v>-30</v>
      </c>
      <c r="GJ8" s="28">
        <v>60</v>
      </c>
      <c r="GK8" s="8">
        <v>184</v>
      </c>
      <c r="GL8" s="28">
        <v>288</v>
      </c>
      <c r="GN8" s="8">
        <v>-613</v>
      </c>
      <c r="GO8" s="28">
        <v>101</v>
      </c>
      <c r="GP8" s="8">
        <v>19</v>
      </c>
      <c r="GQ8" s="52">
        <v>351</v>
      </c>
      <c r="GR8" s="8">
        <v>23</v>
      </c>
      <c r="GS8" s="28">
        <v>14</v>
      </c>
      <c r="GT8" s="6">
        <v>-654</v>
      </c>
      <c r="GU8" s="52">
        <v>311</v>
      </c>
      <c r="GV8" s="6">
        <v>551</v>
      </c>
      <c r="GW8" s="28">
        <v>128</v>
      </c>
      <c r="GX8" s="8">
        <v>682</v>
      </c>
      <c r="GY8" s="52">
        <v>732</v>
      </c>
      <c r="GZ8" s="8">
        <v>-682</v>
      </c>
      <c r="HA8" s="28">
        <v>181</v>
      </c>
      <c r="HB8" s="6">
        <v>37</v>
      </c>
      <c r="HC8" s="28"/>
      <c r="HE8" s="8">
        <v>-189</v>
      </c>
      <c r="HF8" s="28">
        <v>73</v>
      </c>
      <c r="HG8" s="8">
        <v>-112</v>
      </c>
      <c r="HI8" s="8">
        <v>461</v>
      </c>
      <c r="HJ8" s="28">
        <v>106</v>
      </c>
      <c r="HK8" s="8">
        <v>145</v>
      </c>
      <c r="HL8" s="52">
        <v>205</v>
      </c>
      <c r="HM8" s="8">
        <v>-130</v>
      </c>
      <c r="HO8" s="8">
        <v>-181</v>
      </c>
      <c r="HP8" s="28">
        <v>296</v>
      </c>
      <c r="HQ8" s="6">
        <v>17</v>
      </c>
      <c r="HR8" s="28">
        <v>4</v>
      </c>
      <c r="HS8" s="8">
        <v>-2</v>
      </c>
      <c r="HT8" s="52">
        <v>248</v>
      </c>
      <c r="HV8" s="8">
        <v>-826</v>
      </c>
      <c r="HW8" s="28">
        <v>179</v>
      </c>
      <c r="HX8" s="8">
        <v>7</v>
      </c>
      <c r="HY8" s="28">
        <v>12</v>
      </c>
      <c r="HZ8" s="8">
        <v>3</v>
      </c>
      <c r="IB8" s="8">
        <v>142</v>
      </c>
      <c r="IC8" s="28">
        <v>788</v>
      </c>
      <c r="ID8" s="8">
        <v>-37</v>
      </c>
      <c r="IE8" s="28">
        <v>681</v>
      </c>
      <c r="IF8" s="8">
        <v>374</v>
      </c>
      <c r="IG8" s="28">
        <v>254</v>
      </c>
      <c r="IH8" s="8">
        <v>171</v>
      </c>
      <c r="II8" s="28">
        <v>123</v>
      </c>
      <c r="IK8" s="8">
        <v>23</v>
      </c>
      <c r="IM8" s="8">
        <v>141</v>
      </c>
      <c r="IO8">
        <v>-281</v>
      </c>
      <c r="IP8" s="10">
        <v>165</v>
      </c>
      <c r="IQ8" s="8">
        <v>709</v>
      </c>
      <c r="IR8" s="28">
        <v>18</v>
      </c>
      <c r="IS8" s="6">
        <v>-323</v>
      </c>
      <c r="IT8" s="28">
        <v>701</v>
      </c>
      <c r="IU8" s="8">
        <v>570</v>
      </c>
      <c r="IV8" s="28">
        <v>235</v>
      </c>
      <c r="IW8" s="8">
        <v>993</v>
      </c>
      <c r="IY8" s="8">
        <v>-491</v>
      </c>
      <c r="JA8" s="8">
        <v>-115</v>
      </c>
      <c r="JB8" s="12">
        <v>303</v>
      </c>
      <c r="JD8" s="8">
        <v>913</v>
      </c>
      <c r="JE8" s="28">
        <v>234</v>
      </c>
      <c r="JF8" s="8">
        <v>263</v>
      </c>
      <c r="JG8" s="28">
        <v>89</v>
      </c>
      <c r="JH8" s="8">
        <v>-850</v>
      </c>
      <c r="JI8" s="28">
        <v>215</v>
      </c>
      <c r="JJ8" s="8">
        <v>2</v>
      </c>
      <c r="JK8" s="28">
        <v>9</v>
      </c>
      <c r="JL8" s="8">
        <v>-965</v>
      </c>
      <c r="JM8" s="12">
        <v>138</v>
      </c>
      <c r="JN8" s="8">
        <v>-1</v>
      </c>
      <c r="JO8" s="28">
        <v>2</v>
      </c>
      <c r="JP8" s="6">
        <v>169</v>
      </c>
      <c r="JQ8" s="12">
        <v>743</v>
      </c>
      <c r="JR8" s="8">
        <v>641</v>
      </c>
      <c r="JS8" s="12">
        <v>944</v>
      </c>
      <c r="JT8" s="6">
        <v>382</v>
      </c>
      <c r="JU8" s="12">
        <v>939</v>
      </c>
      <c r="JW8" s="8">
        <v>-756</v>
      </c>
      <c r="JX8" s="12">
        <v>115</v>
      </c>
      <c r="JY8" s="8">
        <v>111</v>
      </c>
      <c r="JZ8" s="28">
        <v>37</v>
      </c>
      <c r="KA8" s="8">
        <v>163</v>
      </c>
      <c r="KB8" s="28">
        <v>36</v>
      </c>
      <c r="KC8" s="8">
        <v>-699</v>
      </c>
      <c r="KD8" s="28">
        <v>100</v>
      </c>
      <c r="KE8" s="6">
        <v>-628</v>
      </c>
      <c r="KF8" s="12">
        <v>204</v>
      </c>
      <c r="KI8" s="8">
        <v>163</v>
      </c>
      <c r="KJ8" s="28">
        <v>861</v>
      </c>
      <c r="KK8" s="8">
        <v>-963</v>
      </c>
      <c r="KL8" s="28">
        <v>442</v>
      </c>
      <c r="KM8" s="6">
        <v>755</v>
      </c>
      <c r="KN8" s="28">
        <v>155</v>
      </c>
      <c r="KO8" s="8">
        <v>145</v>
      </c>
      <c r="KQ8" s="8">
        <v>248</v>
      </c>
      <c r="KR8" s="28">
        <v>53</v>
      </c>
      <c r="KT8" s="8">
        <v>7</v>
      </c>
      <c r="KU8" s="28">
        <v>8</v>
      </c>
      <c r="KV8" s="8">
        <v>147</v>
      </c>
      <c r="KX8" s="8">
        <v>10</v>
      </c>
      <c r="KY8" s="12">
        <v>456</v>
      </c>
      <c r="KZ8" s="8">
        <v>-13</v>
      </c>
      <c r="LA8" s="12">
        <v>121</v>
      </c>
      <c r="LD8" s="8">
        <v>315</v>
      </c>
      <c r="LE8" s="28">
        <v>114</v>
      </c>
      <c r="LF8" s="8">
        <v>-563</v>
      </c>
      <c r="LG8" s="28">
        <v>663</v>
      </c>
      <c r="LH8" s="6">
        <v>-699</v>
      </c>
      <c r="LJ8" s="8">
        <v>629</v>
      </c>
      <c r="LK8" s="28">
        <v>672</v>
      </c>
      <c r="LL8" s="8">
        <v>51</v>
      </c>
      <c r="LM8" s="28">
        <v>39</v>
      </c>
      <c r="LN8" s="8">
        <v>-167</v>
      </c>
      <c r="LO8" s="28">
        <v>413</v>
      </c>
      <c r="LS8" s="8">
        <v>87</v>
      </c>
      <c r="LU8" s="8">
        <v>-386</v>
      </c>
      <c r="LV8" s="12">
        <v>695</v>
      </c>
      <c r="LW8" s="8">
        <v>-214</v>
      </c>
      <c r="LX8" s="28">
        <v>125</v>
      </c>
      <c r="LZ8" s="8">
        <v>737</v>
      </c>
      <c r="MB8" s="8">
        <v>3</v>
      </c>
      <c r="MC8" s="28">
        <v>1</v>
      </c>
      <c r="MF8" s="8">
        <v>880</v>
      </c>
      <c r="MG8" s="12">
        <v>633</v>
      </c>
      <c r="MH8" s="8">
        <v>19</v>
      </c>
      <c r="MJ8" s="8">
        <v>125</v>
      </c>
      <c r="MK8" s="12">
        <v>196</v>
      </c>
      <c r="ML8" s="8">
        <v>634</v>
      </c>
      <c r="MM8" s="60">
        <v>629</v>
      </c>
      <c r="MN8" s="8">
        <v>476</v>
      </c>
      <c r="MO8" s="28">
        <v>95</v>
      </c>
      <c r="MQ8" s="8">
        <v>-849</v>
      </c>
      <c r="MR8" s="28">
        <v>11</v>
      </c>
      <c r="MS8" s="8">
        <v>-99</v>
      </c>
      <c r="MT8" s="12">
        <v>681</v>
      </c>
      <c r="MU8" s="8">
        <v>19</v>
      </c>
      <c r="MV8" s="28">
        <v>9</v>
      </c>
      <c r="MZ8" s="8">
        <v>408</v>
      </c>
      <c r="NA8" s="12">
        <v>137</v>
      </c>
      <c r="NC8" s="8">
        <v>-137</v>
      </c>
      <c r="ND8" s="12">
        <v>412</v>
      </c>
      <c r="NE8" s="8">
        <v>145</v>
      </c>
      <c r="NF8" s="28">
        <v>105</v>
      </c>
      <c r="NG8" s="8">
        <v>210</v>
      </c>
      <c r="NH8" s="28">
        <v>27</v>
      </c>
      <c r="NI8" s="8">
        <v>1</v>
      </c>
      <c r="NJ8" s="28">
        <v>1</v>
      </c>
      <c r="NL8" s="8">
        <v>264</v>
      </c>
      <c r="NM8" s="28">
        <v>41</v>
      </c>
      <c r="NN8" s="8">
        <v>-177</v>
      </c>
      <c r="NO8" s="28">
        <v>564</v>
      </c>
      <c r="NP8" s="8">
        <v>288</v>
      </c>
      <c r="NQ8" s="12">
        <v>975</v>
      </c>
      <c r="NR8" s="8">
        <v>-108</v>
      </c>
      <c r="NS8" s="12">
        <v>23</v>
      </c>
      <c r="NU8" s="8">
        <v>986</v>
      </c>
      <c r="NV8" s="12">
        <v>139</v>
      </c>
      <c r="NW8" s="8">
        <v>436</v>
      </c>
      <c r="NX8" s="28">
        <v>238</v>
      </c>
      <c r="NY8" s="8">
        <v>71</v>
      </c>
      <c r="NZ8" s="12">
        <v>179</v>
      </c>
      <c r="OA8" s="8">
        <v>130</v>
      </c>
      <c r="OB8" s="28">
        <v>582</v>
      </c>
      <c r="OC8" s="8">
        <v>130</v>
      </c>
      <c r="OD8" s="12">
        <v>124</v>
      </c>
      <c r="OE8" s="8">
        <v>-890</v>
      </c>
      <c r="OF8" s="12">
        <v>511</v>
      </c>
      <c r="OG8" s="28"/>
      <c r="OH8" s="8">
        <v>-88</v>
      </c>
      <c r="OI8" s="28">
        <v>15</v>
      </c>
      <c r="OK8" s="8">
        <v>-3</v>
      </c>
      <c r="OL8" s="28">
        <v>5</v>
      </c>
      <c r="OM8" s="8">
        <v>-153</v>
      </c>
      <c r="ON8" s="28">
        <v>303</v>
      </c>
      <c r="OO8" s="8">
        <v>49</v>
      </c>
      <c r="OP8" s="28">
        <v>107</v>
      </c>
      <c r="OQ8" s="8">
        <v>32</v>
      </c>
      <c r="OR8" s="12">
        <v>102</v>
      </c>
      <c r="OS8" s="8">
        <v>228</v>
      </c>
      <c r="OT8" s="28">
        <v>418</v>
      </c>
      <c r="OU8" s="12">
        <v>547</v>
      </c>
      <c r="OV8" s="8">
        <v>100</v>
      </c>
      <c r="OY8" s="8">
        <v>88</v>
      </c>
      <c r="OZ8" s="12">
        <v>182</v>
      </c>
      <c r="PA8" s="8">
        <v>355</v>
      </c>
      <c r="PC8" s="8">
        <v>159</v>
      </c>
      <c r="PD8" s="28">
        <v>168</v>
      </c>
      <c r="PE8" s="8">
        <v>204</v>
      </c>
      <c r="PF8" s="12">
        <v>583</v>
      </c>
      <c r="PG8" s="8">
        <v>663</v>
      </c>
      <c r="PH8" s="12">
        <v>267</v>
      </c>
      <c r="PJ8" s="8">
        <v>189</v>
      </c>
      <c r="PK8" s="12">
        <v>235</v>
      </c>
      <c r="PL8" s="8">
        <v>110</v>
      </c>
      <c r="PM8" s="28">
        <v>53</v>
      </c>
      <c r="PN8" s="8">
        <v>114</v>
      </c>
      <c r="PO8" s="28">
        <v>127</v>
      </c>
      <c r="PP8" s="8">
        <v>444</v>
      </c>
      <c r="PQ8" s="28">
        <v>17</v>
      </c>
      <c r="PR8" s="28"/>
      <c r="PS8" s="8">
        <v>841</v>
      </c>
      <c r="PU8" s="28">
        <v>141</v>
      </c>
      <c r="PW8" s="8">
        <v>150</v>
      </c>
      <c r="PX8" s="28">
        <v>107</v>
      </c>
      <c r="PY8" s="8">
        <v>-1</v>
      </c>
      <c r="PZ8" s="12">
        <v>242</v>
      </c>
      <c r="QA8" s="8">
        <v>954</v>
      </c>
      <c r="QB8" s="12">
        <v>804</v>
      </c>
      <c r="QC8" s="8">
        <v>118</v>
      </c>
      <c r="QD8" s="12">
        <v>826</v>
      </c>
      <c r="QE8" s="8">
        <v>110</v>
      </c>
      <c r="QF8" s="12">
        <v>223</v>
      </c>
      <c r="QH8" s="8">
        <v>-68</v>
      </c>
      <c r="QI8" s="12">
        <v>103</v>
      </c>
      <c r="QJ8" s="8">
        <v>96</v>
      </c>
      <c r="QL8" s="8">
        <v>72</v>
      </c>
      <c r="QM8" s="12">
        <v>150</v>
      </c>
      <c r="QN8" s="6">
        <v>48</v>
      </c>
      <c r="QO8" s="12"/>
      <c r="QQ8" s="8">
        <v>33</v>
      </c>
      <c r="QR8" s="12">
        <f t="shared" si="0"/>
        <v>9.6953597148326587</v>
      </c>
      <c r="QS8" s="8">
        <v>94</v>
      </c>
      <c r="QT8" s="8">
        <v>499</v>
      </c>
      <c r="QU8" s="12">
        <v>116</v>
      </c>
      <c r="QV8" s="6">
        <v>147</v>
      </c>
      <c r="QW8" s="12">
        <v>958</v>
      </c>
      <c r="QY8" s="8">
        <v>1100</v>
      </c>
      <c r="QZ8" s="12">
        <v>406</v>
      </c>
      <c r="RA8" s="8">
        <v>133</v>
      </c>
      <c r="RB8" s="12">
        <v>554</v>
      </c>
      <c r="RC8" s="6">
        <v>-130</v>
      </c>
      <c r="RD8" s="12">
        <v>69</v>
      </c>
      <c r="RE8" s="6">
        <v>143</v>
      </c>
      <c r="RF8" s="12">
        <v>861</v>
      </c>
      <c r="RG8" s="8">
        <v>-421</v>
      </c>
      <c r="RH8" s="28">
        <v>86</v>
      </c>
      <c r="RJ8" s="8">
        <v>-80</v>
      </c>
      <c r="RK8" s="12">
        <v>109</v>
      </c>
      <c r="RL8" s="8">
        <v>17</v>
      </c>
      <c r="RM8" s="12">
        <v>635</v>
      </c>
      <c r="RO8" s="8">
        <v>39</v>
      </c>
      <c r="RP8" s="28">
        <v>2</v>
      </c>
      <c r="RQ8" s="8">
        <v>209</v>
      </c>
      <c r="RR8" s="12">
        <v>191</v>
      </c>
      <c r="RS8" s="6">
        <v>-954</v>
      </c>
      <c r="RT8" s="12">
        <v>235</v>
      </c>
      <c r="RV8" s="8">
        <v>24</v>
      </c>
      <c r="RW8" s="52">
        <v>579</v>
      </c>
      <c r="RY8" s="48">
        <v>98</v>
      </c>
      <c r="RZ8" s="49">
        <v>94</v>
      </c>
      <c r="SA8" s="8">
        <v>106</v>
      </c>
      <c r="SB8" s="28">
        <v>2</v>
      </c>
      <c r="SD8" s="8">
        <v>739</v>
      </c>
      <c r="SE8" s="12">
        <v>510</v>
      </c>
      <c r="SF8" s="8">
        <v>474</v>
      </c>
      <c r="SG8" s="12">
        <v>100</v>
      </c>
      <c r="SI8" s="8">
        <v>-254</v>
      </c>
      <c r="SJ8" s="12">
        <v>626</v>
      </c>
      <c r="SK8" s="8">
        <v>178</v>
      </c>
      <c r="SL8" s="12">
        <v>28</v>
      </c>
      <c r="SM8" s="8">
        <v>114</v>
      </c>
      <c r="SN8" s="12">
        <v>514</v>
      </c>
      <c r="SP8" s="8">
        <v>5</v>
      </c>
      <c r="SQ8" s="12">
        <v>2</v>
      </c>
      <c r="SU8" s="8">
        <v>72</v>
      </c>
      <c r="SV8" s="28">
        <v>145</v>
      </c>
      <c r="SW8" s="8">
        <v>140</v>
      </c>
      <c r="SX8" s="28">
        <v>259</v>
      </c>
      <c r="SY8" s="6">
        <v>4</v>
      </c>
      <c r="SZ8" s="28">
        <v>18</v>
      </c>
      <c r="TA8" s="6">
        <v>-64</v>
      </c>
      <c r="TB8" s="12">
        <v>185</v>
      </c>
      <c r="TC8" s="8">
        <v>389</v>
      </c>
      <c r="TD8" s="28">
        <v>482</v>
      </c>
      <c r="TH8" s="8">
        <v>-300</v>
      </c>
      <c r="TI8" s="28">
        <v>77</v>
      </c>
      <c r="TJ8" s="8">
        <v>-325</v>
      </c>
      <c r="TM8" s="8">
        <v>77</v>
      </c>
      <c r="TN8" s="28">
        <v>15</v>
      </c>
      <c r="TO8" s="6">
        <v>295</v>
      </c>
      <c r="TP8" s="28">
        <v>6</v>
      </c>
      <c r="TQ8" s="8">
        <v>3</v>
      </c>
      <c r="TR8" s="28">
        <v>2</v>
      </c>
      <c r="TS8" s="8">
        <v>-80</v>
      </c>
      <c r="TT8" s="28">
        <v>55</v>
      </c>
      <c r="TU8" s="8">
        <v>81</v>
      </c>
      <c r="TV8" s="28">
        <v>16</v>
      </c>
      <c r="TX8" s="8">
        <v>568</v>
      </c>
      <c r="TY8" s="28">
        <v>112</v>
      </c>
      <c r="TZ8" s="8">
        <v>180</v>
      </c>
      <c r="UA8" s="12">
        <v>391</v>
      </c>
      <c r="UB8" s="8">
        <v>8</v>
      </c>
      <c r="UC8" s="12">
        <v>37</v>
      </c>
      <c r="UE8" s="8">
        <v>8</v>
      </c>
      <c r="UF8" s="12">
        <v>447</v>
      </c>
      <c r="UG8" s="8">
        <v>229</v>
      </c>
      <c r="UH8" s="12">
        <v>167</v>
      </c>
      <c r="UI8" s="8">
        <v>166</v>
      </c>
      <c r="UJ8" s="12">
        <v>135</v>
      </c>
      <c r="UL8" s="8">
        <v>538</v>
      </c>
      <c r="UM8" s="28">
        <v>15</v>
      </c>
      <c r="UN8" s="8">
        <v>239</v>
      </c>
      <c r="UO8" s="12">
        <v>37</v>
      </c>
      <c r="UQ8" s="8">
        <v>20</v>
      </c>
      <c r="US8" s="8">
        <v>812</v>
      </c>
      <c r="UT8" s="12">
        <v>780</v>
      </c>
      <c r="UU8" s="8">
        <v>77</v>
      </c>
      <c r="UV8" s="12">
        <v>33</v>
      </c>
      <c r="UX8" s="8">
        <v>54</v>
      </c>
      <c r="UY8" s="28">
        <v>16</v>
      </c>
      <c r="UZ8" s="8">
        <v>-836</v>
      </c>
      <c r="VA8" s="12">
        <v>397</v>
      </c>
      <c r="VB8" s="8">
        <v>985</v>
      </c>
      <c r="VC8" s="12">
        <v>276</v>
      </c>
      <c r="VD8" s="8">
        <v>35</v>
      </c>
      <c r="VE8" s="12">
        <v>824</v>
      </c>
      <c r="VF8" s="8">
        <v>695</v>
      </c>
      <c r="VG8" s="12">
        <v>232</v>
      </c>
      <c r="VH8" s="8">
        <v>561</v>
      </c>
      <c r="VI8" s="28">
        <v>153</v>
      </c>
      <c r="VJ8" s="8">
        <v>-218</v>
      </c>
      <c r="VK8" s="28">
        <v>124</v>
      </c>
      <c r="VL8" s="21"/>
      <c r="VM8" s="8">
        <v>-6672</v>
      </c>
      <c r="VO8" s="8">
        <v>-200</v>
      </c>
      <c r="VQ8" s="8">
        <v>59</v>
      </c>
      <c r="VR8" s="28">
        <v>12</v>
      </c>
      <c r="VS8" s="8">
        <v>1633</v>
      </c>
      <c r="VT8" s="12">
        <v>3097</v>
      </c>
      <c r="VU8" s="30" t="s">
        <v>72</v>
      </c>
      <c r="VV8" s="8">
        <v>10365</v>
      </c>
      <c r="VW8" s="28">
        <v>542</v>
      </c>
      <c r="VX8" s="8">
        <v>103</v>
      </c>
      <c r="VY8" s="12">
        <v>672</v>
      </c>
      <c r="VZ8" s="8">
        <v>-104</v>
      </c>
      <c r="WA8" s="28">
        <v>231</v>
      </c>
      <c r="WB8" s="8">
        <v>4130</v>
      </c>
      <c r="WC8" s="12">
        <v>764</v>
      </c>
      <c r="WD8" s="8">
        <v>-8797</v>
      </c>
      <c r="WG8" s="29">
        <v>-533</v>
      </c>
      <c r="WH8" s="27"/>
      <c r="WI8" s="8">
        <v>7863</v>
      </c>
      <c r="WK8" s="20"/>
      <c r="WL8" s="9">
        <v>-384</v>
      </c>
      <c r="WN8">
        <v>4067</v>
      </c>
      <c r="WO8" s="10">
        <v>5896</v>
      </c>
      <c r="WP8" s="2">
        <v>-1401</v>
      </c>
      <c r="WR8" s="10">
        <v>1696</v>
      </c>
      <c r="WS8">
        <v>446</v>
      </c>
      <c r="WU8">
        <v>-178</v>
      </c>
      <c r="WW8" s="20"/>
      <c r="WX8">
        <v>-28933</v>
      </c>
      <c r="WY8" s="10">
        <v>76375</v>
      </c>
      <c r="WZ8" s="20"/>
      <c r="XA8"/>
      <c r="XB8" s="23">
        <v>4</v>
      </c>
      <c r="XE8" s="8">
        <v>-45548</v>
      </c>
      <c r="XG8" s="2">
        <v>425</v>
      </c>
      <c r="XK8">
        <v>4</v>
      </c>
      <c r="XM8">
        <v>28</v>
      </c>
      <c r="XO8">
        <v>166</v>
      </c>
    </row>
    <row r="9" spans="1:642" x14ac:dyDescent="0.25">
      <c r="C9" s="3">
        <v>-4</v>
      </c>
      <c r="D9" s="4">
        <v>8</v>
      </c>
      <c r="E9">
        <v>-298</v>
      </c>
      <c r="F9" s="1">
        <v>145</v>
      </c>
      <c r="G9" s="2">
        <v>-4</v>
      </c>
      <c r="I9" s="2">
        <v>-74</v>
      </c>
      <c r="K9" s="2">
        <v>2719</v>
      </c>
      <c r="L9" s="1">
        <v>145</v>
      </c>
      <c r="M9">
        <v>14</v>
      </c>
      <c r="N9" s="1">
        <v>1</v>
      </c>
      <c r="O9" s="26"/>
      <c r="P9">
        <v>115</v>
      </c>
      <c r="Q9" s="1">
        <v>78</v>
      </c>
      <c r="R9">
        <v>31</v>
      </c>
      <c r="S9" s="12">
        <v>446</v>
      </c>
      <c r="T9">
        <v>-181</v>
      </c>
      <c r="U9" s="1">
        <v>1107</v>
      </c>
      <c r="V9">
        <v>-13</v>
      </c>
      <c r="W9" s="10">
        <v>148</v>
      </c>
      <c r="X9">
        <v>612</v>
      </c>
      <c r="Z9">
        <v>23</v>
      </c>
      <c r="AA9" s="1">
        <v>6</v>
      </c>
      <c r="AB9">
        <v>-138</v>
      </c>
      <c r="AC9" s="1">
        <v>57</v>
      </c>
      <c r="AD9">
        <v>677</v>
      </c>
      <c r="AE9" s="1">
        <v>3</v>
      </c>
      <c r="AF9">
        <v>-759</v>
      </c>
      <c r="AG9" s="1">
        <v>195</v>
      </c>
      <c r="AH9">
        <v>47</v>
      </c>
      <c r="AI9" s="1">
        <v>8</v>
      </c>
      <c r="AJ9" s="2">
        <v>4</v>
      </c>
      <c r="AK9" s="10">
        <v>33</v>
      </c>
      <c r="AL9">
        <v>-1423</v>
      </c>
      <c r="AM9" s="1">
        <v>152</v>
      </c>
      <c r="AN9">
        <v>696</v>
      </c>
      <c r="AO9" s="1">
        <v>2</v>
      </c>
      <c r="AQ9">
        <v>-1499</v>
      </c>
      <c r="AR9" s="1">
        <v>380</v>
      </c>
      <c r="AT9">
        <v>-118</v>
      </c>
      <c r="AU9" s="1">
        <v>50</v>
      </c>
      <c r="AV9" s="2">
        <v>305</v>
      </c>
      <c r="AW9" s="1">
        <v>30</v>
      </c>
      <c r="AX9" s="1"/>
      <c r="AY9">
        <v>2</v>
      </c>
      <c r="AZ9" s="1">
        <v>11</v>
      </c>
      <c r="BA9">
        <v>274</v>
      </c>
      <c r="BB9" s="1">
        <v>493</v>
      </c>
      <c r="BD9" s="8">
        <v>44</v>
      </c>
      <c r="BE9" s="1">
        <v>205</v>
      </c>
      <c r="BF9">
        <v>-1616</v>
      </c>
      <c r="BG9" s="1">
        <v>944</v>
      </c>
      <c r="BH9">
        <v>-1046</v>
      </c>
      <c r="BI9" s="1">
        <v>1026</v>
      </c>
      <c r="BJ9">
        <v>-318</v>
      </c>
      <c r="BL9">
        <v>2117</v>
      </c>
      <c r="BM9" s="1">
        <v>31</v>
      </c>
      <c r="BN9">
        <v>-30</v>
      </c>
      <c r="BP9">
        <v>-653</v>
      </c>
      <c r="BQ9" s="10">
        <v>1009</v>
      </c>
      <c r="BR9">
        <v>5646094</v>
      </c>
      <c r="BS9" s="1">
        <v>15336</v>
      </c>
      <c r="BT9">
        <v>338</v>
      </c>
      <c r="BU9" s="1">
        <v>464</v>
      </c>
      <c r="BV9">
        <v>-48</v>
      </c>
      <c r="BW9" s="1">
        <v>19</v>
      </c>
      <c r="BX9">
        <v>-5</v>
      </c>
      <c r="CA9" s="8">
        <v>-11</v>
      </c>
      <c r="CB9" s="28">
        <v>15</v>
      </c>
      <c r="CC9" s="8">
        <v>412</v>
      </c>
      <c r="CD9" s="28">
        <v>771</v>
      </c>
      <c r="CE9" s="8">
        <v>659</v>
      </c>
      <c r="CF9" s="28">
        <v>313</v>
      </c>
      <c r="CG9" s="8">
        <v>59</v>
      </c>
      <c r="CI9" s="8">
        <v>305</v>
      </c>
      <c r="CJ9" s="12">
        <v>295</v>
      </c>
      <c r="CK9" s="6">
        <v>-41</v>
      </c>
      <c r="CL9" s="28">
        <v>19</v>
      </c>
      <c r="CM9" s="8">
        <v>-762</v>
      </c>
      <c r="CN9" s="28">
        <v>319</v>
      </c>
      <c r="CO9" s="6">
        <v>-109</v>
      </c>
      <c r="CP9" s="28"/>
      <c r="CQ9" s="6">
        <v>724</v>
      </c>
      <c r="CR9" s="12">
        <v>140</v>
      </c>
      <c r="CS9" s="6">
        <v>-287</v>
      </c>
      <c r="CT9" s="28">
        <v>806</v>
      </c>
      <c r="CU9" s="6">
        <v>43</v>
      </c>
      <c r="CV9" s="28"/>
      <c r="CW9" s="6">
        <v>14</v>
      </c>
      <c r="CX9" s="28">
        <v>5</v>
      </c>
      <c r="CZ9" s="23">
        <v>-601</v>
      </c>
      <c r="DA9" s="25">
        <v>260</v>
      </c>
      <c r="DB9" s="23">
        <v>53</v>
      </c>
      <c r="DC9" s="25">
        <v>2</v>
      </c>
      <c r="DD9" s="23">
        <v>7</v>
      </c>
      <c r="DE9" s="25">
        <v>14</v>
      </c>
      <c r="DF9" s="86">
        <v>112</v>
      </c>
      <c r="DG9" s="25">
        <v>208</v>
      </c>
      <c r="DH9" s="23">
        <v>199</v>
      </c>
      <c r="DI9" s="25">
        <v>323</v>
      </c>
      <c r="DJ9" s="23">
        <v>279</v>
      </c>
      <c r="DK9" s="28">
        <v>212</v>
      </c>
      <c r="DL9" s="8">
        <v>727</v>
      </c>
      <c r="DN9" s="8">
        <v>9</v>
      </c>
      <c r="DQ9" s="8">
        <v>457</v>
      </c>
      <c r="DR9" s="52">
        <v>977</v>
      </c>
      <c r="DS9" s="6">
        <v>1</v>
      </c>
      <c r="DT9" s="52">
        <v>123</v>
      </c>
      <c r="DU9" s="8">
        <v>-529</v>
      </c>
      <c r="DV9" s="28">
        <v>139</v>
      </c>
      <c r="DW9" s="8">
        <v>-14</v>
      </c>
      <c r="DX9" s="28">
        <v>7</v>
      </c>
      <c r="DY9" s="6">
        <v>-108</v>
      </c>
      <c r="DZ9" s="52">
        <v>493</v>
      </c>
      <c r="EA9" s="23">
        <v>-596</v>
      </c>
      <c r="EB9" s="52">
        <v>103</v>
      </c>
      <c r="EC9" s="6">
        <v>60</v>
      </c>
      <c r="ED9" s="28">
        <v>8</v>
      </c>
      <c r="EE9" s="8">
        <v>150</v>
      </c>
      <c r="EF9" s="52">
        <v>108</v>
      </c>
      <c r="EG9" s="8">
        <v>280</v>
      </c>
      <c r="EH9" s="28">
        <v>111</v>
      </c>
      <c r="EI9" s="8">
        <v>-51</v>
      </c>
      <c r="EJ9" s="52">
        <v>478</v>
      </c>
      <c r="EL9" s="8">
        <v>652</v>
      </c>
      <c r="EM9" s="28">
        <v>475</v>
      </c>
      <c r="EN9" s="8">
        <v>218</v>
      </c>
      <c r="EO9" s="28">
        <v>16</v>
      </c>
      <c r="EP9" s="8">
        <v>-262</v>
      </c>
      <c r="EQ9" s="52">
        <v>287</v>
      </c>
      <c r="ER9" s="8">
        <v>106</v>
      </c>
      <c r="ES9" s="52">
        <v>345</v>
      </c>
      <c r="ET9" s="8">
        <v>-2</v>
      </c>
      <c r="EU9" s="52">
        <v>551</v>
      </c>
      <c r="EV9" s="8">
        <v>140</v>
      </c>
      <c r="EX9" s="8">
        <v>262</v>
      </c>
      <c r="EY9" s="28">
        <v>169</v>
      </c>
      <c r="EZ9" s="8">
        <v>450</v>
      </c>
      <c r="FA9" s="52">
        <v>244</v>
      </c>
      <c r="FB9" s="8">
        <v>-5</v>
      </c>
      <c r="FC9" s="52">
        <v>150</v>
      </c>
      <c r="FD9" s="6">
        <v>787</v>
      </c>
      <c r="FE9" s="28">
        <v>156</v>
      </c>
      <c r="FF9" s="8">
        <v>19</v>
      </c>
      <c r="FG9" s="28">
        <v>8</v>
      </c>
      <c r="FH9" s="8">
        <v>989</v>
      </c>
      <c r="FI9" s="28">
        <v>215</v>
      </c>
      <c r="FJ9" s="8">
        <v>-828</v>
      </c>
      <c r="FK9" s="52">
        <v>209</v>
      </c>
      <c r="FM9" s="8">
        <v>248</v>
      </c>
      <c r="FN9" s="52">
        <v>221</v>
      </c>
      <c r="FO9" s="8">
        <v>114</v>
      </c>
      <c r="FP9" s="28">
        <v>78</v>
      </c>
      <c r="FQ9" s="8">
        <v>-17</v>
      </c>
      <c r="FR9" s="28">
        <v>17</v>
      </c>
      <c r="FS9" s="8">
        <v>-912</v>
      </c>
      <c r="FU9" s="28">
        <v>731</v>
      </c>
      <c r="FV9" s="8">
        <v>-454</v>
      </c>
      <c r="FW9" s="28">
        <v>108</v>
      </c>
      <c r="FX9" s="8">
        <v>301</v>
      </c>
      <c r="FY9" s="28">
        <v>2</v>
      </c>
      <c r="GA9" s="8">
        <v>-79</v>
      </c>
      <c r="GB9" s="52">
        <v>51</v>
      </c>
      <c r="GC9" s="8">
        <v>-198</v>
      </c>
      <c r="GE9" s="8">
        <v>161</v>
      </c>
      <c r="GF9" s="28">
        <v>539</v>
      </c>
      <c r="GG9" s="8">
        <v>363</v>
      </c>
      <c r="GH9" s="28">
        <v>126</v>
      </c>
      <c r="GI9" s="8">
        <v>-22</v>
      </c>
      <c r="GJ9" s="28">
        <v>57</v>
      </c>
      <c r="GK9" s="8">
        <v>181</v>
      </c>
      <c r="GL9" s="28">
        <v>410</v>
      </c>
      <c r="GN9" s="8">
        <v>438</v>
      </c>
      <c r="GO9" s="28">
        <v>255</v>
      </c>
      <c r="GP9" s="8">
        <v>7</v>
      </c>
      <c r="GQ9" s="52">
        <v>167</v>
      </c>
      <c r="GR9" s="8">
        <v>7</v>
      </c>
      <c r="GS9" s="28">
        <v>10</v>
      </c>
      <c r="GT9" s="6">
        <v>361</v>
      </c>
      <c r="GU9" s="52">
        <v>170</v>
      </c>
      <c r="GV9" s="6">
        <v>732</v>
      </c>
      <c r="GW9" s="28">
        <v>243</v>
      </c>
      <c r="GX9" s="8">
        <v>438</v>
      </c>
      <c r="GY9" s="52">
        <v>618</v>
      </c>
      <c r="GZ9" s="8">
        <v>718</v>
      </c>
      <c r="HA9" s="28">
        <v>10</v>
      </c>
      <c r="HB9" s="6">
        <v>26</v>
      </c>
      <c r="HC9" s="28"/>
      <c r="HE9" s="8">
        <v>-140</v>
      </c>
      <c r="HF9" s="28">
        <v>137</v>
      </c>
      <c r="HG9" s="8">
        <v>-87</v>
      </c>
      <c r="HI9" s="8">
        <v>256</v>
      </c>
      <c r="HJ9" s="28">
        <v>261</v>
      </c>
      <c r="HK9" s="8">
        <v>932</v>
      </c>
      <c r="HL9" s="52">
        <v>661</v>
      </c>
      <c r="HM9" s="8">
        <v>823</v>
      </c>
      <c r="HO9" s="8">
        <v>-418</v>
      </c>
      <c r="HP9" s="28">
        <v>350</v>
      </c>
      <c r="HQ9" s="6">
        <v>8</v>
      </c>
      <c r="HR9" s="28">
        <v>7</v>
      </c>
      <c r="HS9" s="8">
        <v>8</v>
      </c>
      <c r="HT9" s="52">
        <v>116</v>
      </c>
      <c r="HV9" s="8">
        <v>641</v>
      </c>
      <c r="HW9" s="28">
        <v>194</v>
      </c>
      <c r="HX9" s="8">
        <v>-9</v>
      </c>
      <c r="HY9" s="28">
        <v>5</v>
      </c>
      <c r="HZ9" s="8">
        <v>14</v>
      </c>
      <c r="IB9" s="8">
        <v>122</v>
      </c>
      <c r="IC9" s="28">
        <v>109</v>
      </c>
      <c r="ID9" s="8">
        <v>-372</v>
      </c>
      <c r="IE9" s="28">
        <v>10</v>
      </c>
      <c r="IF9" s="8">
        <v>654</v>
      </c>
      <c r="IG9" s="28">
        <v>277</v>
      </c>
      <c r="IH9" s="8">
        <v>-225</v>
      </c>
      <c r="II9" s="28">
        <v>114</v>
      </c>
      <c r="IK9" s="8">
        <v>665</v>
      </c>
      <c r="IM9" s="8">
        <v>381</v>
      </c>
      <c r="IO9">
        <v>355</v>
      </c>
      <c r="IP9" s="10">
        <v>77</v>
      </c>
      <c r="IQ9" s="8">
        <v>704</v>
      </c>
      <c r="IR9" s="28">
        <v>20</v>
      </c>
      <c r="IS9" s="6">
        <v>302</v>
      </c>
      <c r="IT9" s="28">
        <v>559</v>
      </c>
      <c r="IU9" s="8">
        <v>207</v>
      </c>
      <c r="IV9" s="28">
        <v>106</v>
      </c>
      <c r="IW9" s="8">
        <v>-158</v>
      </c>
      <c r="IY9" s="8">
        <v>-890</v>
      </c>
      <c r="JA9" s="8">
        <v>-79</v>
      </c>
      <c r="JB9" s="12">
        <v>155</v>
      </c>
      <c r="JD9" s="8">
        <v>-210</v>
      </c>
      <c r="JE9" s="28">
        <v>257</v>
      </c>
      <c r="JF9" s="8">
        <v>100</v>
      </c>
      <c r="JG9" s="28">
        <v>90</v>
      </c>
      <c r="JH9" s="8">
        <v>-902</v>
      </c>
      <c r="JI9" s="28">
        <v>693</v>
      </c>
      <c r="JJ9" s="8">
        <v>-1</v>
      </c>
      <c r="JK9" s="28">
        <v>12</v>
      </c>
      <c r="JL9" s="8">
        <v>156</v>
      </c>
      <c r="JM9" s="12">
        <v>111</v>
      </c>
      <c r="JN9" s="8">
        <v>4</v>
      </c>
      <c r="JO9" s="28">
        <v>7</v>
      </c>
      <c r="JP9" s="6">
        <v>-3</v>
      </c>
      <c r="JQ9" s="12">
        <v>556</v>
      </c>
      <c r="JR9" s="8">
        <v>228</v>
      </c>
      <c r="JS9" s="12">
        <v>895</v>
      </c>
      <c r="JT9" s="6">
        <v>518</v>
      </c>
      <c r="JU9" s="12">
        <v>159</v>
      </c>
      <c r="JW9" s="8">
        <v>-189</v>
      </c>
      <c r="JX9" s="12">
        <v>394</v>
      </c>
      <c r="JY9" s="8">
        <v>147</v>
      </c>
      <c r="JZ9" s="28">
        <v>12</v>
      </c>
      <c r="KA9" s="8">
        <v>76</v>
      </c>
      <c r="KB9" s="28">
        <v>24</v>
      </c>
      <c r="KC9" s="8">
        <v>685</v>
      </c>
      <c r="KD9" s="28">
        <v>102</v>
      </c>
      <c r="KE9" s="6">
        <v>-142</v>
      </c>
      <c r="KF9" s="12">
        <v>132</v>
      </c>
      <c r="KI9" s="8">
        <v>111</v>
      </c>
      <c r="KJ9" s="28">
        <v>1</v>
      </c>
      <c r="KK9" s="8">
        <v>-122</v>
      </c>
      <c r="KL9" s="28">
        <v>236</v>
      </c>
      <c r="KM9" s="6">
        <v>223</v>
      </c>
      <c r="KN9" s="28">
        <v>173</v>
      </c>
      <c r="KO9" s="8">
        <v>256</v>
      </c>
      <c r="KQ9" s="8">
        <v>437</v>
      </c>
      <c r="KR9" s="28">
        <v>56</v>
      </c>
      <c r="KT9" s="8">
        <v>-3</v>
      </c>
      <c r="KU9" s="28">
        <v>1</v>
      </c>
      <c r="KV9" s="8">
        <v>-820</v>
      </c>
      <c r="KX9" s="8">
        <v>336</v>
      </c>
      <c r="KY9" s="12">
        <v>345</v>
      </c>
      <c r="KZ9" s="8">
        <v>-10</v>
      </c>
      <c r="LA9" s="12">
        <v>177</v>
      </c>
      <c r="LD9" s="8">
        <v>344</v>
      </c>
      <c r="LE9" s="28">
        <v>499</v>
      </c>
      <c r="LF9" s="8">
        <v>-592</v>
      </c>
      <c r="LG9" s="28">
        <v>687</v>
      </c>
      <c r="LH9" s="6">
        <v>-376</v>
      </c>
      <c r="LJ9" s="8">
        <v>550</v>
      </c>
      <c r="LK9" s="28">
        <v>114</v>
      </c>
      <c r="LL9" s="8">
        <v>-6</v>
      </c>
      <c r="LM9" s="28">
        <v>25</v>
      </c>
      <c r="LN9" s="8">
        <v>-163</v>
      </c>
      <c r="LO9" s="28">
        <v>198</v>
      </c>
      <c r="LS9" s="8">
        <v>93</v>
      </c>
      <c r="LU9" s="8">
        <v>414</v>
      </c>
      <c r="LV9" s="12">
        <v>251</v>
      </c>
      <c r="LW9" s="8">
        <v>-945</v>
      </c>
      <c r="LX9" s="28">
        <v>90</v>
      </c>
      <c r="LZ9" s="8">
        <v>621</v>
      </c>
      <c r="MB9" s="8">
        <v>309</v>
      </c>
      <c r="MC9" s="28">
        <v>104</v>
      </c>
      <c r="MF9" s="8">
        <v>154</v>
      </c>
      <c r="MG9" s="12">
        <v>410</v>
      </c>
      <c r="MH9" s="8">
        <v>12</v>
      </c>
      <c r="MJ9" s="8">
        <v>-24</v>
      </c>
      <c r="MK9" s="12">
        <v>133</v>
      </c>
      <c r="ML9" s="8">
        <v>-742</v>
      </c>
      <c r="MM9" s="60">
        <v>107</v>
      </c>
      <c r="MN9" s="8">
        <v>390</v>
      </c>
      <c r="MO9" s="28">
        <v>665</v>
      </c>
      <c r="MQ9" s="8">
        <v>123</v>
      </c>
      <c r="MR9" s="28">
        <v>124</v>
      </c>
      <c r="MS9" s="8">
        <v>-159</v>
      </c>
      <c r="MT9" s="12">
        <v>514</v>
      </c>
      <c r="MU9" s="8">
        <v>-105</v>
      </c>
      <c r="MV9" s="28">
        <v>33</v>
      </c>
      <c r="MZ9" s="8">
        <v>208</v>
      </c>
      <c r="NA9" s="12">
        <v>33</v>
      </c>
      <c r="NC9" s="8">
        <v>-43</v>
      </c>
      <c r="ND9" s="12">
        <v>283</v>
      </c>
      <c r="NE9" s="8">
        <v>704</v>
      </c>
      <c r="NF9" s="28">
        <v>270</v>
      </c>
      <c r="NG9" s="8">
        <v>254</v>
      </c>
      <c r="NH9" s="28">
        <v>25</v>
      </c>
      <c r="NI9" s="8">
        <v>-101</v>
      </c>
      <c r="NJ9" s="28">
        <v>86</v>
      </c>
      <c r="NL9" s="8">
        <v>58</v>
      </c>
      <c r="NM9" s="28">
        <v>36</v>
      </c>
      <c r="NN9" s="8">
        <v>112</v>
      </c>
      <c r="NO9" s="28">
        <v>343</v>
      </c>
      <c r="NP9" s="8">
        <v>195</v>
      </c>
      <c r="NQ9" s="12">
        <v>453</v>
      </c>
      <c r="NR9" s="8">
        <v>-248</v>
      </c>
      <c r="NS9" s="12">
        <v>62</v>
      </c>
      <c r="NU9" s="8">
        <v>22</v>
      </c>
      <c r="NV9" s="12">
        <v>96</v>
      </c>
      <c r="NW9" s="8">
        <v>237</v>
      </c>
      <c r="NX9" s="28">
        <v>167</v>
      </c>
      <c r="NY9" s="8">
        <v>-737</v>
      </c>
      <c r="NZ9" s="12">
        <v>190</v>
      </c>
      <c r="OA9" s="8">
        <v>-682</v>
      </c>
      <c r="OB9" s="28">
        <v>327</v>
      </c>
      <c r="OC9" s="8">
        <v>886</v>
      </c>
      <c r="OD9" s="12">
        <v>896</v>
      </c>
      <c r="OE9" s="8">
        <v>200</v>
      </c>
      <c r="OF9" s="12">
        <v>264</v>
      </c>
      <c r="OG9" s="28"/>
      <c r="OH9" s="8">
        <v>352</v>
      </c>
      <c r="OI9" s="28">
        <v>83</v>
      </c>
      <c r="OK9" s="8">
        <v>372</v>
      </c>
      <c r="OL9" s="28">
        <v>135</v>
      </c>
      <c r="OM9" s="8">
        <v>-152</v>
      </c>
      <c r="ON9" s="28">
        <v>101</v>
      </c>
      <c r="OO9" s="8">
        <v>-89</v>
      </c>
      <c r="OP9" s="28">
        <v>115</v>
      </c>
      <c r="OQ9" s="8">
        <v>-375</v>
      </c>
      <c r="OR9" s="12">
        <v>376</v>
      </c>
      <c r="OS9" s="8">
        <v>301</v>
      </c>
      <c r="OT9" s="28">
        <v>409</v>
      </c>
      <c r="OU9" s="12">
        <v>738</v>
      </c>
      <c r="OV9" s="8">
        <v>257</v>
      </c>
      <c r="OY9" s="8">
        <v>538</v>
      </c>
      <c r="OZ9" s="12">
        <v>456</v>
      </c>
      <c r="PA9" s="8">
        <v>644</v>
      </c>
      <c r="PC9" s="8">
        <v>212</v>
      </c>
      <c r="PD9" s="28">
        <v>33</v>
      </c>
      <c r="PE9" s="8">
        <v>441</v>
      </c>
      <c r="PF9" s="12">
        <v>723</v>
      </c>
      <c r="PG9" s="8">
        <v>-362</v>
      </c>
      <c r="PH9" s="12">
        <v>76</v>
      </c>
      <c r="PJ9" s="8">
        <v>-483</v>
      </c>
      <c r="PK9" s="12">
        <v>660</v>
      </c>
      <c r="PL9" s="8">
        <v>994</v>
      </c>
      <c r="PM9" s="28">
        <v>53</v>
      </c>
      <c r="PN9" s="8">
        <v>15</v>
      </c>
      <c r="PO9" s="28">
        <v>150</v>
      </c>
      <c r="PP9" s="8">
        <v>725</v>
      </c>
      <c r="PQ9" s="28">
        <v>17</v>
      </c>
      <c r="PR9" s="28"/>
      <c r="PS9" s="8">
        <v>308</v>
      </c>
      <c r="PU9" s="28">
        <v>573</v>
      </c>
      <c r="PW9" s="8">
        <v>274</v>
      </c>
      <c r="PX9" s="28">
        <v>55</v>
      </c>
      <c r="PY9" s="8">
        <v>-1</v>
      </c>
      <c r="PZ9" s="12">
        <v>95</v>
      </c>
      <c r="QA9" s="8">
        <v>25</v>
      </c>
      <c r="QB9" s="12">
        <v>311</v>
      </c>
      <c r="QC9" s="8">
        <v>639</v>
      </c>
      <c r="QD9" s="12">
        <v>192</v>
      </c>
      <c r="QE9" s="8">
        <v>-256</v>
      </c>
      <c r="QF9" s="12">
        <v>189</v>
      </c>
      <c r="QH9" s="8">
        <v>177</v>
      </c>
      <c r="QI9" s="12">
        <v>113</v>
      </c>
      <c r="QJ9" s="8">
        <v>60</v>
      </c>
      <c r="QL9" s="8">
        <v>-49</v>
      </c>
      <c r="QM9" s="12">
        <v>90</v>
      </c>
      <c r="QN9" s="6">
        <v>362</v>
      </c>
      <c r="QO9" s="12"/>
      <c r="QQ9" s="8">
        <v>23</v>
      </c>
      <c r="QR9" s="12">
        <f t="shared" si="0"/>
        <v>22.869193252058544</v>
      </c>
      <c r="QS9" s="8">
        <v>523</v>
      </c>
      <c r="QT9" s="8">
        <v>-145</v>
      </c>
      <c r="QU9" s="12">
        <v>790</v>
      </c>
      <c r="QV9" s="6">
        <v>458</v>
      </c>
      <c r="QW9" s="12">
        <v>115</v>
      </c>
      <c r="QY9" s="8">
        <v>128</v>
      </c>
      <c r="QZ9" s="12">
        <v>538</v>
      </c>
      <c r="RA9" s="8">
        <v>371</v>
      </c>
      <c r="RB9" s="12">
        <v>484</v>
      </c>
      <c r="RC9" s="6">
        <v>-176</v>
      </c>
      <c r="RD9" s="12">
        <v>89</v>
      </c>
      <c r="RE9" s="6">
        <v>174</v>
      </c>
      <c r="RF9" s="12">
        <v>116</v>
      </c>
      <c r="RG9" s="8">
        <v>44</v>
      </c>
      <c r="RH9" s="28">
        <v>122</v>
      </c>
      <c r="RJ9" s="8">
        <v>25</v>
      </c>
      <c r="RK9" s="12">
        <v>49</v>
      </c>
      <c r="RL9" s="8">
        <v>-33</v>
      </c>
      <c r="RM9" s="12">
        <v>455</v>
      </c>
      <c r="RQ9" s="8">
        <v>-122</v>
      </c>
      <c r="RR9" s="12">
        <v>292</v>
      </c>
      <c r="RS9" s="6">
        <v>424</v>
      </c>
      <c r="RT9" s="12">
        <v>107</v>
      </c>
      <c r="RV9" s="8">
        <v>104</v>
      </c>
      <c r="RW9" s="52">
        <v>156</v>
      </c>
      <c r="RY9" s="48">
        <v>453</v>
      </c>
      <c r="RZ9" s="49">
        <v>331</v>
      </c>
      <c r="SA9" s="8">
        <v>90</v>
      </c>
      <c r="SB9" s="28">
        <v>1</v>
      </c>
      <c r="SD9" s="8">
        <v>847</v>
      </c>
      <c r="SE9" s="12">
        <v>350</v>
      </c>
      <c r="SF9" s="8">
        <v>307</v>
      </c>
      <c r="SG9" s="12">
        <v>4312</v>
      </c>
      <c r="SI9" s="8">
        <v>-164</v>
      </c>
      <c r="SJ9" s="12">
        <v>120</v>
      </c>
      <c r="SK9" s="8">
        <v>261</v>
      </c>
      <c r="SL9" s="12">
        <v>111</v>
      </c>
      <c r="SM9" s="8">
        <v>-452</v>
      </c>
      <c r="SN9" s="12">
        <v>187</v>
      </c>
      <c r="SP9" s="8">
        <v>2</v>
      </c>
      <c r="SQ9" s="12">
        <v>3</v>
      </c>
      <c r="SU9" s="8">
        <v>677</v>
      </c>
      <c r="SV9" s="28">
        <v>24</v>
      </c>
      <c r="SW9" s="8">
        <v>-719</v>
      </c>
      <c r="SX9" s="28">
        <v>162</v>
      </c>
      <c r="SY9" s="6">
        <v>241</v>
      </c>
      <c r="SZ9" s="28">
        <v>517</v>
      </c>
      <c r="TA9" s="6">
        <v>-64</v>
      </c>
      <c r="TB9" s="12">
        <v>185</v>
      </c>
      <c r="TC9" s="8">
        <v>134</v>
      </c>
      <c r="TD9" s="28">
        <v>485</v>
      </c>
      <c r="TH9" s="8">
        <v>-377</v>
      </c>
      <c r="TI9" s="28">
        <v>80</v>
      </c>
      <c r="TM9" s="8">
        <v>23</v>
      </c>
      <c r="TN9" s="28">
        <v>15</v>
      </c>
      <c r="TO9" s="6">
        <v>149</v>
      </c>
      <c r="TP9" s="28">
        <v>30</v>
      </c>
      <c r="TQ9" s="8">
        <v>10</v>
      </c>
      <c r="TR9" s="28">
        <v>4</v>
      </c>
      <c r="TS9" s="8">
        <v>-163</v>
      </c>
      <c r="TT9" s="28">
        <v>78</v>
      </c>
      <c r="TU9" s="8">
        <v>-17</v>
      </c>
      <c r="TV9" s="28">
        <v>21</v>
      </c>
      <c r="TX9" s="8">
        <v>466</v>
      </c>
      <c r="TY9" s="28">
        <v>115</v>
      </c>
      <c r="TZ9" s="8">
        <v>169</v>
      </c>
      <c r="UA9" s="12">
        <v>354</v>
      </c>
      <c r="UB9" s="8">
        <v>813</v>
      </c>
      <c r="UC9" s="12">
        <v>644</v>
      </c>
      <c r="UE9" s="8">
        <v>5</v>
      </c>
      <c r="UF9" s="12">
        <v>21</v>
      </c>
      <c r="UG9" s="8">
        <v>197</v>
      </c>
      <c r="UH9" s="12">
        <v>915</v>
      </c>
      <c r="UI9" s="8">
        <v>216</v>
      </c>
      <c r="UJ9" s="12">
        <v>129</v>
      </c>
      <c r="UL9" s="8">
        <v>124</v>
      </c>
      <c r="UM9" s="28">
        <v>5</v>
      </c>
      <c r="UN9" s="8">
        <v>180</v>
      </c>
      <c r="UO9" s="12">
        <v>194</v>
      </c>
      <c r="UQ9" s="8">
        <v>17</v>
      </c>
      <c r="US9" s="8">
        <v>173</v>
      </c>
      <c r="UT9" s="12">
        <v>121</v>
      </c>
      <c r="UU9" s="8">
        <v>155</v>
      </c>
      <c r="UV9" s="12">
        <v>39</v>
      </c>
      <c r="UX9" s="8">
        <v>14</v>
      </c>
      <c r="UY9" s="28">
        <v>3</v>
      </c>
      <c r="UZ9" s="8">
        <v>-175</v>
      </c>
      <c r="VA9" s="12">
        <v>337</v>
      </c>
      <c r="VB9" s="8">
        <v>945</v>
      </c>
      <c r="VC9" s="12">
        <v>267</v>
      </c>
      <c r="VD9" s="8">
        <v>918</v>
      </c>
      <c r="VE9" s="12">
        <v>365</v>
      </c>
      <c r="VF9" s="8">
        <v>-552</v>
      </c>
      <c r="VG9" s="12">
        <v>169</v>
      </c>
      <c r="VH9" s="8">
        <v>780</v>
      </c>
      <c r="VI9" s="28">
        <v>212</v>
      </c>
      <c r="VJ9" s="8">
        <v>102</v>
      </c>
      <c r="VK9" s="28">
        <v>133</v>
      </c>
      <c r="VL9" s="21"/>
      <c r="VM9" s="8">
        <v>-7277</v>
      </c>
      <c r="VO9" s="8">
        <v>614</v>
      </c>
      <c r="VQ9" s="8">
        <v>47</v>
      </c>
      <c r="VR9" s="28">
        <v>18</v>
      </c>
      <c r="VS9" s="8">
        <v>3111</v>
      </c>
      <c r="VT9" s="12">
        <v>5812</v>
      </c>
      <c r="VV9" s="8">
        <v>7587</v>
      </c>
      <c r="VW9" s="28">
        <v>635</v>
      </c>
      <c r="VX9" s="8">
        <v>64</v>
      </c>
      <c r="VY9" s="12">
        <v>112</v>
      </c>
      <c r="VZ9" s="8">
        <v>-216</v>
      </c>
      <c r="WA9" s="28">
        <v>133</v>
      </c>
      <c r="WB9" s="8">
        <v>3897</v>
      </c>
      <c r="WC9" s="12">
        <v>776</v>
      </c>
      <c r="WD9" s="8">
        <v>761</v>
      </c>
      <c r="WG9" s="29">
        <v>-919</v>
      </c>
      <c r="WH9" s="27"/>
      <c r="WI9" s="8">
        <v>7868</v>
      </c>
      <c r="WL9">
        <v>705</v>
      </c>
      <c r="WN9">
        <v>17751</v>
      </c>
      <c r="WO9" s="10">
        <v>12367</v>
      </c>
      <c r="WP9" s="2">
        <v>-1342</v>
      </c>
      <c r="WS9" s="2">
        <v>-16</v>
      </c>
      <c r="WT9" s="1">
        <v>25</v>
      </c>
      <c r="WU9" s="2">
        <v>698</v>
      </c>
      <c r="WV9" s="10"/>
      <c r="WX9">
        <v>-72896</v>
      </c>
      <c r="WY9" s="10">
        <v>17</v>
      </c>
      <c r="XB9" s="23">
        <v>1</v>
      </c>
      <c r="XE9">
        <v>-34691</v>
      </c>
      <c r="XG9" s="2">
        <v>9364</v>
      </c>
      <c r="XK9">
        <v>81</v>
      </c>
      <c r="XL9" s="1">
        <v>12</v>
      </c>
      <c r="XM9">
        <v>22</v>
      </c>
      <c r="XO9">
        <v>-64</v>
      </c>
    </row>
    <row r="10" spans="1:642" x14ac:dyDescent="0.25">
      <c r="C10" s="3">
        <v>116</v>
      </c>
      <c r="D10" s="4">
        <v>2</v>
      </c>
      <c r="E10">
        <v>-491</v>
      </c>
      <c r="F10" s="1">
        <v>449</v>
      </c>
      <c r="G10" s="2">
        <v>-2</v>
      </c>
      <c r="I10" s="2">
        <v>2178</v>
      </c>
      <c r="K10" s="2">
        <v>2819</v>
      </c>
      <c r="L10" s="1">
        <v>129</v>
      </c>
      <c r="M10">
        <v>94</v>
      </c>
      <c r="N10" s="1">
        <v>32</v>
      </c>
      <c r="O10" s="26"/>
      <c r="P10">
        <v>-397</v>
      </c>
      <c r="Q10" s="1">
        <v>98</v>
      </c>
      <c r="R10">
        <v>-304</v>
      </c>
      <c r="S10" s="12">
        <v>4025</v>
      </c>
      <c r="T10">
        <v>-1873</v>
      </c>
      <c r="U10" s="1">
        <v>1154</v>
      </c>
      <c r="V10">
        <v>-14</v>
      </c>
      <c r="W10" s="10">
        <v>233</v>
      </c>
      <c r="X10">
        <v>360</v>
      </c>
      <c r="Z10">
        <v>-5</v>
      </c>
      <c r="AA10" s="1">
        <v>2</v>
      </c>
      <c r="AB10">
        <v>-32</v>
      </c>
      <c r="AC10" s="1">
        <v>130</v>
      </c>
      <c r="AD10">
        <v>4</v>
      </c>
      <c r="AE10" s="1">
        <v>14</v>
      </c>
      <c r="AF10">
        <v>-1328</v>
      </c>
      <c r="AG10" s="1">
        <v>290</v>
      </c>
      <c r="AH10">
        <v>28</v>
      </c>
      <c r="AI10" s="1">
        <v>6</v>
      </c>
      <c r="AJ10" s="2">
        <v>-1</v>
      </c>
      <c r="AK10" s="10">
        <v>2</v>
      </c>
      <c r="AL10">
        <v>7379</v>
      </c>
      <c r="AM10" s="1">
        <v>506</v>
      </c>
      <c r="AN10">
        <v>278</v>
      </c>
      <c r="AO10" s="1">
        <v>63</v>
      </c>
      <c r="AQ10">
        <v>-257</v>
      </c>
      <c r="AR10" s="1">
        <v>260</v>
      </c>
      <c r="AT10">
        <v>32</v>
      </c>
      <c r="AU10" s="1">
        <v>7</v>
      </c>
      <c r="AV10" s="2">
        <v>70</v>
      </c>
      <c r="AW10" s="1">
        <v>59</v>
      </c>
      <c r="AX10" s="1"/>
      <c r="AY10">
        <v>-819</v>
      </c>
      <c r="AZ10" s="1">
        <v>28</v>
      </c>
      <c r="BA10">
        <v>176</v>
      </c>
      <c r="BB10" s="1">
        <v>560</v>
      </c>
      <c r="BD10" s="8">
        <v>35</v>
      </c>
      <c r="BE10" s="1">
        <v>182</v>
      </c>
      <c r="BF10">
        <v>265</v>
      </c>
      <c r="BG10" s="1">
        <v>414</v>
      </c>
      <c r="BH10">
        <v>-82.15</v>
      </c>
      <c r="BI10" s="1">
        <v>1666</v>
      </c>
      <c r="BJ10">
        <v>-148</v>
      </c>
      <c r="BL10">
        <v>-94</v>
      </c>
      <c r="BM10" s="1">
        <v>5</v>
      </c>
      <c r="BN10">
        <v>786</v>
      </c>
      <c r="BP10">
        <v>-1012</v>
      </c>
      <c r="BQ10" s="10">
        <v>5149</v>
      </c>
      <c r="BR10">
        <v>4794277</v>
      </c>
      <c r="BS10" s="1">
        <v>10430</v>
      </c>
      <c r="BT10">
        <v>182</v>
      </c>
      <c r="BU10" s="1">
        <v>301</v>
      </c>
      <c r="BV10">
        <v>63</v>
      </c>
      <c r="BW10" s="1">
        <v>4</v>
      </c>
      <c r="BX10">
        <v>-125</v>
      </c>
      <c r="CA10" s="8">
        <v>-71</v>
      </c>
      <c r="CB10" s="28">
        <v>27</v>
      </c>
      <c r="CC10" s="8">
        <v>-420</v>
      </c>
      <c r="CD10" s="28">
        <v>58</v>
      </c>
      <c r="CE10" s="8">
        <v>-512</v>
      </c>
      <c r="CF10" s="28">
        <v>370</v>
      </c>
      <c r="CG10" s="8">
        <v>58</v>
      </c>
      <c r="CI10" s="8">
        <v>164</v>
      </c>
      <c r="CJ10" s="12">
        <v>6</v>
      </c>
      <c r="CK10" s="6">
        <v>-36</v>
      </c>
      <c r="CL10" s="28">
        <v>20</v>
      </c>
      <c r="CM10" s="8">
        <v>76</v>
      </c>
      <c r="CN10" s="28">
        <v>163</v>
      </c>
      <c r="CO10" s="6">
        <v>-38</v>
      </c>
      <c r="CP10" s="28"/>
      <c r="CQ10" s="6">
        <v>686</v>
      </c>
      <c r="CR10" s="12">
        <v>146</v>
      </c>
      <c r="CS10" s="6">
        <v>-176</v>
      </c>
      <c r="CT10" s="28">
        <v>160</v>
      </c>
      <c r="CU10" s="6">
        <v>-2</v>
      </c>
      <c r="CV10" s="28"/>
      <c r="CW10" s="6">
        <v>-42</v>
      </c>
      <c r="CX10" s="28">
        <v>14</v>
      </c>
      <c r="CZ10" s="23">
        <v>291</v>
      </c>
      <c r="DA10" s="25">
        <v>288</v>
      </c>
      <c r="DB10" s="23">
        <v>-49</v>
      </c>
      <c r="DC10" s="25">
        <v>4</v>
      </c>
      <c r="DD10" s="23">
        <v>-12</v>
      </c>
      <c r="DE10" s="25">
        <v>14</v>
      </c>
      <c r="DF10" s="86">
        <v>110</v>
      </c>
      <c r="DG10" s="25">
        <v>710</v>
      </c>
      <c r="DH10" s="23">
        <v>-734</v>
      </c>
      <c r="DI10" s="25">
        <v>336</v>
      </c>
      <c r="DJ10" s="23">
        <v>-352</v>
      </c>
      <c r="DK10" s="28">
        <v>155</v>
      </c>
      <c r="DL10" s="48">
        <v>628</v>
      </c>
      <c r="DN10" s="8">
        <v>479</v>
      </c>
      <c r="DQ10" s="8">
        <v>370</v>
      </c>
      <c r="DR10" s="52">
        <v>394</v>
      </c>
      <c r="DS10" s="6">
        <v>11</v>
      </c>
      <c r="DT10" s="52">
        <v>76</v>
      </c>
      <c r="DU10" s="8">
        <v>-250</v>
      </c>
      <c r="DV10" s="28">
        <v>184</v>
      </c>
      <c r="DW10" s="8">
        <v>172</v>
      </c>
      <c r="DX10" s="28">
        <v>667</v>
      </c>
      <c r="DY10" s="6">
        <v>103</v>
      </c>
      <c r="DZ10" s="52">
        <v>631</v>
      </c>
      <c r="EA10" s="23">
        <v>140</v>
      </c>
      <c r="EB10" s="52">
        <v>230</v>
      </c>
      <c r="EC10" s="6">
        <v>19</v>
      </c>
      <c r="ED10" s="28">
        <v>8</v>
      </c>
      <c r="EE10" s="8">
        <v>5</v>
      </c>
      <c r="EF10" s="52">
        <v>6</v>
      </c>
      <c r="EG10" s="8">
        <v>593</v>
      </c>
      <c r="EH10" s="28">
        <v>274</v>
      </c>
      <c r="EI10" s="8">
        <v>6</v>
      </c>
      <c r="EJ10" s="52">
        <v>417</v>
      </c>
      <c r="EL10" s="8">
        <v>724</v>
      </c>
      <c r="EM10" s="28">
        <v>506</v>
      </c>
      <c r="EN10" s="8">
        <v>58</v>
      </c>
      <c r="EO10" s="28">
        <v>12</v>
      </c>
      <c r="EP10" s="8">
        <v>429</v>
      </c>
      <c r="EQ10" s="52">
        <v>41</v>
      </c>
      <c r="ER10" s="8">
        <v>27</v>
      </c>
      <c r="ES10" s="52">
        <v>20</v>
      </c>
      <c r="EU10" s="52"/>
      <c r="EV10" s="8">
        <v>483</v>
      </c>
      <c r="EX10" s="8">
        <v>-771</v>
      </c>
      <c r="EY10" s="28">
        <v>757</v>
      </c>
      <c r="EZ10" s="8">
        <v>261</v>
      </c>
      <c r="FA10" s="52">
        <v>201</v>
      </c>
      <c r="FB10" s="8">
        <v>-179</v>
      </c>
      <c r="FC10" s="52">
        <v>263</v>
      </c>
      <c r="FD10" s="6">
        <v>145</v>
      </c>
      <c r="FE10" s="28">
        <v>516</v>
      </c>
      <c r="FF10" s="8">
        <v>993</v>
      </c>
      <c r="FG10" s="28">
        <v>35</v>
      </c>
      <c r="FH10" s="8">
        <v>-4</v>
      </c>
      <c r="FI10" s="28">
        <v>1</v>
      </c>
      <c r="FJ10" s="8">
        <v>868</v>
      </c>
      <c r="FK10" s="52">
        <v>398</v>
      </c>
      <c r="FM10" s="8">
        <v>349</v>
      </c>
      <c r="FN10" s="52">
        <v>189</v>
      </c>
      <c r="FO10" s="8">
        <v>-24</v>
      </c>
      <c r="FP10" s="28">
        <v>63</v>
      </c>
      <c r="FQ10" s="8">
        <v>168</v>
      </c>
      <c r="FR10" s="28">
        <v>81</v>
      </c>
      <c r="FS10" s="8">
        <v>437</v>
      </c>
      <c r="FU10" s="28">
        <v>511</v>
      </c>
      <c r="FV10" s="8">
        <v>-656</v>
      </c>
      <c r="FW10" s="28">
        <v>88</v>
      </c>
      <c r="FX10" s="8">
        <v>108</v>
      </c>
      <c r="FY10" s="28">
        <v>5</v>
      </c>
      <c r="GA10" s="8">
        <v>160</v>
      </c>
      <c r="GB10" s="52">
        <v>119</v>
      </c>
      <c r="GC10" s="8">
        <v>-533</v>
      </c>
      <c r="GE10" s="8">
        <v>-143</v>
      </c>
      <c r="GF10" s="28">
        <v>267</v>
      </c>
      <c r="GG10" s="8">
        <v>186</v>
      </c>
      <c r="GH10" s="28">
        <v>484</v>
      </c>
      <c r="GI10" s="8">
        <v>-80</v>
      </c>
      <c r="GJ10" s="28">
        <v>53</v>
      </c>
      <c r="GK10" s="8">
        <v>169</v>
      </c>
      <c r="GL10" s="28">
        <v>292</v>
      </c>
      <c r="GN10" s="8">
        <v>281</v>
      </c>
      <c r="GO10" s="28">
        <v>655</v>
      </c>
      <c r="GP10" s="8">
        <v>12</v>
      </c>
      <c r="GQ10" s="52">
        <v>315</v>
      </c>
      <c r="GR10" s="8">
        <v>11</v>
      </c>
      <c r="GS10" s="28">
        <v>7</v>
      </c>
      <c r="GT10" s="6">
        <v>-562</v>
      </c>
      <c r="GU10" s="52">
        <v>160</v>
      </c>
      <c r="GV10" s="6">
        <v>383</v>
      </c>
      <c r="GW10" s="28">
        <v>474</v>
      </c>
      <c r="GX10" s="8">
        <v>249</v>
      </c>
      <c r="GY10" s="52">
        <v>425</v>
      </c>
      <c r="GZ10" s="8">
        <v>446</v>
      </c>
      <c r="HA10" s="28">
        <v>10</v>
      </c>
      <c r="HB10" s="6">
        <v>8</v>
      </c>
      <c r="HC10" s="28"/>
      <c r="HE10" s="8">
        <v>-87</v>
      </c>
      <c r="HF10" s="28">
        <v>701</v>
      </c>
      <c r="HG10" s="8">
        <v>148</v>
      </c>
      <c r="HI10" s="8">
        <v>839</v>
      </c>
      <c r="HJ10" s="28">
        <v>142</v>
      </c>
      <c r="HK10" s="8">
        <v>391</v>
      </c>
      <c r="HL10" s="52">
        <v>137</v>
      </c>
      <c r="HM10" s="8">
        <v>304</v>
      </c>
      <c r="HO10" s="8">
        <v>-106</v>
      </c>
      <c r="HP10" s="28">
        <v>300</v>
      </c>
      <c r="HQ10" s="6">
        <v>3</v>
      </c>
      <c r="HR10" s="28">
        <v>2</v>
      </c>
      <c r="HS10" s="8">
        <v>3</v>
      </c>
      <c r="HT10" s="52">
        <v>197</v>
      </c>
      <c r="HV10" s="8">
        <v>671</v>
      </c>
      <c r="HW10" s="28">
        <v>588</v>
      </c>
      <c r="HX10" s="8">
        <v>17</v>
      </c>
      <c r="HY10" s="28">
        <v>92</v>
      </c>
      <c r="HZ10" s="8">
        <v>35</v>
      </c>
      <c r="IB10" s="8">
        <v>-135</v>
      </c>
      <c r="IC10" s="28">
        <v>274</v>
      </c>
      <c r="ID10" s="8">
        <v>165</v>
      </c>
      <c r="IE10" s="28">
        <v>678</v>
      </c>
      <c r="IF10" s="8">
        <v>81</v>
      </c>
      <c r="IG10" s="28">
        <v>275</v>
      </c>
      <c r="IH10" s="8">
        <v>384</v>
      </c>
      <c r="II10" s="28">
        <v>123</v>
      </c>
      <c r="IK10" s="8">
        <v>-1046</v>
      </c>
      <c r="IM10" s="8">
        <v>9</v>
      </c>
      <c r="IO10">
        <v>169</v>
      </c>
      <c r="IP10" s="10">
        <v>20</v>
      </c>
      <c r="IQ10" s="8">
        <v>687</v>
      </c>
      <c r="IR10" s="28">
        <v>23</v>
      </c>
      <c r="IS10" s="6">
        <v>337</v>
      </c>
      <c r="IT10" s="28">
        <v>235</v>
      </c>
      <c r="IU10" s="8">
        <v>-193</v>
      </c>
      <c r="IV10" s="28">
        <v>372</v>
      </c>
      <c r="IW10" s="8">
        <v>-230</v>
      </c>
      <c r="IY10" s="8">
        <v>213</v>
      </c>
      <c r="JA10" s="8">
        <v>21</v>
      </c>
      <c r="JB10" s="12">
        <v>116</v>
      </c>
      <c r="JD10" s="8">
        <v>-838</v>
      </c>
      <c r="JE10" s="28">
        <v>256</v>
      </c>
      <c r="JF10" s="8">
        <v>30</v>
      </c>
      <c r="JG10" s="28">
        <v>14</v>
      </c>
      <c r="JH10" s="8">
        <v>-344</v>
      </c>
      <c r="JI10" s="28">
        <v>368</v>
      </c>
      <c r="JJ10" s="8">
        <v>-34</v>
      </c>
      <c r="JK10" s="28">
        <v>14</v>
      </c>
      <c r="JL10" s="8">
        <v>65</v>
      </c>
      <c r="JM10" s="12">
        <v>267</v>
      </c>
      <c r="JN10" s="8">
        <v>1</v>
      </c>
      <c r="JO10" s="28">
        <v>3</v>
      </c>
      <c r="JP10" s="6">
        <v>149</v>
      </c>
      <c r="JQ10" s="12">
        <v>660</v>
      </c>
      <c r="JR10" s="8">
        <v>651</v>
      </c>
      <c r="JS10" s="12">
        <v>487</v>
      </c>
      <c r="JT10" s="6">
        <v>130</v>
      </c>
      <c r="JU10" s="12">
        <v>620</v>
      </c>
      <c r="JW10" s="8">
        <v>-724</v>
      </c>
      <c r="JX10" s="12">
        <v>488</v>
      </c>
      <c r="JY10" s="8">
        <v>757</v>
      </c>
      <c r="JZ10" s="28">
        <v>66</v>
      </c>
      <c r="KA10" s="8">
        <v>122</v>
      </c>
      <c r="KB10" s="28">
        <v>31</v>
      </c>
      <c r="KC10" s="8">
        <v>116</v>
      </c>
      <c r="KD10" s="28">
        <v>110</v>
      </c>
      <c r="KE10" s="6">
        <v>-653</v>
      </c>
      <c r="KF10" s="12">
        <v>794</v>
      </c>
      <c r="KI10" s="8">
        <v>26</v>
      </c>
      <c r="KJ10" s="28">
        <v>897</v>
      </c>
      <c r="KK10" s="8">
        <v>293</v>
      </c>
      <c r="KL10" s="28">
        <v>459</v>
      </c>
      <c r="KM10" s="6">
        <v>-88</v>
      </c>
      <c r="KN10" s="28">
        <v>111</v>
      </c>
      <c r="KQ10" s="8">
        <v>591</v>
      </c>
      <c r="KR10" s="28">
        <v>60</v>
      </c>
      <c r="KT10" s="8">
        <v>7</v>
      </c>
      <c r="KU10" s="28">
        <v>7</v>
      </c>
      <c r="KV10" s="8">
        <v>420</v>
      </c>
      <c r="KX10" s="8">
        <v>12</v>
      </c>
      <c r="KY10" s="12">
        <v>381</v>
      </c>
      <c r="KZ10" s="8">
        <v>6</v>
      </c>
      <c r="LA10" s="12">
        <v>44</v>
      </c>
      <c r="LD10" s="8">
        <v>960</v>
      </c>
      <c r="LE10" s="28">
        <v>294</v>
      </c>
      <c r="LF10" s="8">
        <v>108</v>
      </c>
      <c r="LG10" s="28">
        <v>677</v>
      </c>
      <c r="LH10" s="6">
        <v>769</v>
      </c>
      <c r="LJ10" s="8">
        <v>-311</v>
      </c>
      <c r="LK10" s="28">
        <v>388</v>
      </c>
      <c r="LL10" s="8">
        <v>-9</v>
      </c>
      <c r="LM10" s="28">
        <v>6</v>
      </c>
      <c r="LN10" s="8">
        <v>-766</v>
      </c>
      <c r="LO10" s="28">
        <v>601</v>
      </c>
      <c r="LS10" s="8">
        <v>196</v>
      </c>
      <c r="LU10" s="8">
        <v>195</v>
      </c>
      <c r="LV10" s="12">
        <v>525</v>
      </c>
      <c r="LW10" s="8">
        <v>190</v>
      </c>
      <c r="LX10" s="28">
        <v>269</v>
      </c>
      <c r="LZ10" s="8">
        <v>490</v>
      </c>
      <c r="MB10" s="8">
        <v>-279</v>
      </c>
      <c r="MC10" s="28">
        <v>120</v>
      </c>
      <c r="MF10" s="8">
        <v>103</v>
      </c>
      <c r="MG10" s="12">
        <v>278</v>
      </c>
      <c r="MH10" s="8">
        <v>4</v>
      </c>
      <c r="MJ10" s="8">
        <v>290</v>
      </c>
      <c r="MK10" s="12">
        <v>303</v>
      </c>
      <c r="ML10" s="8">
        <v>25</v>
      </c>
      <c r="MM10" s="60">
        <v>107</v>
      </c>
      <c r="MN10" s="8">
        <v>106</v>
      </c>
      <c r="MO10" s="28">
        <v>141</v>
      </c>
      <c r="MQ10" s="8">
        <v>-769</v>
      </c>
      <c r="MR10" s="28">
        <v>21</v>
      </c>
      <c r="MS10" s="8">
        <v>-46</v>
      </c>
      <c r="MT10" s="12">
        <v>170</v>
      </c>
      <c r="MU10" s="8">
        <v>9</v>
      </c>
      <c r="MV10" s="28">
        <v>4</v>
      </c>
      <c r="MZ10" s="8">
        <v>-213</v>
      </c>
      <c r="NA10" s="12">
        <v>36</v>
      </c>
      <c r="NC10" s="8">
        <v>-116</v>
      </c>
      <c r="ND10" s="12">
        <v>65</v>
      </c>
      <c r="NE10" s="8">
        <v>-24</v>
      </c>
      <c r="NF10" s="28">
        <v>141</v>
      </c>
      <c r="NG10" s="8">
        <v>488</v>
      </c>
      <c r="NH10" s="28">
        <v>35</v>
      </c>
      <c r="NI10" s="8">
        <v>-197</v>
      </c>
      <c r="NJ10" s="28">
        <v>227</v>
      </c>
      <c r="NL10" s="8">
        <v>96</v>
      </c>
      <c r="NM10" s="28">
        <v>30</v>
      </c>
      <c r="NN10" s="8">
        <v>682</v>
      </c>
      <c r="NO10" s="28">
        <v>196</v>
      </c>
      <c r="NP10" s="8">
        <v>377</v>
      </c>
      <c r="NQ10" s="12">
        <v>191</v>
      </c>
      <c r="NR10" s="8">
        <v>-94</v>
      </c>
      <c r="NS10" s="12">
        <v>17</v>
      </c>
      <c r="NU10" s="8">
        <v>-116</v>
      </c>
      <c r="NV10" s="12">
        <v>125</v>
      </c>
      <c r="NW10" s="8">
        <v>151</v>
      </c>
      <c r="NX10" s="28">
        <v>165</v>
      </c>
      <c r="NY10" s="8">
        <v>-928</v>
      </c>
      <c r="NZ10" s="12">
        <v>256</v>
      </c>
      <c r="OA10" s="8">
        <v>981</v>
      </c>
      <c r="OB10" s="28">
        <v>473</v>
      </c>
      <c r="OC10" s="8">
        <v>-411</v>
      </c>
      <c r="OD10" s="12">
        <v>392</v>
      </c>
      <c r="OE10" s="8">
        <v>850</v>
      </c>
      <c r="OF10" s="12">
        <v>505</v>
      </c>
      <c r="OG10" s="28"/>
      <c r="OH10" s="8">
        <v>-43</v>
      </c>
      <c r="OI10" s="28">
        <v>13</v>
      </c>
      <c r="OK10" s="8">
        <v>-189</v>
      </c>
      <c r="OL10" s="28">
        <v>286</v>
      </c>
      <c r="OM10" s="8">
        <v>634</v>
      </c>
      <c r="ON10" s="28">
        <v>557</v>
      </c>
      <c r="OO10" s="8">
        <v>2</v>
      </c>
      <c r="OP10" s="28">
        <v>63</v>
      </c>
      <c r="OQ10" s="8">
        <v>-747</v>
      </c>
      <c r="OR10" s="12">
        <v>104</v>
      </c>
      <c r="OS10" s="8">
        <v>346</v>
      </c>
      <c r="OT10" s="28">
        <v>393</v>
      </c>
      <c r="OU10" s="12">
        <v>880</v>
      </c>
      <c r="OV10" s="8">
        <v>639</v>
      </c>
      <c r="OZ10" s="12"/>
      <c r="PA10" s="8">
        <v>479</v>
      </c>
      <c r="PC10" s="8">
        <v>251</v>
      </c>
      <c r="PD10" s="28">
        <v>222</v>
      </c>
      <c r="PE10" s="8">
        <v>327</v>
      </c>
      <c r="PF10" s="12">
        <v>260</v>
      </c>
      <c r="PG10" s="8">
        <v>107</v>
      </c>
      <c r="PH10" s="12">
        <v>50</v>
      </c>
      <c r="PJ10" s="8">
        <v>427</v>
      </c>
      <c r="PK10" s="12">
        <v>130</v>
      </c>
      <c r="PL10" s="8">
        <v>-77</v>
      </c>
      <c r="PM10" s="28">
        <v>4</v>
      </c>
      <c r="PN10" s="8">
        <v>-160</v>
      </c>
      <c r="PO10" s="28">
        <v>59</v>
      </c>
      <c r="PP10" s="8">
        <v>620</v>
      </c>
      <c r="PQ10" s="28">
        <v>17</v>
      </c>
      <c r="PR10" s="28"/>
      <c r="PS10" s="8">
        <f>152</f>
        <v>152</v>
      </c>
      <c r="PU10" s="28">
        <v>174</v>
      </c>
      <c r="PW10" s="8">
        <v>45</v>
      </c>
      <c r="PX10" s="28">
        <v>49</v>
      </c>
      <c r="PY10" s="8">
        <v>10</v>
      </c>
      <c r="PZ10" s="12">
        <v>27</v>
      </c>
      <c r="QC10" s="8">
        <v>72</v>
      </c>
      <c r="QD10" s="12">
        <v>118</v>
      </c>
      <c r="QE10" s="8">
        <v>-315</v>
      </c>
      <c r="QF10" s="12">
        <v>116</v>
      </c>
      <c r="QH10" s="8">
        <v>-538</v>
      </c>
      <c r="QI10" s="12">
        <v>251</v>
      </c>
      <c r="QJ10" s="8">
        <v>8</v>
      </c>
      <c r="QL10" s="8">
        <v>-4</v>
      </c>
      <c r="QM10" s="12">
        <v>284</v>
      </c>
      <c r="QN10" s="6">
        <v>376</v>
      </c>
      <c r="QO10" s="12"/>
      <c r="QP10" s="46"/>
      <c r="QQ10" s="48">
        <v>-184</v>
      </c>
      <c r="QR10" s="12">
        <f t="shared" si="0"/>
        <v>30.182776545573141</v>
      </c>
      <c r="QS10" s="48">
        <v>911</v>
      </c>
      <c r="QT10" s="48">
        <v>19</v>
      </c>
      <c r="QU10" s="49" t="s">
        <v>229</v>
      </c>
      <c r="QV10" s="54" t="s">
        <v>231</v>
      </c>
      <c r="QW10" s="49" t="s">
        <v>232</v>
      </c>
      <c r="QX10" s="46"/>
      <c r="QY10" s="48">
        <v>119</v>
      </c>
      <c r="QZ10" s="49">
        <v>486</v>
      </c>
      <c r="RA10" s="48">
        <v>39</v>
      </c>
      <c r="RB10" s="49">
        <v>182</v>
      </c>
      <c r="RC10" s="54" t="s">
        <v>223</v>
      </c>
      <c r="RD10" s="49" t="s">
        <v>224</v>
      </c>
      <c r="RE10" s="54" t="s">
        <v>220</v>
      </c>
      <c r="RF10" s="49" t="s">
        <v>221</v>
      </c>
      <c r="RG10" s="48">
        <v>-53</v>
      </c>
      <c r="RH10" s="57">
        <v>111</v>
      </c>
      <c r="RI10" s="56"/>
      <c r="RJ10" s="48" t="s">
        <v>213</v>
      </c>
      <c r="RK10" s="49">
        <v>181</v>
      </c>
      <c r="RL10" s="48">
        <v>-4</v>
      </c>
      <c r="RM10" s="49">
        <v>434</v>
      </c>
      <c r="RN10" s="46"/>
      <c r="RO10" s="40"/>
      <c r="RP10" s="40"/>
      <c r="RQ10" s="48">
        <v>24</v>
      </c>
      <c r="RR10" s="49">
        <v>137</v>
      </c>
      <c r="RS10" s="54" t="s">
        <v>187</v>
      </c>
      <c r="RT10" s="49" t="s">
        <v>188</v>
      </c>
      <c r="RU10" s="46"/>
      <c r="RV10" s="48">
        <v>213</v>
      </c>
      <c r="RW10" s="53">
        <v>208</v>
      </c>
      <c r="RX10" s="46"/>
      <c r="RY10" s="48">
        <v>-103</v>
      </c>
      <c r="RZ10" s="49">
        <v>157</v>
      </c>
      <c r="SA10" s="51">
        <v>95</v>
      </c>
      <c r="SB10" s="28">
        <v>1</v>
      </c>
      <c r="SD10" s="8">
        <v>183</v>
      </c>
      <c r="SE10" s="12">
        <v>129</v>
      </c>
      <c r="SF10" s="8">
        <v>-847</v>
      </c>
      <c r="SG10" s="12">
        <v>105</v>
      </c>
      <c r="SI10" s="8">
        <v>336</v>
      </c>
      <c r="SJ10" s="12">
        <v>206</v>
      </c>
      <c r="SK10" s="8">
        <v>560</v>
      </c>
      <c r="SL10" s="12">
        <v>380</v>
      </c>
      <c r="SM10" s="8">
        <v>252</v>
      </c>
      <c r="SN10" s="12">
        <v>133</v>
      </c>
      <c r="SP10" s="8">
        <v>-2</v>
      </c>
      <c r="SQ10" s="12">
        <v>9</v>
      </c>
      <c r="SU10" s="8">
        <v>156</v>
      </c>
      <c r="SV10" s="28">
        <v>1</v>
      </c>
      <c r="SW10" s="8">
        <v>625</v>
      </c>
      <c r="SX10" s="28">
        <v>856</v>
      </c>
      <c r="SY10" s="6">
        <v>330</v>
      </c>
      <c r="SZ10" s="28">
        <v>641</v>
      </c>
      <c r="TA10" s="6">
        <v>130</v>
      </c>
      <c r="TB10" s="12">
        <v>164</v>
      </c>
      <c r="TC10" s="8">
        <v>-378</v>
      </c>
      <c r="TD10" s="28">
        <v>274</v>
      </c>
      <c r="TH10" s="8">
        <v>-322</v>
      </c>
      <c r="TI10" s="28">
        <v>84</v>
      </c>
      <c r="TM10" s="8">
        <v>3</v>
      </c>
      <c r="TN10" s="28">
        <v>14</v>
      </c>
      <c r="TO10" s="6">
        <v>275</v>
      </c>
      <c r="TP10" s="28">
        <v>113</v>
      </c>
      <c r="TQ10" s="8">
        <v>21</v>
      </c>
      <c r="TR10" s="28">
        <v>4</v>
      </c>
      <c r="TS10" s="8">
        <v>119</v>
      </c>
      <c r="TT10" s="28">
        <v>38</v>
      </c>
      <c r="TU10" s="8">
        <v>54</v>
      </c>
      <c r="TV10" s="28">
        <v>12</v>
      </c>
      <c r="TX10" s="8">
        <v>226</v>
      </c>
      <c r="TY10" s="28">
        <v>154</v>
      </c>
      <c r="TZ10" s="8">
        <v>153</v>
      </c>
      <c r="UA10" s="12">
        <v>238</v>
      </c>
      <c r="UB10" s="8">
        <v>17</v>
      </c>
      <c r="UC10" s="12">
        <v>789</v>
      </c>
      <c r="UE10" s="8">
        <v>-3</v>
      </c>
      <c r="UF10" s="12">
        <v>21</v>
      </c>
      <c r="UG10" s="8">
        <v>-446</v>
      </c>
      <c r="UH10" s="12">
        <v>635</v>
      </c>
      <c r="UI10" s="8">
        <v>258</v>
      </c>
      <c r="UJ10" s="12">
        <v>158</v>
      </c>
      <c r="UL10" s="8">
        <v>970</v>
      </c>
      <c r="UM10" s="28">
        <v>30</v>
      </c>
      <c r="UN10" s="8">
        <v>428</v>
      </c>
      <c r="UO10" s="12">
        <v>913</v>
      </c>
      <c r="US10" s="8">
        <v>214</v>
      </c>
      <c r="UT10" s="12">
        <v>140</v>
      </c>
      <c r="UU10" s="8">
        <v>172</v>
      </c>
      <c r="UV10" s="12">
        <v>34</v>
      </c>
      <c r="UX10" s="8">
        <v>-10</v>
      </c>
      <c r="UY10" s="28">
        <v>2</v>
      </c>
      <c r="UZ10" s="8">
        <v>-179</v>
      </c>
      <c r="VA10" s="12">
        <v>581</v>
      </c>
      <c r="VB10" s="8">
        <v>546</v>
      </c>
      <c r="VC10" s="12">
        <v>152</v>
      </c>
      <c r="VD10" s="8">
        <v>98</v>
      </c>
      <c r="VE10" s="12">
        <v>276</v>
      </c>
      <c r="VF10" s="8">
        <v>-494</v>
      </c>
      <c r="VG10" s="12">
        <v>559</v>
      </c>
      <c r="VH10" s="8">
        <v>185</v>
      </c>
      <c r="VI10" s="28">
        <v>218</v>
      </c>
      <c r="VJ10" s="8">
        <v>232</v>
      </c>
      <c r="VK10" s="28">
        <v>127</v>
      </c>
      <c r="VL10" s="21"/>
      <c r="VM10" s="8">
        <v>-3352</v>
      </c>
      <c r="VO10" s="8">
        <v>2398</v>
      </c>
      <c r="VQ10" s="8">
        <v>51</v>
      </c>
      <c r="VR10" s="28">
        <v>16</v>
      </c>
      <c r="VS10" s="8">
        <v>2724</v>
      </c>
      <c r="VT10" s="12">
        <v>4917</v>
      </c>
      <c r="VV10" s="8">
        <v>10742</v>
      </c>
      <c r="VW10" s="28">
        <v>711</v>
      </c>
      <c r="VX10" s="8">
        <v>68</v>
      </c>
      <c r="VY10" s="12">
        <v>118</v>
      </c>
      <c r="VZ10" s="8">
        <v>-338</v>
      </c>
      <c r="WA10" s="28">
        <v>635</v>
      </c>
      <c r="WB10" s="8">
        <v>4071</v>
      </c>
      <c r="WC10" s="12">
        <v>867</v>
      </c>
      <c r="WD10" s="8">
        <v>844</v>
      </c>
      <c r="WG10" s="29">
        <v>1326</v>
      </c>
      <c r="WH10" s="27"/>
      <c r="WI10" s="8">
        <v>2229</v>
      </c>
      <c r="WL10">
        <v>252</v>
      </c>
      <c r="WM10" s="1">
        <v>56</v>
      </c>
      <c r="WN10">
        <v>78</v>
      </c>
      <c r="WO10" s="12">
        <v>95</v>
      </c>
      <c r="WP10" s="2">
        <v>389</v>
      </c>
      <c r="WQ10" s="10"/>
      <c r="WS10" s="2">
        <v>2112</v>
      </c>
      <c r="WT10" s="1">
        <v>519</v>
      </c>
      <c r="WU10" s="2">
        <v>142</v>
      </c>
      <c r="WV10" s="1">
        <v>13</v>
      </c>
      <c r="WX10">
        <v>3612</v>
      </c>
      <c r="WY10" s="10">
        <v>62</v>
      </c>
      <c r="XB10" s="23">
        <v>4</v>
      </c>
      <c r="XE10">
        <v>-44002</v>
      </c>
      <c r="XG10" s="2">
        <v>16418</v>
      </c>
      <c r="XK10">
        <v>94</v>
      </c>
      <c r="XL10" s="1">
        <v>16</v>
      </c>
      <c r="XM10">
        <v>-615</v>
      </c>
      <c r="XN10" s="1">
        <v>3344</v>
      </c>
      <c r="XO10">
        <v>971</v>
      </c>
    </row>
    <row r="11" spans="1:642" x14ac:dyDescent="0.25">
      <c r="C11" s="9">
        <v>-329</v>
      </c>
      <c r="D11" s="4">
        <v>28</v>
      </c>
      <c r="E11">
        <v>-367</v>
      </c>
      <c r="F11" s="1">
        <v>237</v>
      </c>
      <c r="G11" s="2">
        <v>-2</v>
      </c>
      <c r="I11" s="2">
        <v>-34</v>
      </c>
      <c r="K11" s="2">
        <v>2813</v>
      </c>
      <c r="L11" s="1">
        <v>129</v>
      </c>
      <c r="M11">
        <v>58</v>
      </c>
      <c r="N11" s="1">
        <v>19</v>
      </c>
      <c r="O11" s="26"/>
      <c r="P11">
        <v>105</v>
      </c>
      <c r="Q11" s="1">
        <v>51</v>
      </c>
      <c r="R11">
        <v>-271</v>
      </c>
      <c r="S11" s="12">
        <v>3308</v>
      </c>
      <c r="T11">
        <v>-475</v>
      </c>
      <c r="U11" s="1">
        <v>921</v>
      </c>
      <c r="V11">
        <v>-22</v>
      </c>
      <c r="W11" s="10">
        <v>677</v>
      </c>
      <c r="X11">
        <v>228</v>
      </c>
      <c r="Z11">
        <v>12</v>
      </c>
      <c r="AA11" s="1">
        <v>2</v>
      </c>
      <c r="AB11">
        <v>-32</v>
      </c>
      <c r="AC11" s="1">
        <v>32</v>
      </c>
      <c r="AD11">
        <v>11</v>
      </c>
      <c r="AE11" s="1">
        <v>12</v>
      </c>
      <c r="AF11">
        <v>-1220</v>
      </c>
      <c r="AG11" s="1">
        <v>284</v>
      </c>
      <c r="AH11">
        <v>47</v>
      </c>
      <c r="AI11" s="1">
        <v>9</v>
      </c>
      <c r="AJ11" s="2">
        <v>-106</v>
      </c>
      <c r="AK11" s="10">
        <v>222</v>
      </c>
      <c r="AL11">
        <v>3659</v>
      </c>
      <c r="AM11" s="1">
        <v>102</v>
      </c>
      <c r="AN11">
        <v>212</v>
      </c>
      <c r="AO11" s="1">
        <v>59</v>
      </c>
      <c r="AQ11">
        <v>-4153</v>
      </c>
      <c r="AR11" s="1">
        <v>440</v>
      </c>
      <c r="AT11">
        <v>-17</v>
      </c>
      <c r="AU11" s="1">
        <v>8</v>
      </c>
      <c r="AV11" s="2">
        <v>-12</v>
      </c>
      <c r="AW11" s="1">
        <v>77</v>
      </c>
      <c r="AX11" s="1"/>
      <c r="AY11">
        <v>76</v>
      </c>
      <c r="AZ11" s="1">
        <v>4</v>
      </c>
      <c r="BA11">
        <v>605</v>
      </c>
      <c r="BB11" s="1">
        <v>731</v>
      </c>
      <c r="BD11" s="8">
        <v>-308</v>
      </c>
      <c r="BE11" s="1">
        <v>323</v>
      </c>
      <c r="BF11">
        <v>-87</v>
      </c>
      <c r="BG11" s="1">
        <v>373</v>
      </c>
      <c r="BH11">
        <v>-5332</v>
      </c>
      <c r="BI11" s="1">
        <v>1696</v>
      </c>
      <c r="BJ11">
        <v>-203</v>
      </c>
      <c r="BL11">
        <v>65</v>
      </c>
      <c r="BM11" s="1">
        <v>3</v>
      </c>
      <c r="BN11">
        <v>172</v>
      </c>
      <c r="BP11">
        <v>-909</v>
      </c>
      <c r="BQ11" s="10">
        <v>1331</v>
      </c>
      <c r="BR11">
        <v>6698580</v>
      </c>
      <c r="BS11" s="1">
        <v>10357</v>
      </c>
      <c r="BT11">
        <v>240</v>
      </c>
      <c r="BU11" s="1">
        <v>265</v>
      </c>
      <c r="BV11">
        <v>62</v>
      </c>
      <c r="BW11" s="1">
        <v>4</v>
      </c>
      <c r="BX11">
        <v>-29</v>
      </c>
      <c r="CA11" s="8">
        <v>-23</v>
      </c>
      <c r="CB11" s="28">
        <v>4</v>
      </c>
      <c r="CC11" s="8">
        <v>-101</v>
      </c>
      <c r="CD11" s="28">
        <v>585</v>
      </c>
      <c r="CE11" s="8">
        <v>137</v>
      </c>
      <c r="CF11" s="28">
        <v>125</v>
      </c>
      <c r="CG11" s="8">
        <v>546</v>
      </c>
      <c r="CI11" s="8">
        <v>54</v>
      </c>
      <c r="CJ11" s="12">
        <v>47</v>
      </c>
      <c r="CK11" s="6">
        <v>-33</v>
      </c>
      <c r="CL11" s="28">
        <v>21</v>
      </c>
      <c r="CM11" s="8">
        <v>-213</v>
      </c>
      <c r="CN11" s="28">
        <v>158</v>
      </c>
      <c r="CO11" s="6">
        <v>-41</v>
      </c>
      <c r="CP11" s="28"/>
      <c r="CQ11" s="6">
        <v>735</v>
      </c>
      <c r="CR11" s="12">
        <v>162</v>
      </c>
      <c r="CS11" s="6">
        <v>673</v>
      </c>
      <c r="CT11" s="28">
        <v>897</v>
      </c>
      <c r="CU11" s="6">
        <v>35</v>
      </c>
      <c r="CV11" s="28"/>
      <c r="CW11" s="6">
        <v>-15</v>
      </c>
      <c r="CX11" s="28">
        <v>7</v>
      </c>
      <c r="CZ11" s="23">
        <v>325</v>
      </c>
      <c r="DA11" s="25">
        <v>837</v>
      </c>
      <c r="DB11" s="23">
        <v>3</v>
      </c>
      <c r="DC11" s="25">
        <v>2</v>
      </c>
      <c r="DD11" s="23">
        <v>7</v>
      </c>
      <c r="DE11" s="25">
        <v>13</v>
      </c>
      <c r="DF11" s="86">
        <v>110</v>
      </c>
      <c r="DG11" s="25">
        <v>348</v>
      </c>
      <c r="DH11" s="23">
        <v>-119</v>
      </c>
      <c r="DI11" s="25">
        <v>227</v>
      </c>
      <c r="DJ11" s="23">
        <v>-468</v>
      </c>
      <c r="DK11" s="28">
        <v>186</v>
      </c>
      <c r="DL11" s="8">
        <v>696</v>
      </c>
      <c r="DN11" s="8">
        <v>458</v>
      </c>
      <c r="DQ11" s="8">
        <v>205</v>
      </c>
      <c r="DR11" s="52">
        <v>113</v>
      </c>
      <c r="DS11" s="6">
        <v>2</v>
      </c>
      <c r="DT11" s="52">
        <v>13</v>
      </c>
      <c r="DU11" s="8">
        <v>-405</v>
      </c>
      <c r="DV11" s="28">
        <v>176</v>
      </c>
      <c r="DW11" s="8">
        <v>-280</v>
      </c>
      <c r="DX11" s="28">
        <v>70</v>
      </c>
      <c r="DY11" s="6">
        <v>217</v>
      </c>
      <c r="DZ11" s="52">
        <v>598</v>
      </c>
      <c r="EA11" s="23">
        <v>-391</v>
      </c>
      <c r="EB11" s="52">
        <v>416</v>
      </c>
      <c r="EC11" s="6">
        <v>18</v>
      </c>
      <c r="ED11" s="28">
        <v>7</v>
      </c>
      <c r="EE11" s="8">
        <v>-869</v>
      </c>
      <c r="EF11" s="52">
        <v>744</v>
      </c>
      <c r="EG11" s="8">
        <v>103</v>
      </c>
      <c r="EH11" s="28">
        <v>467</v>
      </c>
      <c r="EI11" s="8">
        <v>-18</v>
      </c>
      <c r="EJ11" s="52">
        <v>511</v>
      </c>
      <c r="EL11" s="8">
        <v>-402</v>
      </c>
      <c r="EM11" s="28">
        <v>467</v>
      </c>
      <c r="EN11" s="8">
        <v>175</v>
      </c>
      <c r="EO11" s="28">
        <v>19</v>
      </c>
      <c r="EP11" s="8">
        <v>-149</v>
      </c>
      <c r="EQ11" s="52">
        <v>143</v>
      </c>
      <c r="ER11" s="8">
        <v>26</v>
      </c>
      <c r="ES11" s="52">
        <v>20</v>
      </c>
      <c r="EU11" s="52"/>
      <c r="EV11" s="8">
        <v>100</v>
      </c>
      <c r="EX11" s="8">
        <v>221</v>
      </c>
      <c r="EY11" s="28">
        <v>286</v>
      </c>
      <c r="EZ11" s="8">
        <v>-197</v>
      </c>
      <c r="FA11" s="52">
        <v>198</v>
      </c>
      <c r="FB11" s="8">
        <v>-123</v>
      </c>
      <c r="FC11" s="52">
        <v>173</v>
      </c>
      <c r="FD11" s="6">
        <v>154</v>
      </c>
      <c r="FE11" s="28">
        <v>465</v>
      </c>
      <c r="FF11" s="8">
        <v>766</v>
      </c>
      <c r="FG11" s="28">
        <v>97</v>
      </c>
      <c r="FH11" s="8">
        <v>90</v>
      </c>
      <c r="FI11" s="28">
        <v>26</v>
      </c>
      <c r="FJ11" s="8">
        <v>-767</v>
      </c>
      <c r="FK11" s="52">
        <v>152</v>
      </c>
      <c r="FM11" s="8">
        <v>160</v>
      </c>
      <c r="FN11" s="52">
        <v>130</v>
      </c>
      <c r="FO11" s="8">
        <v>399</v>
      </c>
      <c r="FP11" s="28">
        <v>72</v>
      </c>
      <c r="FQ11" s="8">
        <v>65</v>
      </c>
      <c r="FR11" s="28">
        <v>2</v>
      </c>
      <c r="FS11" s="8">
        <v>394</v>
      </c>
      <c r="FU11" s="28">
        <v>156</v>
      </c>
      <c r="FV11" s="8">
        <v>215</v>
      </c>
      <c r="FW11" s="28">
        <v>76</v>
      </c>
      <c r="FX11" s="8">
        <v>273</v>
      </c>
      <c r="FY11" s="28">
        <v>5</v>
      </c>
      <c r="GA11" s="8">
        <v>-158</v>
      </c>
      <c r="GB11" s="52">
        <v>3</v>
      </c>
      <c r="GC11" s="8">
        <v>1</v>
      </c>
      <c r="GE11" s="8">
        <v>-594</v>
      </c>
      <c r="GF11" s="28">
        <v>270</v>
      </c>
      <c r="GG11" s="8">
        <v>57</v>
      </c>
      <c r="GH11" s="28">
        <v>301</v>
      </c>
      <c r="GI11" s="8">
        <v>-31</v>
      </c>
      <c r="GJ11" s="28">
        <v>34</v>
      </c>
      <c r="GK11" s="8">
        <v>161</v>
      </c>
      <c r="GL11" s="28">
        <v>296</v>
      </c>
      <c r="GN11" s="8">
        <v>-103</v>
      </c>
      <c r="GO11" s="28">
        <v>186</v>
      </c>
      <c r="GP11" s="8">
        <v>3</v>
      </c>
      <c r="GQ11" s="52">
        <v>26</v>
      </c>
      <c r="GR11" s="8">
        <v>31</v>
      </c>
      <c r="GS11" s="28">
        <v>12</v>
      </c>
      <c r="GT11" s="6">
        <v>-220</v>
      </c>
      <c r="GU11" s="52">
        <v>663</v>
      </c>
      <c r="GV11" s="6">
        <v>480</v>
      </c>
      <c r="GW11" s="28">
        <v>752</v>
      </c>
      <c r="GX11" s="8">
        <v>943</v>
      </c>
      <c r="GY11" s="52">
        <v>143</v>
      </c>
      <c r="GZ11" s="8">
        <v>100</v>
      </c>
      <c r="HA11" s="28">
        <v>20</v>
      </c>
      <c r="HB11" s="6">
        <v>-37</v>
      </c>
      <c r="HC11" s="28"/>
      <c r="HE11" s="8">
        <v>580</v>
      </c>
      <c r="HF11" s="28">
        <v>582</v>
      </c>
      <c r="HG11" s="8">
        <v>-11</v>
      </c>
      <c r="HI11" s="8">
        <v>464</v>
      </c>
      <c r="HJ11" s="28">
        <v>105</v>
      </c>
      <c r="HK11" s="8">
        <v>175</v>
      </c>
      <c r="HL11" s="52">
        <v>131</v>
      </c>
      <c r="HM11" s="8">
        <v>878</v>
      </c>
      <c r="HO11" s="8">
        <v>92</v>
      </c>
      <c r="HP11" s="28">
        <v>265</v>
      </c>
      <c r="HQ11" s="6">
        <v>2</v>
      </c>
      <c r="HR11" s="28">
        <v>2</v>
      </c>
      <c r="HS11" s="8">
        <v>2</v>
      </c>
      <c r="HT11" s="52">
        <v>254</v>
      </c>
      <c r="HV11" s="8">
        <v>375</v>
      </c>
      <c r="HW11" s="28">
        <v>120</v>
      </c>
      <c r="HX11" s="8">
        <v>-1</v>
      </c>
      <c r="HY11" s="28">
        <v>11</v>
      </c>
      <c r="HZ11" s="8">
        <v>-1</v>
      </c>
      <c r="IB11" s="8">
        <v>-543</v>
      </c>
      <c r="IC11" s="28">
        <v>752</v>
      </c>
      <c r="ID11" s="8">
        <v>195</v>
      </c>
      <c r="IE11" s="28">
        <v>191</v>
      </c>
      <c r="IF11" s="8">
        <v>207</v>
      </c>
      <c r="IG11" s="28">
        <v>402</v>
      </c>
      <c r="IH11" s="8">
        <v>-740</v>
      </c>
      <c r="II11" s="28">
        <v>118</v>
      </c>
      <c r="IK11" s="8">
        <v>-670</v>
      </c>
      <c r="IM11" s="8">
        <v>11</v>
      </c>
      <c r="IO11">
        <v>-700</v>
      </c>
      <c r="IP11" s="10">
        <v>68</v>
      </c>
      <c r="IQ11" s="8">
        <v>-73</v>
      </c>
      <c r="IR11" s="28">
        <v>3</v>
      </c>
      <c r="IS11" s="6">
        <v>-300</v>
      </c>
      <c r="IT11" s="28">
        <v>569</v>
      </c>
      <c r="IU11" s="8">
        <v>-104</v>
      </c>
      <c r="IV11" s="28">
        <v>403</v>
      </c>
      <c r="IW11" s="8">
        <v>-570</v>
      </c>
      <c r="IY11" s="8">
        <v>-326</v>
      </c>
      <c r="JA11" s="8">
        <v>-2</v>
      </c>
      <c r="JB11" s="12">
        <v>132</v>
      </c>
      <c r="JD11" s="8">
        <v>127</v>
      </c>
      <c r="JE11" s="28">
        <v>865</v>
      </c>
      <c r="JF11" s="8">
        <v>-105</v>
      </c>
      <c r="JG11" s="28">
        <v>82</v>
      </c>
      <c r="JH11" s="8">
        <v>158</v>
      </c>
      <c r="JI11" s="28">
        <v>76</v>
      </c>
      <c r="JJ11" s="8">
        <v>1</v>
      </c>
      <c r="JK11" s="28">
        <v>15</v>
      </c>
      <c r="JL11" s="8">
        <v>-625</v>
      </c>
      <c r="JM11" s="12">
        <v>143</v>
      </c>
      <c r="JN11" s="8">
        <v>-11</v>
      </c>
      <c r="JO11" s="28">
        <v>7</v>
      </c>
      <c r="JP11" s="6">
        <v>-3</v>
      </c>
      <c r="JQ11" s="12">
        <v>509</v>
      </c>
      <c r="JR11" s="8">
        <v>201</v>
      </c>
      <c r="JS11" s="12">
        <v>340</v>
      </c>
      <c r="JT11" s="6">
        <v>152</v>
      </c>
      <c r="JU11" s="12">
        <v>201</v>
      </c>
      <c r="JW11" s="8">
        <v>680</v>
      </c>
      <c r="JX11" s="12">
        <v>186</v>
      </c>
      <c r="JY11" s="8">
        <v>697</v>
      </c>
      <c r="JZ11" s="28">
        <v>27</v>
      </c>
      <c r="KA11" s="8">
        <v>109</v>
      </c>
      <c r="KB11" s="28">
        <v>60</v>
      </c>
      <c r="KC11" s="8">
        <v>222</v>
      </c>
      <c r="KD11" s="28">
        <v>375</v>
      </c>
      <c r="KE11" s="6">
        <v>-575</v>
      </c>
      <c r="KF11" s="12">
        <v>172</v>
      </c>
      <c r="KI11" s="8">
        <v>152</v>
      </c>
      <c r="KJ11" s="28">
        <v>4</v>
      </c>
      <c r="KK11" s="8">
        <v>839</v>
      </c>
      <c r="KL11" s="28">
        <v>443</v>
      </c>
      <c r="KM11" s="6">
        <v>441</v>
      </c>
      <c r="KN11" s="28">
        <v>126</v>
      </c>
      <c r="KQ11" s="8">
        <v>703</v>
      </c>
      <c r="KR11" s="28">
        <v>92</v>
      </c>
      <c r="KT11" s="8">
        <v>114</v>
      </c>
      <c r="KU11" s="28">
        <v>4</v>
      </c>
      <c r="KV11" s="8">
        <v>391</v>
      </c>
      <c r="KX11" s="8">
        <v>309</v>
      </c>
      <c r="KY11" s="12">
        <v>133</v>
      </c>
      <c r="KZ11" s="8">
        <v>-36</v>
      </c>
      <c r="LA11" s="12">
        <v>64</v>
      </c>
      <c r="LD11" s="8">
        <v>400</v>
      </c>
      <c r="LE11" s="28">
        <v>124</v>
      </c>
      <c r="LF11" s="8">
        <v>-642</v>
      </c>
      <c r="LG11" s="28">
        <v>458</v>
      </c>
      <c r="LH11" s="6">
        <v>-755</v>
      </c>
      <c r="LJ11" s="8">
        <v>173</v>
      </c>
      <c r="LK11" s="28">
        <v>867</v>
      </c>
      <c r="LL11" s="8">
        <v>27</v>
      </c>
      <c r="LM11" s="28">
        <v>12</v>
      </c>
      <c r="LN11" s="8">
        <v>-199</v>
      </c>
      <c r="LO11" s="28">
        <v>476</v>
      </c>
      <c r="LS11" s="8">
        <v>32</v>
      </c>
      <c r="LU11" s="8">
        <v>-621</v>
      </c>
      <c r="LV11" s="12">
        <v>317</v>
      </c>
      <c r="LW11" s="8">
        <v>-731</v>
      </c>
      <c r="LX11" s="28">
        <v>152</v>
      </c>
      <c r="LZ11" s="8">
        <v>711</v>
      </c>
      <c r="MB11" s="8">
        <v>-1</v>
      </c>
      <c r="MC11" s="28">
        <v>1</v>
      </c>
      <c r="MF11" s="8">
        <v>137</v>
      </c>
      <c r="MG11" s="12">
        <v>230</v>
      </c>
      <c r="MH11" s="8">
        <v>9</v>
      </c>
      <c r="MJ11" s="8">
        <v>-32</v>
      </c>
      <c r="MK11" s="61">
        <v>276</v>
      </c>
      <c r="ML11" s="8">
        <v>-128</v>
      </c>
      <c r="MM11" s="60">
        <v>886</v>
      </c>
      <c r="MN11" s="8">
        <v>197</v>
      </c>
      <c r="MO11" s="28">
        <v>63</v>
      </c>
      <c r="MQ11" s="8">
        <v>222</v>
      </c>
      <c r="MR11" s="28">
        <v>249</v>
      </c>
      <c r="MS11" s="8">
        <v>-55</v>
      </c>
      <c r="MT11" s="12">
        <v>206</v>
      </c>
      <c r="MU11" s="8">
        <v>19</v>
      </c>
      <c r="MV11" s="28">
        <v>14</v>
      </c>
      <c r="MZ11" s="8">
        <v>51</v>
      </c>
      <c r="NA11" s="12">
        <v>88</v>
      </c>
      <c r="NC11" s="8">
        <v>508</v>
      </c>
      <c r="ND11" s="12">
        <v>212</v>
      </c>
      <c r="NE11" s="8">
        <v>110</v>
      </c>
      <c r="NF11" s="28">
        <v>12</v>
      </c>
      <c r="NG11" s="8">
        <v>665</v>
      </c>
      <c r="NH11" s="28">
        <v>48</v>
      </c>
      <c r="NI11" s="8">
        <v>426</v>
      </c>
      <c r="NJ11" s="28">
        <v>934</v>
      </c>
      <c r="NL11" s="8">
        <v>212</v>
      </c>
      <c r="NM11" s="28">
        <v>39</v>
      </c>
      <c r="NN11" s="8">
        <v>428</v>
      </c>
      <c r="NO11" s="28">
        <v>137</v>
      </c>
      <c r="NP11" s="8">
        <v>649</v>
      </c>
      <c r="NQ11" s="12">
        <v>162</v>
      </c>
      <c r="NR11" s="8">
        <v>-123</v>
      </c>
      <c r="NS11" s="12">
        <v>28</v>
      </c>
      <c r="NU11" s="8">
        <v>-289</v>
      </c>
      <c r="NV11" s="12">
        <v>154</v>
      </c>
      <c r="NW11" s="8">
        <v>161</v>
      </c>
      <c r="NX11" s="28">
        <v>228</v>
      </c>
      <c r="NY11" s="8">
        <v>-347</v>
      </c>
      <c r="NZ11" s="12">
        <v>982</v>
      </c>
      <c r="OA11" s="8">
        <v>-656</v>
      </c>
      <c r="OB11" s="28">
        <v>578</v>
      </c>
      <c r="OC11" s="8">
        <v>-103</v>
      </c>
      <c r="OD11" s="12">
        <v>102</v>
      </c>
      <c r="OE11" s="8">
        <v>120</v>
      </c>
      <c r="OF11" s="12">
        <v>255</v>
      </c>
      <c r="OG11" s="28"/>
      <c r="OH11" s="8">
        <v>85</v>
      </c>
      <c r="OI11" s="28">
        <v>11</v>
      </c>
      <c r="OK11" s="8">
        <v>-42</v>
      </c>
      <c r="OL11" s="28">
        <v>254</v>
      </c>
      <c r="OM11" s="8">
        <v>-819</v>
      </c>
      <c r="ON11" s="28">
        <v>709</v>
      </c>
      <c r="OO11" s="8">
        <v>55</v>
      </c>
      <c r="OP11" s="28">
        <v>96</v>
      </c>
      <c r="OQ11" s="8">
        <v>23</v>
      </c>
      <c r="OR11" s="12">
        <v>208</v>
      </c>
      <c r="OS11" s="8">
        <v>363</v>
      </c>
      <c r="OT11" s="28">
        <v>418</v>
      </c>
      <c r="OU11" s="12">
        <v>869</v>
      </c>
      <c r="OV11" s="8">
        <v>732</v>
      </c>
      <c r="OZ11" s="12"/>
      <c r="PA11" s="8">
        <v>123</v>
      </c>
      <c r="PC11" s="8">
        <v>-638</v>
      </c>
      <c r="PD11" s="28">
        <v>166</v>
      </c>
      <c r="PE11" s="8">
        <v>-120</v>
      </c>
      <c r="PF11" s="12">
        <v>306</v>
      </c>
      <c r="PG11" s="8">
        <v>709</v>
      </c>
      <c r="PH11" s="12">
        <v>229</v>
      </c>
      <c r="PJ11" s="8">
        <v>323</v>
      </c>
      <c r="PK11" s="12">
        <v>189</v>
      </c>
      <c r="PL11" s="8">
        <v>-170</v>
      </c>
      <c r="PM11" s="28">
        <v>87</v>
      </c>
      <c r="PN11" s="8">
        <v>101</v>
      </c>
      <c r="PO11" s="28">
        <v>75</v>
      </c>
      <c r="PP11" s="8">
        <v>890</v>
      </c>
      <c r="PQ11" s="28">
        <v>14</v>
      </c>
      <c r="PR11" s="28"/>
      <c r="PS11" s="8">
        <v>-48</v>
      </c>
      <c r="PU11" s="28">
        <v>25</v>
      </c>
      <c r="PW11" s="8">
        <v>114</v>
      </c>
      <c r="PX11" s="28">
        <v>47</v>
      </c>
      <c r="PY11" s="8">
        <v>-8</v>
      </c>
      <c r="PZ11" s="12">
        <v>150</v>
      </c>
      <c r="QC11" s="8">
        <v>258</v>
      </c>
      <c r="QD11" s="12">
        <v>221</v>
      </c>
      <c r="QE11" s="8">
        <v>246</v>
      </c>
      <c r="QF11" s="12">
        <v>264</v>
      </c>
      <c r="QH11" s="8">
        <v>-29</v>
      </c>
      <c r="QI11" s="12">
        <v>669</v>
      </c>
      <c r="QJ11" s="8">
        <v>13</v>
      </c>
      <c r="QL11" s="8">
        <v>-6</v>
      </c>
      <c r="QM11" s="12">
        <v>117</v>
      </c>
      <c r="QN11" s="6">
        <v>319</v>
      </c>
      <c r="QO11" s="12"/>
      <c r="QQ11" s="8">
        <v>-77</v>
      </c>
      <c r="QR11" s="12">
        <f t="shared" si="0"/>
        <v>23.895606290697042</v>
      </c>
      <c r="QS11" s="8">
        <v>571</v>
      </c>
      <c r="QT11" s="8">
        <v>-43</v>
      </c>
      <c r="QU11" s="12">
        <v>431</v>
      </c>
      <c r="QV11" s="6">
        <v>-883</v>
      </c>
      <c r="QW11" s="12">
        <v>710</v>
      </c>
      <c r="QY11" s="8">
        <v>138</v>
      </c>
      <c r="QZ11" s="12">
        <v>627</v>
      </c>
      <c r="RA11" s="8">
        <v>733</v>
      </c>
      <c r="RB11" s="12">
        <v>899</v>
      </c>
      <c r="RC11" s="6">
        <v>-128</v>
      </c>
      <c r="RD11" s="12">
        <v>79</v>
      </c>
      <c r="RE11" s="6">
        <v>79</v>
      </c>
      <c r="RF11" s="12">
        <v>73</v>
      </c>
      <c r="RG11" s="8">
        <v>-1</v>
      </c>
      <c r="RH11" s="28">
        <v>96</v>
      </c>
      <c r="RJ11" s="9">
        <v>-57</v>
      </c>
      <c r="RK11" s="50">
        <v>46</v>
      </c>
      <c r="RL11" s="9">
        <v>71</v>
      </c>
      <c r="RM11" s="50">
        <v>248</v>
      </c>
      <c r="RQ11" s="9">
        <v>200</v>
      </c>
      <c r="RR11" s="49" t="s">
        <v>180</v>
      </c>
      <c r="RS11" s="54" t="s">
        <v>189</v>
      </c>
      <c r="RT11" s="49" t="s">
        <v>190</v>
      </c>
      <c r="RV11" s="8">
        <v>381</v>
      </c>
      <c r="RW11" s="52">
        <v>271</v>
      </c>
      <c r="RY11" s="48" t="s">
        <v>134</v>
      </c>
      <c r="RZ11" s="49" t="s">
        <v>135</v>
      </c>
      <c r="SA11" s="8">
        <v>113</v>
      </c>
      <c r="SB11" s="28">
        <v>1</v>
      </c>
      <c r="SD11" s="8">
        <v>306</v>
      </c>
      <c r="SE11" s="12">
        <v>214</v>
      </c>
      <c r="SF11" s="8">
        <v>-100</v>
      </c>
      <c r="SG11" s="12">
        <v>989</v>
      </c>
      <c r="SI11" s="8">
        <v>256</v>
      </c>
      <c r="SJ11" s="12">
        <v>48</v>
      </c>
      <c r="SK11" s="8">
        <v>593</v>
      </c>
      <c r="SL11" s="12">
        <v>157</v>
      </c>
      <c r="SM11" s="8">
        <v>901</v>
      </c>
      <c r="SN11" s="12">
        <v>425</v>
      </c>
      <c r="SP11" s="8">
        <v>119</v>
      </c>
      <c r="SQ11" s="12">
        <v>87</v>
      </c>
      <c r="SU11" s="8">
        <v>8</v>
      </c>
      <c r="SV11" s="28">
        <v>191</v>
      </c>
      <c r="SW11" s="8">
        <v>113</v>
      </c>
      <c r="SX11" s="28">
        <v>338</v>
      </c>
      <c r="SY11" s="6">
        <v>-263</v>
      </c>
      <c r="SZ11" s="28">
        <v>232</v>
      </c>
      <c r="TA11" s="6">
        <v>130</v>
      </c>
      <c r="TB11" s="12">
        <v>163</v>
      </c>
      <c r="TC11" s="8">
        <v>-178</v>
      </c>
      <c r="TD11" s="28">
        <v>868</v>
      </c>
      <c r="TH11" s="8">
        <v>-313</v>
      </c>
      <c r="TI11" s="28">
        <v>53</v>
      </c>
      <c r="TM11" s="8">
        <v>-2</v>
      </c>
      <c r="TN11" s="28">
        <v>13</v>
      </c>
      <c r="TO11" s="6">
        <v>-556</v>
      </c>
      <c r="TP11" s="28">
        <v>106</v>
      </c>
      <c r="TQ11" s="8">
        <v>57</v>
      </c>
      <c r="TR11" s="28">
        <v>3</v>
      </c>
      <c r="TS11" s="8">
        <v>161</v>
      </c>
      <c r="TT11" s="28">
        <v>69</v>
      </c>
      <c r="TX11" s="8">
        <v>171</v>
      </c>
      <c r="TY11" s="28">
        <v>157</v>
      </c>
      <c r="TZ11" s="8">
        <v>124</v>
      </c>
      <c r="UA11" s="12">
        <v>179</v>
      </c>
      <c r="UB11" s="8">
        <v>501</v>
      </c>
      <c r="UC11" s="12">
        <v>456</v>
      </c>
      <c r="UE11" s="8">
        <v>-1</v>
      </c>
      <c r="UF11" s="12">
        <v>635</v>
      </c>
      <c r="UG11" s="8">
        <v>-142</v>
      </c>
      <c r="UH11" s="12">
        <v>224</v>
      </c>
      <c r="UI11" s="8">
        <v>282</v>
      </c>
      <c r="UJ11" s="12">
        <v>225</v>
      </c>
      <c r="UL11" s="8">
        <v>815</v>
      </c>
      <c r="UM11" s="28">
        <v>26</v>
      </c>
      <c r="UN11" s="8">
        <v>114</v>
      </c>
      <c r="UO11" s="12">
        <v>360</v>
      </c>
      <c r="US11" s="8">
        <v>108</v>
      </c>
      <c r="UT11" s="12">
        <v>743</v>
      </c>
      <c r="UU11" s="8">
        <v>80</v>
      </c>
      <c r="UV11" s="12">
        <v>113</v>
      </c>
      <c r="UX11" s="8">
        <v>25</v>
      </c>
      <c r="UY11" s="28">
        <v>4</v>
      </c>
      <c r="UZ11" s="8">
        <v>-719</v>
      </c>
      <c r="VA11" s="12">
        <v>250</v>
      </c>
      <c r="VB11" s="8">
        <v>558</v>
      </c>
      <c r="VC11" s="12">
        <v>155</v>
      </c>
      <c r="VD11" s="8">
        <v>-163</v>
      </c>
      <c r="VE11" s="12">
        <v>21</v>
      </c>
      <c r="VF11" s="8">
        <v>-167</v>
      </c>
      <c r="VG11" s="12">
        <v>254</v>
      </c>
      <c r="VH11" s="8">
        <v>-209</v>
      </c>
      <c r="VI11" s="28">
        <v>910</v>
      </c>
      <c r="VJ11" s="8">
        <v>117</v>
      </c>
      <c r="VK11" s="28">
        <v>525</v>
      </c>
      <c r="VL11" s="21"/>
      <c r="VM11" s="8">
        <v>6661</v>
      </c>
      <c r="VO11" s="8">
        <v>895</v>
      </c>
      <c r="VQ11" s="8">
        <v>52</v>
      </c>
      <c r="VR11" s="28">
        <v>17</v>
      </c>
      <c r="VS11" s="8">
        <v>2538</v>
      </c>
      <c r="VT11" s="12">
        <v>4629</v>
      </c>
      <c r="VV11" s="8">
        <v>10344</v>
      </c>
      <c r="VW11" s="28">
        <v>149</v>
      </c>
      <c r="VX11" s="8">
        <v>68</v>
      </c>
      <c r="VY11" s="12">
        <v>236</v>
      </c>
      <c r="VZ11" s="8">
        <v>528</v>
      </c>
      <c r="WA11" s="28">
        <v>306</v>
      </c>
      <c r="WB11" s="8">
        <v>4333</v>
      </c>
      <c r="WC11" s="12">
        <v>1031</v>
      </c>
      <c r="WD11" s="8">
        <v>-186</v>
      </c>
      <c r="WG11" s="29">
        <v>-2571</v>
      </c>
      <c r="WH11" s="27"/>
      <c r="WI11" s="8">
        <v>638</v>
      </c>
      <c r="WL11">
        <v>-116</v>
      </c>
      <c r="WM11" s="1">
        <v>49</v>
      </c>
      <c r="WN11">
        <v>341</v>
      </c>
      <c r="WO11" s="12">
        <v>16</v>
      </c>
      <c r="WP11" s="2">
        <v>83</v>
      </c>
      <c r="WQ11" s="10"/>
      <c r="WS11" s="2">
        <v>16</v>
      </c>
      <c r="WT11" s="1">
        <v>3</v>
      </c>
      <c r="WU11" s="2">
        <v>646</v>
      </c>
      <c r="WV11" s="1">
        <v>238</v>
      </c>
      <c r="WX11">
        <v>-1427</v>
      </c>
      <c r="WY11" s="10">
        <v>1648</v>
      </c>
      <c r="XB11" s="23">
        <v>-4</v>
      </c>
      <c r="XE11">
        <v>-50964</v>
      </c>
      <c r="XG11" s="2">
        <v>15695</v>
      </c>
      <c r="XK11">
        <v>69</v>
      </c>
      <c r="XL11" s="1">
        <v>15</v>
      </c>
      <c r="XM11">
        <v>1839</v>
      </c>
      <c r="XN11" s="1">
        <v>3353</v>
      </c>
      <c r="XO11">
        <v>-322</v>
      </c>
    </row>
    <row r="12" spans="1:642" x14ac:dyDescent="0.25">
      <c r="C12" s="3">
        <v>13</v>
      </c>
      <c r="D12" s="4">
        <v>4</v>
      </c>
      <c r="E12">
        <v>-400</v>
      </c>
      <c r="F12" s="1">
        <v>631</v>
      </c>
      <c r="G12" s="2">
        <v>-2</v>
      </c>
      <c r="I12" s="2">
        <v>-4</v>
      </c>
      <c r="K12" s="2">
        <v>2787</v>
      </c>
      <c r="L12" s="1">
        <v>127</v>
      </c>
      <c r="M12">
        <v>198</v>
      </c>
      <c r="N12" s="1">
        <v>56</v>
      </c>
      <c r="O12" s="26"/>
      <c r="P12">
        <v>-117</v>
      </c>
      <c r="Q12" s="1">
        <v>17</v>
      </c>
      <c r="R12">
        <v>-1054</v>
      </c>
      <c r="S12" s="12">
        <v>-869</v>
      </c>
      <c r="T12">
        <v>5455</v>
      </c>
      <c r="U12" s="1">
        <v>1128</v>
      </c>
      <c r="V12">
        <v>-18</v>
      </c>
      <c r="W12" s="10">
        <v>391</v>
      </c>
      <c r="X12">
        <v>633</v>
      </c>
      <c r="Z12">
        <v>4</v>
      </c>
      <c r="AA12" s="1">
        <v>4</v>
      </c>
      <c r="AB12">
        <v>-78</v>
      </c>
      <c r="AC12" s="1">
        <v>24</v>
      </c>
      <c r="AD12">
        <v>1</v>
      </c>
      <c r="AE12" s="1">
        <v>1</v>
      </c>
      <c r="AF12">
        <v>-1145</v>
      </c>
      <c r="AG12" s="1">
        <v>300</v>
      </c>
      <c r="AJ12" s="2">
        <v>-667</v>
      </c>
      <c r="AK12" s="10">
        <v>236</v>
      </c>
      <c r="AN12">
        <v>326</v>
      </c>
      <c r="AO12" s="1">
        <v>39</v>
      </c>
      <c r="AQ12">
        <v>-2543</v>
      </c>
      <c r="AR12" s="1">
        <v>530</v>
      </c>
      <c r="AT12">
        <v>40</v>
      </c>
      <c r="AU12" s="1">
        <v>15</v>
      </c>
      <c r="AV12" s="2">
        <v>123</v>
      </c>
      <c r="AW12" s="1">
        <v>83</v>
      </c>
      <c r="AX12" s="1"/>
      <c r="AY12">
        <v>-43285</v>
      </c>
      <c r="AZ12" s="1">
        <v>1720</v>
      </c>
      <c r="BA12">
        <v>-975</v>
      </c>
      <c r="BB12" s="1">
        <v>720</v>
      </c>
      <c r="BD12" s="8">
        <v>-2144</v>
      </c>
      <c r="BE12" s="1">
        <v>193</v>
      </c>
      <c r="BF12">
        <v>585</v>
      </c>
      <c r="BG12" s="1">
        <v>389</v>
      </c>
      <c r="BH12">
        <v>-3682</v>
      </c>
      <c r="BI12" s="1">
        <v>1736</v>
      </c>
      <c r="BJ12">
        <v>-138</v>
      </c>
      <c r="BL12">
        <v>103</v>
      </c>
      <c r="BM12" s="1">
        <v>3</v>
      </c>
      <c r="BN12">
        <v>3</v>
      </c>
      <c r="BP12">
        <v>-898</v>
      </c>
      <c r="BQ12" s="10">
        <v>1712</v>
      </c>
      <c r="BR12">
        <v>4264614</v>
      </c>
      <c r="BS12" s="1">
        <v>64042</v>
      </c>
      <c r="BT12">
        <v>174</v>
      </c>
      <c r="BU12" s="1">
        <v>405</v>
      </c>
      <c r="BV12">
        <v>-97</v>
      </c>
      <c r="BW12" s="1">
        <v>7</v>
      </c>
      <c r="BX12">
        <v>365</v>
      </c>
      <c r="CA12" s="8">
        <v>400</v>
      </c>
      <c r="CB12" s="28">
        <v>38</v>
      </c>
      <c r="CC12" s="8">
        <v>474</v>
      </c>
      <c r="CD12" s="28">
        <v>281</v>
      </c>
      <c r="CE12" s="8">
        <v>208</v>
      </c>
      <c r="CF12" s="28">
        <v>658</v>
      </c>
      <c r="CG12" s="8">
        <v>909</v>
      </c>
      <c r="CI12" s="8">
        <v>684</v>
      </c>
      <c r="CJ12" s="12">
        <v>378</v>
      </c>
      <c r="CK12" s="6">
        <v>-49</v>
      </c>
      <c r="CL12" s="28">
        <v>49</v>
      </c>
      <c r="CM12" s="8">
        <v>-105</v>
      </c>
      <c r="CN12" s="28">
        <v>487</v>
      </c>
      <c r="CO12" s="6">
        <v>-18</v>
      </c>
      <c r="CP12" s="28"/>
      <c r="CQ12" s="6">
        <v>730</v>
      </c>
      <c r="CR12" s="12">
        <v>154</v>
      </c>
      <c r="CS12" s="6">
        <v>-131</v>
      </c>
      <c r="CT12" s="28">
        <v>560</v>
      </c>
      <c r="CU12" s="6">
        <v>2</v>
      </c>
      <c r="CV12" s="28"/>
      <c r="CW12" s="6">
        <v>-8</v>
      </c>
      <c r="CX12" s="28">
        <v>8</v>
      </c>
      <c r="CZ12" s="23">
        <v>-117</v>
      </c>
      <c r="DA12" s="25">
        <v>420</v>
      </c>
      <c r="DB12" s="23">
        <v>-31</v>
      </c>
      <c r="DC12" s="25">
        <v>5</v>
      </c>
      <c r="DD12" s="23">
        <v>-30</v>
      </c>
      <c r="DE12" s="25">
        <v>11</v>
      </c>
      <c r="DF12" s="86">
        <v>102</v>
      </c>
      <c r="DG12" s="25">
        <v>569</v>
      </c>
      <c r="DH12" s="23">
        <v>-308</v>
      </c>
      <c r="DI12" s="25">
        <v>251</v>
      </c>
      <c r="DJ12" s="23">
        <v>-595</v>
      </c>
      <c r="DK12" s="28">
        <v>181</v>
      </c>
      <c r="DL12" s="8">
        <v>717</v>
      </c>
      <c r="DN12" s="8">
        <v>303</v>
      </c>
      <c r="DQ12" s="8">
        <v>737</v>
      </c>
      <c r="DR12" s="52">
        <v>185</v>
      </c>
      <c r="DS12" s="6">
        <f>19</f>
        <v>19</v>
      </c>
      <c r="DT12" s="52">
        <v>205</v>
      </c>
      <c r="DU12" s="8">
        <v>-202</v>
      </c>
      <c r="DV12" s="28">
        <v>168</v>
      </c>
      <c r="DW12" s="8">
        <v>-16</v>
      </c>
      <c r="DX12" s="28">
        <v>1</v>
      </c>
      <c r="DY12" s="6">
        <v>311</v>
      </c>
      <c r="DZ12" s="52">
        <v>701</v>
      </c>
      <c r="EA12" s="23">
        <v>342</v>
      </c>
      <c r="EB12" s="52">
        <v>328</v>
      </c>
      <c r="EC12" s="6">
        <v>12</v>
      </c>
      <c r="ED12" s="28">
        <v>6</v>
      </c>
      <c r="EE12" s="8">
        <v>-506</v>
      </c>
      <c r="EF12" s="52">
        <v>522</v>
      </c>
      <c r="EG12" s="8">
        <v>444</v>
      </c>
      <c r="EH12" s="28">
        <v>567</v>
      </c>
      <c r="EI12" s="8">
        <v>10</v>
      </c>
      <c r="EJ12" s="52">
        <v>821</v>
      </c>
      <c r="EL12" s="8">
        <v>-990</v>
      </c>
      <c r="EM12" s="28">
        <v>381</v>
      </c>
      <c r="EN12" s="8">
        <v>287</v>
      </c>
      <c r="EO12" s="28">
        <v>10</v>
      </c>
      <c r="EP12" s="8">
        <v>-121</v>
      </c>
      <c r="EQ12" s="52">
        <v>120</v>
      </c>
      <c r="ER12" s="8">
        <v>550</v>
      </c>
      <c r="ES12" s="52">
        <v>556</v>
      </c>
      <c r="EU12" s="52"/>
      <c r="EV12" s="8">
        <v>116</v>
      </c>
      <c r="EX12" s="8">
        <v>266</v>
      </c>
      <c r="EY12" s="28">
        <v>638</v>
      </c>
      <c r="EZ12" s="8">
        <v>-197</v>
      </c>
      <c r="FA12" s="52">
        <v>347</v>
      </c>
      <c r="FB12" s="8">
        <v>46</v>
      </c>
      <c r="FC12" s="52">
        <v>65</v>
      </c>
      <c r="FD12" s="6">
        <v>327</v>
      </c>
      <c r="FE12" s="28">
        <v>645</v>
      </c>
      <c r="FF12" s="8">
        <v>-40</v>
      </c>
      <c r="FG12" s="28">
        <v>53</v>
      </c>
      <c r="FH12" s="8">
        <v>33</v>
      </c>
      <c r="FI12" s="28">
        <v>15</v>
      </c>
      <c r="FK12" s="52"/>
      <c r="FM12" s="8">
        <v>-116</v>
      </c>
      <c r="FN12" s="52">
        <v>116</v>
      </c>
      <c r="FO12" s="8">
        <v>236</v>
      </c>
      <c r="FP12" s="28">
        <v>70</v>
      </c>
      <c r="FQ12" s="8">
        <v>16</v>
      </c>
      <c r="FR12" s="28">
        <v>2</v>
      </c>
      <c r="FS12" s="8">
        <v>-455</v>
      </c>
      <c r="FU12" s="28">
        <v>346</v>
      </c>
      <c r="FV12" s="8">
        <v>980</v>
      </c>
      <c r="FW12" s="28">
        <v>111</v>
      </c>
      <c r="FX12" s="8">
        <v>117</v>
      </c>
      <c r="FY12" s="28">
        <v>1</v>
      </c>
      <c r="GA12" s="8">
        <v>137</v>
      </c>
      <c r="GB12" s="52">
        <v>92</v>
      </c>
      <c r="GC12" s="8">
        <v>510</v>
      </c>
      <c r="GE12" s="8">
        <v>25</v>
      </c>
      <c r="GF12" s="28">
        <v>81</v>
      </c>
      <c r="GG12" s="8">
        <v>123</v>
      </c>
      <c r="GH12" s="28">
        <v>505</v>
      </c>
      <c r="GI12" s="8">
        <v>-38</v>
      </c>
      <c r="GJ12" s="28">
        <v>54</v>
      </c>
      <c r="GK12" s="8">
        <v>170</v>
      </c>
      <c r="GL12" s="28">
        <v>390</v>
      </c>
      <c r="GN12" s="8">
        <v>-905</v>
      </c>
      <c r="GO12" s="28">
        <v>150</v>
      </c>
      <c r="GP12" s="8">
        <v>-8</v>
      </c>
      <c r="GQ12" s="52">
        <v>60</v>
      </c>
      <c r="GR12" s="8">
        <v>12</v>
      </c>
      <c r="GS12" s="28">
        <v>9</v>
      </c>
      <c r="GT12" s="6">
        <v>-328</v>
      </c>
      <c r="GU12" s="52">
        <v>169</v>
      </c>
      <c r="GV12" s="6">
        <v>949</v>
      </c>
      <c r="GW12" s="28">
        <v>977</v>
      </c>
      <c r="GX12" s="8">
        <v>907</v>
      </c>
      <c r="GY12" s="52">
        <v>678</v>
      </c>
      <c r="GZ12" s="8">
        <v>577</v>
      </c>
      <c r="HA12" s="28">
        <v>129</v>
      </c>
      <c r="HB12" s="6">
        <v>41</v>
      </c>
      <c r="HC12" s="28"/>
      <c r="HE12" s="8">
        <v>-5</v>
      </c>
      <c r="HF12" s="28">
        <v>157</v>
      </c>
      <c r="HG12" s="8">
        <v>48</v>
      </c>
      <c r="HI12" s="8">
        <v>219</v>
      </c>
      <c r="HJ12" s="28">
        <v>340</v>
      </c>
      <c r="HK12" s="8">
        <v>85</v>
      </c>
      <c r="HL12" s="52">
        <v>3</v>
      </c>
      <c r="HM12" s="8">
        <v>917</v>
      </c>
      <c r="HO12" s="8">
        <v>-128</v>
      </c>
      <c r="HP12" s="28">
        <v>290</v>
      </c>
      <c r="HQ12" s="6">
        <v>4</v>
      </c>
      <c r="HR12" s="28">
        <v>2</v>
      </c>
      <c r="HS12" s="8">
        <v>-15</v>
      </c>
      <c r="HT12" s="52">
        <v>636</v>
      </c>
      <c r="HV12" s="8">
        <v>-626</v>
      </c>
      <c r="HW12" s="28">
        <v>194</v>
      </c>
      <c r="HX12" s="8">
        <v>52</v>
      </c>
      <c r="HY12" s="28">
        <v>37</v>
      </c>
      <c r="HZ12" s="8">
        <v>11</v>
      </c>
      <c r="IB12" s="8">
        <v>784</v>
      </c>
      <c r="IC12" s="28">
        <v>771</v>
      </c>
      <c r="ID12" s="8">
        <v>-478</v>
      </c>
      <c r="IE12" s="28">
        <v>27</v>
      </c>
      <c r="IF12" s="8">
        <v>586</v>
      </c>
      <c r="IG12" s="28">
        <v>281</v>
      </c>
      <c r="IH12" s="8">
        <v>305</v>
      </c>
      <c r="II12" s="28">
        <v>136</v>
      </c>
      <c r="IK12" s="8">
        <v>-331</v>
      </c>
      <c r="IM12" s="8">
        <v>28</v>
      </c>
      <c r="IO12">
        <v>-134</v>
      </c>
      <c r="IP12" s="10">
        <v>113</v>
      </c>
      <c r="IQ12" s="8">
        <v>-71</v>
      </c>
      <c r="IR12" s="28">
        <v>3</v>
      </c>
      <c r="IS12" s="6">
        <v>312</v>
      </c>
      <c r="IT12" s="28">
        <v>868</v>
      </c>
      <c r="IU12" s="8">
        <v>-120</v>
      </c>
      <c r="IV12" s="28">
        <v>121</v>
      </c>
      <c r="IW12" s="8">
        <v>-158</v>
      </c>
      <c r="IY12" s="8">
        <v>-679</v>
      </c>
      <c r="JA12" s="8">
        <v>23</v>
      </c>
      <c r="JB12" s="12">
        <v>676</v>
      </c>
      <c r="JD12" s="8">
        <v>283</v>
      </c>
      <c r="JE12" s="28">
        <v>19</v>
      </c>
      <c r="JG12" s="28"/>
      <c r="JH12" s="8">
        <v>-765</v>
      </c>
      <c r="JI12" s="28">
        <v>155</v>
      </c>
      <c r="JJ12" s="8">
        <v>23</v>
      </c>
      <c r="JK12" s="28">
        <v>15</v>
      </c>
      <c r="JL12" s="8">
        <v>-927</v>
      </c>
      <c r="JM12" s="12">
        <v>237</v>
      </c>
      <c r="JN12" s="8">
        <v>-1</v>
      </c>
      <c r="JO12" s="28">
        <v>3</v>
      </c>
      <c r="JP12" s="6">
        <v>147</v>
      </c>
      <c r="JQ12" s="12">
        <v>646</v>
      </c>
      <c r="JR12" s="8">
        <v>636</v>
      </c>
      <c r="JS12" s="12">
        <v>480</v>
      </c>
      <c r="JT12" s="6">
        <v>-120</v>
      </c>
      <c r="JU12" s="12">
        <v>100</v>
      </c>
      <c r="JW12" s="8">
        <v>-332</v>
      </c>
      <c r="JX12" s="12">
        <v>633</v>
      </c>
      <c r="JY12" s="8">
        <v>705</v>
      </c>
      <c r="JZ12" s="28">
        <v>33</v>
      </c>
      <c r="KA12" s="8">
        <v>17</v>
      </c>
      <c r="KB12" s="28">
        <v>43</v>
      </c>
      <c r="KC12" s="8">
        <v>-246</v>
      </c>
      <c r="KD12" s="28">
        <v>350</v>
      </c>
      <c r="KE12" s="6">
        <v>-584</v>
      </c>
      <c r="KF12" s="12">
        <v>104</v>
      </c>
      <c r="KI12" s="8">
        <v>96</v>
      </c>
      <c r="KJ12" s="28">
        <v>160</v>
      </c>
      <c r="KK12" s="8">
        <v>-933</v>
      </c>
      <c r="KL12" s="28">
        <v>543</v>
      </c>
      <c r="KM12" s="6">
        <v>-25</v>
      </c>
      <c r="KN12" s="28">
        <v>7</v>
      </c>
      <c r="KQ12" s="8">
        <v>23</v>
      </c>
      <c r="KR12" s="28">
        <v>7</v>
      </c>
      <c r="KT12" s="8">
        <v>3</v>
      </c>
      <c r="KU12" s="28">
        <v>7</v>
      </c>
      <c r="KV12" s="8">
        <v>482</v>
      </c>
      <c r="KX12" s="8">
        <v>10</v>
      </c>
      <c r="KY12" s="12">
        <v>425</v>
      </c>
      <c r="KZ12" s="8">
        <v>-104</v>
      </c>
      <c r="LA12" s="12">
        <v>588</v>
      </c>
      <c r="LD12" s="8">
        <v>919</v>
      </c>
      <c r="LE12" s="28">
        <v>905</v>
      </c>
      <c r="LF12" s="8">
        <v>-651</v>
      </c>
      <c r="LG12" s="28">
        <v>412</v>
      </c>
      <c r="LH12" s="6">
        <v>-554</v>
      </c>
      <c r="LJ12" s="8">
        <v>608</v>
      </c>
      <c r="LK12" s="28">
        <v>503</v>
      </c>
      <c r="LL12" s="8">
        <v>89</v>
      </c>
      <c r="LM12" s="28">
        <v>3</v>
      </c>
      <c r="LN12" s="8">
        <v>168</v>
      </c>
      <c r="LO12" s="28">
        <v>246</v>
      </c>
      <c r="LS12" s="8">
        <v>30</v>
      </c>
      <c r="LU12" s="8">
        <v>471</v>
      </c>
      <c r="LV12" s="12">
        <v>413</v>
      </c>
      <c r="LW12" s="8">
        <v>-147</v>
      </c>
      <c r="LX12" s="28">
        <v>136</v>
      </c>
      <c r="LZ12" s="8">
        <v>620</v>
      </c>
      <c r="MB12" s="8">
        <v>-83</v>
      </c>
      <c r="MC12" s="28">
        <v>70</v>
      </c>
      <c r="MF12" s="8">
        <v>-115</v>
      </c>
      <c r="MG12" s="12">
        <v>125</v>
      </c>
      <c r="MH12" s="8">
        <v>1</v>
      </c>
      <c r="MJ12" s="8">
        <v>143</v>
      </c>
      <c r="MK12" s="12">
        <v>238</v>
      </c>
      <c r="ML12" s="8">
        <v>329</v>
      </c>
      <c r="MM12" s="60">
        <v>459</v>
      </c>
      <c r="MN12" s="8">
        <v>484</v>
      </c>
      <c r="MO12" s="28">
        <v>75</v>
      </c>
      <c r="MQ12" s="8">
        <v>-845</v>
      </c>
      <c r="MR12" s="28">
        <v>268</v>
      </c>
      <c r="MS12" s="8">
        <v>87</v>
      </c>
      <c r="MT12" s="12">
        <v>208</v>
      </c>
      <c r="MU12" s="8">
        <v>1</v>
      </c>
      <c r="MV12" s="28">
        <v>4</v>
      </c>
      <c r="MZ12" s="8">
        <v>-105</v>
      </c>
      <c r="NA12" s="12">
        <v>38</v>
      </c>
      <c r="NC12" s="8">
        <v>998</v>
      </c>
      <c r="ND12" s="12">
        <v>273</v>
      </c>
      <c r="NE12" s="8">
        <v>157</v>
      </c>
      <c r="NF12" s="28">
        <v>131</v>
      </c>
      <c r="NG12" s="8">
        <v>-55</v>
      </c>
      <c r="NH12" s="28">
        <v>28</v>
      </c>
      <c r="NI12" s="8">
        <v>6</v>
      </c>
      <c r="NJ12" s="28">
        <v>1</v>
      </c>
      <c r="NL12" s="8">
        <v>410</v>
      </c>
      <c r="NM12" s="28">
        <v>42</v>
      </c>
      <c r="NN12" s="8">
        <v>75</v>
      </c>
      <c r="NO12" s="28">
        <v>58</v>
      </c>
      <c r="NP12" s="8">
        <v>792</v>
      </c>
      <c r="NQ12" s="12">
        <v>150</v>
      </c>
      <c r="NR12" s="8">
        <v>7</v>
      </c>
      <c r="NS12" s="12">
        <v>110</v>
      </c>
      <c r="NU12" s="8">
        <v>354</v>
      </c>
      <c r="NV12" s="12">
        <v>202</v>
      </c>
      <c r="NW12" s="8">
        <v>302</v>
      </c>
      <c r="NX12" s="28">
        <v>212</v>
      </c>
      <c r="NY12" s="8">
        <v>596</v>
      </c>
      <c r="NZ12" s="12">
        <v>117</v>
      </c>
      <c r="OA12" s="8">
        <v>-367</v>
      </c>
      <c r="OB12" s="28">
        <v>239</v>
      </c>
      <c r="OC12" s="8">
        <v>166</v>
      </c>
      <c r="OD12" s="12">
        <v>100</v>
      </c>
      <c r="OE12" s="8">
        <v>-268</v>
      </c>
      <c r="OF12" s="12">
        <v>200</v>
      </c>
      <c r="OG12" s="28"/>
      <c r="OH12" s="8">
        <v>913</v>
      </c>
      <c r="OI12" s="28">
        <v>549</v>
      </c>
      <c r="OK12" s="8">
        <v>819</v>
      </c>
      <c r="OL12" s="28">
        <v>288</v>
      </c>
      <c r="OM12" s="8">
        <v>-209</v>
      </c>
      <c r="ON12" s="28">
        <v>246</v>
      </c>
      <c r="OO12" s="8">
        <v>8</v>
      </c>
      <c r="OP12" s="28">
        <v>59</v>
      </c>
      <c r="OQ12" s="8">
        <v>40</v>
      </c>
      <c r="OR12" s="12">
        <v>262</v>
      </c>
      <c r="OS12" s="8">
        <v>274</v>
      </c>
      <c r="OT12" s="28">
        <v>444</v>
      </c>
      <c r="OU12" s="12">
        <v>617</v>
      </c>
      <c r="OV12" s="8">
        <v>115</v>
      </c>
      <c r="OZ12" s="12"/>
      <c r="PA12" s="8">
        <v>185</v>
      </c>
      <c r="PC12" s="8">
        <v>-385</v>
      </c>
      <c r="PD12" s="28">
        <v>942</v>
      </c>
      <c r="PE12" s="8">
        <v>-32</v>
      </c>
      <c r="PF12" s="12">
        <v>115</v>
      </c>
      <c r="PG12" s="8">
        <v>673</v>
      </c>
      <c r="PH12" s="12">
        <v>258</v>
      </c>
      <c r="PJ12" s="8">
        <v>30</v>
      </c>
      <c r="PK12" s="12">
        <v>77</v>
      </c>
      <c r="PL12" s="8">
        <v>34</v>
      </c>
      <c r="PM12" s="28">
        <v>2</v>
      </c>
      <c r="PN12" s="8">
        <v>-1</v>
      </c>
      <c r="PO12" s="28">
        <v>64</v>
      </c>
      <c r="PP12" s="8">
        <v>644</v>
      </c>
      <c r="PQ12" s="28">
        <v>12</v>
      </c>
      <c r="PR12" s="28"/>
      <c r="PS12" s="8">
        <v>-843</v>
      </c>
      <c r="PU12" s="28">
        <v>141</v>
      </c>
      <c r="PW12" s="8">
        <v>38</v>
      </c>
      <c r="PX12" s="28">
        <v>39</v>
      </c>
      <c r="PY12" s="8">
        <v>1</v>
      </c>
      <c r="PZ12" s="12">
        <v>296</v>
      </c>
      <c r="QC12" s="8">
        <v>635</v>
      </c>
      <c r="QD12" s="12">
        <v>185</v>
      </c>
      <c r="QE12" s="8">
        <v>446</v>
      </c>
      <c r="QF12" s="12">
        <v>386</v>
      </c>
      <c r="QH12" s="8">
        <v>87</v>
      </c>
      <c r="QI12" s="12">
        <v>209</v>
      </c>
      <c r="QJ12" s="8">
        <v>177</v>
      </c>
      <c r="QL12" s="8">
        <v>45</v>
      </c>
      <c r="QM12" s="12">
        <v>134</v>
      </c>
      <c r="QN12" s="12"/>
      <c r="QO12" s="12"/>
      <c r="QQ12" s="8">
        <v>322</v>
      </c>
      <c r="QR12" s="12">
        <f t="shared" si="0"/>
        <v>25.865034312755125</v>
      </c>
      <c r="QS12" s="8">
        <v>669</v>
      </c>
      <c r="QT12" s="8">
        <v>681</v>
      </c>
      <c r="QU12" s="12">
        <v>213</v>
      </c>
      <c r="QV12" s="6">
        <v>-335</v>
      </c>
      <c r="QW12" s="12">
        <v>159</v>
      </c>
      <c r="QY12" s="8">
        <v>130</v>
      </c>
      <c r="QZ12" s="12">
        <v>597</v>
      </c>
      <c r="RA12" s="8">
        <v>-445</v>
      </c>
      <c r="RB12" s="12">
        <v>769</v>
      </c>
      <c r="RC12" s="6">
        <v>-385</v>
      </c>
      <c r="RD12" s="12">
        <v>108</v>
      </c>
      <c r="RE12" s="6">
        <v>497</v>
      </c>
      <c r="RF12" s="12">
        <v>161</v>
      </c>
      <c r="RG12" s="8">
        <v>-17</v>
      </c>
      <c r="RH12" s="28">
        <v>104</v>
      </c>
      <c r="RJ12" s="8">
        <v>-49</v>
      </c>
      <c r="RK12" s="12">
        <v>210</v>
      </c>
      <c r="RL12" s="8">
        <v>-59</v>
      </c>
      <c r="RM12" s="12">
        <v>60</v>
      </c>
      <c r="RQ12" s="9">
        <v>145</v>
      </c>
      <c r="RR12" s="49" t="s">
        <v>181</v>
      </c>
      <c r="RS12" s="54" t="s">
        <v>191</v>
      </c>
      <c r="RT12" s="49" t="s">
        <v>192</v>
      </c>
      <c r="RV12" s="8">
        <v>618</v>
      </c>
      <c r="RW12" s="52">
        <v>138</v>
      </c>
      <c r="RY12" s="48" t="s">
        <v>136</v>
      </c>
      <c r="RZ12" s="49" t="s">
        <v>137</v>
      </c>
      <c r="SA12" s="8">
        <v>85</v>
      </c>
      <c r="SB12" s="28">
        <v>2</v>
      </c>
      <c r="SD12" s="8">
        <v>11</v>
      </c>
      <c r="SE12" s="12">
        <v>1</v>
      </c>
      <c r="SF12" s="8">
        <v>105</v>
      </c>
      <c r="SG12" s="12">
        <v>145</v>
      </c>
      <c r="SI12" s="8">
        <v>165</v>
      </c>
      <c r="SJ12" s="12">
        <v>28</v>
      </c>
      <c r="SK12" s="8">
        <v>299</v>
      </c>
      <c r="SL12" s="12">
        <v>89</v>
      </c>
      <c r="SP12" s="8">
        <v>-1</v>
      </c>
      <c r="SQ12" s="12">
        <v>-1</v>
      </c>
      <c r="SU12" s="8">
        <v>681</v>
      </c>
      <c r="SV12" s="28">
        <v>24</v>
      </c>
      <c r="SW12" s="8">
        <v>-385</v>
      </c>
      <c r="SX12" s="28">
        <v>188</v>
      </c>
      <c r="SY12" s="6">
        <v>-776</v>
      </c>
      <c r="SZ12" s="28">
        <v>298</v>
      </c>
      <c r="TA12" s="6">
        <v>2</v>
      </c>
      <c r="TB12" s="12">
        <v>45</v>
      </c>
      <c r="TC12" s="8">
        <v>-105</v>
      </c>
      <c r="TD12" s="28">
        <v>592</v>
      </c>
      <c r="TH12" s="8">
        <v>-374</v>
      </c>
      <c r="TI12" s="28">
        <v>63</v>
      </c>
      <c r="TM12" s="8">
        <v>106</v>
      </c>
      <c r="TN12" s="28">
        <v>6</v>
      </c>
      <c r="TP12" s="28"/>
      <c r="TQ12" s="8">
        <v>15</v>
      </c>
      <c r="TR12" s="28">
        <v>2</v>
      </c>
      <c r="TX12" s="8">
        <v>136</v>
      </c>
      <c r="TY12" s="28">
        <v>155</v>
      </c>
      <c r="TZ12" s="8">
        <v>92</v>
      </c>
      <c r="UA12" s="12">
        <v>147</v>
      </c>
      <c r="UB12" s="8">
        <v>136</v>
      </c>
      <c r="UC12" s="12">
        <v>114</v>
      </c>
      <c r="UE12" s="8">
        <v>1</v>
      </c>
      <c r="UF12" s="12">
        <v>101</v>
      </c>
      <c r="UG12" s="8">
        <v>215</v>
      </c>
      <c r="UH12" s="12">
        <v>152</v>
      </c>
      <c r="UI12" s="8">
        <v>280</v>
      </c>
      <c r="UJ12" s="12">
        <v>140</v>
      </c>
      <c r="UL12" s="8">
        <v>578</v>
      </c>
      <c r="UM12" s="28">
        <v>16</v>
      </c>
      <c r="UN12" s="8">
        <v>896</v>
      </c>
      <c r="UO12" s="12">
        <v>170</v>
      </c>
      <c r="US12" s="8">
        <v>-358</v>
      </c>
      <c r="UT12" s="12">
        <v>249</v>
      </c>
      <c r="UU12" s="8">
        <v>79</v>
      </c>
      <c r="UV12" s="12">
        <v>112</v>
      </c>
      <c r="UX12" s="8">
        <v>80</v>
      </c>
      <c r="UY12" s="28">
        <v>6</v>
      </c>
      <c r="UZ12" s="8">
        <v>112</v>
      </c>
      <c r="VA12" s="12">
        <v>385</v>
      </c>
      <c r="VB12" s="8">
        <v>630</v>
      </c>
      <c r="VC12" s="12">
        <v>179</v>
      </c>
      <c r="VD12" s="8">
        <v>-24</v>
      </c>
      <c r="VE12" s="12">
        <v>347</v>
      </c>
      <c r="VF12" s="8">
        <v>-304</v>
      </c>
      <c r="VG12" s="12">
        <v>465</v>
      </c>
      <c r="VH12" s="8">
        <v>237</v>
      </c>
      <c r="VI12" s="28">
        <v>180</v>
      </c>
      <c r="VJ12" s="8">
        <v>-514</v>
      </c>
      <c r="VK12" s="28">
        <v>547</v>
      </c>
      <c r="VL12" s="21"/>
      <c r="VM12" s="8">
        <v>-1739</v>
      </c>
      <c r="VQ12" s="8">
        <v>79</v>
      </c>
      <c r="VR12" s="28">
        <v>22</v>
      </c>
      <c r="VS12" s="8">
        <v>4348</v>
      </c>
      <c r="VT12" s="12">
        <v>3258</v>
      </c>
      <c r="VV12" s="8">
        <v>10177</v>
      </c>
      <c r="VW12" s="28">
        <v>336</v>
      </c>
      <c r="VX12" s="8">
        <v>17</v>
      </c>
      <c r="VY12" s="12">
        <v>410</v>
      </c>
      <c r="VZ12" s="8">
        <v>166</v>
      </c>
      <c r="WA12" s="28">
        <v>294</v>
      </c>
      <c r="WB12" s="8">
        <v>4804</v>
      </c>
      <c r="WC12" s="12">
        <v>1026</v>
      </c>
      <c r="WD12" s="8">
        <v>3267</v>
      </c>
      <c r="WE12" s="28">
        <v>830</v>
      </c>
      <c r="WG12" s="29">
        <v>-2272</v>
      </c>
      <c r="WH12" s="27"/>
      <c r="WI12" s="8">
        <v>1039</v>
      </c>
      <c r="WL12">
        <v>-405</v>
      </c>
      <c r="WM12" s="1">
        <v>485</v>
      </c>
      <c r="WN12">
        <v>-44</v>
      </c>
      <c r="WO12" s="12">
        <v>19</v>
      </c>
      <c r="WP12" s="2">
        <v>1295</v>
      </c>
      <c r="WQ12" s="10"/>
      <c r="WR12" s="10"/>
      <c r="WS12" s="2">
        <v>75</v>
      </c>
      <c r="WT12" s="1">
        <v>43</v>
      </c>
      <c r="WU12" s="2">
        <v>325</v>
      </c>
      <c r="WV12" s="1">
        <v>240</v>
      </c>
      <c r="WX12">
        <v>2792</v>
      </c>
      <c r="WY12" s="10">
        <v>102</v>
      </c>
      <c r="XB12" s="23">
        <v>-7</v>
      </c>
      <c r="XE12">
        <v>-50334</v>
      </c>
      <c r="XG12" s="2">
        <v>8392</v>
      </c>
      <c r="XK12">
        <v>25</v>
      </c>
      <c r="XL12" s="1">
        <v>10</v>
      </c>
      <c r="XM12">
        <v>1912</v>
      </c>
      <c r="XN12" s="1">
        <v>4957</v>
      </c>
      <c r="XO12">
        <v>-6356</v>
      </c>
      <c r="XQ12" s="7" t="s">
        <v>388</v>
      </c>
    </row>
    <row r="13" spans="1:642" x14ac:dyDescent="0.25">
      <c r="C13" s="3">
        <v>36</v>
      </c>
      <c r="D13" s="4">
        <v>7</v>
      </c>
      <c r="E13">
        <v>-644</v>
      </c>
      <c r="F13" s="1">
        <v>796</v>
      </c>
      <c r="G13" s="2">
        <v>-9</v>
      </c>
      <c r="I13" s="2">
        <v>17</v>
      </c>
      <c r="K13" s="2">
        <v>2778</v>
      </c>
      <c r="L13" s="1">
        <v>127</v>
      </c>
      <c r="M13">
        <v>179</v>
      </c>
      <c r="N13" s="1">
        <v>63</v>
      </c>
      <c r="O13" s="26"/>
      <c r="P13">
        <v>51</v>
      </c>
      <c r="Q13" s="1">
        <v>15</v>
      </c>
      <c r="R13">
        <v>77</v>
      </c>
      <c r="S13" s="12">
        <v>648</v>
      </c>
      <c r="T13">
        <v>5452</v>
      </c>
      <c r="U13" s="1">
        <v>1176</v>
      </c>
      <c r="V13">
        <v>-19</v>
      </c>
      <c r="W13" s="10">
        <v>421</v>
      </c>
      <c r="X13">
        <v>56</v>
      </c>
      <c r="Z13">
        <v>23</v>
      </c>
      <c r="AA13" s="1">
        <v>4</v>
      </c>
      <c r="AB13">
        <v>3</v>
      </c>
      <c r="AC13" s="1">
        <v>45</v>
      </c>
      <c r="AD13">
        <v>60</v>
      </c>
      <c r="AE13" s="1">
        <v>16</v>
      </c>
      <c r="AF13">
        <v>718</v>
      </c>
      <c r="AG13" s="1">
        <v>357</v>
      </c>
      <c r="AJ13" s="2">
        <v>1709</v>
      </c>
      <c r="AK13" s="10">
        <v>286</v>
      </c>
      <c r="AN13">
        <v>338</v>
      </c>
      <c r="AO13" s="1">
        <v>34</v>
      </c>
      <c r="AQ13">
        <v>-158</v>
      </c>
      <c r="AR13" s="1">
        <v>353</v>
      </c>
      <c r="AT13">
        <v>-595</v>
      </c>
      <c r="AU13" s="1">
        <v>60</v>
      </c>
      <c r="AV13" s="2">
        <v>144</v>
      </c>
      <c r="AW13" s="1">
        <v>126</v>
      </c>
      <c r="AX13" s="1"/>
      <c r="AY13">
        <v>-5773</v>
      </c>
      <c r="AZ13" s="1">
        <v>222</v>
      </c>
      <c r="BA13">
        <v>863</v>
      </c>
      <c r="BB13" s="1">
        <v>137</v>
      </c>
      <c r="BD13" s="8">
        <v>476</v>
      </c>
      <c r="BE13" s="1">
        <v>28</v>
      </c>
      <c r="BF13">
        <v>59</v>
      </c>
      <c r="BG13" s="1">
        <v>111</v>
      </c>
      <c r="BH13">
        <v>-1538</v>
      </c>
      <c r="BI13" s="1">
        <v>1723</v>
      </c>
      <c r="BJ13">
        <v>-83</v>
      </c>
      <c r="BL13">
        <v>1505</v>
      </c>
      <c r="BM13" s="1">
        <v>45</v>
      </c>
      <c r="BN13">
        <v>5</v>
      </c>
      <c r="BP13">
        <v>-969</v>
      </c>
      <c r="BQ13" s="10">
        <v>1752</v>
      </c>
      <c r="BR13">
        <v>5364346</v>
      </c>
      <c r="BS13" s="1">
        <v>61482</v>
      </c>
      <c r="BT13">
        <v>-295</v>
      </c>
      <c r="BU13" s="1">
        <v>368</v>
      </c>
      <c r="BV13">
        <v>-9</v>
      </c>
      <c r="BW13" s="1">
        <v>5</v>
      </c>
      <c r="BX13">
        <v>-189</v>
      </c>
      <c r="CA13" s="8">
        <v>6</v>
      </c>
      <c r="CB13" s="28">
        <v>4</v>
      </c>
      <c r="CC13" s="8">
        <v>-430</v>
      </c>
      <c r="CD13" s="28">
        <v>157</v>
      </c>
      <c r="CE13" s="8">
        <v>165</v>
      </c>
      <c r="CF13" s="28">
        <v>100</v>
      </c>
      <c r="CG13" s="8">
        <v>800</v>
      </c>
      <c r="CI13" s="8">
        <v>596</v>
      </c>
      <c r="CJ13" s="12">
        <v>164</v>
      </c>
      <c r="CK13" s="6">
        <v>-55</v>
      </c>
      <c r="CL13" s="28">
        <v>49</v>
      </c>
      <c r="CM13" s="8">
        <v>691</v>
      </c>
      <c r="CN13" s="28">
        <v>144</v>
      </c>
      <c r="CO13" s="6">
        <v>-69</v>
      </c>
      <c r="CP13" s="28"/>
      <c r="CQ13" s="6">
        <v>745</v>
      </c>
      <c r="CR13" s="12">
        <v>161</v>
      </c>
      <c r="CS13" s="6">
        <v>-289</v>
      </c>
      <c r="CT13" s="28">
        <v>329</v>
      </c>
      <c r="CU13" s="6">
        <v>171</v>
      </c>
      <c r="CV13" s="28"/>
      <c r="CW13" s="6">
        <v>-37</v>
      </c>
      <c r="CX13" s="28">
        <v>22</v>
      </c>
      <c r="CZ13" s="23">
        <v>263</v>
      </c>
      <c r="DA13" s="25">
        <v>277</v>
      </c>
      <c r="DB13" s="23">
        <v>6</v>
      </c>
      <c r="DC13" s="25">
        <v>1</v>
      </c>
      <c r="DD13" s="23">
        <v>8</v>
      </c>
      <c r="DE13" s="25">
        <v>9</v>
      </c>
      <c r="DF13" s="86">
        <v>112</v>
      </c>
      <c r="DG13" s="25">
        <v>922</v>
      </c>
      <c r="DH13" s="23">
        <v>-103</v>
      </c>
      <c r="DI13" s="25">
        <v>270</v>
      </c>
      <c r="DJ13" s="23">
        <v>72</v>
      </c>
      <c r="DK13" s="28">
        <v>400</v>
      </c>
      <c r="DL13" s="8">
        <v>688</v>
      </c>
      <c r="DN13" s="8">
        <v>405</v>
      </c>
      <c r="DQ13" s="8">
        <v>301</v>
      </c>
      <c r="DR13" s="52">
        <v>450</v>
      </c>
      <c r="DS13" s="6">
        <v>50</v>
      </c>
      <c r="DT13" s="52">
        <v>168</v>
      </c>
      <c r="DU13" s="8">
        <v>-202</v>
      </c>
      <c r="DV13" s="28">
        <v>225</v>
      </c>
      <c r="DW13" s="8">
        <v>280</v>
      </c>
      <c r="DX13" s="28">
        <v>351</v>
      </c>
      <c r="DY13" s="6">
        <v>-220</v>
      </c>
      <c r="DZ13" s="52">
        <v>207</v>
      </c>
      <c r="EA13" s="23">
        <v>46</v>
      </c>
      <c r="EB13" s="52">
        <v>160</v>
      </c>
      <c r="EC13" s="6">
        <v>10</v>
      </c>
      <c r="ED13" s="28">
        <v>6</v>
      </c>
      <c r="EE13" s="8">
        <v>-21</v>
      </c>
      <c r="EF13" s="52">
        <v>85</v>
      </c>
      <c r="EG13" s="8">
        <v>830</v>
      </c>
      <c r="EH13" s="28">
        <v>407</v>
      </c>
      <c r="EI13" s="8">
        <v>26</v>
      </c>
      <c r="EJ13" s="52">
        <v>831</v>
      </c>
      <c r="EL13" s="8">
        <v>583</v>
      </c>
      <c r="EM13" s="28">
        <v>977</v>
      </c>
      <c r="EN13" s="8">
        <v>487</v>
      </c>
      <c r="EO13" s="28">
        <v>154</v>
      </c>
      <c r="EP13" s="8">
        <v>163</v>
      </c>
      <c r="EQ13" s="52">
        <v>122</v>
      </c>
      <c r="ER13" s="8">
        <v>557</v>
      </c>
      <c r="ES13" s="52">
        <v>559</v>
      </c>
      <c r="EU13" s="52"/>
      <c r="EV13" s="8">
        <v>-167</v>
      </c>
      <c r="EX13" s="8">
        <v>168</v>
      </c>
      <c r="EY13" s="28">
        <v>139</v>
      </c>
      <c r="EZ13" s="8">
        <v>-139</v>
      </c>
      <c r="FA13" s="52">
        <v>235</v>
      </c>
      <c r="FB13" s="8">
        <v>170</v>
      </c>
      <c r="FC13" s="52">
        <v>167</v>
      </c>
      <c r="FD13" s="6">
        <v>160</v>
      </c>
      <c r="FE13" s="28">
        <v>328</v>
      </c>
      <c r="FF13" s="8">
        <v>995</v>
      </c>
      <c r="FG13" s="28">
        <v>33</v>
      </c>
      <c r="FH13" s="8">
        <v>450</v>
      </c>
      <c r="FI13" s="28">
        <v>132</v>
      </c>
      <c r="FK13" s="52"/>
      <c r="FM13" s="8">
        <v>-81</v>
      </c>
      <c r="FN13" s="52">
        <v>40</v>
      </c>
      <c r="FO13" s="8">
        <v>-89</v>
      </c>
      <c r="FP13" s="28">
        <v>7</v>
      </c>
      <c r="FQ13" s="8">
        <v>-3</v>
      </c>
      <c r="FR13" s="28">
        <v>4</v>
      </c>
      <c r="FS13" s="8">
        <v>-215</v>
      </c>
      <c r="FU13" s="28">
        <v>101</v>
      </c>
      <c r="FV13" s="8">
        <v>-243</v>
      </c>
      <c r="FW13" s="28">
        <v>58</v>
      </c>
      <c r="FX13" s="8">
        <v>567</v>
      </c>
      <c r="FY13" s="28">
        <v>2</v>
      </c>
      <c r="GA13" s="8">
        <v>964</v>
      </c>
      <c r="GB13" s="52">
        <v>170</v>
      </c>
      <c r="GC13" s="8">
        <v>24</v>
      </c>
      <c r="GE13" s="8">
        <v>-2</v>
      </c>
      <c r="GF13" s="28">
        <v>1</v>
      </c>
      <c r="GG13" s="8">
        <v>735</v>
      </c>
      <c r="GH13" s="28">
        <v>212</v>
      </c>
      <c r="GI13" s="8">
        <v>-18</v>
      </c>
      <c r="GJ13" s="28">
        <v>46</v>
      </c>
      <c r="GK13" s="8">
        <v>181</v>
      </c>
      <c r="GL13" s="28">
        <v>293</v>
      </c>
      <c r="GN13" s="8">
        <v>439</v>
      </c>
      <c r="GO13" s="28">
        <v>532</v>
      </c>
      <c r="GP13" s="8">
        <v>-14</v>
      </c>
      <c r="GQ13" s="52">
        <v>149</v>
      </c>
      <c r="GR13" s="8">
        <v>19</v>
      </c>
      <c r="GS13" s="28">
        <v>13</v>
      </c>
      <c r="GT13" s="6">
        <v>206</v>
      </c>
      <c r="GU13" s="52">
        <v>108</v>
      </c>
      <c r="GV13" s="6">
        <v>123</v>
      </c>
      <c r="GW13" s="28">
        <v>114</v>
      </c>
      <c r="GX13" s="8">
        <v>701</v>
      </c>
      <c r="GY13" s="52">
        <v>604</v>
      </c>
      <c r="GZ13" s="8">
        <v>-6</v>
      </c>
      <c r="HA13" s="28">
        <v>23</v>
      </c>
      <c r="HB13" s="6">
        <v>3</v>
      </c>
      <c r="HC13" s="28"/>
      <c r="HE13" s="8">
        <v>60</v>
      </c>
      <c r="HF13" s="28">
        <v>77</v>
      </c>
      <c r="HG13" s="8">
        <v>75</v>
      </c>
      <c r="HI13" s="8">
        <v>915</v>
      </c>
      <c r="HJ13" s="28">
        <v>184</v>
      </c>
      <c r="HK13" s="8">
        <v>86</v>
      </c>
      <c r="HL13" s="52">
        <v>3</v>
      </c>
      <c r="HM13" s="8">
        <v>-201</v>
      </c>
      <c r="HO13" s="8">
        <v>-387</v>
      </c>
      <c r="HP13" s="28">
        <v>383</v>
      </c>
      <c r="HQ13" s="6">
        <v>2</v>
      </c>
      <c r="HR13" s="28">
        <v>2</v>
      </c>
      <c r="HS13" s="8">
        <v>5</v>
      </c>
      <c r="HT13" s="52">
        <v>276</v>
      </c>
      <c r="HV13" s="8">
        <v>-164</v>
      </c>
      <c r="HW13" s="28">
        <v>829</v>
      </c>
      <c r="HX13" s="8">
        <v>159</v>
      </c>
      <c r="HY13" s="28">
        <v>53</v>
      </c>
      <c r="HZ13" s="8">
        <v>-285</v>
      </c>
      <c r="IB13" s="8">
        <v>904</v>
      </c>
      <c r="IC13" s="28">
        <v>149</v>
      </c>
      <c r="ID13" s="8">
        <v>-146</v>
      </c>
      <c r="IE13" s="28">
        <v>530</v>
      </c>
      <c r="IF13" s="8">
        <v>-695</v>
      </c>
      <c r="IG13" s="28">
        <v>107</v>
      </c>
      <c r="IH13" s="8">
        <v>869</v>
      </c>
      <c r="II13" s="28">
        <v>20</v>
      </c>
      <c r="IM13" s="8">
        <v>73</v>
      </c>
      <c r="IO13">
        <v>-227</v>
      </c>
      <c r="IP13" s="10">
        <v>30</v>
      </c>
      <c r="IQ13" s="8">
        <v>-71</v>
      </c>
      <c r="IR13" s="28">
        <v>4</v>
      </c>
      <c r="IS13" s="6">
        <v>816</v>
      </c>
      <c r="IT13" s="28">
        <v>301</v>
      </c>
      <c r="IU13" s="8">
        <v>188</v>
      </c>
      <c r="IV13" s="28">
        <v>436</v>
      </c>
      <c r="IW13" s="8">
        <v>327</v>
      </c>
      <c r="IY13" s="8">
        <v>-4</v>
      </c>
      <c r="JA13" s="8">
        <v>15</v>
      </c>
      <c r="JB13" s="12">
        <v>360</v>
      </c>
      <c r="JD13" s="8">
        <v>121</v>
      </c>
      <c r="JE13" s="28">
        <v>21</v>
      </c>
      <c r="JG13" s="28"/>
      <c r="JH13" s="8">
        <v>-380</v>
      </c>
      <c r="JI13" s="28">
        <v>245</v>
      </c>
      <c r="JJ13" s="8">
        <v>3</v>
      </c>
      <c r="JK13" s="28">
        <v>9</v>
      </c>
      <c r="JL13" s="8">
        <v>-70</v>
      </c>
      <c r="JM13" s="12">
        <v>65</v>
      </c>
      <c r="JN13" s="8">
        <v>-1</v>
      </c>
      <c r="JO13" s="28">
        <v>3</v>
      </c>
      <c r="JP13" s="6">
        <v>-3</v>
      </c>
      <c r="JQ13" s="12">
        <v>519</v>
      </c>
      <c r="JR13" s="8">
        <v>180</v>
      </c>
      <c r="JS13" s="12">
        <v>363</v>
      </c>
      <c r="JT13" s="6">
        <v>-208</v>
      </c>
      <c r="JU13" s="12">
        <v>862</v>
      </c>
      <c r="JW13" s="8">
        <v>776</v>
      </c>
      <c r="JX13" s="12">
        <v>108</v>
      </c>
      <c r="JY13" s="8">
        <v>-2</v>
      </c>
      <c r="JZ13" s="28">
        <v>10</v>
      </c>
      <c r="KA13" s="8">
        <v>146</v>
      </c>
      <c r="KB13" s="28">
        <v>16</v>
      </c>
      <c r="KC13" s="8">
        <v>213</v>
      </c>
      <c r="KD13" s="28">
        <v>368</v>
      </c>
      <c r="KE13" s="6">
        <v>-550</v>
      </c>
      <c r="KF13" s="12">
        <v>173</v>
      </c>
      <c r="KI13" s="8">
        <v>124</v>
      </c>
      <c r="KJ13" s="28">
        <v>3</v>
      </c>
      <c r="KK13" s="8">
        <v>-595</v>
      </c>
      <c r="KL13" s="28">
        <v>542</v>
      </c>
      <c r="KM13" s="6">
        <v>-33</v>
      </c>
      <c r="KN13" s="28">
        <v>106</v>
      </c>
      <c r="KQ13" s="8">
        <v>126</v>
      </c>
      <c r="KR13" s="28">
        <v>21</v>
      </c>
      <c r="KT13" s="8">
        <v>2</v>
      </c>
      <c r="KU13" s="28">
        <v>1</v>
      </c>
      <c r="KV13" s="8">
        <v>-468</v>
      </c>
      <c r="KX13" s="8">
        <v>323</v>
      </c>
      <c r="KY13" s="12">
        <v>252</v>
      </c>
      <c r="KZ13" s="8">
        <v>117</v>
      </c>
      <c r="LA13" s="12">
        <v>214</v>
      </c>
      <c r="LD13" s="8">
        <v>718</v>
      </c>
      <c r="LE13" s="28">
        <v>428</v>
      </c>
      <c r="LF13" s="8">
        <v>-681</v>
      </c>
      <c r="LG13" s="28">
        <v>442</v>
      </c>
      <c r="LH13" s="6">
        <v>-708</v>
      </c>
      <c r="LJ13" s="8">
        <v>-424</v>
      </c>
      <c r="LK13" s="28">
        <v>777</v>
      </c>
      <c r="LL13" s="8">
        <v>-103</v>
      </c>
      <c r="LM13" s="28">
        <v>31</v>
      </c>
      <c r="LN13" s="8">
        <v>-185</v>
      </c>
      <c r="LO13" s="28">
        <v>418</v>
      </c>
      <c r="LS13" s="8">
        <v>153</v>
      </c>
      <c r="LU13" s="8">
        <v>234</v>
      </c>
      <c r="LV13" s="12">
        <v>490</v>
      </c>
      <c r="LW13" s="8">
        <v>-806</v>
      </c>
      <c r="LX13" s="28">
        <v>82</v>
      </c>
      <c r="LZ13" s="8">
        <v>949</v>
      </c>
      <c r="MB13" s="8">
        <v>-81</v>
      </c>
      <c r="MC13" s="28">
        <v>273</v>
      </c>
      <c r="MF13" s="8">
        <v>105</v>
      </c>
      <c r="MG13" s="12">
        <v>229</v>
      </c>
      <c r="MH13" s="8">
        <v>4</v>
      </c>
      <c r="MJ13" s="8">
        <v>-32</v>
      </c>
      <c r="MK13" s="12">
        <v>143</v>
      </c>
      <c r="ML13" s="8">
        <v>772</v>
      </c>
      <c r="MM13" s="60">
        <v>258</v>
      </c>
      <c r="MN13" s="8">
        <v>201</v>
      </c>
      <c r="MO13" s="28">
        <v>515</v>
      </c>
      <c r="MQ13" s="8">
        <v>364</v>
      </c>
      <c r="MR13" s="28">
        <v>205</v>
      </c>
      <c r="MS13" s="8">
        <v>-117</v>
      </c>
      <c r="MT13" s="12">
        <v>862</v>
      </c>
      <c r="MU13" s="8">
        <v>-19</v>
      </c>
      <c r="MV13" s="28">
        <v>12</v>
      </c>
      <c r="MZ13" s="8">
        <v>-14</v>
      </c>
      <c r="NA13" s="12">
        <v>36</v>
      </c>
      <c r="NC13" s="8">
        <v>548</v>
      </c>
      <c r="ND13" s="12">
        <v>135</v>
      </c>
      <c r="NE13" s="8">
        <v>210</v>
      </c>
      <c r="NF13" s="28">
        <v>205</v>
      </c>
      <c r="NG13" s="8">
        <v>-64</v>
      </c>
      <c r="NH13" s="28">
        <v>33</v>
      </c>
      <c r="NI13" s="8">
        <v>155</v>
      </c>
      <c r="NJ13" s="28">
        <v>20</v>
      </c>
      <c r="NL13" s="8">
        <v>805</v>
      </c>
      <c r="NM13" s="28">
        <v>64</v>
      </c>
      <c r="NN13" s="8">
        <v>608</v>
      </c>
      <c r="NO13" s="28">
        <v>309</v>
      </c>
      <c r="NP13" s="8">
        <v>61</v>
      </c>
      <c r="NQ13" s="12">
        <v>241</v>
      </c>
      <c r="NR13" s="8">
        <v>291</v>
      </c>
      <c r="NS13" s="12">
        <v>65</v>
      </c>
      <c r="NU13" s="8">
        <v>-805</v>
      </c>
      <c r="NV13" s="12">
        <v>99</v>
      </c>
      <c r="NW13" s="8">
        <v>614</v>
      </c>
      <c r="NX13" s="28">
        <v>230</v>
      </c>
      <c r="NY13" s="8">
        <v>155</v>
      </c>
      <c r="NZ13" s="12">
        <v>321</v>
      </c>
      <c r="OA13" s="8">
        <v>-112</v>
      </c>
      <c r="OB13" s="28">
        <v>334</v>
      </c>
      <c r="OC13" s="8">
        <v>-380</v>
      </c>
      <c r="OD13" s="12">
        <v>202</v>
      </c>
      <c r="OE13" s="8">
        <v>-290</v>
      </c>
      <c r="OF13" s="12">
        <v>108</v>
      </c>
      <c r="OG13" s="28"/>
      <c r="OH13" s="8">
        <v>21</v>
      </c>
      <c r="OI13" s="28">
        <v>49</v>
      </c>
      <c r="OK13" s="8">
        <v>740</v>
      </c>
      <c r="OL13" s="28">
        <v>169</v>
      </c>
      <c r="OM13" s="8">
        <v>701</v>
      </c>
      <c r="ON13" s="28">
        <v>589</v>
      </c>
      <c r="OO13" s="8">
        <v>17</v>
      </c>
      <c r="OP13" s="28">
        <v>134</v>
      </c>
      <c r="OQ13" s="8">
        <v>-14</v>
      </c>
      <c r="OR13" s="12">
        <v>259</v>
      </c>
      <c r="OS13" s="8">
        <v>229</v>
      </c>
      <c r="OT13" s="28">
        <v>464</v>
      </c>
      <c r="OU13" s="12">
        <v>494</v>
      </c>
      <c r="OV13" s="8">
        <v>273</v>
      </c>
      <c r="OZ13" s="12"/>
      <c r="PA13" s="8">
        <v>421</v>
      </c>
      <c r="PC13" s="8">
        <v>224</v>
      </c>
      <c r="PD13" s="28">
        <v>110</v>
      </c>
      <c r="PE13" s="8">
        <v>100</v>
      </c>
      <c r="PF13" s="12">
        <v>126</v>
      </c>
      <c r="PG13" s="8">
        <v>728</v>
      </c>
      <c r="PH13" s="12">
        <v>147</v>
      </c>
      <c r="PJ13" s="8">
        <v>-418</v>
      </c>
      <c r="PK13" s="12">
        <v>153</v>
      </c>
      <c r="PL13" s="8">
        <v>37</v>
      </c>
      <c r="PM13" s="28">
        <v>2</v>
      </c>
      <c r="PN13" s="8">
        <v>100</v>
      </c>
      <c r="PO13" s="28">
        <v>80</v>
      </c>
      <c r="PP13" s="8">
        <v>783</v>
      </c>
      <c r="PQ13" s="28">
        <v>11</v>
      </c>
      <c r="PR13" s="28"/>
      <c r="PS13" s="8">
        <v>-154</v>
      </c>
      <c r="PU13" s="28">
        <v>268</v>
      </c>
      <c r="PW13" s="8">
        <v>-6</v>
      </c>
      <c r="PX13" s="28">
        <v>6</v>
      </c>
      <c r="PY13" s="8">
        <v>16</v>
      </c>
      <c r="PZ13" s="12">
        <v>99</v>
      </c>
      <c r="QC13" s="8">
        <v>72</v>
      </c>
      <c r="QD13" s="12">
        <v>129</v>
      </c>
      <c r="QE13" s="8">
        <v>-349</v>
      </c>
      <c r="QF13" s="12">
        <v>791</v>
      </c>
      <c r="QH13" s="8">
        <v>51</v>
      </c>
      <c r="QI13" s="12">
        <v>677</v>
      </c>
      <c r="QJ13" s="8">
        <v>512</v>
      </c>
      <c r="QL13" s="8">
        <v>91</v>
      </c>
      <c r="QM13" s="12">
        <v>326</v>
      </c>
      <c r="QN13" s="12"/>
      <c r="QO13" s="12"/>
      <c r="QQ13" s="8">
        <v>176</v>
      </c>
      <c r="QR13" s="12">
        <f t="shared" si="0"/>
        <v>28.600699292150182</v>
      </c>
      <c r="QS13" s="8">
        <v>818</v>
      </c>
      <c r="QT13" s="8">
        <v>2508</v>
      </c>
      <c r="QU13" s="12">
        <v>382</v>
      </c>
      <c r="QV13" s="6">
        <v>140</v>
      </c>
      <c r="QW13" s="12">
        <v>912</v>
      </c>
      <c r="QY13" s="8">
        <v>54</v>
      </c>
      <c r="QZ13" s="12">
        <v>72</v>
      </c>
      <c r="RA13" s="8">
        <v>5</v>
      </c>
      <c r="RB13" s="12">
        <v>230</v>
      </c>
      <c r="RC13" s="6">
        <v>-214</v>
      </c>
      <c r="RD13" s="12">
        <v>47</v>
      </c>
      <c r="RE13" s="6">
        <v>999</v>
      </c>
      <c r="RF13" s="12">
        <v>421</v>
      </c>
      <c r="RG13" s="8">
        <v>61</v>
      </c>
      <c r="RH13" s="28">
        <v>105</v>
      </c>
      <c r="RJ13" s="8">
        <v>-163</v>
      </c>
      <c r="RK13" s="12">
        <v>309</v>
      </c>
      <c r="RL13" s="8">
        <f>118</f>
        <v>118</v>
      </c>
      <c r="RM13" s="12">
        <v>112</v>
      </c>
      <c r="RQ13" s="9">
        <v>-104</v>
      </c>
      <c r="RR13" s="49" t="s">
        <v>182</v>
      </c>
      <c r="RS13" s="54" t="s">
        <v>193</v>
      </c>
      <c r="RT13" s="49" t="s">
        <v>194</v>
      </c>
      <c r="RV13" s="8">
        <v>133</v>
      </c>
      <c r="RW13" s="52">
        <v>21</v>
      </c>
      <c r="RY13" s="48" t="s">
        <v>138</v>
      </c>
      <c r="RZ13" s="49" t="s">
        <v>139</v>
      </c>
      <c r="SA13" s="8">
        <v>85</v>
      </c>
      <c r="SB13" s="28">
        <v>7</v>
      </c>
      <c r="SD13" s="8">
        <v>176</v>
      </c>
      <c r="SE13" s="12">
        <v>12</v>
      </c>
      <c r="SF13" s="8">
        <v>-547</v>
      </c>
      <c r="SG13" s="12">
        <v>72</v>
      </c>
      <c r="SI13" s="8">
        <v>-491</v>
      </c>
      <c r="SJ13" s="12">
        <v>664</v>
      </c>
      <c r="SK13" s="8">
        <v>-435</v>
      </c>
      <c r="SL13" s="12">
        <v>115</v>
      </c>
      <c r="SP13" s="8">
        <v>-136</v>
      </c>
      <c r="SQ13" s="12">
        <v>-30</v>
      </c>
      <c r="SU13" s="8">
        <v>131</v>
      </c>
      <c r="SV13" s="28">
        <v>1</v>
      </c>
      <c r="SW13" s="8">
        <v>-33</v>
      </c>
      <c r="SX13" s="28">
        <v>12</v>
      </c>
      <c r="SY13" s="6">
        <v>-936</v>
      </c>
      <c r="SZ13" s="28">
        <v>288</v>
      </c>
      <c r="TA13" s="6">
        <v>2</v>
      </c>
      <c r="TB13" s="12">
        <v>45</v>
      </c>
      <c r="TC13" s="8">
        <v>-118</v>
      </c>
      <c r="TD13" s="28">
        <v>541</v>
      </c>
      <c r="TH13" s="8">
        <v>-321</v>
      </c>
      <c r="TI13" s="28">
        <v>50</v>
      </c>
      <c r="TM13" s="8">
        <v>106</v>
      </c>
      <c r="TN13" s="28">
        <v>5</v>
      </c>
      <c r="TP13" s="28"/>
      <c r="TQ13" s="8">
        <v>13</v>
      </c>
      <c r="TR13" s="28">
        <v>2</v>
      </c>
      <c r="TX13" s="8">
        <v>433</v>
      </c>
      <c r="TY13" s="28">
        <v>172</v>
      </c>
      <c r="TZ13" s="8">
        <v>51</v>
      </c>
      <c r="UA13" s="12">
        <v>127</v>
      </c>
      <c r="UB13" s="8">
        <v>-1</v>
      </c>
      <c r="UC13" s="12">
        <v>211</v>
      </c>
      <c r="UE13" s="8">
        <v>17</v>
      </c>
      <c r="UF13" s="12">
        <v>990</v>
      </c>
      <c r="UG13" s="8">
        <v>184</v>
      </c>
      <c r="UH13" s="12">
        <v>863</v>
      </c>
      <c r="UI13" s="8">
        <v>242</v>
      </c>
      <c r="UJ13" s="12">
        <v>76</v>
      </c>
      <c r="UL13" s="8">
        <v>114</v>
      </c>
      <c r="UM13" s="28">
        <v>5</v>
      </c>
      <c r="UN13" s="8">
        <v>-107</v>
      </c>
      <c r="UO13" s="12">
        <v>167</v>
      </c>
      <c r="US13" s="8">
        <v>111</v>
      </c>
      <c r="UT13" s="12">
        <v>70</v>
      </c>
      <c r="UU13" s="8">
        <v>-34</v>
      </c>
      <c r="UV13" s="12">
        <v>26</v>
      </c>
      <c r="UX13" s="8">
        <v>238</v>
      </c>
      <c r="UZ13" s="8">
        <v>690</v>
      </c>
      <c r="VA13" s="12">
        <v>100</v>
      </c>
      <c r="VB13" s="8">
        <v>651</v>
      </c>
      <c r="VC13" s="12">
        <v>187</v>
      </c>
      <c r="VD13" s="8">
        <v>129</v>
      </c>
      <c r="VE13" s="12">
        <v>359</v>
      </c>
      <c r="VF13" s="8">
        <v>277</v>
      </c>
      <c r="VG13" s="12">
        <v>97</v>
      </c>
      <c r="VH13" s="8">
        <v>921</v>
      </c>
      <c r="VI13" s="28">
        <v>307</v>
      </c>
      <c r="VJ13" s="8">
        <v>195</v>
      </c>
      <c r="VK13" s="28">
        <v>118</v>
      </c>
      <c r="VL13" s="21"/>
      <c r="VM13" s="8">
        <v>10745</v>
      </c>
      <c r="VQ13" s="8">
        <v>74</v>
      </c>
      <c r="VR13" s="28">
        <v>16</v>
      </c>
      <c r="VS13" s="8">
        <v>-292</v>
      </c>
      <c r="VT13" s="12">
        <v>3149</v>
      </c>
      <c r="VV13" s="8">
        <v>9816</v>
      </c>
      <c r="VW13" s="28">
        <v>958</v>
      </c>
      <c r="VX13" s="8">
        <v>17</v>
      </c>
      <c r="VY13" s="12">
        <v>383</v>
      </c>
      <c r="VZ13" s="8">
        <v>-23</v>
      </c>
      <c r="WA13" s="28">
        <v>577</v>
      </c>
      <c r="WB13" s="8">
        <v>4933</v>
      </c>
      <c r="WC13" s="12">
        <v>1167</v>
      </c>
      <c r="WD13" s="8">
        <v>1917</v>
      </c>
      <c r="WE13" s="28">
        <v>480</v>
      </c>
      <c r="WG13" s="29">
        <v>-919</v>
      </c>
      <c r="WI13" s="8">
        <v>-1106</v>
      </c>
      <c r="WL13">
        <v>223</v>
      </c>
      <c r="WM13" s="1">
        <v>44</v>
      </c>
      <c r="WN13">
        <v>48</v>
      </c>
      <c r="WO13" s="12">
        <v>36</v>
      </c>
      <c r="WP13" s="2">
        <v>-3807</v>
      </c>
      <c r="WQ13" s="10"/>
      <c r="WR13" s="10"/>
      <c r="WS13" s="2">
        <v>-804</v>
      </c>
      <c r="WT13" s="1">
        <v>508</v>
      </c>
      <c r="WU13" s="2">
        <v>230</v>
      </c>
      <c r="WV13" s="1">
        <v>18</v>
      </c>
      <c r="WX13">
        <v>-1883</v>
      </c>
      <c r="WY13" s="10">
        <v>1697</v>
      </c>
      <c r="XB13" s="23">
        <v>3</v>
      </c>
      <c r="XE13">
        <v>-34066</v>
      </c>
      <c r="XG13" s="2">
        <v>-141</v>
      </c>
      <c r="XK13">
        <v>30</v>
      </c>
      <c r="XL13" s="1">
        <v>10</v>
      </c>
      <c r="XM13">
        <v>5644</v>
      </c>
      <c r="XN13" s="1">
        <v>4706</v>
      </c>
      <c r="XO13">
        <v>161</v>
      </c>
      <c r="XP13" s="1">
        <v>25</v>
      </c>
    </row>
    <row r="14" spans="1:642" x14ac:dyDescent="0.25">
      <c r="C14" s="3">
        <v>-3</v>
      </c>
      <c r="D14" s="4">
        <v>1</v>
      </c>
      <c r="E14">
        <v>-469</v>
      </c>
      <c r="F14" s="1">
        <v>688</v>
      </c>
      <c r="G14" s="2">
        <v>-1</v>
      </c>
      <c r="I14" s="2">
        <v>-6</v>
      </c>
      <c r="K14" s="2">
        <v>2279</v>
      </c>
      <c r="L14" s="1">
        <v>388</v>
      </c>
      <c r="M14">
        <v>240</v>
      </c>
      <c r="N14" s="1">
        <v>23</v>
      </c>
      <c r="O14" s="26"/>
      <c r="P14">
        <v>168</v>
      </c>
      <c r="Q14" s="1">
        <v>52</v>
      </c>
      <c r="R14">
        <v>-522</v>
      </c>
      <c r="S14" s="12">
        <v>3143</v>
      </c>
      <c r="T14">
        <v>5285</v>
      </c>
      <c r="U14" s="1">
        <v>953</v>
      </c>
      <c r="V14">
        <v>-191</v>
      </c>
      <c r="W14" s="10">
        <v>251</v>
      </c>
      <c r="X14">
        <v>28</v>
      </c>
      <c r="Z14">
        <v>-16</v>
      </c>
      <c r="AA14" s="1">
        <v>1</v>
      </c>
      <c r="AB14">
        <v>-60</v>
      </c>
      <c r="AC14" s="1">
        <v>63</v>
      </c>
      <c r="AD14">
        <v>5</v>
      </c>
      <c r="AE14" s="1">
        <v>15</v>
      </c>
      <c r="AF14">
        <v>802</v>
      </c>
      <c r="AG14" s="1">
        <v>332</v>
      </c>
      <c r="AJ14" s="2">
        <v>27</v>
      </c>
      <c r="AK14" s="10">
        <v>17</v>
      </c>
      <c r="AN14">
        <v>162</v>
      </c>
      <c r="AO14" s="1">
        <v>100</v>
      </c>
      <c r="AQ14">
        <v>-5115</v>
      </c>
      <c r="AR14" s="1">
        <v>624</v>
      </c>
      <c r="AV14" s="2">
        <v>146</v>
      </c>
      <c r="AW14" s="1">
        <v>102</v>
      </c>
      <c r="AY14">
        <v>-51090</v>
      </c>
      <c r="AZ14" s="1">
        <v>6304</v>
      </c>
      <c r="BA14">
        <v>160</v>
      </c>
      <c r="BB14" s="1">
        <v>476</v>
      </c>
      <c r="BD14" s="8">
        <v>1050</v>
      </c>
      <c r="BE14" s="1">
        <v>75</v>
      </c>
      <c r="BF14">
        <v>166</v>
      </c>
      <c r="BG14" s="1">
        <v>381</v>
      </c>
      <c r="BH14">
        <v>-9362</v>
      </c>
      <c r="BI14" s="1">
        <v>782</v>
      </c>
      <c r="BJ14">
        <v>-165</v>
      </c>
      <c r="BL14">
        <v>-6</v>
      </c>
      <c r="BM14" s="1">
        <v>1</v>
      </c>
      <c r="BN14">
        <v>3</v>
      </c>
      <c r="BP14">
        <v>-943</v>
      </c>
      <c r="BQ14" s="10">
        <v>1740</v>
      </c>
      <c r="BR14">
        <v>438</v>
      </c>
      <c r="BS14" s="1">
        <v>335</v>
      </c>
      <c r="BT14">
        <v>132</v>
      </c>
      <c r="BU14" s="1">
        <v>181</v>
      </c>
      <c r="BV14">
        <v>-38</v>
      </c>
      <c r="BW14" s="1">
        <v>8</v>
      </c>
      <c r="BX14">
        <v>-69</v>
      </c>
      <c r="CA14" s="8">
        <v>179</v>
      </c>
      <c r="CB14" s="28">
        <v>219</v>
      </c>
      <c r="CC14" s="8">
        <v>-83</v>
      </c>
      <c r="CD14" s="28">
        <v>467</v>
      </c>
      <c r="CE14" s="8">
        <v>153</v>
      </c>
      <c r="CF14" s="28">
        <v>121</v>
      </c>
      <c r="CG14" s="8">
        <v>823</v>
      </c>
      <c r="CI14" s="8">
        <v>567</v>
      </c>
      <c r="CJ14" s="12">
        <v>370</v>
      </c>
      <c r="CK14" s="6">
        <v>-53</v>
      </c>
      <c r="CL14" s="28">
        <v>51</v>
      </c>
      <c r="CM14" s="8">
        <v>353</v>
      </c>
      <c r="CN14" s="28">
        <v>186</v>
      </c>
      <c r="CO14" s="6">
        <v>-3</v>
      </c>
      <c r="CP14" s="28"/>
      <c r="CQ14" s="6">
        <v>735</v>
      </c>
      <c r="CR14" s="12">
        <v>160</v>
      </c>
      <c r="CS14" s="6">
        <v>240</v>
      </c>
      <c r="CT14" s="28">
        <v>616</v>
      </c>
      <c r="CU14" s="6">
        <v>284</v>
      </c>
      <c r="CV14" s="28"/>
      <c r="CW14" s="6">
        <v>36</v>
      </c>
      <c r="CX14" s="28">
        <v>13</v>
      </c>
      <c r="CZ14" s="23">
        <v>190</v>
      </c>
      <c r="DA14" s="25">
        <v>305</v>
      </c>
      <c r="DB14" s="23">
        <v>-45</v>
      </c>
      <c r="DC14" s="25">
        <v>3</v>
      </c>
      <c r="DD14" s="23">
        <v>-43</v>
      </c>
      <c r="DE14" s="25">
        <v>46</v>
      </c>
      <c r="DF14" s="86">
        <v>106</v>
      </c>
      <c r="DG14" s="25">
        <v>343</v>
      </c>
      <c r="DH14" s="23">
        <v>-623</v>
      </c>
      <c r="DI14" s="25">
        <v>293</v>
      </c>
      <c r="DJ14" s="23">
        <v>715</v>
      </c>
      <c r="DK14" s="28">
        <v>324</v>
      </c>
      <c r="DL14" s="8">
        <v>674</v>
      </c>
      <c r="DN14" s="8">
        <v>410</v>
      </c>
      <c r="DQ14" s="8">
        <v>654</v>
      </c>
      <c r="DR14" s="52">
        <v>609</v>
      </c>
      <c r="DS14" s="6">
        <v>37</v>
      </c>
      <c r="DT14" s="52">
        <v>98</v>
      </c>
      <c r="DU14" s="8">
        <v>233</v>
      </c>
      <c r="DV14" s="28">
        <v>421</v>
      </c>
      <c r="DW14" s="8">
        <v>-14</v>
      </c>
      <c r="DX14" s="28">
        <v>7</v>
      </c>
      <c r="DY14" s="6">
        <v>-373</v>
      </c>
      <c r="DZ14" s="52">
        <v>901</v>
      </c>
      <c r="EA14" s="23">
        <v>9</v>
      </c>
      <c r="EB14" s="52">
        <v>221</v>
      </c>
      <c r="EC14" s="6">
        <v>13</v>
      </c>
      <c r="ED14" s="28">
        <v>7</v>
      </c>
      <c r="EE14" s="8">
        <v>-150</v>
      </c>
      <c r="EF14" s="52">
        <v>502</v>
      </c>
      <c r="EG14" s="8">
        <v>661</v>
      </c>
      <c r="EH14" s="28">
        <v>300</v>
      </c>
      <c r="EI14" s="8">
        <v>1</v>
      </c>
      <c r="EJ14" s="52">
        <v>550</v>
      </c>
      <c r="EL14" s="8">
        <v>-329</v>
      </c>
      <c r="EM14" s="28">
        <v>115</v>
      </c>
      <c r="EN14" s="8">
        <v>122</v>
      </c>
      <c r="EO14" s="28">
        <v>9</v>
      </c>
      <c r="EP14" s="8">
        <v>209</v>
      </c>
      <c r="EQ14" s="52">
        <v>163</v>
      </c>
      <c r="ER14" s="8">
        <v>49</v>
      </c>
      <c r="ES14" s="52">
        <v>568</v>
      </c>
      <c r="EU14" s="52"/>
      <c r="EV14" s="8">
        <v>232</v>
      </c>
      <c r="EX14" s="8">
        <v>249</v>
      </c>
      <c r="EY14" s="28">
        <v>138</v>
      </c>
      <c r="EZ14" s="8">
        <v>308</v>
      </c>
      <c r="FA14" s="52">
        <v>525</v>
      </c>
      <c r="FB14" s="8">
        <v>375</v>
      </c>
      <c r="FC14" s="52">
        <v>575</v>
      </c>
      <c r="FD14" s="6">
        <v>-214</v>
      </c>
      <c r="FE14" s="28">
        <v>798</v>
      </c>
      <c r="FF14" s="8">
        <v>651</v>
      </c>
      <c r="FG14" s="28">
        <v>156</v>
      </c>
      <c r="FH14" s="8">
        <v>-198</v>
      </c>
      <c r="FI14" s="28">
        <v>219</v>
      </c>
      <c r="FK14" s="52"/>
      <c r="FM14" s="8">
        <v>-54</v>
      </c>
      <c r="FN14" s="52">
        <v>91</v>
      </c>
      <c r="FO14" s="8">
        <v>-46</v>
      </c>
      <c r="FP14" s="28">
        <v>16</v>
      </c>
      <c r="FQ14" s="8">
        <v>-64</v>
      </c>
      <c r="FR14" s="28">
        <v>15</v>
      </c>
      <c r="FS14" s="8">
        <v>395</v>
      </c>
      <c r="FU14" s="28">
        <v>158</v>
      </c>
      <c r="FV14" s="8">
        <v>-21</v>
      </c>
      <c r="FW14" s="28">
        <v>59</v>
      </c>
      <c r="FY14" s="28"/>
      <c r="GA14" s="8">
        <v>226</v>
      </c>
      <c r="GB14" s="52">
        <v>313</v>
      </c>
      <c r="GC14" s="8">
        <v>103</v>
      </c>
      <c r="GE14" s="8">
        <v>73</v>
      </c>
      <c r="GF14" s="28">
        <v>149</v>
      </c>
      <c r="GG14" s="8">
        <v>-20</v>
      </c>
      <c r="GH14" s="28">
        <v>257</v>
      </c>
      <c r="GI14" s="8">
        <v>69</v>
      </c>
      <c r="GJ14" s="28">
        <v>61</v>
      </c>
      <c r="GK14" s="8">
        <v>537</v>
      </c>
      <c r="GL14" s="28">
        <v>918</v>
      </c>
      <c r="GN14" s="8">
        <v>355</v>
      </c>
      <c r="GO14" s="28">
        <v>471</v>
      </c>
      <c r="GP14" s="8">
        <v>-14</v>
      </c>
      <c r="GQ14" s="52">
        <v>109</v>
      </c>
      <c r="GR14" s="8">
        <v>5</v>
      </c>
      <c r="GS14" s="28">
        <v>11</v>
      </c>
      <c r="GT14" s="6">
        <v>158</v>
      </c>
      <c r="GU14" s="52">
        <v>373</v>
      </c>
      <c r="GV14" s="6">
        <v>146</v>
      </c>
      <c r="GW14" s="28">
        <v>132</v>
      </c>
      <c r="GX14" s="8">
        <v>407</v>
      </c>
      <c r="GY14" s="52">
        <v>426</v>
      </c>
      <c r="GZ14" s="8">
        <v>-139</v>
      </c>
      <c r="HA14" s="28">
        <v>121</v>
      </c>
      <c r="HB14" s="6">
        <v>178</v>
      </c>
      <c r="HC14" s="28"/>
      <c r="HE14" s="8">
        <v>45</v>
      </c>
      <c r="HF14" s="28">
        <v>94</v>
      </c>
      <c r="HG14" s="8">
        <v>176</v>
      </c>
      <c r="HI14" s="8">
        <v>377</v>
      </c>
      <c r="HJ14" s="28">
        <v>244</v>
      </c>
      <c r="HL14" s="52"/>
      <c r="HM14" s="8">
        <v>-108</v>
      </c>
      <c r="HO14" s="8">
        <v>-468</v>
      </c>
      <c r="HP14" s="28">
        <v>337</v>
      </c>
      <c r="HQ14" s="6">
        <v>-1</v>
      </c>
      <c r="HR14" s="28">
        <v>1</v>
      </c>
      <c r="HS14" s="8">
        <v>5</v>
      </c>
      <c r="HT14" s="52">
        <v>280</v>
      </c>
      <c r="HV14" s="8">
        <v>-132</v>
      </c>
      <c r="HW14" s="28">
        <v>570</v>
      </c>
      <c r="HX14" s="8">
        <v>-10</v>
      </c>
      <c r="HY14" s="28">
        <v>13</v>
      </c>
      <c r="HZ14" s="8">
        <v>3</v>
      </c>
      <c r="IB14" s="8">
        <v>171</v>
      </c>
      <c r="IC14" s="28">
        <v>133</v>
      </c>
      <c r="ID14" s="8">
        <v>95</v>
      </c>
      <c r="IE14" s="28">
        <v>666</v>
      </c>
      <c r="IF14" s="8">
        <v>861</v>
      </c>
      <c r="IG14" s="28">
        <v>610</v>
      </c>
      <c r="IH14" s="8">
        <v>-158</v>
      </c>
      <c r="II14" s="28">
        <v>122</v>
      </c>
      <c r="IM14" s="8">
        <v>67</v>
      </c>
      <c r="IO14">
        <v>43</v>
      </c>
      <c r="IP14" s="10">
        <v>6</v>
      </c>
      <c r="IQ14" s="8">
        <v>-72</v>
      </c>
      <c r="IR14" s="28">
        <v>4</v>
      </c>
      <c r="IS14" s="6">
        <v>-329</v>
      </c>
      <c r="IT14" s="28">
        <v>716</v>
      </c>
      <c r="IU14" s="8">
        <v>138</v>
      </c>
      <c r="IV14" s="28">
        <v>470</v>
      </c>
      <c r="IW14" s="8">
        <v>118</v>
      </c>
      <c r="IY14" s="8">
        <v>-252</v>
      </c>
      <c r="JA14" s="8">
        <v>-5</v>
      </c>
      <c r="JB14" s="12">
        <v>225</v>
      </c>
      <c r="JD14" s="8">
        <v>436</v>
      </c>
      <c r="JE14" s="28">
        <v>339</v>
      </c>
      <c r="JG14" s="28"/>
      <c r="JH14" s="8">
        <v>525</v>
      </c>
      <c r="JI14" s="28">
        <v>221</v>
      </c>
      <c r="JJ14" s="8">
        <v>-1</v>
      </c>
      <c r="JK14" s="28">
        <v>12</v>
      </c>
      <c r="JL14" s="8">
        <v>216</v>
      </c>
      <c r="JM14" s="12">
        <v>85</v>
      </c>
      <c r="JN14" s="8">
        <v>4</v>
      </c>
      <c r="JO14" s="28">
        <v>12</v>
      </c>
      <c r="JP14" s="6">
        <v>83</v>
      </c>
      <c r="JQ14" s="12">
        <v>213</v>
      </c>
      <c r="JR14" s="8">
        <v>662</v>
      </c>
      <c r="JS14" s="12">
        <v>284</v>
      </c>
      <c r="JT14" s="6">
        <v>-95</v>
      </c>
      <c r="JU14" s="12">
        <v>408</v>
      </c>
      <c r="JW14" s="8">
        <v>-567</v>
      </c>
      <c r="JX14" s="12">
        <v>237</v>
      </c>
      <c r="JZ14" s="28"/>
      <c r="KA14" s="8">
        <v>314</v>
      </c>
      <c r="KB14" s="28">
        <v>29</v>
      </c>
      <c r="KC14" s="8">
        <v>-263</v>
      </c>
      <c r="KD14" s="28">
        <v>685</v>
      </c>
      <c r="KE14" s="6">
        <v>-193</v>
      </c>
      <c r="KF14" s="12">
        <v>891</v>
      </c>
      <c r="KI14" s="8">
        <v>-2</v>
      </c>
      <c r="KJ14" s="28">
        <v>998</v>
      </c>
      <c r="KK14" s="8">
        <v>-122</v>
      </c>
      <c r="KL14" s="28">
        <v>236</v>
      </c>
      <c r="KM14" s="6">
        <v>358</v>
      </c>
      <c r="KN14" s="28">
        <v>119</v>
      </c>
      <c r="KQ14" s="8">
        <v>152</v>
      </c>
      <c r="KR14" s="28">
        <v>22</v>
      </c>
      <c r="KT14" s="8">
        <v>25</v>
      </c>
      <c r="KU14" s="28">
        <v>10</v>
      </c>
      <c r="KV14" s="8">
        <v>164</v>
      </c>
      <c r="KX14" s="8">
        <v>68</v>
      </c>
      <c r="KY14" s="12">
        <v>30</v>
      </c>
      <c r="KZ14" s="8">
        <v>-354</v>
      </c>
      <c r="LA14" s="12">
        <v>141</v>
      </c>
      <c r="LD14" s="8">
        <v>405</v>
      </c>
      <c r="LE14" s="28">
        <v>448</v>
      </c>
      <c r="LF14" s="8">
        <v>84</v>
      </c>
      <c r="LG14" s="28">
        <v>43</v>
      </c>
      <c r="LH14" s="6">
        <v>-383</v>
      </c>
      <c r="LJ14" s="8">
        <v>224</v>
      </c>
      <c r="LK14" s="28">
        <v>115</v>
      </c>
      <c r="LL14" s="8">
        <v>-32</v>
      </c>
      <c r="LM14" s="28">
        <v>3</v>
      </c>
      <c r="LN14" s="8">
        <v>-182</v>
      </c>
      <c r="LO14" s="28">
        <v>330</v>
      </c>
      <c r="LS14" s="8">
        <v>141</v>
      </c>
      <c r="LU14" s="8">
        <v>-126</v>
      </c>
      <c r="LV14" s="12">
        <v>148</v>
      </c>
      <c r="LW14" s="8">
        <v>876</v>
      </c>
      <c r="LX14" s="28">
        <v>74</v>
      </c>
      <c r="LZ14" s="8">
        <v>650</v>
      </c>
      <c r="MB14" s="8">
        <v>-138</v>
      </c>
      <c r="MC14" s="28">
        <v>400</v>
      </c>
      <c r="MF14" s="8">
        <v>121</v>
      </c>
      <c r="MG14" s="12">
        <v>572</v>
      </c>
      <c r="MH14" s="8">
        <v>362</v>
      </c>
      <c r="MJ14" s="8">
        <v>219</v>
      </c>
      <c r="MK14" s="12">
        <v>136</v>
      </c>
      <c r="MN14" s="8">
        <v>394</v>
      </c>
      <c r="MO14" s="28">
        <v>716</v>
      </c>
      <c r="MQ14" s="8">
        <v>-969</v>
      </c>
      <c r="MR14" s="28">
        <v>12</v>
      </c>
      <c r="MS14" s="8">
        <v>-77</v>
      </c>
      <c r="MT14" s="12">
        <v>281</v>
      </c>
      <c r="MU14" s="8">
        <v>-21</v>
      </c>
      <c r="MV14" s="28">
        <v>15</v>
      </c>
      <c r="MZ14" s="8">
        <v>151</v>
      </c>
      <c r="NA14" s="12">
        <v>123</v>
      </c>
      <c r="NC14" s="8">
        <v>-355</v>
      </c>
      <c r="ND14" s="12">
        <v>167</v>
      </c>
      <c r="NE14" s="8">
        <v>-103</v>
      </c>
      <c r="NF14" s="28">
        <v>177</v>
      </c>
      <c r="NG14" s="8">
        <v>-159</v>
      </c>
      <c r="NH14" s="28">
        <v>39</v>
      </c>
      <c r="NI14" s="8">
        <v>-98</v>
      </c>
      <c r="NJ14" s="28">
        <v>8</v>
      </c>
      <c r="NL14" s="8">
        <v>38</v>
      </c>
      <c r="NM14" s="28">
        <v>48</v>
      </c>
      <c r="NN14" s="8">
        <v>218</v>
      </c>
      <c r="NO14" s="28">
        <v>435</v>
      </c>
      <c r="NP14" s="8">
        <v>-1</v>
      </c>
      <c r="NQ14" s="12">
        <v>199</v>
      </c>
      <c r="NR14" s="8">
        <v>149</v>
      </c>
      <c r="NS14" s="12">
        <v>56</v>
      </c>
      <c r="NU14" s="8">
        <v>100</v>
      </c>
      <c r="NV14" s="12">
        <v>145</v>
      </c>
      <c r="NW14" s="8">
        <v>873</v>
      </c>
      <c r="NX14" s="28">
        <v>291</v>
      </c>
      <c r="NY14" s="8">
        <v>-128</v>
      </c>
      <c r="NZ14" s="12">
        <v>674</v>
      </c>
      <c r="OA14" s="8">
        <v>386</v>
      </c>
      <c r="OB14" s="28">
        <v>227</v>
      </c>
      <c r="OC14" s="8">
        <v>220</v>
      </c>
      <c r="OD14" s="12">
        <v>192</v>
      </c>
      <c r="OE14" s="8">
        <v>240</v>
      </c>
      <c r="OF14" s="12">
        <v>260</v>
      </c>
      <c r="OG14" s="28"/>
      <c r="OH14" s="8">
        <v>-426</v>
      </c>
      <c r="OI14" s="28">
        <v>56</v>
      </c>
      <c r="OK14" s="8">
        <v>5</v>
      </c>
      <c r="OL14" s="28">
        <v>296</v>
      </c>
      <c r="OM14" s="8">
        <v>620</v>
      </c>
      <c r="ON14" s="28">
        <v>132</v>
      </c>
      <c r="OO14" s="8">
        <v>-3</v>
      </c>
      <c r="OP14" s="28">
        <v>41</v>
      </c>
      <c r="OQ14" s="8">
        <v>-107</v>
      </c>
      <c r="OR14" s="12">
        <v>112</v>
      </c>
      <c r="OS14" s="8">
        <v>279</v>
      </c>
      <c r="OT14" s="28">
        <v>483</v>
      </c>
      <c r="OU14" s="12">
        <v>579</v>
      </c>
      <c r="OV14" s="8">
        <v>224</v>
      </c>
      <c r="OZ14" s="12"/>
      <c r="PA14" s="8">
        <v>-973</v>
      </c>
      <c r="PC14" s="8">
        <v>117</v>
      </c>
      <c r="PD14" s="28">
        <v>1</v>
      </c>
      <c r="PE14" s="8">
        <v>119</v>
      </c>
      <c r="PF14" s="12">
        <v>85</v>
      </c>
      <c r="PG14" s="8">
        <v>-150</v>
      </c>
      <c r="PH14" s="12">
        <v>201</v>
      </c>
      <c r="PJ14" s="8">
        <v>-340</v>
      </c>
      <c r="PK14" s="12">
        <v>196</v>
      </c>
      <c r="PL14" s="8">
        <v>37</v>
      </c>
      <c r="PM14" s="28">
        <v>2</v>
      </c>
      <c r="PP14" s="8">
        <v>605</v>
      </c>
      <c r="PQ14" s="28">
        <v>12</v>
      </c>
      <c r="PR14" s="28"/>
      <c r="PS14" s="8">
        <v>-47</v>
      </c>
      <c r="PU14" s="28">
        <v>26</v>
      </c>
      <c r="PW14" s="8">
        <v>-125</v>
      </c>
      <c r="PX14" s="28">
        <v>100</v>
      </c>
      <c r="PY14" s="8">
        <v>1</v>
      </c>
      <c r="PZ14" s="12">
        <v>21</v>
      </c>
      <c r="QC14" s="8">
        <v>359</v>
      </c>
      <c r="QD14" s="12">
        <v>288</v>
      </c>
      <c r="QE14" s="8">
        <v>582</v>
      </c>
      <c r="QF14" s="12">
        <v>62</v>
      </c>
      <c r="QH14" s="8">
        <v>-321</v>
      </c>
      <c r="QI14" s="12">
        <v>306</v>
      </c>
      <c r="QJ14" s="8">
        <v>96</v>
      </c>
      <c r="QL14" s="8">
        <v>233</v>
      </c>
      <c r="QM14" s="12">
        <v>206</v>
      </c>
      <c r="QN14" s="12"/>
      <c r="QO14" s="12"/>
      <c r="QQ14" s="8">
        <v>-4</v>
      </c>
      <c r="QR14" s="12">
        <f t="shared" si="0"/>
        <v>23.49468024894146</v>
      </c>
      <c r="QS14" s="8">
        <v>552</v>
      </c>
      <c r="QT14" s="8">
        <v>2714</v>
      </c>
      <c r="QU14" s="12">
        <v>141</v>
      </c>
      <c r="QV14" s="6">
        <v>544</v>
      </c>
      <c r="QW14" s="12">
        <v>436</v>
      </c>
      <c r="QY14" s="8">
        <v>82</v>
      </c>
      <c r="QZ14" s="12">
        <v>84</v>
      </c>
      <c r="RA14" s="8">
        <v>-5</v>
      </c>
      <c r="RB14" s="12">
        <v>148</v>
      </c>
      <c r="RC14" s="6">
        <v>-278</v>
      </c>
      <c r="RD14" s="12">
        <v>89</v>
      </c>
      <c r="RE14" s="6">
        <v>446</v>
      </c>
      <c r="RF14" s="12">
        <v>439</v>
      </c>
      <c r="RG14" s="8">
        <v>-227</v>
      </c>
      <c r="RH14" s="28">
        <v>100</v>
      </c>
      <c r="RJ14" s="8">
        <v>-52</v>
      </c>
      <c r="RK14" s="12">
        <v>76</v>
      </c>
      <c r="RL14" s="8">
        <v>6</v>
      </c>
      <c r="RM14" s="12">
        <v>296</v>
      </c>
      <c r="RQ14" s="9">
        <v>-1</v>
      </c>
      <c r="RR14" s="49" t="s">
        <v>183</v>
      </c>
      <c r="RS14" s="54" t="s">
        <v>195</v>
      </c>
      <c r="RT14" s="49" t="s">
        <v>196</v>
      </c>
      <c r="RV14" s="8">
        <v>5</v>
      </c>
      <c r="RW14" s="52">
        <v>231</v>
      </c>
      <c r="RY14" s="48" t="s">
        <v>141</v>
      </c>
      <c r="RZ14" s="49" t="s">
        <v>142</v>
      </c>
      <c r="SA14" s="8">
        <v>81</v>
      </c>
      <c r="SB14" s="28">
        <v>1</v>
      </c>
      <c r="SD14" s="8">
        <v>-321</v>
      </c>
      <c r="SE14" s="12">
        <v>228</v>
      </c>
      <c r="SF14" s="8">
        <v>-56</v>
      </c>
      <c r="SG14" s="12">
        <v>399</v>
      </c>
      <c r="SI14" s="8">
        <v>-308</v>
      </c>
      <c r="SJ14" s="12">
        <v>323</v>
      </c>
      <c r="SK14" s="8">
        <v>472</v>
      </c>
      <c r="SL14" s="12">
        <v>190</v>
      </c>
      <c r="SP14" s="8">
        <v>17</v>
      </c>
      <c r="SQ14" s="12">
        <v>1</v>
      </c>
      <c r="SU14" s="8">
        <v>77</v>
      </c>
      <c r="SV14" s="28">
        <v>184</v>
      </c>
      <c r="SW14" s="8">
        <v>1</v>
      </c>
      <c r="SX14" s="28">
        <v>12</v>
      </c>
      <c r="SY14" s="6">
        <v>128</v>
      </c>
      <c r="SZ14" s="28">
        <v>133</v>
      </c>
      <c r="TA14" s="6">
        <v>101</v>
      </c>
      <c r="TB14" s="12">
        <v>121</v>
      </c>
      <c r="TC14" s="8">
        <v>413</v>
      </c>
      <c r="TD14" s="28">
        <v>158</v>
      </c>
      <c r="TH14" s="8">
        <v>-259</v>
      </c>
      <c r="TI14" s="28">
        <v>83</v>
      </c>
      <c r="TM14" s="8">
        <v>65</v>
      </c>
      <c r="TN14" s="28">
        <v>11</v>
      </c>
      <c r="TP14" s="28"/>
      <c r="TQ14" s="8">
        <v>-28</v>
      </c>
      <c r="TR14" s="28">
        <v>3</v>
      </c>
      <c r="TX14" s="8">
        <v>334</v>
      </c>
      <c r="TY14" s="28">
        <v>161</v>
      </c>
      <c r="TZ14" s="8">
        <v>111</v>
      </c>
      <c r="UA14" s="12">
        <v>415</v>
      </c>
      <c r="UB14" s="8">
        <v>8</v>
      </c>
      <c r="UC14" s="12">
        <v>37</v>
      </c>
      <c r="UE14" s="8">
        <v>4</v>
      </c>
      <c r="UF14" s="12">
        <v>394</v>
      </c>
      <c r="UG14" s="8">
        <v>915</v>
      </c>
      <c r="UH14" s="12">
        <v>26</v>
      </c>
      <c r="UI14" s="8">
        <v>153</v>
      </c>
      <c r="UJ14" s="12">
        <v>49</v>
      </c>
      <c r="UL14" s="8">
        <v>-224</v>
      </c>
      <c r="UM14" s="28">
        <v>4</v>
      </c>
      <c r="UN14" s="8">
        <v>-659</v>
      </c>
      <c r="UO14" s="12">
        <v>109</v>
      </c>
      <c r="US14" s="8">
        <v>857</v>
      </c>
      <c r="UT14" s="12">
        <v>486</v>
      </c>
      <c r="UU14" s="8">
        <f>223</f>
        <v>223</v>
      </c>
      <c r="UV14" s="12">
        <v>11</v>
      </c>
      <c r="UZ14" s="8">
        <v>128</v>
      </c>
      <c r="VA14" s="12">
        <v>978</v>
      </c>
      <c r="VB14" s="8">
        <v>-35</v>
      </c>
      <c r="VC14" s="12">
        <v>60</v>
      </c>
      <c r="VD14" s="8">
        <v>886</v>
      </c>
      <c r="VE14" s="12">
        <v>495</v>
      </c>
      <c r="VF14" s="8">
        <v>134</v>
      </c>
      <c r="VG14" s="12">
        <v>698</v>
      </c>
      <c r="VH14" s="8">
        <v>676</v>
      </c>
      <c r="VI14" s="28">
        <v>296</v>
      </c>
      <c r="VJ14" s="8">
        <v>342</v>
      </c>
      <c r="VK14" s="28">
        <v>473</v>
      </c>
      <c r="VL14" s="21"/>
      <c r="VM14" s="8">
        <v>1388</v>
      </c>
      <c r="VQ14" s="8">
        <v>23</v>
      </c>
      <c r="VR14" s="28">
        <v>13</v>
      </c>
      <c r="VS14" s="8">
        <v>-4449</v>
      </c>
      <c r="VT14" s="12">
        <v>2267</v>
      </c>
      <c r="VV14" s="8">
        <v>10927</v>
      </c>
      <c r="VW14" s="28">
        <v>839</v>
      </c>
      <c r="VX14" s="8">
        <v>17</v>
      </c>
      <c r="VY14" s="12">
        <v>416</v>
      </c>
      <c r="VZ14" s="8">
        <v>901</v>
      </c>
      <c r="WA14" s="28">
        <v>160</v>
      </c>
      <c r="WB14" s="8">
        <v>3268</v>
      </c>
      <c r="WC14" s="12">
        <v>860</v>
      </c>
      <c r="WD14" s="8">
        <v>4985</v>
      </c>
      <c r="WE14" s="28">
        <v>94</v>
      </c>
      <c r="WG14" s="8">
        <v>-392</v>
      </c>
      <c r="WI14" s="8">
        <v>-1048</v>
      </c>
      <c r="WL14">
        <v>96</v>
      </c>
      <c r="WM14" s="1">
        <v>44</v>
      </c>
      <c r="WN14">
        <v>-19</v>
      </c>
      <c r="WO14" s="12">
        <v>19</v>
      </c>
      <c r="WP14" s="2">
        <v>-3605</v>
      </c>
      <c r="WQ14" s="10"/>
      <c r="WR14" s="10"/>
      <c r="WS14" s="2">
        <v>49</v>
      </c>
      <c r="WT14" s="1">
        <v>12</v>
      </c>
      <c r="WU14" s="2">
        <v>862</v>
      </c>
      <c r="WV14" s="1">
        <v>308</v>
      </c>
      <c r="WX14">
        <v>7310</v>
      </c>
      <c r="WY14" s="10">
        <v>82</v>
      </c>
      <c r="XB14" s="23">
        <v>-1</v>
      </c>
      <c r="XE14">
        <v>-45779</v>
      </c>
      <c r="XG14" s="2">
        <f>141</f>
        <v>141</v>
      </c>
      <c r="XK14">
        <v>10</v>
      </c>
      <c r="XL14" s="1">
        <v>21</v>
      </c>
      <c r="XM14">
        <v>56</v>
      </c>
      <c r="XN14" s="1">
        <v>4788</v>
      </c>
      <c r="XO14">
        <v>116</v>
      </c>
      <c r="XP14" s="1">
        <v>26</v>
      </c>
    </row>
    <row r="15" spans="1:642" x14ac:dyDescent="0.25">
      <c r="C15" s="3">
        <v>-462</v>
      </c>
      <c r="D15" s="4">
        <v>3</v>
      </c>
      <c r="E15">
        <v>-395</v>
      </c>
      <c r="F15" s="1">
        <v>828</v>
      </c>
      <c r="G15" s="2">
        <v>-4</v>
      </c>
      <c r="I15" s="2">
        <v>-1</v>
      </c>
      <c r="K15" s="2">
        <v>2503</v>
      </c>
      <c r="L15" s="1">
        <v>379</v>
      </c>
      <c r="M15">
        <v>416</v>
      </c>
      <c r="N15" s="1">
        <v>54</v>
      </c>
      <c r="O15" s="26"/>
      <c r="P15">
        <v>151</v>
      </c>
      <c r="Q15" s="1">
        <v>72</v>
      </c>
      <c r="R15">
        <v>-495</v>
      </c>
      <c r="S15" s="12">
        <v>2945</v>
      </c>
      <c r="T15">
        <v>1060</v>
      </c>
      <c r="U15" s="1">
        <v>1028</v>
      </c>
      <c r="V15">
        <v>7</v>
      </c>
      <c r="W15" s="10">
        <v>289</v>
      </c>
      <c r="X15">
        <v>40</v>
      </c>
      <c r="Z15">
        <v>21</v>
      </c>
      <c r="AA15" s="1">
        <v>1</v>
      </c>
      <c r="AB15">
        <v>-49</v>
      </c>
      <c r="AC15" s="1">
        <v>120</v>
      </c>
      <c r="AD15">
        <v>-3</v>
      </c>
      <c r="AE15" s="1">
        <v>1</v>
      </c>
      <c r="AF15">
        <v>789</v>
      </c>
      <c r="AG15" s="1">
        <v>315</v>
      </c>
      <c r="AJ15" s="2">
        <v>-166</v>
      </c>
      <c r="AK15" s="10">
        <v>1</v>
      </c>
      <c r="AN15">
        <v>370</v>
      </c>
      <c r="AO15" s="1">
        <v>91</v>
      </c>
      <c r="AQ15">
        <v>144</v>
      </c>
      <c r="AR15" s="1">
        <v>90</v>
      </c>
      <c r="AV15" s="2">
        <v>139</v>
      </c>
      <c r="AW15" s="1">
        <v>160</v>
      </c>
      <c r="AY15">
        <v>-35</v>
      </c>
      <c r="AZ15" s="1">
        <v>4</v>
      </c>
      <c r="BA15">
        <v>-193</v>
      </c>
      <c r="BB15" s="1">
        <v>434</v>
      </c>
      <c r="BD15" s="8">
        <v>299</v>
      </c>
      <c r="BE15" s="1">
        <v>201</v>
      </c>
      <c r="BF15">
        <v>-154</v>
      </c>
      <c r="BG15" s="1">
        <v>1139</v>
      </c>
      <c r="BH15">
        <v>-7833</v>
      </c>
      <c r="BI15" s="1">
        <v>930</v>
      </c>
      <c r="BJ15">
        <v>-80</v>
      </c>
      <c r="BL15">
        <v>7</v>
      </c>
      <c r="BM15" s="1">
        <v>2</v>
      </c>
      <c r="BN15">
        <v>-62</v>
      </c>
      <c r="BP15">
        <v>-896</v>
      </c>
      <c r="BQ15" s="10">
        <v>1793</v>
      </c>
      <c r="BR15">
        <v>7006</v>
      </c>
      <c r="BS15" s="1">
        <v>353</v>
      </c>
      <c r="BT15">
        <v>994</v>
      </c>
      <c r="BU15" s="1">
        <v>249</v>
      </c>
      <c r="BV15">
        <v>121</v>
      </c>
      <c r="BW15" s="1">
        <v>3</v>
      </c>
      <c r="BX15">
        <v>3</v>
      </c>
      <c r="CA15" s="8">
        <v>-32</v>
      </c>
      <c r="CB15" s="28">
        <v>64</v>
      </c>
      <c r="CC15" s="8">
        <v>-1</v>
      </c>
      <c r="CD15" s="28">
        <v>8</v>
      </c>
      <c r="CE15" s="8">
        <v>617</v>
      </c>
      <c r="CF15" s="28">
        <v>229</v>
      </c>
      <c r="CG15" s="8">
        <v>-147</v>
      </c>
      <c r="CI15" s="8">
        <v>492</v>
      </c>
      <c r="CJ15" s="12">
        <v>124</v>
      </c>
      <c r="CK15" s="6">
        <v>-50</v>
      </c>
      <c r="CL15" s="28">
        <v>51</v>
      </c>
      <c r="CM15" s="8">
        <v>9</v>
      </c>
      <c r="CN15" s="28">
        <v>2</v>
      </c>
      <c r="CO15" s="6">
        <v>-22</v>
      </c>
      <c r="CP15" s="28"/>
      <c r="CQ15" s="6">
        <v>749</v>
      </c>
      <c r="CR15" s="12">
        <v>161</v>
      </c>
      <c r="CS15" s="6">
        <v>-824</v>
      </c>
      <c r="CT15" s="28">
        <v>243</v>
      </c>
      <c r="CU15" s="6">
        <v>135</v>
      </c>
      <c r="CV15" s="28"/>
      <c r="CW15" s="6">
        <v>16</v>
      </c>
      <c r="CX15" s="28">
        <v>7</v>
      </c>
      <c r="CZ15" s="23">
        <v>215</v>
      </c>
      <c r="DA15" s="25">
        <v>540</v>
      </c>
      <c r="DB15" s="23">
        <v>228</v>
      </c>
      <c r="DC15" s="25">
        <v>5</v>
      </c>
      <c r="DD15" s="23">
        <v>86</v>
      </c>
      <c r="DE15" s="25">
        <v>74</v>
      </c>
      <c r="DF15" s="86">
        <v>109</v>
      </c>
      <c r="DG15" s="25">
        <v>281</v>
      </c>
      <c r="DH15" s="23">
        <v>-389</v>
      </c>
      <c r="DI15" s="25">
        <v>282</v>
      </c>
      <c r="DJ15" s="23">
        <v>686</v>
      </c>
      <c r="DK15" s="28">
        <v>219</v>
      </c>
      <c r="DL15" s="8">
        <v>649</v>
      </c>
      <c r="DN15" s="8">
        <v>281</v>
      </c>
      <c r="DQ15" s="8">
        <v>789</v>
      </c>
      <c r="DR15" s="52">
        <v>109</v>
      </c>
      <c r="DS15" s="6">
        <v>-213</v>
      </c>
      <c r="DT15" s="52">
        <v>57</v>
      </c>
      <c r="DU15" s="8">
        <v>-665</v>
      </c>
      <c r="DV15" s="28">
        <v>211</v>
      </c>
      <c r="DW15" s="8">
        <v>172</v>
      </c>
      <c r="DX15" s="28">
        <v>751</v>
      </c>
      <c r="DY15" s="6">
        <v>120</v>
      </c>
      <c r="DZ15" s="52">
        <v>478</v>
      </c>
      <c r="EA15" s="23">
        <v>5</v>
      </c>
      <c r="EB15" s="52">
        <v>291</v>
      </c>
      <c r="EC15" s="6">
        <v>-1</v>
      </c>
      <c r="ED15" s="28">
        <v>4</v>
      </c>
      <c r="EE15" s="8">
        <v>104</v>
      </c>
      <c r="EF15" s="52">
        <v>507</v>
      </c>
      <c r="EG15" s="8">
        <v>496</v>
      </c>
      <c r="EH15" s="28">
        <v>181</v>
      </c>
      <c r="EI15" s="8">
        <v>-798</v>
      </c>
      <c r="EJ15" s="52">
        <v>148</v>
      </c>
      <c r="EL15" s="8">
        <v>371</v>
      </c>
      <c r="EM15" s="28">
        <v>348</v>
      </c>
      <c r="EN15" s="8">
        <v>225</v>
      </c>
      <c r="EO15" s="28">
        <v>15</v>
      </c>
      <c r="EP15" s="8">
        <v>325</v>
      </c>
      <c r="EQ15" s="52">
        <v>259</v>
      </c>
      <c r="ER15" s="8">
        <v>203</v>
      </c>
      <c r="ES15" s="52">
        <v>71</v>
      </c>
      <c r="EU15" s="52"/>
      <c r="EV15" s="8">
        <v>-37</v>
      </c>
      <c r="EX15" s="8">
        <v>362</v>
      </c>
      <c r="EY15" s="28">
        <v>124</v>
      </c>
      <c r="EZ15" s="8">
        <v>-192</v>
      </c>
      <c r="FA15" s="52">
        <v>464</v>
      </c>
      <c r="FB15" s="8">
        <v>346</v>
      </c>
      <c r="FC15" s="52">
        <v>134</v>
      </c>
      <c r="FD15" s="6">
        <v>444</v>
      </c>
      <c r="FE15" s="28">
        <v>658</v>
      </c>
      <c r="FF15" s="8">
        <v>-111</v>
      </c>
      <c r="FG15" s="28">
        <v>51</v>
      </c>
      <c r="FH15" s="8">
        <v>-153</v>
      </c>
      <c r="FI15" s="28">
        <v>250</v>
      </c>
      <c r="FK15" s="52"/>
      <c r="FM15" s="8">
        <v>6</v>
      </c>
      <c r="FN15" s="52">
        <v>6</v>
      </c>
      <c r="FO15" s="8">
        <v>945</v>
      </c>
      <c r="FP15" s="28">
        <v>968</v>
      </c>
      <c r="FQ15" s="8">
        <v>179</v>
      </c>
      <c r="FR15" s="28">
        <v>60</v>
      </c>
      <c r="FS15" s="8">
        <v>-921</v>
      </c>
      <c r="FU15" s="28">
        <v>736</v>
      </c>
      <c r="FV15" s="8">
        <v>-53</v>
      </c>
      <c r="FW15" s="28">
        <v>53</v>
      </c>
      <c r="FY15" s="28"/>
      <c r="GA15" s="8">
        <v>108</v>
      </c>
      <c r="GB15" s="52">
        <v>946</v>
      </c>
      <c r="GC15" s="8">
        <v>866</v>
      </c>
      <c r="GE15" s="8">
        <v>-17</v>
      </c>
      <c r="GF15" s="28">
        <v>754</v>
      </c>
      <c r="GG15" s="8">
        <v>741</v>
      </c>
      <c r="GH15" s="28">
        <v>167</v>
      </c>
      <c r="GI15" s="8">
        <v>-117</v>
      </c>
      <c r="GJ15" s="28">
        <v>59</v>
      </c>
      <c r="GK15" s="8">
        <v>115</v>
      </c>
      <c r="GL15" s="28">
        <v>943</v>
      </c>
      <c r="GN15" s="8">
        <v>119</v>
      </c>
      <c r="GO15" s="28">
        <v>277</v>
      </c>
      <c r="GP15" s="8">
        <v>-29</v>
      </c>
      <c r="GQ15" s="52">
        <v>263</v>
      </c>
      <c r="GR15" s="8">
        <v>7</v>
      </c>
      <c r="GS15" s="28">
        <v>9</v>
      </c>
      <c r="GT15" s="6">
        <v>-190</v>
      </c>
      <c r="GU15" s="52">
        <v>281</v>
      </c>
      <c r="GV15" s="6">
        <v>169</v>
      </c>
      <c r="GW15" s="28">
        <v>147</v>
      </c>
      <c r="GX15" s="8">
        <v>229</v>
      </c>
      <c r="GY15" s="52">
        <v>297</v>
      </c>
      <c r="GZ15" s="8">
        <v>-670</v>
      </c>
      <c r="HA15" s="28">
        <v>247</v>
      </c>
      <c r="HB15" s="6">
        <v>24</v>
      </c>
      <c r="HC15" s="28"/>
      <c r="HE15" s="8">
        <v>173</v>
      </c>
      <c r="HF15" s="28">
        <v>82</v>
      </c>
      <c r="HG15" s="8">
        <v>84</v>
      </c>
      <c r="HI15" s="8">
        <v>-84</v>
      </c>
      <c r="HJ15" s="28">
        <v>587</v>
      </c>
      <c r="HL15" s="52"/>
      <c r="HM15" s="8">
        <v>103</v>
      </c>
      <c r="HO15" s="8">
        <v>-308</v>
      </c>
      <c r="HP15" s="28">
        <v>288</v>
      </c>
      <c r="HQ15" s="6">
        <v>-23</v>
      </c>
      <c r="HR15" s="28">
        <v>84</v>
      </c>
      <c r="HS15" s="8">
        <v>5</v>
      </c>
      <c r="HT15" s="52">
        <v>935</v>
      </c>
      <c r="HV15" s="8">
        <v>233</v>
      </c>
      <c r="HW15" s="28">
        <v>549</v>
      </c>
      <c r="HX15" s="8">
        <v>-99</v>
      </c>
      <c r="HY15" s="28">
        <v>39</v>
      </c>
      <c r="HZ15" s="8">
        <v>-2</v>
      </c>
      <c r="IB15" s="8">
        <v>-275</v>
      </c>
      <c r="IC15" s="28">
        <v>114</v>
      </c>
      <c r="ID15" s="8">
        <v>-251</v>
      </c>
      <c r="IE15" s="28">
        <v>287</v>
      </c>
      <c r="IF15" s="8">
        <v>326</v>
      </c>
      <c r="IG15" s="28">
        <v>253</v>
      </c>
      <c r="IH15" s="8">
        <v>-386</v>
      </c>
      <c r="II15" s="28">
        <v>113</v>
      </c>
      <c r="IM15" s="8">
        <v>73</v>
      </c>
      <c r="IO15">
        <v>393</v>
      </c>
      <c r="IP15" s="10">
        <v>282</v>
      </c>
      <c r="IQ15" s="8">
        <v>-73</v>
      </c>
      <c r="IR15" s="28">
        <v>4</v>
      </c>
      <c r="IS15" s="6">
        <v>195</v>
      </c>
      <c r="IT15" s="28">
        <v>86</v>
      </c>
      <c r="IU15" s="8">
        <v>-301</v>
      </c>
      <c r="IV15" s="28">
        <v>878</v>
      </c>
      <c r="IW15" s="8">
        <v>661</v>
      </c>
      <c r="IY15" s="8">
        <v>-254</v>
      </c>
      <c r="JA15" s="8">
        <v>101</v>
      </c>
      <c r="JB15" s="12">
        <v>88</v>
      </c>
      <c r="JD15" s="8">
        <v>-132</v>
      </c>
      <c r="JE15" s="28">
        <v>355</v>
      </c>
      <c r="JG15" s="28"/>
      <c r="JH15" s="8">
        <v>-710</v>
      </c>
      <c r="JI15" s="28">
        <v>692</v>
      </c>
      <c r="JJ15" s="8">
        <v>146</v>
      </c>
      <c r="JK15" s="28">
        <v>17</v>
      </c>
      <c r="JL15" s="8">
        <v>187</v>
      </c>
      <c r="JM15" s="12">
        <v>151</v>
      </c>
      <c r="JN15" s="8">
        <v>1</v>
      </c>
      <c r="JO15" s="28">
        <v>5</v>
      </c>
      <c r="JP15" s="6">
        <v>13</v>
      </c>
      <c r="JQ15" s="12">
        <v>357</v>
      </c>
      <c r="JR15" s="8">
        <v>132</v>
      </c>
      <c r="JS15" s="12">
        <v>128</v>
      </c>
      <c r="JT15" s="6">
        <v>122</v>
      </c>
      <c r="JU15" s="12">
        <v>172</v>
      </c>
      <c r="JW15" s="8">
        <v>181</v>
      </c>
      <c r="JX15" s="12">
        <v>166</v>
      </c>
      <c r="JZ15" s="28"/>
      <c r="KA15" s="8">
        <v>210</v>
      </c>
      <c r="KB15" s="28">
        <v>29</v>
      </c>
      <c r="KC15" s="8">
        <v>335</v>
      </c>
      <c r="KD15" s="28">
        <v>650</v>
      </c>
      <c r="KE15" s="6">
        <v>-428</v>
      </c>
      <c r="KF15" s="12">
        <v>628</v>
      </c>
      <c r="KI15" s="8">
        <v>420</v>
      </c>
      <c r="KJ15" s="28">
        <v>60</v>
      </c>
      <c r="KL15" s="28"/>
      <c r="KM15" s="6">
        <v>-26</v>
      </c>
      <c r="KN15" s="28">
        <v>7</v>
      </c>
      <c r="KQ15" s="8">
        <v>136</v>
      </c>
      <c r="KR15" s="28">
        <v>70</v>
      </c>
      <c r="KT15" s="8">
        <v>-49</v>
      </c>
      <c r="KU15" s="28">
        <v>6</v>
      </c>
      <c r="KV15" s="8">
        <v>-314</v>
      </c>
      <c r="KX15" s="8">
        <v>1</v>
      </c>
      <c r="KY15" s="12">
        <v>42</v>
      </c>
      <c r="KZ15" s="8">
        <v>-298</v>
      </c>
      <c r="LA15" s="12">
        <v>222</v>
      </c>
      <c r="LD15" s="8">
        <v>380</v>
      </c>
      <c r="LE15" s="28">
        <v>644</v>
      </c>
      <c r="LF15" s="8">
        <v>-253</v>
      </c>
      <c r="LG15" s="28">
        <v>38</v>
      </c>
      <c r="LH15" s="6">
        <v>770</v>
      </c>
      <c r="LJ15" s="8">
        <v>196</v>
      </c>
      <c r="LK15" s="28">
        <v>911</v>
      </c>
      <c r="LL15" s="8">
        <v>-3</v>
      </c>
      <c r="LM15" s="28">
        <v>1</v>
      </c>
      <c r="LN15" s="8">
        <v>-697</v>
      </c>
      <c r="LO15" s="28">
        <v>139</v>
      </c>
      <c r="LS15" s="8">
        <v>10</v>
      </c>
      <c r="LU15" s="8">
        <v>-387</v>
      </c>
      <c r="LV15" s="12">
        <v>380</v>
      </c>
      <c r="LW15" s="8">
        <v>49</v>
      </c>
      <c r="LX15" s="28">
        <v>7</v>
      </c>
      <c r="LZ15" s="8">
        <v>896</v>
      </c>
      <c r="MB15" s="8">
        <v>-21</v>
      </c>
      <c r="MC15" s="28">
        <v>30</v>
      </c>
      <c r="MF15" s="8">
        <v>300</v>
      </c>
      <c r="MG15" s="12">
        <v>215</v>
      </c>
      <c r="MH15" s="8">
        <v>-5</v>
      </c>
      <c r="MJ15" s="8">
        <v>-29</v>
      </c>
      <c r="MK15" s="12">
        <v>115</v>
      </c>
      <c r="MN15" s="8">
        <v>103</v>
      </c>
      <c r="MO15" s="28">
        <v>139</v>
      </c>
      <c r="MQ15" s="8">
        <v>127</v>
      </c>
      <c r="MR15" s="28">
        <v>132</v>
      </c>
      <c r="MS15" s="8">
        <v>807</v>
      </c>
      <c r="MT15" s="12">
        <v>136</v>
      </c>
      <c r="MU15" s="8">
        <v>7</v>
      </c>
      <c r="MV15" s="28">
        <v>11</v>
      </c>
      <c r="MZ15" s="8">
        <v>13</v>
      </c>
      <c r="NA15" s="12">
        <v>77</v>
      </c>
      <c r="NC15" s="8">
        <v>201</v>
      </c>
      <c r="ND15" s="12">
        <v>130</v>
      </c>
      <c r="NE15" s="8">
        <v>228</v>
      </c>
      <c r="NF15" s="28">
        <v>107</v>
      </c>
      <c r="NG15" s="8">
        <v>27</v>
      </c>
      <c r="NH15" s="28">
        <v>3</v>
      </c>
      <c r="NI15" s="8">
        <v>353</v>
      </c>
      <c r="NJ15" s="28">
        <v>3</v>
      </c>
      <c r="NL15" s="8">
        <v>65</v>
      </c>
      <c r="NM15" s="28">
        <v>68</v>
      </c>
      <c r="NN15" s="8">
        <v>291</v>
      </c>
      <c r="NO15" s="28">
        <v>799</v>
      </c>
      <c r="NP15" s="8">
        <v>939</v>
      </c>
      <c r="NQ15" s="12">
        <v>279</v>
      </c>
      <c r="NR15" s="8">
        <v>140</v>
      </c>
      <c r="NS15" s="12">
        <v>32</v>
      </c>
      <c r="NU15" s="8">
        <v>23</v>
      </c>
      <c r="NV15" s="12">
        <v>99</v>
      </c>
      <c r="NW15" s="8">
        <v>123</v>
      </c>
      <c r="NX15" s="28">
        <v>182</v>
      </c>
      <c r="NY15" s="8">
        <v>406</v>
      </c>
      <c r="NZ15" s="12">
        <v>216</v>
      </c>
      <c r="OA15" s="8">
        <v>936</v>
      </c>
      <c r="OB15" s="28">
        <v>333</v>
      </c>
      <c r="OC15" s="8">
        <v>-321</v>
      </c>
      <c r="OD15" s="12">
        <v>643</v>
      </c>
      <c r="OE15" s="8">
        <v>449</v>
      </c>
      <c r="OF15" s="12">
        <v>404</v>
      </c>
      <c r="OG15" s="28"/>
      <c r="OH15" s="8">
        <v>739</v>
      </c>
      <c r="OI15" s="28">
        <v>92</v>
      </c>
      <c r="OK15" s="8">
        <v>-109</v>
      </c>
      <c r="OL15" s="28">
        <v>136</v>
      </c>
      <c r="OM15" s="8">
        <v>-415</v>
      </c>
      <c r="ON15" s="28">
        <v>102</v>
      </c>
      <c r="OO15" s="8">
        <v>-183</v>
      </c>
      <c r="OP15" s="28">
        <v>202</v>
      </c>
      <c r="OQ15" s="8">
        <v>54</v>
      </c>
      <c r="OR15" s="12">
        <v>63</v>
      </c>
      <c r="OS15" s="8">
        <v>416</v>
      </c>
      <c r="OT15" s="28">
        <v>511</v>
      </c>
      <c r="OU15" s="12">
        <v>816</v>
      </c>
      <c r="OV15" s="8">
        <v>403</v>
      </c>
      <c r="OZ15" s="12"/>
      <c r="PA15" s="8">
        <v>196</v>
      </c>
      <c r="PC15" s="8">
        <v>65</v>
      </c>
      <c r="PD15" s="28">
        <v>5</v>
      </c>
      <c r="PE15" s="8">
        <v>915</v>
      </c>
      <c r="PF15" s="12">
        <v>100</v>
      </c>
      <c r="PG15" s="8">
        <v>708</v>
      </c>
      <c r="PH15" s="12">
        <v>141</v>
      </c>
      <c r="PJ15" s="8">
        <v>48</v>
      </c>
      <c r="PK15" s="12">
        <v>386</v>
      </c>
      <c r="PL15" s="8">
        <v>123</v>
      </c>
      <c r="PM15" s="28">
        <v>200</v>
      </c>
      <c r="PP15" s="8">
        <v>821</v>
      </c>
      <c r="PQ15" s="28">
        <v>13</v>
      </c>
      <c r="PR15" s="28"/>
      <c r="PS15" s="8">
        <v>841</v>
      </c>
      <c r="PU15" s="28">
        <v>149</v>
      </c>
      <c r="PW15" s="8">
        <v>501</v>
      </c>
      <c r="PX15" s="28">
        <v>187</v>
      </c>
      <c r="PY15" s="8">
        <v>2</v>
      </c>
      <c r="PZ15" s="12">
        <v>83</v>
      </c>
      <c r="QC15" s="8">
        <v>373</v>
      </c>
      <c r="QD15" s="12">
        <v>483</v>
      </c>
      <c r="QE15" s="8">
        <v>279</v>
      </c>
      <c r="QF15" s="12">
        <v>309</v>
      </c>
      <c r="QH15" s="8">
        <v>-329</v>
      </c>
      <c r="QI15" s="12">
        <v>554</v>
      </c>
      <c r="QJ15" s="8">
        <v>110</v>
      </c>
      <c r="QL15" s="8">
        <v>38</v>
      </c>
      <c r="QM15" s="12">
        <v>70</v>
      </c>
      <c r="QN15" s="12"/>
      <c r="QO15" s="12"/>
      <c r="QQ15" s="8">
        <v>32</v>
      </c>
      <c r="QR15" s="12">
        <f t="shared" si="0"/>
        <v>8.9442719099991592</v>
      </c>
      <c r="QS15" s="8">
        <v>80</v>
      </c>
      <c r="QT15" s="8">
        <v>647</v>
      </c>
      <c r="QU15" s="12">
        <v>29</v>
      </c>
      <c r="QV15" s="6">
        <v>-357</v>
      </c>
      <c r="QW15" s="12">
        <v>166</v>
      </c>
      <c r="QY15" s="8">
        <v>-13</v>
      </c>
      <c r="QZ15" s="12">
        <v>42</v>
      </c>
      <c r="RA15" s="8">
        <v>-343</v>
      </c>
      <c r="RB15" s="12">
        <v>303</v>
      </c>
      <c r="RC15" s="6">
        <v>-130</v>
      </c>
      <c r="RD15" s="12">
        <v>101</v>
      </c>
      <c r="RE15" s="6">
        <v>112</v>
      </c>
      <c r="RF15" s="12">
        <v>102</v>
      </c>
      <c r="RG15" s="8">
        <v>-318</v>
      </c>
      <c r="RH15" s="28">
        <v>142</v>
      </c>
      <c r="RJ15" s="8">
        <v>-3</v>
      </c>
      <c r="RK15" s="12">
        <v>8</v>
      </c>
      <c r="RL15" s="8">
        <v>738</v>
      </c>
      <c r="RM15" s="12">
        <v>226</v>
      </c>
      <c r="RQ15" s="9">
        <v>-169</v>
      </c>
      <c r="RR15" s="49" t="s">
        <v>184</v>
      </c>
      <c r="RS15" s="54" t="s">
        <v>197</v>
      </c>
      <c r="RT15" s="49" t="s">
        <v>198</v>
      </c>
      <c r="RV15" s="8">
        <v>148</v>
      </c>
      <c r="RW15" s="52">
        <v>343</v>
      </c>
      <c r="RY15" s="48" t="s">
        <v>140</v>
      </c>
      <c r="RZ15" s="49" t="s">
        <v>143</v>
      </c>
      <c r="SA15" s="8">
        <v>86</v>
      </c>
      <c r="SB15" s="28">
        <v>3</v>
      </c>
      <c r="SD15" s="8">
        <v>692</v>
      </c>
      <c r="SE15" s="12">
        <v>434</v>
      </c>
      <c r="SF15" s="8">
        <v>-278</v>
      </c>
      <c r="SG15" s="12">
        <v>264</v>
      </c>
      <c r="SI15" s="8">
        <v>-386</v>
      </c>
      <c r="SJ15" s="12">
        <v>624</v>
      </c>
      <c r="SK15" s="8">
        <v>904</v>
      </c>
      <c r="SL15" s="12">
        <v>293</v>
      </c>
      <c r="SP15" s="8">
        <v>-388</v>
      </c>
      <c r="SQ15" s="12">
        <v>388</v>
      </c>
      <c r="SU15" s="8">
        <v>676</v>
      </c>
      <c r="SV15" s="28">
        <v>25</v>
      </c>
      <c r="SW15" s="8">
        <v>471</v>
      </c>
      <c r="SX15" s="28">
        <v>739</v>
      </c>
      <c r="SY15" s="6">
        <v>579</v>
      </c>
      <c r="SZ15" s="28">
        <v>107</v>
      </c>
      <c r="TA15" s="6">
        <v>102</v>
      </c>
      <c r="TB15" s="12">
        <v>121</v>
      </c>
      <c r="TC15" s="8">
        <v>-743</v>
      </c>
      <c r="TD15" s="28">
        <v>261</v>
      </c>
      <c r="TH15" s="8">
        <v>-301</v>
      </c>
      <c r="TI15" s="28">
        <v>59</v>
      </c>
      <c r="TM15" s="8">
        <v>35</v>
      </c>
      <c r="TN15" s="28">
        <v>12</v>
      </c>
      <c r="TP15" s="28"/>
      <c r="TQ15" s="8">
        <v>25</v>
      </c>
      <c r="TR15" s="28">
        <v>2</v>
      </c>
      <c r="TX15" s="8">
        <v>297</v>
      </c>
      <c r="TY15" s="28">
        <v>214</v>
      </c>
      <c r="TZ15" s="8">
        <v>145</v>
      </c>
      <c r="UA15" s="12">
        <v>581</v>
      </c>
      <c r="UB15" s="8">
        <v>821</v>
      </c>
      <c r="UC15" s="12">
        <v>595</v>
      </c>
      <c r="UE15" s="8">
        <f>991</f>
        <v>991</v>
      </c>
      <c r="UF15" s="12">
        <v>237</v>
      </c>
      <c r="UG15" s="8">
        <v>-550</v>
      </c>
      <c r="UH15" s="12">
        <v>741</v>
      </c>
      <c r="UI15" s="8">
        <v>-439</v>
      </c>
      <c r="UJ15" s="12">
        <v>376</v>
      </c>
      <c r="UL15" s="8">
        <v>879</v>
      </c>
      <c r="UM15" s="28">
        <v>2</v>
      </c>
      <c r="UN15" s="8">
        <v>253</v>
      </c>
      <c r="UO15" s="12">
        <v>284</v>
      </c>
      <c r="US15" s="8">
        <v>-54</v>
      </c>
      <c r="UT15" s="12">
        <v>32</v>
      </c>
      <c r="UU15" s="8">
        <v>144</v>
      </c>
      <c r="UV15" s="12">
        <v>35</v>
      </c>
      <c r="UZ15" s="8">
        <v>159</v>
      </c>
      <c r="VA15" s="12">
        <v>251</v>
      </c>
      <c r="VB15" s="8">
        <v>-33</v>
      </c>
      <c r="VC15" s="12">
        <v>56</v>
      </c>
      <c r="VD15" s="8">
        <v>110</v>
      </c>
      <c r="VE15" s="12">
        <v>544</v>
      </c>
      <c r="VF15" s="8">
        <v>-55</v>
      </c>
      <c r="VG15" s="12">
        <v>297</v>
      </c>
      <c r="VH15" s="8">
        <f>67</f>
        <v>67</v>
      </c>
      <c r="VI15" s="28">
        <v>40</v>
      </c>
      <c r="VJ15" s="8">
        <v>819</v>
      </c>
      <c r="VK15" s="28">
        <v>567</v>
      </c>
      <c r="VL15" s="21"/>
      <c r="VM15" s="8">
        <v>1581</v>
      </c>
      <c r="VQ15" s="8">
        <v>24</v>
      </c>
      <c r="VR15" s="28">
        <v>14</v>
      </c>
      <c r="VS15" s="8">
        <v>1760</v>
      </c>
      <c r="VT15" s="12">
        <v>2510</v>
      </c>
      <c r="VV15" s="8">
        <v>10810</v>
      </c>
      <c r="VW15" s="28">
        <v>440</v>
      </c>
      <c r="VX15" s="8">
        <v>17</v>
      </c>
      <c r="VY15" s="12">
        <v>316</v>
      </c>
      <c r="VZ15" s="8">
        <v>102</v>
      </c>
      <c r="WA15" s="28">
        <v>146</v>
      </c>
      <c r="WB15" s="8">
        <v>3525</v>
      </c>
      <c r="WC15" s="12">
        <v>853</v>
      </c>
      <c r="WD15" s="8">
        <v>78</v>
      </c>
      <c r="WE15" s="28">
        <v>37</v>
      </c>
      <c r="WG15" s="8">
        <v>-1304</v>
      </c>
      <c r="WI15" s="8">
        <v>-1369</v>
      </c>
      <c r="WL15">
        <v>-819</v>
      </c>
      <c r="WM15" s="1">
        <v>297</v>
      </c>
      <c r="WN15">
        <v>59</v>
      </c>
      <c r="WO15" s="12">
        <v>14</v>
      </c>
      <c r="WP15" s="2">
        <v>-3593</v>
      </c>
      <c r="WQ15" s="10"/>
      <c r="WR15" s="10"/>
      <c r="WS15" s="2">
        <v>148</v>
      </c>
      <c r="WT15" s="1">
        <v>86</v>
      </c>
      <c r="WU15" s="2">
        <v>-10</v>
      </c>
      <c r="WV15" s="1">
        <v>5</v>
      </c>
      <c r="WX15">
        <v>-3836</v>
      </c>
      <c r="WY15" s="10">
        <v>2472</v>
      </c>
      <c r="XB15" s="23">
        <v>59</v>
      </c>
      <c r="XE15">
        <v>-29961</v>
      </c>
      <c r="XG15" s="2">
        <v>433</v>
      </c>
      <c r="XK15">
        <v>73</v>
      </c>
      <c r="XL15" s="1">
        <v>33</v>
      </c>
      <c r="XM15">
        <v>23</v>
      </c>
      <c r="XN15" s="1">
        <v>4</v>
      </c>
      <c r="XO15">
        <v>149</v>
      </c>
      <c r="XP15" s="1">
        <v>27</v>
      </c>
    </row>
    <row r="16" spans="1:642" x14ac:dyDescent="0.25">
      <c r="C16" s="3">
        <v>-112</v>
      </c>
      <c r="D16" s="4">
        <v>1</v>
      </c>
      <c r="E16">
        <v>-388</v>
      </c>
      <c r="F16" s="1">
        <v>753</v>
      </c>
      <c r="G16" s="2">
        <v>1</v>
      </c>
      <c r="I16" s="2">
        <v>-3</v>
      </c>
      <c r="K16" s="2">
        <v>2388</v>
      </c>
      <c r="L16" s="1">
        <v>248</v>
      </c>
      <c r="M16">
        <v>260</v>
      </c>
      <c r="N16" s="1">
        <v>56</v>
      </c>
      <c r="O16" s="26"/>
      <c r="P16">
        <v>105</v>
      </c>
      <c r="Q16" s="1">
        <v>46</v>
      </c>
      <c r="R16">
        <v>-2039</v>
      </c>
      <c r="S16" s="12">
        <v>565</v>
      </c>
      <c r="T16">
        <v>1101</v>
      </c>
      <c r="U16" s="1">
        <v>1072</v>
      </c>
      <c r="V16">
        <v>1311</v>
      </c>
      <c r="W16" s="10">
        <v>59</v>
      </c>
      <c r="X16">
        <v>25</v>
      </c>
      <c r="Z16">
        <v>-12</v>
      </c>
      <c r="AA16" s="1">
        <v>4</v>
      </c>
      <c r="AB16">
        <v>-39</v>
      </c>
      <c r="AC16" s="1">
        <v>18</v>
      </c>
      <c r="AD16">
        <v>-1</v>
      </c>
      <c r="AE16" s="1">
        <v>1</v>
      </c>
      <c r="AF16">
        <v>993</v>
      </c>
      <c r="AG16" s="1">
        <v>386</v>
      </c>
      <c r="AJ16" s="2">
        <v>-2341</v>
      </c>
      <c r="AK16" s="10">
        <v>189</v>
      </c>
      <c r="AN16">
        <v>510</v>
      </c>
      <c r="AO16" s="1">
        <v>73</v>
      </c>
      <c r="AQ16">
        <v>116</v>
      </c>
      <c r="AR16" s="1">
        <v>83</v>
      </c>
      <c r="AV16" s="2">
        <v>254</v>
      </c>
      <c r="AW16" s="1">
        <v>25</v>
      </c>
      <c r="AY16">
        <v>159</v>
      </c>
      <c r="AZ16" s="1">
        <v>2</v>
      </c>
      <c r="BA16">
        <v>281</v>
      </c>
      <c r="BB16" s="1">
        <v>490</v>
      </c>
      <c r="BD16" s="8">
        <v>11</v>
      </c>
      <c r="BE16" s="1">
        <v>80</v>
      </c>
      <c r="BF16">
        <v>-691</v>
      </c>
      <c r="BG16" s="1">
        <v>239</v>
      </c>
      <c r="BH16">
        <v>-5240</v>
      </c>
      <c r="BI16" s="1">
        <v>685</v>
      </c>
      <c r="BJ16">
        <v>-37</v>
      </c>
      <c r="BL16">
        <v>31</v>
      </c>
      <c r="BM16" s="1">
        <v>4</v>
      </c>
      <c r="BN16">
        <v>6</v>
      </c>
      <c r="BP16">
        <v>-1025</v>
      </c>
      <c r="BQ16" s="10">
        <v>1291</v>
      </c>
      <c r="BR16">
        <v>245</v>
      </c>
      <c r="BS16" s="1">
        <v>4148</v>
      </c>
      <c r="BT16">
        <v>-106</v>
      </c>
      <c r="BU16" s="1">
        <v>27</v>
      </c>
      <c r="BV16">
        <v>-115</v>
      </c>
      <c r="BW16" s="1">
        <v>18</v>
      </c>
      <c r="BX16">
        <v>-95</v>
      </c>
      <c r="CA16" s="8">
        <v>51</v>
      </c>
      <c r="CB16" s="28">
        <v>16</v>
      </c>
      <c r="CC16" s="8">
        <v>-11</v>
      </c>
      <c r="CD16" s="28">
        <v>8</v>
      </c>
      <c r="CE16" s="8">
        <v>159</v>
      </c>
      <c r="CF16" s="28">
        <v>346</v>
      </c>
      <c r="CG16" s="8">
        <v>-132</v>
      </c>
      <c r="CI16" s="8">
        <v>-896</v>
      </c>
      <c r="CJ16" s="12">
        <v>132</v>
      </c>
      <c r="CK16" s="6">
        <v>-52</v>
      </c>
      <c r="CL16" s="28">
        <v>50</v>
      </c>
      <c r="CM16" s="8">
        <v>-241</v>
      </c>
      <c r="CN16" s="28">
        <v>251</v>
      </c>
      <c r="CO16" s="6">
        <v>-26</v>
      </c>
      <c r="CP16" s="28"/>
      <c r="CQ16" s="6">
        <v>721</v>
      </c>
      <c r="CR16" s="12">
        <v>159</v>
      </c>
      <c r="CS16" s="6">
        <v>319</v>
      </c>
      <c r="CT16" s="28">
        <v>502</v>
      </c>
      <c r="CU16" s="6">
        <v>200</v>
      </c>
      <c r="CV16" s="28"/>
      <c r="CW16" s="6">
        <v>15</v>
      </c>
      <c r="CX16" s="28">
        <v>7</v>
      </c>
      <c r="CZ16" s="23">
        <v>-625</v>
      </c>
      <c r="DA16" s="25">
        <v>262</v>
      </c>
      <c r="DB16" s="23">
        <v>63</v>
      </c>
      <c r="DC16" s="25">
        <v>4</v>
      </c>
      <c r="DD16" s="23">
        <v>18</v>
      </c>
      <c r="DE16" s="25">
        <v>43</v>
      </c>
      <c r="DF16" s="86">
        <v>110</v>
      </c>
      <c r="DG16" s="25">
        <v>107</v>
      </c>
      <c r="DH16" s="23">
        <v>-350</v>
      </c>
      <c r="DI16" s="25">
        <v>284</v>
      </c>
      <c r="DJ16" s="23">
        <v>200</v>
      </c>
      <c r="DK16" s="28">
        <v>526</v>
      </c>
      <c r="DL16" s="8">
        <v>723</v>
      </c>
      <c r="DN16" s="8">
        <v>179</v>
      </c>
      <c r="DQ16" s="8">
        <v>-367</v>
      </c>
      <c r="DR16" s="52">
        <v>858</v>
      </c>
      <c r="DS16" s="6">
        <v>4</v>
      </c>
      <c r="DT16" s="52">
        <v>1</v>
      </c>
      <c r="DU16" s="8">
        <v>-325</v>
      </c>
      <c r="DV16" s="28">
        <v>286</v>
      </c>
      <c r="DW16" s="8">
        <v>-280</v>
      </c>
      <c r="DX16" s="28">
        <v>70</v>
      </c>
      <c r="DY16" s="6">
        <v>-983</v>
      </c>
      <c r="DZ16" s="52">
        <v>930</v>
      </c>
      <c r="EA16" s="23">
        <v>534</v>
      </c>
      <c r="EB16" s="52">
        <v>463</v>
      </c>
      <c r="EC16" s="6">
        <v>-3</v>
      </c>
      <c r="ED16" s="28">
        <v>4</v>
      </c>
      <c r="EE16" s="8">
        <v>5</v>
      </c>
      <c r="EF16" s="52">
        <v>85</v>
      </c>
      <c r="EG16" s="8">
        <v>262</v>
      </c>
      <c r="EH16" s="28">
        <v>126</v>
      </c>
      <c r="EI16" s="8">
        <v>-104</v>
      </c>
      <c r="EJ16" s="52">
        <v>648</v>
      </c>
      <c r="EL16" s="8">
        <v>-350</v>
      </c>
      <c r="EM16" s="28">
        <v>548</v>
      </c>
      <c r="EN16" s="8">
        <v>47</v>
      </c>
      <c r="EO16" s="28">
        <v>11</v>
      </c>
      <c r="EP16" s="8">
        <v>279</v>
      </c>
      <c r="EQ16" s="52">
        <v>268</v>
      </c>
      <c r="ER16" s="8">
        <v>11</v>
      </c>
      <c r="ES16" s="52">
        <v>50</v>
      </c>
      <c r="EU16" s="52"/>
      <c r="EV16" s="8">
        <v>100</v>
      </c>
      <c r="EX16" s="8">
        <v>267</v>
      </c>
      <c r="EY16" s="28">
        <v>142</v>
      </c>
      <c r="EZ16" s="8">
        <v>-238</v>
      </c>
      <c r="FA16" s="52">
        <v>208</v>
      </c>
      <c r="FB16" s="8">
        <v>-5</v>
      </c>
      <c r="FC16" s="52">
        <v>152</v>
      </c>
      <c r="FD16" s="6">
        <v>126</v>
      </c>
      <c r="FE16" s="28">
        <v>553</v>
      </c>
      <c r="FF16" s="8">
        <v>15</v>
      </c>
      <c r="FG16" s="28">
        <v>9</v>
      </c>
      <c r="FH16" s="8">
        <v>174</v>
      </c>
      <c r="FI16" s="28">
        <v>990</v>
      </c>
      <c r="FK16" s="52"/>
      <c r="FM16" s="8">
        <v>564</v>
      </c>
      <c r="FN16" s="52">
        <v>434</v>
      </c>
      <c r="FO16" s="8">
        <v>456</v>
      </c>
      <c r="FP16" s="28">
        <v>824</v>
      </c>
      <c r="FQ16" s="8">
        <v>38</v>
      </c>
      <c r="FR16" s="28">
        <v>3</v>
      </c>
      <c r="FS16" s="8">
        <v>590</v>
      </c>
      <c r="FU16" s="28">
        <v>428</v>
      </c>
      <c r="FV16" s="8">
        <v>-20</v>
      </c>
      <c r="FW16" s="28">
        <v>83</v>
      </c>
      <c r="FY16" s="28"/>
      <c r="GA16" s="8">
        <v>104</v>
      </c>
      <c r="GB16" s="52">
        <v>992</v>
      </c>
      <c r="GC16" s="8">
        <v>-481</v>
      </c>
      <c r="GE16" s="8">
        <v>-137</v>
      </c>
      <c r="GF16" s="28">
        <v>753</v>
      </c>
      <c r="GG16" s="8">
        <v>-33</v>
      </c>
      <c r="GH16" s="28">
        <v>289</v>
      </c>
      <c r="GI16" s="8">
        <v>-83</v>
      </c>
      <c r="GJ16" s="28">
        <v>62</v>
      </c>
      <c r="GK16" s="8">
        <v>90</v>
      </c>
      <c r="GL16" s="28">
        <v>672</v>
      </c>
      <c r="GN16" s="8">
        <v>331</v>
      </c>
      <c r="GO16" s="28">
        <v>124</v>
      </c>
      <c r="GP16" s="8">
        <v>-26</v>
      </c>
      <c r="GQ16" s="52">
        <v>134</v>
      </c>
      <c r="GR16" s="8">
        <v>-55</v>
      </c>
      <c r="GS16" s="28">
        <v>231</v>
      </c>
      <c r="GT16" s="6">
        <v>-325</v>
      </c>
      <c r="GU16" s="52">
        <v>925</v>
      </c>
      <c r="GV16" s="6">
        <v>196</v>
      </c>
      <c r="GW16" s="28">
        <v>160</v>
      </c>
      <c r="GX16" s="8">
        <v>861</v>
      </c>
      <c r="GY16" s="52">
        <v>108</v>
      </c>
      <c r="GZ16" s="8">
        <v>551</v>
      </c>
      <c r="HA16" s="28">
        <v>25</v>
      </c>
      <c r="HB16" s="6">
        <v>-28</v>
      </c>
      <c r="HC16" s="28"/>
      <c r="HE16" s="8">
        <v>-60</v>
      </c>
      <c r="HF16" s="28">
        <v>46</v>
      </c>
      <c r="HG16" s="8">
        <v>264</v>
      </c>
      <c r="HI16" s="8">
        <v>462</v>
      </c>
      <c r="HJ16" s="28">
        <v>106</v>
      </c>
      <c r="HL16" s="52"/>
      <c r="HM16" s="8">
        <v>147</v>
      </c>
      <c r="HO16" s="8">
        <v>-190</v>
      </c>
      <c r="HP16" s="28">
        <v>866</v>
      </c>
      <c r="HQ16" s="6">
        <v>-1</v>
      </c>
      <c r="HR16" s="28">
        <v>2</v>
      </c>
      <c r="HS16" s="8">
        <v>154</v>
      </c>
      <c r="HT16" s="52">
        <v>211</v>
      </c>
      <c r="HV16" s="8">
        <v>902</v>
      </c>
      <c r="HW16" s="28">
        <v>204</v>
      </c>
      <c r="HX16" s="8">
        <v>27</v>
      </c>
      <c r="HY16" s="28">
        <v>47</v>
      </c>
      <c r="HZ16" s="8">
        <v>4</v>
      </c>
      <c r="IB16" s="8">
        <v>-367</v>
      </c>
      <c r="IC16" s="28">
        <v>135</v>
      </c>
      <c r="ID16" s="8">
        <v>595</v>
      </c>
      <c r="IE16" s="28">
        <v>10</v>
      </c>
      <c r="IF16" s="8">
        <v>610</v>
      </c>
      <c r="IG16" s="28">
        <v>276</v>
      </c>
      <c r="IH16" s="8">
        <v>458</v>
      </c>
      <c r="II16" s="28">
        <v>120</v>
      </c>
      <c r="IM16" s="8">
        <v>116</v>
      </c>
      <c r="IO16">
        <v>685</v>
      </c>
      <c r="IP16" s="10">
        <v>51</v>
      </c>
      <c r="IQ16" s="8">
        <v>53</v>
      </c>
      <c r="IR16" s="28">
        <v>17</v>
      </c>
      <c r="IS16" s="6">
        <v>133</v>
      </c>
      <c r="IT16" s="28">
        <v>280</v>
      </c>
      <c r="IU16" s="8">
        <v>-134</v>
      </c>
      <c r="IV16" s="28">
        <v>618</v>
      </c>
      <c r="IW16" s="8">
        <v>244</v>
      </c>
      <c r="IY16" s="8">
        <v>-40</v>
      </c>
      <c r="JA16" s="8">
        <v>-109</v>
      </c>
      <c r="JB16" s="12">
        <v>167</v>
      </c>
      <c r="JD16" s="8">
        <v>808</v>
      </c>
      <c r="JE16" s="28">
        <v>293</v>
      </c>
      <c r="JG16" s="28"/>
      <c r="JH16" s="8">
        <v>-348</v>
      </c>
      <c r="JI16" s="28">
        <v>362</v>
      </c>
      <c r="JJ16" s="8">
        <v>168</v>
      </c>
      <c r="JK16" s="28">
        <v>16</v>
      </c>
      <c r="JL16" s="8">
        <v>222</v>
      </c>
      <c r="JM16" s="12">
        <v>120</v>
      </c>
      <c r="JN16" s="8">
        <v>-13</v>
      </c>
      <c r="JO16" s="28">
        <v>9</v>
      </c>
      <c r="JP16" s="6">
        <v>82</v>
      </c>
      <c r="JQ16" s="12">
        <v>209</v>
      </c>
      <c r="JR16" s="8">
        <v>650</v>
      </c>
      <c r="JS16" s="12">
        <v>295</v>
      </c>
      <c r="JT16" s="6">
        <v>570</v>
      </c>
      <c r="JU16" s="12">
        <v>304</v>
      </c>
      <c r="JW16" s="8">
        <v>-221</v>
      </c>
      <c r="JX16" s="12">
        <v>277</v>
      </c>
      <c r="JZ16" s="28"/>
      <c r="KA16" s="8">
        <v>45</v>
      </c>
      <c r="KB16" s="28">
        <v>101</v>
      </c>
      <c r="KC16" s="8">
        <v>-278</v>
      </c>
      <c r="KD16" s="28">
        <v>675</v>
      </c>
      <c r="KE16" s="6">
        <v>-450</v>
      </c>
      <c r="KF16" s="12">
        <v>200</v>
      </c>
      <c r="KI16" s="8">
        <v>-759</v>
      </c>
      <c r="KJ16" s="28">
        <v>124</v>
      </c>
      <c r="KL16" s="28"/>
      <c r="KM16" s="6"/>
      <c r="KN16" s="28"/>
      <c r="KQ16" s="8">
        <v>31</v>
      </c>
      <c r="KR16" s="28">
        <v>7</v>
      </c>
      <c r="KT16" s="8">
        <v>-42</v>
      </c>
      <c r="KU16" s="28">
        <v>11</v>
      </c>
      <c r="KV16" s="8">
        <v>-247</v>
      </c>
      <c r="KX16" s="8">
        <v>-178</v>
      </c>
      <c r="KY16" s="12">
        <v>237</v>
      </c>
      <c r="KZ16" s="8">
        <v>930</v>
      </c>
      <c r="LA16" s="12">
        <v>255</v>
      </c>
      <c r="LD16" s="8">
        <v>-786</v>
      </c>
      <c r="LE16" s="28">
        <v>499</v>
      </c>
      <c r="LF16" s="8">
        <v>-322</v>
      </c>
      <c r="LG16" s="28">
        <v>30</v>
      </c>
      <c r="LH16" s="6">
        <v>-26</v>
      </c>
      <c r="LJ16" s="8">
        <v>-646</v>
      </c>
      <c r="LK16" s="28">
        <v>152</v>
      </c>
      <c r="LL16" s="8">
        <v>-5</v>
      </c>
      <c r="LM16" s="28">
        <v>5</v>
      </c>
      <c r="LN16" s="8">
        <v>-753</v>
      </c>
      <c r="LO16" s="28">
        <v>123</v>
      </c>
      <c r="LS16" s="8">
        <v>6</v>
      </c>
      <c r="LU16" s="8">
        <v>-130</v>
      </c>
      <c r="LV16" s="12">
        <v>529</v>
      </c>
      <c r="LW16" s="8">
        <v>84</v>
      </c>
      <c r="LX16" s="28">
        <v>181</v>
      </c>
      <c r="LZ16" s="8">
        <v>720</v>
      </c>
      <c r="MB16" s="8">
        <v>-90</v>
      </c>
      <c r="MC16" s="28">
        <v>104</v>
      </c>
      <c r="MF16" s="8">
        <v>16</v>
      </c>
      <c r="MG16" s="12">
        <v>20</v>
      </c>
      <c r="MH16" s="8">
        <v>13</v>
      </c>
      <c r="MJ16" s="8">
        <v>121</v>
      </c>
      <c r="MK16" s="12">
        <v>113</v>
      </c>
      <c r="MN16" s="8">
        <v>196</v>
      </c>
      <c r="MO16" s="28">
        <v>315</v>
      </c>
      <c r="MR16" s="28"/>
      <c r="MS16" s="8">
        <v>-103</v>
      </c>
      <c r="MT16" s="12">
        <v>847</v>
      </c>
      <c r="MU16" s="8">
        <v>-5</v>
      </c>
      <c r="MV16" s="28">
        <v>42</v>
      </c>
      <c r="MZ16" s="8">
        <v>274</v>
      </c>
      <c r="NA16" s="12">
        <v>32</v>
      </c>
      <c r="NC16" s="8">
        <v>272</v>
      </c>
      <c r="ND16" s="12">
        <v>67</v>
      </c>
      <c r="NE16" s="8">
        <v>166</v>
      </c>
      <c r="NF16" s="28">
        <v>217</v>
      </c>
      <c r="NG16" s="8">
        <v>-54</v>
      </c>
      <c r="NH16" s="28">
        <v>7</v>
      </c>
      <c r="NI16" s="8">
        <v>392</v>
      </c>
      <c r="NJ16" s="28">
        <v>3</v>
      </c>
      <c r="NL16" s="8">
        <v>-126</v>
      </c>
      <c r="NM16" s="28">
        <v>80</v>
      </c>
      <c r="NN16" s="8">
        <v>-180</v>
      </c>
      <c r="NO16" s="28">
        <v>650</v>
      </c>
      <c r="NP16" s="8">
        <v>157</v>
      </c>
      <c r="NQ16" s="12">
        <v>552</v>
      </c>
      <c r="NR16" s="8">
        <v>46</v>
      </c>
      <c r="NS16" s="12">
        <v>14</v>
      </c>
      <c r="NU16" s="8">
        <v>-117</v>
      </c>
      <c r="NV16" s="12">
        <v>123</v>
      </c>
      <c r="NW16" s="8">
        <v>115</v>
      </c>
      <c r="NX16" s="28">
        <v>94</v>
      </c>
      <c r="NY16" s="8">
        <v>-319</v>
      </c>
      <c r="NZ16" s="12">
        <v>141</v>
      </c>
      <c r="OA16" s="8">
        <v>-248</v>
      </c>
      <c r="OB16" s="28">
        <v>463</v>
      </c>
      <c r="OC16" s="8">
        <v>-586</v>
      </c>
      <c r="OD16" s="12">
        <v>439</v>
      </c>
      <c r="OE16" s="8">
        <v>-441</v>
      </c>
      <c r="OF16" s="12">
        <v>100</v>
      </c>
      <c r="OG16" s="28"/>
      <c r="OH16" s="8">
        <v>253</v>
      </c>
      <c r="OI16" s="28">
        <v>115</v>
      </c>
      <c r="OK16" s="8">
        <v>138</v>
      </c>
      <c r="OL16" s="28">
        <v>14</v>
      </c>
      <c r="OM16" s="8">
        <v>812</v>
      </c>
      <c r="ON16" s="28">
        <v>254</v>
      </c>
      <c r="OO16" s="8">
        <v>6</v>
      </c>
      <c r="OP16" s="28">
        <v>68</v>
      </c>
      <c r="OQ16" s="8">
        <v>1</v>
      </c>
      <c r="OR16" s="12">
        <v>10</v>
      </c>
      <c r="OS16" s="8">
        <v>553</v>
      </c>
      <c r="OT16" s="28">
        <v>590</v>
      </c>
      <c r="OU16" s="12">
        <v>937</v>
      </c>
      <c r="OV16" s="8">
        <v>976</v>
      </c>
      <c r="OZ16" s="12"/>
      <c r="PA16" s="8">
        <v>-401</v>
      </c>
      <c r="PC16" s="8">
        <v>163</v>
      </c>
      <c r="PD16" s="28">
        <v>24</v>
      </c>
      <c r="PE16" s="8">
        <v>158</v>
      </c>
      <c r="PF16" s="12">
        <v>132</v>
      </c>
      <c r="PG16" s="8">
        <v>116</v>
      </c>
      <c r="PH16" s="12">
        <v>107</v>
      </c>
      <c r="PJ16" s="8">
        <v>5</v>
      </c>
      <c r="PK16" s="12">
        <v>215</v>
      </c>
      <c r="PL16" s="8">
        <v>297</v>
      </c>
      <c r="PM16" s="28">
        <v>385</v>
      </c>
      <c r="PP16" s="8">
        <v>988</v>
      </c>
      <c r="PQ16" s="28">
        <v>11</v>
      </c>
      <c r="PR16" s="28"/>
      <c r="PS16" s="8">
        <v>1</v>
      </c>
      <c r="PU16" s="28">
        <v>1</v>
      </c>
      <c r="PW16" s="8">
        <v>425</v>
      </c>
      <c r="PX16" s="28">
        <v>186</v>
      </c>
      <c r="PY16" s="8">
        <v>-15</v>
      </c>
      <c r="PZ16" s="12">
        <v>63</v>
      </c>
      <c r="QC16" s="8">
        <v>131</v>
      </c>
      <c r="QD16" s="12">
        <v>589</v>
      </c>
      <c r="QE16" s="8">
        <v>598</v>
      </c>
      <c r="QF16" s="12">
        <v>257</v>
      </c>
      <c r="QH16" s="8">
        <v>7</v>
      </c>
      <c r="QI16" s="12">
        <v>44</v>
      </c>
      <c r="QJ16" s="8">
        <v>15</v>
      </c>
      <c r="QL16" s="8">
        <v>-4</v>
      </c>
      <c r="QM16" s="12">
        <v>289</v>
      </c>
      <c r="QN16" s="12"/>
      <c r="QO16" s="12"/>
      <c r="QQ16" s="8">
        <v>23</v>
      </c>
      <c r="QR16" s="12">
        <f t="shared" si="0"/>
        <v>21.656407827707714</v>
      </c>
      <c r="QS16" s="8">
        <v>469</v>
      </c>
      <c r="QT16" s="8">
        <v>408</v>
      </c>
      <c r="QU16" s="12">
        <v>40</v>
      </c>
      <c r="QV16" s="6">
        <v>-322</v>
      </c>
      <c r="QW16" s="12">
        <v>871</v>
      </c>
      <c r="QY16" s="8">
        <v>26</v>
      </c>
      <c r="QZ16" s="12">
        <v>101</v>
      </c>
      <c r="RA16" s="8">
        <v>41</v>
      </c>
      <c r="RB16" s="12">
        <v>424</v>
      </c>
      <c r="RC16" s="6">
        <v>93</v>
      </c>
      <c r="RD16" s="12">
        <v>8</v>
      </c>
      <c r="RE16" s="6">
        <v>134</v>
      </c>
      <c r="RF16" s="12">
        <v>152</v>
      </c>
      <c r="RG16" s="8">
        <v>168</v>
      </c>
      <c r="RH16" s="28">
        <v>129</v>
      </c>
      <c r="RJ16" s="8">
        <v>-212</v>
      </c>
      <c r="RK16" s="12">
        <v>231</v>
      </c>
      <c r="RL16" s="8">
        <v>-19</v>
      </c>
      <c r="RM16" s="12">
        <v>280</v>
      </c>
      <c r="RQ16" s="9">
        <v>660</v>
      </c>
      <c r="RR16" s="49" t="s">
        <v>185</v>
      </c>
      <c r="RS16" s="54" t="s">
        <v>199</v>
      </c>
      <c r="RT16" s="49" t="s">
        <v>200</v>
      </c>
      <c r="RV16" s="8">
        <v>10</v>
      </c>
      <c r="RW16" s="52">
        <v>224</v>
      </c>
      <c r="RY16" s="48" t="s">
        <v>144</v>
      </c>
      <c r="RZ16" s="49" t="s">
        <v>138</v>
      </c>
      <c r="SA16" s="8">
        <v>55</v>
      </c>
      <c r="SB16" s="28">
        <v>10</v>
      </c>
      <c r="SD16" s="8">
        <v>128</v>
      </c>
      <c r="SE16" s="12">
        <v>452</v>
      </c>
      <c r="SF16" s="8">
        <v>490</v>
      </c>
      <c r="SG16" s="12">
        <v>330</v>
      </c>
      <c r="SK16" s="8">
        <v>741</v>
      </c>
      <c r="SL16" s="12">
        <v>480</v>
      </c>
      <c r="SP16" s="8">
        <v>-232</v>
      </c>
      <c r="SQ16" s="12">
        <v>262</v>
      </c>
      <c r="SU16" s="8">
        <v>147</v>
      </c>
      <c r="SV16" s="28">
        <v>1</v>
      </c>
      <c r="SW16" s="8">
        <v>820</v>
      </c>
      <c r="SX16" s="28">
        <v>347</v>
      </c>
      <c r="SY16" s="6">
        <v>108</v>
      </c>
      <c r="SZ16" s="28">
        <v>296</v>
      </c>
      <c r="TA16" s="6">
        <v>60</v>
      </c>
      <c r="TB16" s="12">
        <v>95</v>
      </c>
      <c r="TC16" s="8">
        <v>306</v>
      </c>
      <c r="TD16" s="28">
        <v>449</v>
      </c>
      <c r="TH16" s="8">
        <v>-362</v>
      </c>
      <c r="TI16" s="28">
        <v>70</v>
      </c>
      <c r="TM16" s="8">
        <v>3</v>
      </c>
      <c r="TN16" s="28">
        <v>6</v>
      </c>
      <c r="TP16" s="28"/>
      <c r="TQ16" s="8">
        <v>-27</v>
      </c>
      <c r="TR16" s="28">
        <v>4</v>
      </c>
      <c r="TX16" s="8">
        <v>447</v>
      </c>
      <c r="TY16" s="28">
        <v>190</v>
      </c>
      <c r="TZ16" s="8">
        <v>681</v>
      </c>
      <c r="UA16" s="12">
        <v>675</v>
      </c>
      <c r="UB16" s="8">
        <v>17</v>
      </c>
      <c r="UC16" s="12">
        <v>769</v>
      </c>
      <c r="UE16" s="8">
        <v>-578</v>
      </c>
      <c r="UF16" s="12">
        <v>469</v>
      </c>
      <c r="UG16" s="8">
        <v>-120</v>
      </c>
      <c r="UH16" s="12">
        <v>200</v>
      </c>
      <c r="UI16" s="8">
        <v>-337</v>
      </c>
      <c r="UJ16" s="12">
        <v>235</v>
      </c>
      <c r="UL16" s="8">
        <v>-234</v>
      </c>
      <c r="UM16" s="28">
        <v>4</v>
      </c>
      <c r="UN16" s="8">
        <v>-103</v>
      </c>
      <c r="UO16" s="12">
        <v>45</v>
      </c>
      <c r="US16" s="8">
        <v>822</v>
      </c>
      <c r="UT16" s="12">
        <v>546</v>
      </c>
      <c r="UU16" s="8">
        <v>77</v>
      </c>
      <c r="UV16" s="12">
        <v>33</v>
      </c>
      <c r="UZ16" s="8">
        <v>-885</v>
      </c>
      <c r="VA16" s="12">
        <v>207</v>
      </c>
      <c r="VB16" s="8">
        <v>-28</v>
      </c>
      <c r="VC16" s="12">
        <v>38</v>
      </c>
      <c r="VD16" s="8">
        <v>304</v>
      </c>
      <c r="VE16" s="12">
        <v>857</v>
      </c>
      <c r="VF16" s="8">
        <v>-868</v>
      </c>
      <c r="VG16" s="12">
        <v>243</v>
      </c>
      <c r="VH16" s="8">
        <v>353</v>
      </c>
      <c r="VI16" s="28">
        <v>40</v>
      </c>
      <c r="VJ16" s="8">
        <v>-682</v>
      </c>
      <c r="VK16" s="28">
        <v>301</v>
      </c>
      <c r="VL16" s="21"/>
      <c r="VM16" s="8">
        <v>-4372</v>
      </c>
      <c r="VQ16" s="8">
        <v>24</v>
      </c>
      <c r="VR16" s="28">
        <v>13</v>
      </c>
      <c r="VS16" s="8">
        <v>3316</v>
      </c>
      <c r="VT16" s="12">
        <v>4716</v>
      </c>
      <c r="VV16" s="8">
        <v>931</v>
      </c>
      <c r="VW16" s="28">
        <v>525</v>
      </c>
      <c r="VX16" s="8">
        <v>19</v>
      </c>
      <c r="VY16" s="12">
        <v>339</v>
      </c>
      <c r="VZ16" s="8">
        <v>-443</v>
      </c>
      <c r="WA16" s="28">
        <v>219</v>
      </c>
      <c r="WB16" s="8">
        <v>4316</v>
      </c>
      <c r="WC16" s="12">
        <v>625</v>
      </c>
      <c r="WD16" s="8">
        <v>2182</v>
      </c>
      <c r="WE16" s="28">
        <v>104</v>
      </c>
      <c r="WG16" s="8">
        <v>-1024</v>
      </c>
      <c r="WI16" s="8">
        <v>1382</v>
      </c>
      <c r="WL16">
        <v>67</v>
      </c>
      <c r="WM16" s="1">
        <v>28</v>
      </c>
      <c r="WN16">
        <v>33</v>
      </c>
      <c r="WO16" s="12">
        <v>296</v>
      </c>
      <c r="WP16" s="2">
        <v>-3038</v>
      </c>
      <c r="WQ16" s="10"/>
      <c r="WR16" s="10"/>
      <c r="WS16" s="2">
        <v>-119</v>
      </c>
      <c r="WT16" s="1">
        <v>75</v>
      </c>
      <c r="WU16" s="2">
        <v>39</v>
      </c>
      <c r="WV16" s="1">
        <v>5</v>
      </c>
      <c r="WX16">
        <v>2588</v>
      </c>
      <c r="WY16" s="10">
        <v>80</v>
      </c>
      <c r="XB16" s="23">
        <v>47</v>
      </c>
      <c r="XE16">
        <v>-72</v>
      </c>
      <c r="XF16" s="1">
        <v>171</v>
      </c>
      <c r="XG16" s="2">
        <v>2483</v>
      </c>
      <c r="XH16" s="10"/>
      <c r="XK16">
        <v>112</v>
      </c>
      <c r="XL16" s="1">
        <v>30</v>
      </c>
      <c r="XM16">
        <v>-9501</v>
      </c>
      <c r="XN16" s="1">
        <v>4812</v>
      </c>
      <c r="XO16">
        <v>141</v>
      </c>
      <c r="XP16" s="1">
        <v>49</v>
      </c>
    </row>
    <row r="17" spans="1:640" x14ac:dyDescent="0.25">
      <c r="C17" s="3">
        <v>106</v>
      </c>
      <c r="D17" s="4">
        <v>9</v>
      </c>
      <c r="E17">
        <v>-416</v>
      </c>
      <c r="F17" s="1">
        <v>681</v>
      </c>
      <c r="G17" s="2">
        <v>4</v>
      </c>
      <c r="I17" s="2">
        <v>6</v>
      </c>
      <c r="K17" s="2">
        <v>2571</v>
      </c>
      <c r="L17" s="1">
        <v>251</v>
      </c>
      <c r="M17">
        <v>304</v>
      </c>
      <c r="N17" s="1">
        <v>69</v>
      </c>
      <c r="O17" s="26"/>
      <c r="P17">
        <v>43</v>
      </c>
      <c r="Q17" s="1">
        <v>13</v>
      </c>
      <c r="R17">
        <v>-359</v>
      </c>
      <c r="S17" s="12">
        <v>2905</v>
      </c>
      <c r="T17">
        <v>9792</v>
      </c>
      <c r="U17" s="1">
        <v>86</v>
      </c>
      <c r="V17">
        <v>-12</v>
      </c>
      <c r="W17" s="10">
        <v>599</v>
      </c>
      <c r="X17">
        <v>79</v>
      </c>
      <c r="Z17">
        <v>21</v>
      </c>
      <c r="AA17" s="1">
        <v>4</v>
      </c>
      <c r="AB17">
        <v>-54</v>
      </c>
      <c r="AC17" s="1">
        <v>14</v>
      </c>
      <c r="AD17">
        <v>-64</v>
      </c>
      <c r="AE17" s="1">
        <v>26</v>
      </c>
      <c r="AF17">
        <v>877</v>
      </c>
      <c r="AG17" s="1">
        <v>385</v>
      </c>
      <c r="AJ17" s="2">
        <v>-2052</v>
      </c>
      <c r="AK17" s="10">
        <v>175</v>
      </c>
      <c r="AN17">
        <v>654</v>
      </c>
      <c r="AO17" s="1">
        <v>121</v>
      </c>
      <c r="AQ17">
        <v>173</v>
      </c>
      <c r="AR17" s="1">
        <v>80</v>
      </c>
      <c r="AV17" s="2">
        <v>-15</v>
      </c>
      <c r="AW17" s="1">
        <v>9</v>
      </c>
      <c r="AY17">
        <v>-7</v>
      </c>
      <c r="AZ17" s="1">
        <v>1</v>
      </c>
      <c r="BA17">
        <v>180</v>
      </c>
      <c r="BB17" s="1">
        <v>574</v>
      </c>
      <c r="BD17" s="8">
        <v>63</v>
      </c>
      <c r="BE17" s="1">
        <v>120</v>
      </c>
      <c r="BF17">
        <v>2359</v>
      </c>
      <c r="BG17" s="1">
        <v>1064</v>
      </c>
      <c r="BH17">
        <v>-4442</v>
      </c>
      <c r="BI17" s="1">
        <v>633</v>
      </c>
      <c r="BJ17">
        <v>-73</v>
      </c>
      <c r="BL17">
        <v>2720</v>
      </c>
      <c r="BM17" s="1">
        <v>56</v>
      </c>
      <c r="BN17">
        <v>1</v>
      </c>
      <c r="BP17">
        <v>-577</v>
      </c>
      <c r="BQ17" s="10">
        <v>6509</v>
      </c>
      <c r="BR17">
        <v>321</v>
      </c>
      <c r="BS17" s="1">
        <v>7059</v>
      </c>
      <c r="BT17">
        <v>-50</v>
      </c>
      <c r="BU17" s="1">
        <v>40</v>
      </c>
      <c r="BV17">
        <v>-75</v>
      </c>
      <c r="BW17" s="1">
        <v>18</v>
      </c>
      <c r="BX17">
        <v>4</v>
      </c>
      <c r="CA17" s="8">
        <v>-6</v>
      </c>
      <c r="CB17" s="28">
        <v>3</v>
      </c>
      <c r="CC17" s="8">
        <v>-197</v>
      </c>
      <c r="CD17" s="28">
        <v>557</v>
      </c>
      <c r="CE17" s="8">
        <v>-162</v>
      </c>
      <c r="CF17" s="28">
        <v>696</v>
      </c>
      <c r="CG17" s="8">
        <v>-124</v>
      </c>
      <c r="CI17" s="8">
        <v>-235</v>
      </c>
      <c r="CJ17" s="12">
        <v>61</v>
      </c>
      <c r="CK17" s="6">
        <v>-52</v>
      </c>
      <c r="CL17" s="28">
        <v>50</v>
      </c>
      <c r="CM17" s="8">
        <v>-143</v>
      </c>
      <c r="CN17" s="28">
        <v>871</v>
      </c>
      <c r="CO17" s="6">
        <v>-47</v>
      </c>
      <c r="CP17" s="28"/>
      <c r="CQ17" s="6">
        <v>724</v>
      </c>
      <c r="CR17" s="12">
        <v>158</v>
      </c>
      <c r="CS17" s="6">
        <v>429</v>
      </c>
      <c r="CT17" s="28">
        <v>556</v>
      </c>
      <c r="CU17" s="6">
        <v>-1</v>
      </c>
      <c r="CV17" s="28"/>
      <c r="CW17" s="6">
        <v>-16</v>
      </c>
      <c r="CX17" s="28">
        <v>5</v>
      </c>
      <c r="CZ17" s="23">
        <v>288</v>
      </c>
      <c r="DA17" s="25">
        <v>282</v>
      </c>
      <c r="DB17" s="23">
        <v>45</v>
      </c>
      <c r="DC17" s="25">
        <v>3</v>
      </c>
      <c r="DD17" s="23">
        <v>-4</v>
      </c>
      <c r="DE17" s="25">
        <v>53</v>
      </c>
      <c r="DF17" s="86">
        <v>101</v>
      </c>
      <c r="DG17" s="25">
        <v>362</v>
      </c>
      <c r="DH17" s="23">
        <v>-521</v>
      </c>
      <c r="DI17" s="25">
        <v>299</v>
      </c>
      <c r="DJ17" s="23">
        <v>89</v>
      </c>
      <c r="DK17" s="28">
        <v>215</v>
      </c>
      <c r="DL17" s="8">
        <v>647</v>
      </c>
      <c r="DN17" s="8">
        <v>188</v>
      </c>
      <c r="DQ17" s="8">
        <v>-811</v>
      </c>
      <c r="DR17" s="52">
        <v>797</v>
      </c>
      <c r="DS17" s="6">
        <v>995</v>
      </c>
      <c r="DT17" s="52">
        <v>277</v>
      </c>
      <c r="DU17" s="8">
        <v>-475</v>
      </c>
      <c r="DV17" s="28">
        <v>102</v>
      </c>
      <c r="DW17" s="8">
        <v>-16</v>
      </c>
      <c r="DX17" s="28">
        <v>1</v>
      </c>
      <c r="DY17" s="6">
        <v>121</v>
      </c>
      <c r="DZ17" s="52">
        <v>465</v>
      </c>
      <c r="EA17" s="23">
        <v>-215</v>
      </c>
      <c r="EB17" s="52">
        <v>172</v>
      </c>
      <c r="EC17" s="6">
        <v>-1</v>
      </c>
      <c r="ED17" s="28">
        <v>5</v>
      </c>
      <c r="EE17" s="8">
        <v>47</v>
      </c>
      <c r="EF17" s="52">
        <v>242</v>
      </c>
      <c r="EG17" s="8">
        <v>558</v>
      </c>
      <c r="EH17" s="28">
        <v>319</v>
      </c>
      <c r="EI17" s="8">
        <v>4</v>
      </c>
      <c r="EJ17" s="52">
        <v>167</v>
      </c>
      <c r="EL17" s="8">
        <v>-506</v>
      </c>
      <c r="EM17" s="28">
        <v>938</v>
      </c>
      <c r="EN17" s="8">
        <v>125</v>
      </c>
      <c r="EO17" s="28">
        <v>18</v>
      </c>
      <c r="EP17" s="8">
        <v>-232</v>
      </c>
      <c r="EQ17" s="52">
        <v>104</v>
      </c>
      <c r="ER17" s="8">
        <v>107</v>
      </c>
      <c r="ES17" s="52">
        <v>402</v>
      </c>
      <c r="EU17" s="52"/>
      <c r="EV17" s="8">
        <v>-115</v>
      </c>
      <c r="EX17" s="8">
        <v>177</v>
      </c>
      <c r="EY17" s="28">
        <v>126</v>
      </c>
      <c r="EZ17" s="8">
        <v>-134</v>
      </c>
      <c r="FA17" s="52">
        <v>207</v>
      </c>
      <c r="FB17" s="8">
        <v>-222</v>
      </c>
      <c r="FC17" s="52">
        <v>260</v>
      </c>
      <c r="FD17" s="6">
        <v>329</v>
      </c>
      <c r="FE17" s="28">
        <v>480</v>
      </c>
      <c r="FF17" s="8">
        <v>995</v>
      </c>
      <c r="FG17" s="28">
        <v>28</v>
      </c>
      <c r="FH17" s="8">
        <v>146</v>
      </c>
      <c r="FI17" s="28">
        <v>111</v>
      </c>
      <c r="FK17" s="52"/>
      <c r="FM17" s="8">
        <f>17</f>
        <v>17</v>
      </c>
      <c r="FN17" s="52">
        <v>5</v>
      </c>
      <c r="FO17" s="8">
        <v>128</v>
      </c>
      <c r="FP17" s="28">
        <v>877</v>
      </c>
      <c r="FQ17" s="8">
        <v>21</v>
      </c>
      <c r="FR17" s="28">
        <v>2</v>
      </c>
      <c r="FS17" s="8">
        <v>508</v>
      </c>
      <c r="FU17" s="28">
        <v>126</v>
      </c>
      <c r="FV17" s="8">
        <v>51</v>
      </c>
      <c r="FW17" s="28">
        <v>71</v>
      </c>
      <c r="FY17" s="28"/>
      <c r="GA17" s="8">
        <v>238</v>
      </c>
      <c r="GB17" s="52">
        <v>853</v>
      </c>
      <c r="GC17" s="8">
        <v>-881</v>
      </c>
      <c r="GE17" s="8">
        <v>-364</v>
      </c>
      <c r="GF17" s="28">
        <v>179</v>
      </c>
      <c r="GG17" s="8">
        <v>560</v>
      </c>
      <c r="GH17" s="28">
        <v>55</v>
      </c>
      <c r="GI17" s="8">
        <v>-51</v>
      </c>
      <c r="GJ17" s="28">
        <v>58</v>
      </c>
      <c r="GK17" s="8">
        <v>-40</v>
      </c>
      <c r="GL17" s="28">
        <v>944</v>
      </c>
      <c r="GN17" s="8">
        <v>-251</v>
      </c>
      <c r="GO17" s="28">
        <v>304</v>
      </c>
      <c r="GP17" s="8">
        <v>-6</v>
      </c>
      <c r="GQ17" s="52">
        <v>99</v>
      </c>
      <c r="GR17" s="8">
        <v>368</v>
      </c>
      <c r="GS17" s="28">
        <v>179</v>
      </c>
      <c r="GT17" s="6">
        <v>8</v>
      </c>
      <c r="GU17" s="52">
        <v>16</v>
      </c>
      <c r="GV17" s="6">
        <v>224</v>
      </c>
      <c r="GW17" s="28">
        <v>173</v>
      </c>
      <c r="GX17" s="8">
        <v>828</v>
      </c>
      <c r="GY17" s="52">
        <v>656</v>
      </c>
      <c r="GZ17" s="8">
        <v>393</v>
      </c>
      <c r="HA17" s="28">
        <v>14</v>
      </c>
      <c r="HB17" s="6">
        <v>-96</v>
      </c>
      <c r="HC17" s="28"/>
      <c r="HE17" s="8">
        <v>209</v>
      </c>
      <c r="HF17" s="28">
        <v>211</v>
      </c>
      <c r="HG17" s="8">
        <v>-122</v>
      </c>
      <c r="HI17" s="8">
        <v>209</v>
      </c>
      <c r="HJ17" s="28">
        <v>353</v>
      </c>
      <c r="HL17" s="52"/>
      <c r="HM17" s="8">
        <v>139</v>
      </c>
      <c r="HO17" s="8">
        <v>456</v>
      </c>
      <c r="HP17" s="28">
        <v>918</v>
      </c>
      <c r="HQ17" s="6">
        <v>15</v>
      </c>
      <c r="HR17" s="28">
        <v>8</v>
      </c>
      <c r="HS17" s="8">
        <v>8</v>
      </c>
      <c r="HT17" s="52">
        <v>114</v>
      </c>
      <c r="HV17" s="8">
        <v>663</v>
      </c>
      <c r="HW17" s="28">
        <v>194</v>
      </c>
      <c r="HX17" s="8">
        <v>-136</v>
      </c>
      <c r="HY17" s="28">
        <v>40</v>
      </c>
      <c r="HZ17" s="8">
        <v>8</v>
      </c>
      <c r="IB17" s="8">
        <v>688</v>
      </c>
      <c r="IC17" s="28">
        <v>143</v>
      </c>
      <c r="ID17" s="8">
        <v>-65</v>
      </c>
      <c r="IE17" s="28">
        <v>596</v>
      </c>
      <c r="IF17" s="8">
        <v>-31</v>
      </c>
      <c r="IG17" s="28">
        <v>274</v>
      </c>
      <c r="IH17" s="8">
        <v>12</v>
      </c>
      <c r="II17" s="28">
        <v>115</v>
      </c>
      <c r="IM17" s="8">
        <v>454</v>
      </c>
      <c r="IO17">
        <v>84</v>
      </c>
      <c r="IP17" s="10">
        <v>8</v>
      </c>
      <c r="IQ17" s="8">
        <v>49</v>
      </c>
      <c r="IR17" s="28">
        <v>17</v>
      </c>
      <c r="IS17" s="6">
        <v>-2</v>
      </c>
      <c r="IT17" s="28">
        <v>35</v>
      </c>
      <c r="IU17" s="8">
        <v>447</v>
      </c>
      <c r="IV17" s="28">
        <v>819</v>
      </c>
      <c r="IW17" s="8">
        <v>909</v>
      </c>
      <c r="IY17" s="8">
        <v>-171</v>
      </c>
      <c r="JA17" s="8">
        <v>-27</v>
      </c>
      <c r="JB17" s="12">
        <v>348</v>
      </c>
      <c r="JD17" s="8">
        <v>-929</v>
      </c>
      <c r="JE17" s="28">
        <v>310</v>
      </c>
      <c r="JG17" s="28"/>
      <c r="JH17" s="8">
        <v>255</v>
      </c>
      <c r="JI17" s="28">
        <v>84</v>
      </c>
      <c r="JJ17" s="8">
        <v>291</v>
      </c>
      <c r="JK17" s="28">
        <v>65</v>
      </c>
      <c r="JL17" s="8">
        <v>-606</v>
      </c>
      <c r="JM17" s="12">
        <v>62</v>
      </c>
      <c r="JN17" s="8">
        <v>-1</v>
      </c>
      <c r="JO17" s="28">
        <v>4</v>
      </c>
      <c r="JP17" s="6">
        <v>12</v>
      </c>
      <c r="JQ17" s="12">
        <v>348</v>
      </c>
      <c r="JR17" s="8">
        <v>127</v>
      </c>
      <c r="JS17" s="12">
        <v>154</v>
      </c>
      <c r="JT17" s="6">
        <v>290</v>
      </c>
      <c r="JU17" s="12">
        <v>590</v>
      </c>
      <c r="JW17" s="8">
        <v>353</v>
      </c>
      <c r="JX17" s="12">
        <v>550</v>
      </c>
      <c r="JZ17" s="28"/>
      <c r="KA17" s="8">
        <v>1</v>
      </c>
      <c r="KB17" s="28">
        <v>19</v>
      </c>
      <c r="KD17" s="28"/>
      <c r="KE17" s="6">
        <v>-106</v>
      </c>
      <c r="KF17" s="12">
        <v>117</v>
      </c>
      <c r="KI17" s="8">
        <v>427</v>
      </c>
      <c r="KJ17" s="28">
        <v>2</v>
      </c>
      <c r="KL17" s="28"/>
      <c r="KM17" s="6"/>
      <c r="KN17" s="28"/>
      <c r="KQ17" s="8">
        <v>109</v>
      </c>
      <c r="KR17" s="28">
        <v>46</v>
      </c>
      <c r="KT17" s="8">
        <v>16</v>
      </c>
      <c r="KU17" s="28">
        <v>11</v>
      </c>
      <c r="KV17" s="8">
        <v>-208</v>
      </c>
      <c r="KX17" s="8">
        <v>1</v>
      </c>
      <c r="KY17" s="12">
        <v>25</v>
      </c>
      <c r="KZ17" s="8">
        <v>-408</v>
      </c>
      <c r="LA17" s="12">
        <v>177</v>
      </c>
      <c r="LD17" s="8">
        <v>838</v>
      </c>
      <c r="LE17" s="28">
        <v>427</v>
      </c>
      <c r="LF17" s="8">
        <v>-374</v>
      </c>
      <c r="LG17" s="28">
        <v>30</v>
      </c>
      <c r="LH17" s="6">
        <v>-609</v>
      </c>
      <c r="LJ17" s="8">
        <v>171</v>
      </c>
      <c r="LK17" s="28">
        <v>119</v>
      </c>
      <c r="LL17" s="8">
        <v>19</v>
      </c>
      <c r="LM17" s="28">
        <v>11</v>
      </c>
      <c r="LN17" s="8">
        <v>-180</v>
      </c>
      <c r="LO17" s="28">
        <v>413</v>
      </c>
      <c r="LS17" s="8">
        <v>130</v>
      </c>
      <c r="LU17" s="8">
        <v>491</v>
      </c>
      <c r="LV17" s="12">
        <v>115</v>
      </c>
      <c r="LW17" s="8">
        <v>116</v>
      </c>
      <c r="LX17" s="28">
        <v>186</v>
      </c>
      <c r="LZ17" s="8">
        <v>622</v>
      </c>
      <c r="MB17" s="8">
        <v>-93</v>
      </c>
      <c r="MC17" s="28">
        <v>105</v>
      </c>
      <c r="MF17" s="8">
        <v>256</v>
      </c>
      <c r="MG17" s="12">
        <v>872</v>
      </c>
      <c r="MH17" s="8">
        <v>4</v>
      </c>
      <c r="MJ17" s="8">
        <v>-23</v>
      </c>
      <c r="MK17" s="12">
        <v>774</v>
      </c>
      <c r="MN17" s="8">
        <v>484</v>
      </c>
      <c r="MO17" s="28">
        <v>62</v>
      </c>
      <c r="MS17" s="8">
        <v>-74</v>
      </c>
      <c r="MT17" s="12">
        <v>311</v>
      </c>
      <c r="MU17" s="8">
        <v>4</v>
      </c>
      <c r="MV17" s="28">
        <v>5</v>
      </c>
      <c r="MZ17" s="8">
        <v>-717</v>
      </c>
      <c r="NA17" s="12">
        <v>24</v>
      </c>
      <c r="NC17" s="8">
        <v>168</v>
      </c>
      <c r="ND17" s="12">
        <v>127</v>
      </c>
      <c r="NE17" s="8">
        <v>268</v>
      </c>
      <c r="NF17" s="28">
        <v>390</v>
      </c>
      <c r="NG17" s="8">
        <v>185</v>
      </c>
      <c r="NH17" s="28">
        <v>24</v>
      </c>
      <c r="NI17" s="8">
        <v>129</v>
      </c>
      <c r="NJ17" s="28">
        <v>3</v>
      </c>
      <c r="NL17" s="8">
        <v>350</v>
      </c>
      <c r="NM17" s="28">
        <v>68</v>
      </c>
      <c r="NN17" s="8">
        <v>155</v>
      </c>
      <c r="NO17" s="28">
        <v>378</v>
      </c>
      <c r="NP17" s="8">
        <v>251</v>
      </c>
      <c r="NQ17" s="12">
        <v>703</v>
      </c>
      <c r="NR17" s="8">
        <v>616</v>
      </c>
      <c r="NS17" s="12">
        <v>27</v>
      </c>
      <c r="NU17" s="8">
        <v>-336</v>
      </c>
      <c r="NV17" s="12">
        <v>162</v>
      </c>
      <c r="NW17" s="8">
        <v>2</v>
      </c>
      <c r="NX17" s="28">
        <v>238</v>
      </c>
      <c r="NY17" s="8">
        <v>105</v>
      </c>
      <c r="NZ17" s="12">
        <v>128</v>
      </c>
      <c r="OA17" s="8">
        <v>-731</v>
      </c>
      <c r="OB17" s="28">
        <v>476</v>
      </c>
      <c r="OC17" s="8">
        <v>-166</v>
      </c>
      <c r="OD17" s="12">
        <v>532</v>
      </c>
      <c r="OE17" s="8">
        <v>-668</v>
      </c>
      <c r="OF17" s="12">
        <v>102</v>
      </c>
      <c r="OG17" s="28"/>
      <c r="OH17" s="8">
        <v>-27</v>
      </c>
      <c r="OI17" s="28">
        <v>16</v>
      </c>
      <c r="OK17" s="8">
        <v>-109</v>
      </c>
      <c r="OL17" s="28">
        <v>14</v>
      </c>
      <c r="OM17" s="8">
        <v>-340</v>
      </c>
      <c r="ON17" s="28">
        <v>201</v>
      </c>
      <c r="OO17" s="8">
        <v>52</v>
      </c>
      <c r="OP17" s="28">
        <v>68</v>
      </c>
      <c r="OQ17" s="8">
        <v>-32</v>
      </c>
      <c r="OR17" s="12">
        <v>-183</v>
      </c>
      <c r="OS17" s="8">
        <v>694</v>
      </c>
      <c r="OT17" s="28">
        <v>638</v>
      </c>
      <c r="OU17" s="12">
        <v>108</v>
      </c>
      <c r="OV17" s="8">
        <v>109</v>
      </c>
      <c r="OZ17" s="12"/>
      <c r="PA17" s="8">
        <v>-208</v>
      </c>
      <c r="PC17" s="8">
        <v>967</v>
      </c>
      <c r="PD17" s="28">
        <v>94</v>
      </c>
      <c r="PE17" s="8">
        <v>340</v>
      </c>
      <c r="PF17" s="12">
        <v>272</v>
      </c>
      <c r="PG17" s="8">
        <v>647</v>
      </c>
      <c r="PH17" s="12">
        <v>255</v>
      </c>
      <c r="PJ17" s="8">
        <v>17</v>
      </c>
      <c r="PK17" s="12">
        <v>380</v>
      </c>
      <c r="PL17" s="8">
        <v>692</v>
      </c>
      <c r="PM17" s="28">
        <v>79</v>
      </c>
      <c r="PP17" s="8">
        <v>781</v>
      </c>
      <c r="PQ17" s="28">
        <v>11</v>
      </c>
      <c r="PR17" s="28"/>
      <c r="PS17" s="8">
        <v>-159</v>
      </c>
      <c r="PT17" s="12">
        <v>518</v>
      </c>
      <c r="PW17" s="8">
        <v>-12</v>
      </c>
      <c r="PX17" s="28">
        <v>7</v>
      </c>
      <c r="PY17" s="8">
        <v>-1</v>
      </c>
      <c r="PZ17" s="12">
        <v>85</v>
      </c>
      <c r="QC17" s="8">
        <v>-398</v>
      </c>
      <c r="QD17" s="12">
        <v>530</v>
      </c>
      <c r="QE17" s="8">
        <v>-302</v>
      </c>
      <c r="QF17" s="12">
        <v>192</v>
      </c>
      <c r="QH17" s="8">
        <v>467</v>
      </c>
      <c r="QI17" s="12">
        <v>173</v>
      </c>
      <c r="QJ17" s="8">
        <v>16</v>
      </c>
      <c r="QL17" s="8">
        <v>-5</v>
      </c>
      <c r="QM17" s="12">
        <v>109</v>
      </c>
      <c r="QN17" s="12"/>
      <c r="QO17" s="12"/>
      <c r="QQ17" s="8">
        <v>-177</v>
      </c>
      <c r="QR17" s="12">
        <f t="shared" si="0"/>
        <v>25.88435821108957</v>
      </c>
      <c r="QS17" s="8">
        <v>670</v>
      </c>
      <c r="QT17" s="8">
        <v>475</v>
      </c>
      <c r="QU17" s="12">
        <v>128</v>
      </c>
      <c r="QV17" s="6">
        <v>125</v>
      </c>
      <c r="QW17" s="12">
        <v>813</v>
      </c>
      <c r="QY17" s="8">
        <v>-38</v>
      </c>
      <c r="QZ17" s="12">
        <v>85</v>
      </c>
      <c r="RA17" s="8">
        <v>-47</v>
      </c>
      <c r="RB17" s="12">
        <v>442</v>
      </c>
      <c r="RC17" s="6">
        <v>3</v>
      </c>
      <c r="RD17" s="12">
        <v>161</v>
      </c>
      <c r="RE17" s="6">
        <v>119</v>
      </c>
      <c r="RF17" s="12">
        <v>117</v>
      </c>
      <c r="RG17" s="8">
        <v>320</v>
      </c>
      <c r="RH17" s="28">
        <v>111</v>
      </c>
      <c r="RJ17" s="8">
        <v>-37</v>
      </c>
      <c r="RK17" s="12">
        <v>389</v>
      </c>
      <c r="RL17" s="8">
        <v>-1</v>
      </c>
      <c r="RM17" s="12">
        <v>268</v>
      </c>
      <c r="RQ17" s="9">
        <v>3</v>
      </c>
      <c r="RR17" s="49" t="s">
        <v>174</v>
      </c>
      <c r="RS17" s="54" t="s">
        <v>201</v>
      </c>
      <c r="RT17" s="49" t="s">
        <v>194</v>
      </c>
      <c r="RV17" s="8">
        <v>499</v>
      </c>
      <c r="RW17" s="52">
        <v>203</v>
      </c>
      <c r="RY17" s="48" t="s">
        <v>145</v>
      </c>
      <c r="RZ17" s="49" t="s">
        <v>146</v>
      </c>
      <c r="SA17" s="8">
        <v>-19</v>
      </c>
      <c r="SB17" s="28">
        <v>1</v>
      </c>
      <c r="SD17" s="8">
        <v>58</v>
      </c>
      <c r="SE17" s="12">
        <v>502</v>
      </c>
      <c r="SF17" s="8">
        <v>620</v>
      </c>
      <c r="SG17" s="12">
        <v>447</v>
      </c>
      <c r="SK17" s="8">
        <v>155</v>
      </c>
      <c r="SL17" s="12">
        <v>59</v>
      </c>
      <c r="SP17" s="8">
        <v>106</v>
      </c>
      <c r="SQ17" s="12">
        <v>225</v>
      </c>
      <c r="SU17" s="8">
        <v>56</v>
      </c>
      <c r="SV17" s="28">
        <v>191</v>
      </c>
      <c r="SW17" s="8">
        <v>140</v>
      </c>
      <c r="SX17" s="28">
        <v>259</v>
      </c>
      <c r="SY17" s="6">
        <v>7</v>
      </c>
      <c r="SZ17" s="28">
        <v>16</v>
      </c>
      <c r="TA17" s="6">
        <v>61</v>
      </c>
      <c r="TB17" s="12">
        <v>94</v>
      </c>
      <c r="TC17" s="8">
        <v>127</v>
      </c>
      <c r="TD17" s="28">
        <v>481</v>
      </c>
      <c r="TH17" s="8">
        <v>-459</v>
      </c>
      <c r="TI17" s="28">
        <v>56</v>
      </c>
      <c r="TM17" s="8">
        <v>11</v>
      </c>
      <c r="TN17" s="28">
        <v>5</v>
      </c>
      <c r="TP17" s="28"/>
      <c r="TQ17" s="8">
        <v>-26</v>
      </c>
      <c r="TR17" s="28">
        <v>12</v>
      </c>
      <c r="TX17" s="8">
        <v>384</v>
      </c>
      <c r="TY17" s="28">
        <v>183</v>
      </c>
      <c r="TZ17" s="8">
        <v>171</v>
      </c>
      <c r="UA17" s="12">
        <v>600</v>
      </c>
      <c r="UB17" s="8">
        <v>108</v>
      </c>
      <c r="UC17" s="12">
        <v>231</v>
      </c>
      <c r="UE17" s="8">
        <v>239</v>
      </c>
      <c r="UF17" s="12">
        <v>627</v>
      </c>
      <c r="UG17" s="8">
        <v>188</v>
      </c>
      <c r="UH17" s="12">
        <v>116</v>
      </c>
      <c r="UI17" s="8">
        <v>-311</v>
      </c>
      <c r="UJ17" s="12">
        <v>270</v>
      </c>
      <c r="UL17" s="8">
        <v>919</v>
      </c>
      <c r="UM17" s="28">
        <v>3</v>
      </c>
      <c r="UN17" s="8">
        <v>753</v>
      </c>
      <c r="UO17" s="12">
        <v>225</v>
      </c>
      <c r="US17" s="8">
        <v>-263</v>
      </c>
      <c r="UT17" s="12">
        <v>173</v>
      </c>
      <c r="UU17" s="8">
        <v>155</v>
      </c>
      <c r="UV17" s="12">
        <v>39</v>
      </c>
      <c r="UZ17" s="8">
        <v>-907</v>
      </c>
      <c r="VA17" s="12">
        <v>525</v>
      </c>
      <c r="VB17" s="8">
        <v>-24</v>
      </c>
      <c r="VC17" s="12">
        <v>33</v>
      </c>
      <c r="VD17" s="8">
        <v>7</v>
      </c>
      <c r="VE17" s="12">
        <v>228</v>
      </c>
      <c r="VF17" s="8">
        <v>-440</v>
      </c>
      <c r="VG17" s="12">
        <v>541</v>
      </c>
      <c r="VH17" s="8">
        <v>142</v>
      </c>
      <c r="VI17" s="28">
        <v>120</v>
      </c>
      <c r="VJ17" s="8">
        <v>232</v>
      </c>
      <c r="VK17" s="28">
        <v>196</v>
      </c>
      <c r="VL17" s="21"/>
      <c r="VM17" s="8">
        <v>-6891</v>
      </c>
      <c r="VQ17" s="8">
        <v>34</v>
      </c>
      <c r="VR17" s="28">
        <v>18</v>
      </c>
      <c r="VS17" s="8">
        <v>2904</v>
      </c>
      <c r="VT17" s="12">
        <v>3964</v>
      </c>
      <c r="VV17" s="8">
        <v>933</v>
      </c>
      <c r="VW17" s="28">
        <v>353</v>
      </c>
      <c r="VX17" s="8">
        <v>19</v>
      </c>
      <c r="VY17" s="12">
        <v>348</v>
      </c>
      <c r="VZ17" s="8">
        <v>-437</v>
      </c>
      <c r="WA17" s="28">
        <v>149</v>
      </c>
      <c r="WB17" s="8">
        <v>4456</v>
      </c>
      <c r="WC17" s="12">
        <v>632</v>
      </c>
      <c r="WD17" s="8">
        <v>105</v>
      </c>
      <c r="WE17" s="28">
        <v>27</v>
      </c>
      <c r="WG17" s="8">
        <v>868</v>
      </c>
      <c r="WH17" s="28">
        <v>110</v>
      </c>
      <c r="WI17" s="8">
        <v>3110</v>
      </c>
      <c r="WL17">
        <v>-383</v>
      </c>
      <c r="WM17" s="1">
        <v>258</v>
      </c>
      <c r="WN17">
        <v>20</v>
      </c>
      <c r="WO17" s="12">
        <v>49</v>
      </c>
      <c r="WP17" s="2">
        <v>-3076</v>
      </c>
      <c r="WQ17" s="10"/>
      <c r="WR17" s="10"/>
      <c r="WS17" s="2">
        <v>26</v>
      </c>
      <c r="WT17" s="1">
        <v>3</v>
      </c>
      <c r="WU17" s="10"/>
      <c r="WV17" s="10"/>
      <c r="WX17">
        <v>-1285</v>
      </c>
      <c r="WY17" s="10">
        <v>24.53</v>
      </c>
      <c r="XB17" s="23">
        <v>10</v>
      </c>
      <c r="XE17">
        <v>418</v>
      </c>
      <c r="XF17" s="1">
        <v>106</v>
      </c>
      <c r="XG17" s="2">
        <v>271</v>
      </c>
      <c r="XH17" s="10"/>
      <c r="XK17">
        <v>107</v>
      </c>
      <c r="XL17" s="1">
        <v>23</v>
      </c>
      <c r="XM17">
        <v>292</v>
      </c>
      <c r="XN17" s="1">
        <v>31</v>
      </c>
      <c r="XO17">
        <v>-179</v>
      </c>
      <c r="XP17" s="1">
        <v>78</v>
      </c>
    </row>
    <row r="18" spans="1:640" x14ac:dyDescent="0.25">
      <c r="C18" s="3">
        <v>-11</v>
      </c>
      <c r="D18" s="4">
        <v>8</v>
      </c>
      <c r="E18">
        <v>-199</v>
      </c>
      <c r="F18" s="1">
        <v>841</v>
      </c>
      <c r="G18" s="2">
        <v>6</v>
      </c>
      <c r="I18" s="2">
        <v>7</v>
      </c>
      <c r="K18" s="2">
        <v>2804</v>
      </c>
      <c r="L18" s="1">
        <v>302</v>
      </c>
      <c r="M18">
        <v>611</v>
      </c>
      <c r="N18" s="1">
        <v>107</v>
      </c>
      <c r="O18" s="26"/>
      <c r="P18">
        <v>248</v>
      </c>
      <c r="Q18" s="1">
        <v>57</v>
      </c>
      <c r="R18">
        <v>-319</v>
      </c>
      <c r="S18" s="12">
        <v>3445</v>
      </c>
      <c r="T18">
        <v>-2562</v>
      </c>
      <c r="U18" s="1">
        <v>703</v>
      </c>
      <c r="V18">
        <v>-6</v>
      </c>
      <c r="W18" s="10">
        <v>688</v>
      </c>
      <c r="X18">
        <v>31</v>
      </c>
      <c r="Z18">
        <v>-18</v>
      </c>
      <c r="AA18" s="1">
        <v>1</v>
      </c>
      <c r="AB18">
        <v>-3</v>
      </c>
      <c r="AC18" s="1">
        <v>26</v>
      </c>
      <c r="AD18">
        <v>-55</v>
      </c>
      <c r="AE18" s="1">
        <v>23</v>
      </c>
      <c r="AF18">
        <v>887</v>
      </c>
      <c r="AG18" s="1">
        <v>355</v>
      </c>
      <c r="AJ18" s="2">
        <v>1</v>
      </c>
      <c r="AK18" s="10">
        <v>324</v>
      </c>
      <c r="AN18">
        <v>781</v>
      </c>
      <c r="AO18" s="1">
        <v>114</v>
      </c>
      <c r="AQ18">
        <v>133</v>
      </c>
      <c r="AR18" s="1">
        <v>76</v>
      </c>
      <c r="AV18" s="2">
        <v>374</v>
      </c>
      <c r="AW18" s="1">
        <v>48</v>
      </c>
      <c r="AY18">
        <v>-22</v>
      </c>
      <c r="AZ18" s="1">
        <v>6</v>
      </c>
      <c r="BA18">
        <v>620</v>
      </c>
      <c r="BB18" s="1">
        <v>684</v>
      </c>
      <c r="BD18" s="8">
        <v>44</v>
      </c>
      <c r="BE18" s="1">
        <v>216</v>
      </c>
      <c r="BF18">
        <v>-205</v>
      </c>
      <c r="BG18" s="1">
        <v>559</v>
      </c>
      <c r="BH18">
        <v>-8920</v>
      </c>
      <c r="BI18" s="1">
        <v>3171</v>
      </c>
      <c r="BJ18">
        <v>-146</v>
      </c>
      <c r="BL18">
        <v>-40</v>
      </c>
      <c r="BM18" s="1">
        <v>6</v>
      </c>
      <c r="BN18">
        <v>-6</v>
      </c>
      <c r="BP18">
        <v>-952</v>
      </c>
      <c r="BQ18" s="10">
        <v>1464</v>
      </c>
      <c r="BR18">
        <v>266</v>
      </c>
      <c r="BS18" s="1">
        <v>3446</v>
      </c>
      <c r="BT18">
        <v>473</v>
      </c>
      <c r="BU18" s="1">
        <v>107</v>
      </c>
      <c r="BV18">
        <v>-62</v>
      </c>
      <c r="BW18" s="1">
        <v>19</v>
      </c>
      <c r="BX18">
        <v>-41</v>
      </c>
      <c r="CA18" s="8">
        <v>740</v>
      </c>
      <c r="CB18" s="28">
        <v>27</v>
      </c>
      <c r="CC18" s="8">
        <v>-83</v>
      </c>
      <c r="CD18" s="28">
        <v>467</v>
      </c>
      <c r="CE18" s="8">
        <v>161</v>
      </c>
      <c r="CF18" s="28">
        <v>6</v>
      </c>
      <c r="CG18" s="8">
        <v>-42</v>
      </c>
      <c r="CI18" s="8">
        <v>682</v>
      </c>
      <c r="CJ18" s="12">
        <v>132</v>
      </c>
      <c r="CK18" s="6">
        <v>56</v>
      </c>
      <c r="CL18" s="28">
        <v>29</v>
      </c>
      <c r="CM18" s="8">
        <v>164</v>
      </c>
      <c r="CN18" s="28">
        <v>356</v>
      </c>
      <c r="CO18" s="6">
        <v>-23</v>
      </c>
      <c r="CP18" s="28"/>
      <c r="CQ18" s="6">
        <v>717</v>
      </c>
      <c r="CR18" s="12">
        <v>157</v>
      </c>
      <c r="CS18" s="6">
        <v>189</v>
      </c>
      <c r="CT18" s="28">
        <v>993</v>
      </c>
      <c r="CU18" s="6">
        <v>-14</v>
      </c>
      <c r="CV18" s="28"/>
      <c r="CW18" s="6">
        <v>34</v>
      </c>
      <c r="CX18" s="28">
        <v>14</v>
      </c>
      <c r="CZ18" s="23">
        <v>263</v>
      </c>
      <c r="DA18" s="25">
        <v>100</v>
      </c>
      <c r="DB18" s="23">
        <v>-108</v>
      </c>
      <c r="DC18" s="25">
        <v>2</v>
      </c>
      <c r="DD18" s="23">
        <v>-30</v>
      </c>
      <c r="DE18" s="25">
        <v>33</v>
      </c>
      <c r="DF18" s="86">
        <v>114</v>
      </c>
      <c r="DG18" s="25">
        <v>831</v>
      </c>
      <c r="DH18" s="23">
        <v>-410</v>
      </c>
      <c r="DI18" s="25">
        <v>310</v>
      </c>
      <c r="DJ18" s="23">
        <v>-132</v>
      </c>
      <c r="DK18" s="28">
        <v>201</v>
      </c>
      <c r="DL18" s="8">
        <v>766</v>
      </c>
      <c r="DN18" s="8">
        <v>750</v>
      </c>
      <c r="DQ18" s="8">
        <v>-143</v>
      </c>
      <c r="DR18" s="52">
        <v>188</v>
      </c>
      <c r="DS18" s="6">
        <v>427</v>
      </c>
      <c r="DT18" s="52">
        <v>137</v>
      </c>
      <c r="DU18" s="8">
        <v>136</v>
      </c>
      <c r="DV18" s="28">
        <v>123</v>
      </c>
      <c r="DW18" s="8">
        <v>280</v>
      </c>
      <c r="DX18" s="28">
        <v>351</v>
      </c>
      <c r="DY18" s="6">
        <v>-945</v>
      </c>
      <c r="DZ18" s="52">
        <v>450</v>
      </c>
      <c r="EA18" s="23">
        <v>541</v>
      </c>
      <c r="EB18" s="52">
        <v>473</v>
      </c>
      <c r="EC18" s="6">
        <v>-1</v>
      </c>
      <c r="ED18" s="28">
        <v>5</v>
      </c>
      <c r="EE18" s="8">
        <v>-297</v>
      </c>
      <c r="EF18" s="52">
        <v>499</v>
      </c>
      <c r="EG18" s="8">
        <v>823</v>
      </c>
      <c r="EH18" s="28">
        <v>348</v>
      </c>
      <c r="EI18" s="8">
        <v>-23</v>
      </c>
      <c r="EJ18" s="52">
        <v>422</v>
      </c>
      <c r="EL18" s="8">
        <v>-269</v>
      </c>
      <c r="EM18" s="28">
        <v>861</v>
      </c>
      <c r="EN18" s="8">
        <v>100</v>
      </c>
      <c r="EO18" s="28">
        <v>10</v>
      </c>
      <c r="EP18" s="8">
        <v>374</v>
      </c>
      <c r="EQ18" s="52">
        <v>202</v>
      </c>
      <c r="ER18" s="8">
        <v>30</v>
      </c>
      <c r="ES18" s="52">
        <v>22</v>
      </c>
      <c r="EU18" s="52"/>
      <c r="EV18" s="8">
        <v>100</v>
      </c>
      <c r="EX18" s="8">
        <v>524</v>
      </c>
      <c r="EY18" s="28">
        <v>452</v>
      </c>
      <c r="EZ18" s="8">
        <v>-127</v>
      </c>
      <c r="FA18" s="52">
        <v>187</v>
      </c>
      <c r="FB18" s="8">
        <v>-115</v>
      </c>
      <c r="FC18" s="52">
        <v>176</v>
      </c>
      <c r="FD18" s="6">
        <v>572</v>
      </c>
      <c r="FE18" s="28">
        <v>691</v>
      </c>
      <c r="FF18" s="8">
        <v>639</v>
      </c>
      <c r="FG18" s="28">
        <v>109</v>
      </c>
      <c r="FH18" s="8">
        <v>-110</v>
      </c>
      <c r="FI18" s="28">
        <v>190</v>
      </c>
      <c r="FK18" s="52"/>
      <c r="FM18" s="8">
        <v>224</v>
      </c>
      <c r="FN18" s="52">
        <v>184</v>
      </c>
      <c r="FO18" s="8">
        <v>-272</v>
      </c>
      <c r="FP18" s="28">
        <v>713</v>
      </c>
      <c r="FQ18" s="8">
        <v>-3</v>
      </c>
      <c r="FR18" s="28">
        <v>4</v>
      </c>
      <c r="FS18" s="8">
        <v>235</v>
      </c>
      <c r="FU18" s="28">
        <v>120</v>
      </c>
      <c r="FV18" s="8">
        <v>27</v>
      </c>
      <c r="FW18" s="28">
        <v>53</v>
      </c>
      <c r="FY18" s="28"/>
      <c r="GA18" s="8">
        <v>137</v>
      </c>
      <c r="GB18" s="52">
        <v>149</v>
      </c>
      <c r="GC18" s="8">
        <v>-724</v>
      </c>
      <c r="GE18" s="8">
        <v>232</v>
      </c>
      <c r="GF18" s="28">
        <v>203</v>
      </c>
      <c r="GG18" s="8">
        <v>-51</v>
      </c>
      <c r="GH18" s="28">
        <v>27</v>
      </c>
      <c r="GI18" s="8">
        <v>22</v>
      </c>
      <c r="GJ18" s="28">
        <v>10</v>
      </c>
      <c r="GK18" s="8">
        <v>-340</v>
      </c>
      <c r="GL18" s="28">
        <v>715</v>
      </c>
      <c r="GN18" s="8">
        <v>131</v>
      </c>
      <c r="GO18" s="28">
        <v>303</v>
      </c>
      <c r="GP18" s="8">
        <v>-13</v>
      </c>
      <c r="GQ18" s="52">
        <v>245</v>
      </c>
      <c r="GR18" s="8">
        <v>677</v>
      </c>
      <c r="GS18" s="28">
        <v>281</v>
      </c>
      <c r="GT18" s="6">
        <v>-79</v>
      </c>
      <c r="GU18" s="52">
        <v>125</v>
      </c>
      <c r="GV18" s="6">
        <v>277</v>
      </c>
      <c r="GW18" s="28">
        <v>602</v>
      </c>
      <c r="GX18" s="8">
        <v>657</v>
      </c>
      <c r="GY18" s="52">
        <v>350</v>
      </c>
      <c r="GZ18" s="8">
        <v>69</v>
      </c>
      <c r="HA18" s="28">
        <v>13</v>
      </c>
      <c r="HB18" s="6">
        <v>-27</v>
      </c>
      <c r="HC18" s="28"/>
      <c r="HE18" s="8">
        <v>12</v>
      </c>
      <c r="HF18" s="28">
        <v>183</v>
      </c>
      <c r="HG18" s="8">
        <v>-84</v>
      </c>
      <c r="HI18" s="8">
        <v>909</v>
      </c>
      <c r="HJ18" s="28">
        <v>185</v>
      </c>
      <c r="HL18" s="52"/>
      <c r="HM18" s="8">
        <v>731</v>
      </c>
      <c r="HO18" s="8">
        <v>592</v>
      </c>
      <c r="HP18" s="28">
        <v>423</v>
      </c>
      <c r="HQ18" s="6">
        <v>22</v>
      </c>
      <c r="HR18" s="28">
        <v>11</v>
      </c>
      <c r="HS18" s="8">
        <v>-32</v>
      </c>
      <c r="HT18" s="52">
        <v>247</v>
      </c>
      <c r="HV18" s="8">
        <v>163</v>
      </c>
      <c r="HW18" s="28">
        <v>586</v>
      </c>
      <c r="HX18" s="8">
        <v>-9</v>
      </c>
      <c r="HY18" s="28">
        <v>212</v>
      </c>
      <c r="HZ18" s="8">
        <v>42</v>
      </c>
      <c r="IB18" s="8">
        <v>-192</v>
      </c>
      <c r="IC18" s="28">
        <v>117</v>
      </c>
      <c r="ID18" s="8">
        <v>73</v>
      </c>
      <c r="IE18" s="28">
        <v>3</v>
      </c>
      <c r="IF18" s="8">
        <v>296</v>
      </c>
      <c r="IG18" s="28">
        <v>401</v>
      </c>
      <c r="IH18" s="8">
        <v>5</v>
      </c>
      <c r="II18" s="28">
        <v>1</v>
      </c>
      <c r="IM18" s="8">
        <v>13</v>
      </c>
      <c r="IO18">
        <v>-162</v>
      </c>
      <c r="IP18" s="10">
        <v>118</v>
      </c>
      <c r="IQ18" s="8">
        <v>53</v>
      </c>
      <c r="IR18" s="28">
        <v>17</v>
      </c>
      <c r="IS18" s="6">
        <v>-599</v>
      </c>
      <c r="IT18" s="28">
        <v>640</v>
      </c>
      <c r="IU18" s="8">
        <v>-108</v>
      </c>
      <c r="IV18" s="28">
        <v>502</v>
      </c>
      <c r="IW18" s="8">
        <v>757</v>
      </c>
      <c r="IY18" s="8">
        <v>-631</v>
      </c>
      <c r="JA18" s="8">
        <v>-186</v>
      </c>
      <c r="JB18" s="12">
        <v>506</v>
      </c>
      <c r="JD18" s="8">
        <v>-238</v>
      </c>
      <c r="JE18" s="28">
        <v>386</v>
      </c>
      <c r="JG18" s="28"/>
      <c r="JH18" s="8">
        <v>679</v>
      </c>
      <c r="JI18" s="28">
        <v>156</v>
      </c>
      <c r="JJ18" s="8">
        <v>300</v>
      </c>
      <c r="JK18" s="28">
        <v>167</v>
      </c>
      <c r="JL18" s="8">
        <v>-18</v>
      </c>
      <c r="JM18" s="12">
        <v>35</v>
      </c>
      <c r="JN18" s="8">
        <v>5</v>
      </c>
      <c r="JO18" s="28">
        <v>12</v>
      </c>
      <c r="JP18" s="6">
        <v>21</v>
      </c>
      <c r="JQ18" s="12">
        <v>278</v>
      </c>
      <c r="JR18" s="8">
        <v>682</v>
      </c>
      <c r="JS18" s="12">
        <v>157</v>
      </c>
      <c r="JT18" s="6">
        <v>517</v>
      </c>
      <c r="JU18" s="12">
        <v>159</v>
      </c>
      <c r="JW18" s="8">
        <v>-125</v>
      </c>
      <c r="JX18" s="12">
        <v>191</v>
      </c>
      <c r="JZ18" s="28"/>
      <c r="KA18" s="8">
        <v>46</v>
      </c>
      <c r="KB18" s="28">
        <v>6</v>
      </c>
      <c r="KD18" s="28"/>
      <c r="KE18" s="6">
        <v>-500</v>
      </c>
      <c r="KF18" s="12">
        <v>841</v>
      </c>
      <c r="KI18" s="8">
        <v>680</v>
      </c>
      <c r="KJ18" s="28">
        <v>34</v>
      </c>
      <c r="KL18" s="28"/>
      <c r="KM18" s="6"/>
      <c r="KN18" s="28"/>
      <c r="KQ18" s="8">
        <v>168</v>
      </c>
      <c r="KR18" s="28">
        <v>47</v>
      </c>
      <c r="KT18" s="8">
        <v>-81</v>
      </c>
      <c r="KU18" s="28">
        <v>7</v>
      </c>
      <c r="KV18" s="8">
        <v>-331</v>
      </c>
      <c r="KX18" s="8">
        <v>-169</v>
      </c>
      <c r="KY18" s="12">
        <v>185</v>
      </c>
      <c r="KZ18" s="8">
        <v>-167</v>
      </c>
      <c r="LA18" s="12">
        <v>98</v>
      </c>
      <c r="LD18" s="8">
        <v>154</v>
      </c>
      <c r="LE18" s="28">
        <v>239</v>
      </c>
      <c r="LF18" s="8">
        <v>-32</v>
      </c>
      <c r="LG18" s="28">
        <v>28</v>
      </c>
      <c r="LH18" s="6">
        <v>143</v>
      </c>
      <c r="LJ18" s="8">
        <v>328</v>
      </c>
      <c r="LK18" s="28">
        <v>197</v>
      </c>
      <c r="LL18" s="8">
        <v>2</v>
      </c>
      <c r="LM18" s="28">
        <v>4</v>
      </c>
      <c r="LN18" s="8">
        <v>-169</v>
      </c>
      <c r="LO18" s="28">
        <v>318</v>
      </c>
      <c r="LS18" s="8">
        <v>74</v>
      </c>
      <c r="LU18" s="8">
        <v>-366</v>
      </c>
      <c r="LV18" s="12">
        <v>695</v>
      </c>
      <c r="LW18" s="8">
        <v>-107</v>
      </c>
      <c r="LX18" s="28">
        <v>103</v>
      </c>
      <c r="LZ18" s="8">
        <v>670</v>
      </c>
      <c r="MB18" s="8">
        <v>-97</v>
      </c>
      <c r="MC18" s="28">
        <v>70</v>
      </c>
      <c r="MF18" s="8">
        <v>-297</v>
      </c>
      <c r="MG18" s="12">
        <v>834</v>
      </c>
      <c r="MH18" s="8">
        <v>9</v>
      </c>
      <c r="MJ18" s="8">
        <v>230</v>
      </c>
      <c r="MK18" s="12">
        <v>194</v>
      </c>
      <c r="MN18" s="8">
        <v>205</v>
      </c>
      <c r="MO18" s="28">
        <v>57</v>
      </c>
      <c r="MS18" s="8">
        <v>-338</v>
      </c>
      <c r="MT18" s="12">
        <v>526</v>
      </c>
      <c r="MU18" s="8">
        <v>-33</v>
      </c>
      <c r="MV18" s="28">
        <v>18</v>
      </c>
      <c r="MZ18" s="8">
        <v>704</v>
      </c>
      <c r="NA18" s="12">
        <v>35</v>
      </c>
      <c r="NC18" s="8">
        <v>158</v>
      </c>
      <c r="ND18" s="12">
        <v>229</v>
      </c>
      <c r="NE18" s="8">
        <v>156</v>
      </c>
      <c r="NF18" s="28">
        <v>198</v>
      </c>
      <c r="NG18" s="8">
        <v>314</v>
      </c>
      <c r="NH18" s="28">
        <v>28</v>
      </c>
      <c r="NI18" s="8">
        <v>52</v>
      </c>
      <c r="NJ18" s="28">
        <v>4</v>
      </c>
      <c r="NL18" s="8">
        <v>-44</v>
      </c>
      <c r="NM18" s="28">
        <v>60</v>
      </c>
      <c r="NN18" s="8">
        <v>100</v>
      </c>
      <c r="NO18" s="28">
        <v>235</v>
      </c>
      <c r="NP18" s="8">
        <v>88</v>
      </c>
      <c r="NQ18" s="12">
        <v>157</v>
      </c>
      <c r="NR18" s="8">
        <v>-277</v>
      </c>
      <c r="NS18" s="12">
        <v>41</v>
      </c>
      <c r="NU18" s="8">
        <v>297</v>
      </c>
      <c r="NV18" s="12">
        <v>179</v>
      </c>
      <c r="NW18" s="8">
        <v>-176</v>
      </c>
      <c r="NX18" s="28">
        <v>362</v>
      </c>
      <c r="NY18" s="8">
        <v>69</v>
      </c>
      <c r="NZ18" s="12">
        <v>310</v>
      </c>
      <c r="OA18" s="8">
        <v>159</v>
      </c>
      <c r="OB18" s="28">
        <v>473</v>
      </c>
      <c r="OC18" s="8">
        <v>133</v>
      </c>
      <c r="OD18" s="12">
        <v>123</v>
      </c>
      <c r="OE18" s="8">
        <v>278</v>
      </c>
      <c r="OF18" s="12">
        <v>311</v>
      </c>
      <c r="OG18" s="28"/>
      <c r="OH18" s="8">
        <v>113</v>
      </c>
      <c r="OI18" s="28">
        <v>15</v>
      </c>
      <c r="OK18" s="8">
        <v>-6</v>
      </c>
      <c r="OL18" s="28">
        <v>5</v>
      </c>
      <c r="OM18" s="8">
        <v>323</v>
      </c>
      <c r="ON18" s="28">
        <v>425</v>
      </c>
      <c r="OO18" s="8">
        <v>56</v>
      </c>
      <c r="OP18" s="28">
        <v>91</v>
      </c>
      <c r="OQ18" s="8">
        <v>4</v>
      </c>
      <c r="OR18" s="12">
        <v>56</v>
      </c>
      <c r="OT18" s="28"/>
      <c r="OU18" s="12"/>
      <c r="OV18" s="8">
        <v>156</v>
      </c>
      <c r="OZ18" s="12"/>
      <c r="PA18" s="8">
        <v>-435</v>
      </c>
      <c r="PC18" s="8">
        <v>201</v>
      </c>
      <c r="PD18" s="28">
        <v>12</v>
      </c>
      <c r="PE18" s="8">
        <v>368</v>
      </c>
      <c r="PF18" s="12">
        <v>105</v>
      </c>
      <c r="PG18" s="8">
        <v>642</v>
      </c>
      <c r="PH18" s="12">
        <v>144</v>
      </c>
      <c r="PJ18" s="8">
        <v>40</v>
      </c>
      <c r="PK18" s="12">
        <v>131</v>
      </c>
      <c r="PL18" s="8">
        <v>996</v>
      </c>
      <c r="PM18" s="28">
        <v>94</v>
      </c>
      <c r="PP18" s="8">
        <v>695</v>
      </c>
      <c r="PQ18" s="28">
        <v>13</v>
      </c>
      <c r="PR18" s="28"/>
      <c r="PS18" s="8">
        <v>213</v>
      </c>
      <c r="PT18" s="12">
        <v>317</v>
      </c>
      <c r="PW18" s="8">
        <v>-67</v>
      </c>
      <c r="PX18" s="28">
        <v>494</v>
      </c>
      <c r="PY18" s="8">
        <v>5</v>
      </c>
      <c r="PZ18" s="12">
        <v>561</v>
      </c>
      <c r="QC18" s="8">
        <v>272</v>
      </c>
      <c r="QD18" s="12">
        <v>362</v>
      </c>
      <c r="QE18" s="8">
        <v>-742</v>
      </c>
      <c r="QF18" s="12">
        <v>874</v>
      </c>
      <c r="QH18" s="8">
        <v>-71</v>
      </c>
      <c r="QI18" s="12">
        <v>925</v>
      </c>
      <c r="QJ18" s="8">
        <v>288</v>
      </c>
      <c r="QL18" s="8">
        <v>38</v>
      </c>
      <c r="QM18" s="12">
        <v>120</v>
      </c>
      <c r="QN18" s="12"/>
      <c r="QO18" s="12"/>
      <c r="QQ18" s="8">
        <v>-77</v>
      </c>
      <c r="QR18" s="12">
        <f t="shared" si="0"/>
        <v>23.53720459187964</v>
      </c>
      <c r="QS18" s="8">
        <v>554</v>
      </c>
      <c r="QT18" s="8">
        <v>23</v>
      </c>
      <c r="QU18" s="12">
        <v>11</v>
      </c>
      <c r="QV18" s="6">
        <v>-317</v>
      </c>
      <c r="QW18" s="12">
        <v>812</v>
      </c>
      <c r="QY18" s="8">
        <v>-12</v>
      </c>
      <c r="QZ18" s="12">
        <v>58</v>
      </c>
      <c r="RA18" s="8">
        <v>288</v>
      </c>
      <c r="RB18" s="12">
        <v>276</v>
      </c>
      <c r="RC18" s="6">
        <v>209</v>
      </c>
      <c r="RD18" s="12">
        <v>59</v>
      </c>
      <c r="RE18" s="6">
        <f>491</f>
        <v>491</v>
      </c>
      <c r="RF18" s="12">
        <v>393</v>
      </c>
      <c r="RG18" s="8">
        <v>-373</v>
      </c>
      <c r="RH18" s="28">
        <v>134</v>
      </c>
      <c r="RJ18" s="8">
        <v>316</v>
      </c>
      <c r="RK18" s="12">
        <v>201</v>
      </c>
      <c r="RL18" s="8">
        <v>67</v>
      </c>
      <c r="RM18" s="12">
        <v>176</v>
      </c>
      <c r="RQ18" s="9"/>
      <c r="RR18" s="48"/>
      <c r="RS18" s="54" t="s">
        <v>202</v>
      </c>
      <c r="RT18" s="49" t="s">
        <v>203</v>
      </c>
      <c r="RV18" s="8">
        <v>16</v>
      </c>
      <c r="RW18" s="52">
        <v>60</v>
      </c>
      <c r="RY18" s="48" t="s">
        <v>145</v>
      </c>
      <c r="RZ18" s="49" t="s">
        <v>147</v>
      </c>
      <c r="SA18" s="8">
        <v>101</v>
      </c>
      <c r="SB18" s="28">
        <v>1</v>
      </c>
      <c r="SD18" s="8">
        <v>116</v>
      </c>
      <c r="SE18" s="12">
        <v>46</v>
      </c>
      <c r="SF18" s="8">
        <v>687</v>
      </c>
      <c r="SG18" s="12">
        <v>537</v>
      </c>
      <c r="SK18" s="8">
        <v>144</v>
      </c>
      <c r="SL18" s="12">
        <v>331</v>
      </c>
      <c r="SP18" s="8">
        <v>507</v>
      </c>
      <c r="SQ18" s="12">
        <v>356</v>
      </c>
      <c r="SU18" s="8">
        <v>247</v>
      </c>
      <c r="SV18" s="28">
        <v>18</v>
      </c>
      <c r="SW18" s="8">
        <v>-719</v>
      </c>
      <c r="SX18" s="28">
        <v>162</v>
      </c>
      <c r="SY18" s="6">
        <v>226</v>
      </c>
      <c r="SZ18" s="28">
        <v>423</v>
      </c>
      <c r="TA18" s="6"/>
      <c r="TB18" s="6"/>
      <c r="TC18" s="8">
        <v>-343</v>
      </c>
      <c r="TD18" s="28">
        <v>28</v>
      </c>
      <c r="TH18" s="8">
        <v>-685</v>
      </c>
      <c r="TI18" s="28">
        <v>74</v>
      </c>
      <c r="TM18" s="8">
        <v>-6</v>
      </c>
      <c r="TN18" s="28">
        <v>68</v>
      </c>
      <c r="TP18" s="28"/>
      <c r="TQ18" s="8">
        <v>15</v>
      </c>
      <c r="TR18" s="28">
        <v>2</v>
      </c>
      <c r="TX18" s="8">
        <v>-153</v>
      </c>
      <c r="TY18" s="28">
        <v>469</v>
      </c>
      <c r="TZ18" s="8">
        <v>-222</v>
      </c>
      <c r="UA18" s="12">
        <v>454</v>
      </c>
      <c r="UB18" s="8">
        <v>-73</v>
      </c>
      <c r="UC18" s="12">
        <v>142</v>
      </c>
      <c r="UE18" s="8">
        <v>794</v>
      </c>
      <c r="UF18" s="12">
        <v>462</v>
      </c>
      <c r="UG18" s="8">
        <v>163</v>
      </c>
      <c r="UH18" s="12">
        <v>772</v>
      </c>
      <c r="UI18" s="8">
        <v>622</v>
      </c>
      <c r="UJ18" s="12">
        <v>160</v>
      </c>
      <c r="UL18" s="8">
        <v>325</v>
      </c>
      <c r="UM18" s="28">
        <v>40</v>
      </c>
      <c r="UN18" s="8">
        <v>665</v>
      </c>
      <c r="UO18" s="12">
        <v>394</v>
      </c>
      <c r="US18" s="8">
        <v>228</v>
      </c>
      <c r="UT18" s="12">
        <v>147</v>
      </c>
      <c r="UU18" s="8">
        <v>94</v>
      </c>
      <c r="UV18" s="12">
        <v>20</v>
      </c>
      <c r="UZ18" s="8">
        <v>-124</v>
      </c>
      <c r="VA18" s="12">
        <v>545</v>
      </c>
      <c r="VB18" s="8">
        <v>539</v>
      </c>
      <c r="VC18" s="12">
        <v>378</v>
      </c>
      <c r="VD18" s="8">
        <v>-393</v>
      </c>
      <c r="VE18" s="12">
        <v>428</v>
      </c>
      <c r="VF18" s="8">
        <v>-161</v>
      </c>
      <c r="VG18" s="12">
        <v>258</v>
      </c>
      <c r="VH18" s="8">
        <v>610</v>
      </c>
      <c r="VI18" s="28">
        <v>205</v>
      </c>
      <c r="VJ18" s="8">
        <v>139</v>
      </c>
      <c r="VK18" s="28">
        <v>379</v>
      </c>
      <c r="VL18" s="21"/>
      <c r="VM18" s="8">
        <v>-1665</v>
      </c>
      <c r="VQ18" s="8">
        <v>35</v>
      </c>
      <c r="VR18" s="28">
        <v>16</v>
      </c>
      <c r="VS18" s="8">
        <v>2708</v>
      </c>
      <c r="VT18" s="12">
        <v>3722</v>
      </c>
      <c r="VV18" s="8">
        <v>947</v>
      </c>
      <c r="VW18" s="28">
        <v>460</v>
      </c>
      <c r="VX18" s="8">
        <v>-12</v>
      </c>
      <c r="VY18" s="12">
        <v>71</v>
      </c>
      <c r="VZ18" s="8">
        <v>118</v>
      </c>
      <c r="WA18" s="28">
        <v>334</v>
      </c>
      <c r="WB18" s="8">
        <v>4943</v>
      </c>
      <c r="WC18" s="12">
        <v>179</v>
      </c>
      <c r="WD18" s="8">
        <v>1114</v>
      </c>
      <c r="WE18" s="28">
        <v>95</v>
      </c>
      <c r="WG18" s="8">
        <v>1647</v>
      </c>
      <c r="WH18" s="28">
        <v>299</v>
      </c>
      <c r="WI18" s="8">
        <v>-1950</v>
      </c>
      <c r="WL18">
        <v>184</v>
      </c>
      <c r="WM18" s="1">
        <v>38</v>
      </c>
      <c r="WN18">
        <v>34</v>
      </c>
      <c r="WO18" s="12">
        <v>23</v>
      </c>
      <c r="WP18" s="2">
        <v>-2961</v>
      </c>
      <c r="WQ18" s="10"/>
      <c r="WR18" s="10"/>
      <c r="WS18" s="2"/>
      <c r="WT18" s="10"/>
      <c r="WU18" s="10"/>
      <c r="WV18" s="10"/>
      <c r="WX18">
        <v>200</v>
      </c>
      <c r="WY18" s="10">
        <v>144</v>
      </c>
      <c r="XB18" s="23">
        <v>2</v>
      </c>
      <c r="XE18">
        <v>-73</v>
      </c>
      <c r="XF18" s="1">
        <v>15</v>
      </c>
      <c r="XG18" s="2">
        <v>1374</v>
      </c>
      <c r="XH18" s="10"/>
      <c r="XK18">
        <v>32</v>
      </c>
      <c r="XL18" s="1">
        <v>55</v>
      </c>
      <c r="XM18">
        <v>957</v>
      </c>
      <c r="XN18" s="1">
        <v>241</v>
      </c>
      <c r="XO18">
        <v>347</v>
      </c>
      <c r="XP18" s="1">
        <v>85</v>
      </c>
    </row>
    <row r="19" spans="1:640" x14ac:dyDescent="0.25">
      <c r="A19" s="8"/>
      <c r="C19" s="3"/>
      <c r="D19" s="3"/>
      <c r="E19">
        <v>311</v>
      </c>
      <c r="F19" s="1">
        <v>198</v>
      </c>
      <c r="G19" s="2">
        <v>1</v>
      </c>
      <c r="I19" s="2">
        <v>59</v>
      </c>
      <c r="K19" s="2">
        <v>2962</v>
      </c>
      <c r="L19" s="1">
        <v>258</v>
      </c>
      <c r="M19">
        <v>411</v>
      </c>
      <c r="N19" s="1">
        <v>151</v>
      </c>
      <c r="O19" s="26"/>
      <c r="P19">
        <v>299</v>
      </c>
      <c r="Q19" s="1">
        <v>69</v>
      </c>
      <c r="R19">
        <v>-1021</v>
      </c>
      <c r="S19" s="12">
        <v>520</v>
      </c>
      <c r="T19">
        <v>-2242</v>
      </c>
      <c r="U19" s="1">
        <v>733</v>
      </c>
      <c r="V19">
        <v>-4</v>
      </c>
      <c r="W19" s="10">
        <v>136</v>
      </c>
      <c r="X19">
        <v>34</v>
      </c>
      <c r="Z19">
        <v>12</v>
      </c>
      <c r="AA19" s="1">
        <v>1</v>
      </c>
      <c r="AB19">
        <v>7</v>
      </c>
      <c r="AC19" s="1">
        <v>34</v>
      </c>
      <c r="AD19">
        <v>-20</v>
      </c>
      <c r="AE19" s="1">
        <v>67</v>
      </c>
      <c r="AF19">
        <v>-121</v>
      </c>
      <c r="AG19" s="1">
        <v>985</v>
      </c>
      <c r="AJ19" s="2">
        <v>1</v>
      </c>
      <c r="AK19" s="10">
        <v>312</v>
      </c>
      <c r="AN19">
        <v>531</v>
      </c>
      <c r="AO19" s="1">
        <v>75</v>
      </c>
      <c r="AQ19">
        <v>134</v>
      </c>
      <c r="AR19" s="1">
        <v>89</v>
      </c>
      <c r="AY19">
        <v>-532</v>
      </c>
      <c r="AZ19" s="1">
        <v>131</v>
      </c>
      <c r="BA19">
        <v>258</v>
      </c>
      <c r="BB19" s="1">
        <v>888</v>
      </c>
      <c r="BD19" s="8">
        <v>36</v>
      </c>
      <c r="BE19" s="1">
        <v>188</v>
      </c>
      <c r="BF19">
        <v>147</v>
      </c>
      <c r="BG19" s="1">
        <v>94</v>
      </c>
      <c r="BH19">
        <v>-6160</v>
      </c>
      <c r="BI19" s="1">
        <v>3766</v>
      </c>
      <c r="BJ19">
        <v>24</v>
      </c>
      <c r="BL19">
        <v>22</v>
      </c>
      <c r="BM19" s="1">
        <v>3</v>
      </c>
      <c r="BN19">
        <v>-3</v>
      </c>
      <c r="BP19">
        <v>-106</v>
      </c>
      <c r="BQ19" s="10">
        <v>994</v>
      </c>
      <c r="BR19">
        <v>369</v>
      </c>
      <c r="BS19" s="1">
        <v>6541</v>
      </c>
      <c r="BT19">
        <v>456</v>
      </c>
      <c r="BU19" s="1">
        <v>129</v>
      </c>
      <c r="BV19">
        <v>-51</v>
      </c>
      <c r="BW19" s="1">
        <v>19</v>
      </c>
      <c r="BX19">
        <v>-145</v>
      </c>
      <c r="CA19" s="8">
        <v>33</v>
      </c>
      <c r="CB19" s="28">
        <v>3</v>
      </c>
      <c r="CC19" s="8">
        <v>-204</v>
      </c>
      <c r="CD19" s="28">
        <v>583</v>
      </c>
      <c r="CE19" s="8">
        <v>214</v>
      </c>
      <c r="CF19" s="28">
        <v>6</v>
      </c>
      <c r="CG19" s="8">
        <v>-36</v>
      </c>
      <c r="CI19" s="8">
        <v>358</v>
      </c>
      <c r="CJ19" s="12">
        <v>34</v>
      </c>
      <c r="CK19" s="6">
        <v>60</v>
      </c>
      <c r="CL19" s="28">
        <v>30</v>
      </c>
      <c r="CM19" s="8">
        <v>-273</v>
      </c>
      <c r="CN19" s="28">
        <v>362</v>
      </c>
      <c r="CO19" s="6">
        <v>-56</v>
      </c>
      <c r="CP19" s="28"/>
      <c r="CQ19" s="6">
        <v>718</v>
      </c>
      <c r="CR19" s="12">
        <v>160</v>
      </c>
      <c r="CS19" s="6">
        <v>265</v>
      </c>
      <c r="CT19" s="28">
        <v>655</v>
      </c>
      <c r="CU19" s="6"/>
      <c r="CV19" s="28"/>
      <c r="CW19" s="6">
        <v>15</v>
      </c>
      <c r="CX19" s="28">
        <v>7</v>
      </c>
      <c r="CZ19" s="23">
        <v>-109</v>
      </c>
      <c r="DA19" s="25">
        <v>560</v>
      </c>
      <c r="DB19" s="23">
        <v>-144</v>
      </c>
      <c r="DC19" s="25">
        <v>3</v>
      </c>
      <c r="DD19" s="23">
        <v>83</v>
      </c>
      <c r="DE19" s="25">
        <v>55</v>
      </c>
      <c r="DF19" s="86">
        <v>112</v>
      </c>
      <c r="DG19" s="25">
        <v>465</v>
      </c>
      <c r="DH19" s="23">
        <v>419</v>
      </c>
      <c r="DI19" s="25">
        <v>320</v>
      </c>
      <c r="DJ19" s="23">
        <v>-425</v>
      </c>
      <c r="DK19" s="28">
        <v>218</v>
      </c>
      <c r="DL19" s="8">
        <v>655</v>
      </c>
      <c r="DN19" s="8">
        <v>238</v>
      </c>
      <c r="DQ19" s="8">
        <v>-580</v>
      </c>
      <c r="DR19" s="52">
        <v>665</v>
      </c>
      <c r="DS19" s="6">
        <v>-217</v>
      </c>
      <c r="DT19" s="52">
        <v>65</v>
      </c>
      <c r="DU19" s="8">
        <v>-168</v>
      </c>
      <c r="DV19" s="28">
        <v>224</v>
      </c>
      <c r="DW19" s="8">
        <v>-14</v>
      </c>
      <c r="DX19" s="28">
        <v>7</v>
      </c>
      <c r="DY19" s="6">
        <v>775</v>
      </c>
      <c r="DZ19" s="52">
        <v>274</v>
      </c>
      <c r="EA19" s="23">
        <v>-105</v>
      </c>
      <c r="EB19" s="52">
        <v>137</v>
      </c>
      <c r="EC19" s="6">
        <v>1</v>
      </c>
      <c r="ED19" s="28">
        <v>4</v>
      </c>
      <c r="EE19" s="8">
        <v>611</v>
      </c>
      <c r="EF19" s="52">
        <v>422</v>
      </c>
      <c r="EG19" s="8">
        <v>482</v>
      </c>
      <c r="EH19" s="28">
        <v>358</v>
      </c>
      <c r="EI19" s="8">
        <v>18</v>
      </c>
      <c r="EJ19" s="52">
        <v>726</v>
      </c>
      <c r="EL19" s="8">
        <v>-496</v>
      </c>
      <c r="EM19" s="28">
        <v>139</v>
      </c>
      <c r="EN19" s="8">
        <v>113</v>
      </c>
      <c r="EO19" s="28">
        <v>9</v>
      </c>
      <c r="EP19" s="8">
        <v>127</v>
      </c>
      <c r="EQ19" s="52">
        <v>901</v>
      </c>
      <c r="ER19" s="8">
        <v>28</v>
      </c>
      <c r="ES19" s="52">
        <v>22</v>
      </c>
      <c r="EU19" s="52"/>
      <c r="EV19" s="8">
        <v>328</v>
      </c>
      <c r="EX19" s="8">
        <v>213</v>
      </c>
      <c r="EY19" s="28">
        <v>124</v>
      </c>
      <c r="EZ19" s="8">
        <v>243</v>
      </c>
      <c r="FA19" s="52">
        <v>362</v>
      </c>
      <c r="FB19" s="8">
        <v>171</v>
      </c>
      <c r="FC19" s="52">
        <v>915</v>
      </c>
      <c r="FD19" s="6">
        <v>912</v>
      </c>
      <c r="FE19" s="28">
        <v>348</v>
      </c>
      <c r="FF19" s="8">
        <v>88</v>
      </c>
      <c r="FG19" s="28">
        <v>38</v>
      </c>
      <c r="FH19" s="8">
        <v>-432</v>
      </c>
      <c r="FI19" s="28">
        <v>111</v>
      </c>
      <c r="FK19" s="52"/>
      <c r="FM19" s="8">
        <v>227</v>
      </c>
      <c r="FN19" s="52">
        <v>137</v>
      </c>
      <c r="FO19" s="8">
        <v>450</v>
      </c>
      <c r="FP19" s="28">
        <v>779</v>
      </c>
      <c r="FQ19" s="8">
        <v>-25</v>
      </c>
      <c r="FR19" s="28">
        <v>8</v>
      </c>
      <c r="FS19" s="8">
        <v>-108</v>
      </c>
      <c r="FU19" s="28">
        <v>360</v>
      </c>
      <c r="FV19" s="8">
        <v>8</v>
      </c>
      <c r="FW19" s="28">
        <v>99</v>
      </c>
      <c r="FY19" s="28"/>
      <c r="GA19" s="8">
        <v>106</v>
      </c>
      <c r="GB19" s="52">
        <v>255</v>
      </c>
      <c r="GC19" s="8">
        <v>1</v>
      </c>
      <c r="GE19" s="8">
        <v>-42</v>
      </c>
      <c r="GF19" s="28">
        <v>38</v>
      </c>
      <c r="GG19" s="8">
        <v>-54</v>
      </c>
      <c r="GH19" s="28">
        <v>27</v>
      </c>
      <c r="GI19" s="8">
        <v>22</v>
      </c>
      <c r="GJ19" s="28">
        <v>5</v>
      </c>
      <c r="GK19" s="8">
        <v>671</v>
      </c>
      <c r="GL19" s="28">
        <v>711</v>
      </c>
      <c r="GN19" s="8">
        <v>438</v>
      </c>
      <c r="GO19" s="28">
        <v>825</v>
      </c>
      <c r="GP19" s="8">
        <v>-11</v>
      </c>
      <c r="GQ19" s="52">
        <v>169</v>
      </c>
      <c r="GR19" s="8">
        <v>501</v>
      </c>
      <c r="GS19" s="28">
        <v>272</v>
      </c>
      <c r="GT19" s="6">
        <v>-6</v>
      </c>
      <c r="GU19" s="52">
        <v>100</v>
      </c>
      <c r="GV19" s="6">
        <v>128</v>
      </c>
      <c r="GW19" s="28">
        <v>960</v>
      </c>
      <c r="GX19" s="8">
        <v>349</v>
      </c>
      <c r="GY19" s="52">
        <v>193</v>
      </c>
      <c r="GZ19" s="8">
        <v>711</v>
      </c>
      <c r="HA19" s="28">
        <v>152</v>
      </c>
      <c r="HB19" s="6">
        <v>-55</v>
      </c>
      <c r="HC19" s="28"/>
      <c r="HE19" s="8">
        <v>33</v>
      </c>
      <c r="HF19" s="28">
        <v>61</v>
      </c>
      <c r="HG19" s="8">
        <v>2326</v>
      </c>
      <c r="HI19" s="8">
        <v>462</v>
      </c>
      <c r="HJ19" s="28">
        <v>275</v>
      </c>
      <c r="HL19" s="52"/>
      <c r="HM19" s="8">
        <v>211</v>
      </c>
      <c r="HO19" s="8">
        <v>111</v>
      </c>
      <c r="HP19" s="28">
        <v>108</v>
      </c>
      <c r="HQ19" s="6">
        <v>5</v>
      </c>
      <c r="HR19" s="28">
        <v>2</v>
      </c>
      <c r="HS19" s="8">
        <v>1</v>
      </c>
      <c r="HT19" s="52">
        <v>218</v>
      </c>
      <c r="HV19" s="8">
        <v>344</v>
      </c>
      <c r="HW19" s="28">
        <v>121</v>
      </c>
      <c r="HX19" s="8">
        <v>-1</v>
      </c>
      <c r="HY19" s="28">
        <v>211</v>
      </c>
      <c r="HZ19" s="8">
        <v>-1</v>
      </c>
      <c r="IB19" s="8">
        <v>-174</v>
      </c>
      <c r="IC19" s="28">
        <v>110</v>
      </c>
      <c r="ID19" s="8">
        <v>-42</v>
      </c>
      <c r="IE19" s="28">
        <v>641</v>
      </c>
      <c r="IF19" s="8">
        <v>636</v>
      </c>
      <c r="IG19" s="28">
        <v>280</v>
      </c>
      <c r="IH19" s="8">
        <v>315</v>
      </c>
      <c r="II19" s="28">
        <v>135</v>
      </c>
      <c r="IM19" s="8">
        <v>15</v>
      </c>
      <c r="IO19">
        <v>-179</v>
      </c>
      <c r="IP19" s="10">
        <v>200</v>
      </c>
      <c r="IQ19" s="8">
        <v>61</v>
      </c>
      <c r="IR19" s="28">
        <v>20</v>
      </c>
      <c r="IS19" s="6">
        <v>276</v>
      </c>
      <c r="IT19" s="28">
        <v>690</v>
      </c>
      <c r="IU19" s="8">
        <v>-440</v>
      </c>
      <c r="IV19" s="28">
        <v>128</v>
      </c>
      <c r="IW19" s="8">
        <v>-237</v>
      </c>
      <c r="IY19" s="8">
        <v>-183</v>
      </c>
      <c r="JA19" s="8">
        <v>12</v>
      </c>
      <c r="JB19" s="12">
        <v>262</v>
      </c>
      <c r="JD19" s="8">
        <v>448</v>
      </c>
      <c r="JE19" s="28">
        <v>228</v>
      </c>
      <c r="JG19" s="28"/>
      <c r="JH19" s="8">
        <v>-326</v>
      </c>
      <c r="JI19" s="28">
        <v>212</v>
      </c>
      <c r="JJ19" s="8">
        <v>103</v>
      </c>
      <c r="JK19" s="28">
        <v>16</v>
      </c>
      <c r="JL19" s="8">
        <v>444</v>
      </c>
      <c r="JM19" s="12">
        <v>562</v>
      </c>
      <c r="JN19" s="8">
        <v>-18</v>
      </c>
      <c r="JO19" s="28">
        <v>9</v>
      </c>
      <c r="JP19" s="6">
        <v>145</v>
      </c>
      <c r="JQ19" s="12">
        <v>605</v>
      </c>
      <c r="JR19" s="8">
        <v>401</v>
      </c>
      <c r="JS19" s="12">
        <v>209</v>
      </c>
      <c r="JT19" s="6">
        <v>132</v>
      </c>
      <c r="JU19" s="12">
        <v>628</v>
      </c>
      <c r="JW19" s="8">
        <v>-545</v>
      </c>
      <c r="JX19" s="12">
        <v>756</v>
      </c>
      <c r="JZ19" s="28"/>
      <c r="KA19" s="8">
        <v>-49</v>
      </c>
      <c r="KB19" s="28">
        <v>7</v>
      </c>
      <c r="KD19" s="28"/>
      <c r="KE19" s="6">
        <v>-362</v>
      </c>
      <c r="KF19" s="12">
        <v>147</v>
      </c>
      <c r="KI19" s="8">
        <v>158</v>
      </c>
      <c r="KJ19" s="28">
        <v>8</v>
      </c>
      <c r="KL19" s="28"/>
      <c r="KM19" s="6"/>
      <c r="KN19" s="28"/>
      <c r="KQ19" s="8">
        <v>536</v>
      </c>
      <c r="KR19" s="28">
        <v>51</v>
      </c>
      <c r="KT19" s="8">
        <v>-25</v>
      </c>
      <c r="KU19" s="28">
        <v>12</v>
      </c>
      <c r="KV19" s="8">
        <v>-4</v>
      </c>
      <c r="KY19" s="12"/>
      <c r="KZ19" s="8">
        <v>211</v>
      </c>
      <c r="LA19" s="12">
        <v>430</v>
      </c>
      <c r="LD19" s="8">
        <v>-702</v>
      </c>
      <c r="LE19" s="28">
        <v>666</v>
      </c>
      <c r="LF19" s="8">
        <v>-311</v>
      </c>
      <c r="LG19" s="28">
        <v>24</v>
      </c>
      <c r="LH19" s="6">
        <v>-930</v>
      </c>
      <c r="LJ19" s="8">
        <v>-741</v>
      </c>
      <c r="LK19" s="28">
        <v>175</v>
      </c>
      <c r="LL19" s="8">
        <v>15</v>
      </c>
      <c r="LM19" s="28">
        <v>5</v>
      </c>
      <c r="LN19" s="8">
        <v>-119</v>
      </c>
      <c r="LO19" s="28">
        <v>343</v>
      </c>
      <c r="LS19" s="8">
        <v>9</v>
      </c>
      <c r="LU19" s="8">
        <v>389</v>
      </c>
      <c r="LV19" s="12">
        <v>248</v>
      </c>
      <c r="LW19" s="8">
        <v>-461</v>
      </c>
      <c r="LX19" s="28">
        <v>183</v>
      </c>
      <c r="LZ19" s="8">
        <v>782</v>
      </c>
      <c r="MB19" s="8">
        <v>105</v>
      </c>
      <c r="MC19" s="28">
        <v>76</v>
      </c>
      <c r="MF19" s="8">
        <v>668</v>
      </c>
      <c r="MG19" s="12">
        <v>544</v>
      </c>
      <c r="MH19" s="8">
        <v>1</v>
      </c>
      <c r="MJ19" s="8">
        <v>-26</v>
      </c>
      <c r="MK19" s="12">
        <v>178</v>
      </c>
      <c r="MN19" s="8">
        <v>457</v>
      </c>
      <c r="MO19" s="28">
        <v>90</v>
      </c>
      <c r="MS19" s="8">
        <v>993</v>
      </c>
      <c r="MT19" s="12">
        <v>158</v>
      </c>
      <c r="MU19" s="8">
        <v>16</v>
      </c>
      <c r="MV19" s="28">
        <v>5</v>
      </c>
      <c r="MZ19" s="8">
        <v>218</v>
      </c>
      <c r="NA19" s="12">
        <v>29</v>
      </c>
      <c r="NC19" s="8">
        <v>71</v>
      </c>
      <c r="ND19" s="12">
        <v>18</v>
      </c>
      <c r="NE19" s="8">
        <v>570</v>
      </c>
      <c r="NF19" s="28">
        <v>19</v>
      </c>
      <c r="NG19" s="8">
        <v>434</v>
      </c>
      <c r="NH19" s="28">
        <v>36</v>
      </c>
      <c r="NI19" s="8">
        <v>174</v>
      </c>
      <c r="NJ19" s="28">
        <v>4</v>
      </c>
      <c r="NL19" s="8">
        <v>-25</v>
      </c>
      <c r="NM19" s="28">
        <v>90</v>
      </c>
      <c r="NN19" s="8">
        <v>524</v>
      </c>
      <c r="NO19" s="28">
        <v>154</v>
      </c>
      <c r="NP19" s="8">
        <v>353</v>
      </c>
      <c r="NQ19" s="12">
        <v>137</v>
      </c>
      <c r="NR19" s="8">
        <v>-94</v>
      </c>
      <c r="NS19" s="12">
        <v>5</v>
      </c>
      <c r="NU19" s="8">
        <v>-770</v>
      </c>
      <c r="NV19" s="12">
        <v>94</v>
      </c>
      <c r="NW19" s="8">
        <v>-437</v>
      </c>
      <c r="NX19" s="28">
        <v>269</v>
      </c>
      <c r="NY19" s="8">
        <v>863</v>
      </c>
      <c r="NZ19" s="12">
        <v>259</v>
      </c>
      <c r="OA19" s="8">
        <v>443</v>
      </c>
      <c r="OB19" s="28">
        <v>312</v>
      </c>
      <c r="OC19" s="8">
        <v>987</v>
      </c>
      <c r="OD19" s="12">
        <v>102</v>
      </c>
      <c r="OE19" s="8">
        <v>53</v>
      </c>
      <c r="OF19" s="12">
        <v>23</v>
      </c>
      <c r="OG19" s="28"/>
      <c r="OH19" s="8">
        <v>678</v>
      </c>
      <c r="OI19" s="28">
        <v>215</v>
      </c>
      <c r="OK19" s="8">
        <v>237</v>
      </c>
      <c r="OL19" s="28">
        <v>114</v>
      </c>
      <c r="OM19" s="8">
        <v>-333</v>
      </c>
      <c r="ON19" s="28">
        <v>327</v>
      </c>
      <c r="OO19" s="8">
        <v>-15</v>
      </c>
      <c r="OP19" s="28">
        <v>55</v>
      </c>
      <c r="OT19" s="28"/>
      <c r="OU19" s="12"/>
      <c r="OV19" s="8">
        <v>209</v>
      </c>
      <c r="OZ19" s="12"/>
      <c r="PA19" s="8">
        <v>-176</v>
      </c>
      <c r="PC19" s="8">
        <v>-306</v>
      </c>
      <c r="PD19" s="28">
        <v>121</v>
      </c>
      <c r="PE19" s="8">
        <v>660</v>
      </c>
      <c r="PF19" s="12">
        <v>336</v>
      </c>
      <c r="PG19" s="8">
        <v>624</v>
      </c>
      <c r="PH19" s="12">
        <v>178</v>
      </c>
      <c r="PJ19" s="8">
        <v>252</v>
      </c>
      <c r="PK19" s="12">
        <v>159</v>
      </c>
      <c r="PL19" s="8">
        <v>-34</v>
      </c>
      <c r="PM19" s="28">
        <v>4</v>
      </c>
      <c r="PP19" s="8">
        <v>729</v>
      </c>
      <c r="PQ19" s="28">
        <v>14</v>
      </c>
      <c r="PR19" s="28"/>
      <c r="PS19" s="8">
        <v>372</v>
      </c>
      <c r="PT19" s="12">
        <v>210</v>
      </c>
      <c r="PW19" s="8">
        <v>-494</v>
      </c>
      <c r="PX19" s="28">
        <v>183</v>
      </c>
      <c r="PY19" s="8">
        <v>-3</v>
      </c>
      <c r="PZ19" s="12">
        <v>20</v>
      </c>
      <c r="QC19" s="8">
        <v>120</v>
      </c>
      <c r="QD19" s="12">
        <v>611</v>
      </c>
      <c r="QE19" s="8">
        <v>811</v>
      </c>
      <c r="QF19" s="12">
        <v>436</v>
      </c>
      <c r="QH19" s="8">
        <v>12</v>
      </c>
      <c r="QI19" s="12">
        <v>62</v>
      </c>
      <c r="QJ19" s="8">
        <v>152</v>
      </c>
      <c r="QL19" s="8">
        <v>85</v>
      </c>
      <c r="QM19" s="12">
        <v>324</v>
      </c>
      <c r="QN19" s="12"/>
      <c r="QO19" s="12"/>
      <c r="QQ19" s="8">
        <v>307</v>
      </c>
      <c r="QR19" s="12">
        <f t="shared" si="0"/>
        <v>24</v>
      </c>
      <c r="QS19" s="8">
        <v>576</v>
      </c>
      <c r="QT19" s="8">
        <v>15</v>
      </c>
      <c r="QU19" s="12">
        <v>25</v>
      </c>
      <c r="QV19" s="6">
        <v>482</v>
      </c>
      <c r="QW19" s="12">
        <v>119</v>
      </c>
      <c r="QY19" s="8">
        <v>26</v>
      </c>
      <c r="QZ19" s="12">
        <v>91</v>
      </c>
      <c r="RA19" s="8">
        <v>189</v>
      </c>
      <c r="RB19" s="12">
        <v>318</v>
      </c>
      <c r="RC19" s="6">
        <v>-206</v>
      </c>
      <c r="RD19" s="12">
        <v>45</v>
      </c>
      <c r="RE19" s="6">
        <v>-857</v>
      </c>
      <c r="RF19" s="12">
        <v>164</v>
      </c>
      <c r="RG19" s="8">
        <v>110</v>
      </c>
      <c r="RH19" s="28">
        <v>124</v>
      </c>
      <c r="RJ19" s="8">
        <v>88</v>
      </c>
      <c r="RK19" s="12">
        <v>98</v>
      </c>
      <c r="RL19" s="8">
        <v>-78</v>
      </c>
      <c r="RM19" s="12">
        <v>60</v>
      </c>
      <c r="RQ19" s="9"/>
      <c r="RR19" s="48"/>
      <c r="RS19" s="54" t="s">
        <v>173</v>
      </c>
      <c r="RT19" s="49" t="s">
        <v>204</v>
      </c>
      <c r="RV19" s="8">
        <v>25</v>
      </c>
      <c r="RW19" s="52">
        <v>712</v>
      </c>
      <c r="RY19" s="48" t="s">
        <v>148</v>
      </c>
      <c r="RZ19" s="49" t="s">
        <v>149</v>
      </c>
      <c r="SA19" s="8">
        <v>100</v>
      </c>
      <c r="SB19" s="28">
        <v>1</v>
      </c>
      <c r="SD19" s="8">
        <v>331</v>
      </c>
      <c r="SE19" s="12">
        <v>197</v>
      </c>
      <c r="SF19" s="8">
        <v>390</v>
      </c>
      <c r="SG19" s="12">
        <v>321</v>
      </c>
      <c r="SK19" s="8">
        <v>663</v>
      </c>
      <c r="SL19" s="12">
        <v>413</v>
      </c>
      <c r="SP19" s="8">
        <v>-617</v>
      </c>
      <c r="SQ19" s="12">
        <v>294</v>
      </c>
      <c r="SU19" s="8">
        <v>11</v>
      </c>
      <c r="SV19" s="28">
        <v>7</v>
      </c>
      <c r="SW19" s="8">
        <v>20</v>
      </c>
      <c r="SX19" s="28">
        <v>12</v>
      </c>
      <c r="SY19" s="6">
        <v>324</v>
      </c>
      <c r="SZ19" s="28">
        <v>576</v>
      </c>
      <c r="TA19" s="6"/>
      <c r="TB19" s="6"/>
      <c r="TC19" s="8">
        <v>-230</v>
      </c>
      <c r="TD19" s="28">
        <v>825</v>
      </c>
      <c r="TH19" s="8">
        <v>-558</v>
      </c>
      <c r="TI19" s="28">
        <v>68</v>
      </c>
      <c r="TM19" s="8">
        <v>22</v>
      </c>
      <c r="TN19" s="28">
        <v>62</v>
      </c>
      <c r="TP19" s="28"/>
      <c r="TQ19" s="8">
        <v>3</v>
      </c>
      <c r="TR19" s="28">
        <v>1</v>
      </c>
      <c r="TX19" s="8">
        <v>-169</v>
      </c>
      <c r="TY19" s="28">
        <v>404</v>
      </c>
      <c r="TZ19" s="8">
        <v>-452</v>
      </c>
      <c r="UA19" s="12">
        <v>515</v>
      </c>
      <c r="UB19" s="8">
        <v>140</v>
      </c>
      <c r="UC19" s="12">
        <v>214</v>
      </c>
      <c r="UE19" s="8">
        <v>117</v>
      </c>
      <c r="UF19" s="12">
        <v>584</v>
      </c>
      <c r="UG19" s="8">
        <v>-270</v>
      </c>
      <c r="UH19" s="12">
        <v>1</v>
      </c>
      <c r="UI19" s="8">
        <v>742</v>
      </c>
      <c r="UJ19" s="12">
        <v>19</v>
      </c>
      <c r="UL19" s="8">
        <v>337</v>
      </c>
      <c r="UM19" s="28">
        <v>55</v>
      </c>
      <c r="UN19" s="8">
        <v>155</v>
      </c>
      <c r="UO19" s="12">
        <v>14</v>
      </c>
      <c r="US19" s="8">
        <v>988</v>
      </c>
      <c r="UT19" s="12">
        <v>561</v>
      </c>
      <c r="UU19" s="8">
        <v>80</v>
      </c>
      <c r="UV19" s="12">
        <v>113</v>
      </c>
      <c r="UZ19" s="8">
        <v>483</v>
      </c>
      <c r="VA19" s="12">
        <v>234</v>
      </c>
      <c r="VB19" s="8">
        <v>504</v>
      </c>
      <c r="VC19" s="12">
        <v>352</v>
      </c>
      <c r="VD19" s="8">
        <v>899</v>
      </c>
      <c r="VE19" s="12">
        <v>406</v>
      </c>
      <c r="VF19" s="8">
        <v>-281</v>
      </c>
      <c r="VG19" s="12">
        <v>459</v>
      </c>
      <c r="VH19" s="8">
        <v>354</v>
      </c>
      <c r="VI19" s="28">
        <v>210</v>
      </c>
      <c r="VL19" s="21"/>
      <c r="VM19" s="8">
        <v>-5034</v>
      </c>
      <c r="VQ19" s="8">
        <v>37</v>
      </c>
      <c r="VR19" s="28">
        <v>17</v>
      </c>
      <c r="VS19" s="8">
        <v>-417</v>
      </c>
      <c r="VT19" s="12">
        <v>2787</v>
      </c>
      <c r="VV19" s="8">
        <v>958</v>
      </c>
      <c r="VW19" s="28">
        <v>1202</v>
      </c>
      <c r="VX19" s="8">
        <v>19</v>
      </c>
      <c r="VY19" s="12">
        <v>339</v>
      </c>
      <c r="VZ19" s="8">
        <v>161</v>
      </c>
      <c r="WA19" s="28">
        <v>192</v>
      </c>
      <c r="WB19" s="8">
        <v>3563</v>
      </c>
      <c r="WC19" s="12">
        <v>561</v>
      </c>
      <c r="WD19" s="8">
        <v>34</v>
      </c>
      <c r="WE19" s="28">
        <v>15</v>
      </c>
      <c r="WG19" s="8">
        <v>628</v>
      </c>
      <c r="WH19" s="28">
        <v>122</v>
      </c>
      <c r="WI19" s="8">
        <v>1498</v>
      </c>
      <c r="WL19">
        <v>262</v>
      </c>
      <c r="WM19" s="1">
        <v>149</v>
      </c>
      <c r="WN19">
        <v>82</v>
      </c>
      <c r="WO19" s="12">
        <v>59</v>
      </c>
      <c r="WP19" s="2">
        <v>-1107</v>
      </c>
      <c r="WQ19" s="10"/>
      <c r="WR19" s="10"/>
      <c r="WS19" s="10"/>
      <c r="WT19" s="10"/>
      <c r="WU19" s="10"/>
      <c r="WV19" s="10"/>
      <c r="WX19">
        <v>-1797</v>
      </c>
      <c r="WY19" s="10">
        <v>2529</v>
      </c>
      <c r="XB19" s="23">
        <v>6</v>
      </c>
      <c r="XE19">
        <v>-176</v>
      </c>
      <c r="XF19" s="1">
        <v>55</v>
      </c>
      <c r="XG19" s="2">
        <v>32888</v>
      </c>
      <c r="XH19" s="10"/>
      <c r="XK19">
        <v>72</v>
      </c>
      <c r="XL19" s="1">
        <v>45</v>
      </c>
      <c r="XM19">
        <v>-9244</v>
      </c>
      <c r="XN19" s="1">
        <v>5494</v>
      </c>
      <c r="XO19">
        <v>3470</v>
      </c>
      <c r="XP19" s="1">
        <v>1427</v>
      </c>
    </row>
    <row r="20" spans="1:640" x14ac:dyDescent="0.25">
      <c r="C20" s="3"/>
      <c r="D20" s="3"/>
      <c r="E20">
        <v>392</v>
      </c>
      <c r="F20" s="1">
        <v>177</v>
      </c>
      <c r="G20" s="2">
        <v>-2067</v>
      </c>
      <c r="I20" s="2">
        <v>-1</v>
      </c>
      <c r="K20" s="2">
        <v>3034</v>
      </c>
      <c r="L20" s="1">
        <v>215</v>
      </c>
      <c r="M20">
        <v>416</v>
      </c>
      <c r="N20" s="1">
        <v>66</v>
      </c>
      <c r="O20" s="26"/>
      <c r="P20">
        <v>266</v>
      </c>
      <c r="Q20" s="1">
        <v>61</v>
      </c>
      <c r="R20">
        <v>-210</v>
      </c>
      <c r="S20" s="12">
        <v>2301</v>
      </c>
      <c r="T20">
        <v>-2575</v>
      </c>
      <c r="U20" s="1">
        <v>695</v>
      </c>
      <c r="V20">
        <v>-4</v>
      </c>
      <c r="W20" s="10">
        <v>146</v>
      </c>
      <c r="X20">
        <v>45</v>
      </c>
      <c r="Z20">
        <v>-19</v>
      </c>
      <c r="AA20" s="1">
        <v>3</v>
      </c>
      <c r="AB20">
        <v>69</v>
      </c>
      <c r="AC20" s="1">
        <v>67</v>
      </c>
      <c r="AD20">
        <v>-71</v>
      </c>
      <c r="AE20" s="1">
        <v>68</v>
      </c>
      <c r="AF20">
        <v>-128</v>
      </c>
      <c r="AG20" s="1">
        <v>988</v>
      </c>
      <c r="AJ20" s="2">
        <v>5</v>
      </c>
      <c r="AK20" s="10">
        <v>53</v>
      </c>
      <c r="AN20">
        <v>511</v>
      </c>
      <c r="AO20" s="1">
        <v>67</v>
      </c>
      <c r="AQ20">
        <v>107</v>
      </c>
      <c r="AR20" s="1">
        <v>78</v>
      </c>
      <c r="AY20">
        <v>-4</v>
      </c>
      <c r="AZ20" s="1">
        <v>3</v>
      </c>
      <c r="BA20">
        <v>867</v>
      </c>
      <c r="BB20" s="1">
        <v>143</v>
      </c>
      <c r="BD20" s="8">
        <v>-281</v>
      </c>
      <c r="BE20" s="1">
        <v>262</v>
      </c>
      <c r="BF20">
        <v>170</v>
      </c>
      <c r="BG20" s="1">
        <v>127</v>
      </c>
      <c r="BH20">
        <v>-2453</v>
      </c>
      <c r="BI20" s="1">
        <v>2283</v>
      </c>
      <c r="BJ20">
        <v>-5</v>
      </c>
      <c r="BL20">
        <v>51</v>
      </c>
      <c r="BM20" s="1">
        <v>5</v>
      </c>
      <c r="BN20">
        <v>787</v>
      </c>
      <c r="BP20">
        <v>-700</v>
      </c>
      <c r="BQ20" s="10">
        <v>3388</v>
      </c>
      <c r="BR20">
        <v>249</v>
      </c>
      <c r="BS20" s="1">
        <v>229</v>
      </c>
      <c r="BT20">
        <v>-729</v>
      </c>
      <c r="BU20" s="1">
        <v>363</v>
      </c>
      <c r="BV20">
        <v>43</v>
      </c>
      <c r="BW20" s="1">
        <v>3</v>
      </c>
      <c r="BX20">
        <v>15</v>
      </c>
      <c r="CA20" s="8">
        <v>383</v>
      </c>
      <c r="CB20" s="28">
        <v>147</v>
      </c>
      <c r="CC20" s="8">
        <v>-87</v>
      </c>
      <c r="CD20" s="28">
        <v>47</v>
      </c>
      <c r="CE20" s="8">
        <v>183</v>
      </c>
      <c r="CF20" s="28">
        <v>7</v>
      </c>
      <c r="CG20" s="8">
        <v>-56</v>
      </c>
      <c r="CI20" s="8">
        <v>322</v>
      </c>
      <c r="CJ20" s="12">
        <v>56</v>
      </c>
      <c r="CK20" s="6">
        <v>62</v>
      </c>
      <c r="CL20" s="28">
        <v>31</v>
      </c>
      <c r="CM20" s="8">
        <v>-143</v>
      </c>
      <c r="CN20" s="28">
        <v>146</v>
      </c>
      <c r="CO20" s="6">
        <v>-55</v>
      </c>
      <c r="CP20" s="28"/>
      <c r="CQ20" s="6">
        <v>717</v>
      </c>
      <c r="CR20" s="12">
        <v>168</v>
      </c>
      <c r="CS20" s="6">
        <v>-193</v>
      </c>
      <c r="CT20" s="28">
        <v>693</v>
      </c>
      <c r="CU20" s="6"/>
      <c r="CV20" s="28"/>
      <c r="CW20" s="6">
        <v>14</v>
      </c>
      <c r="CX20" s="28">
        <v>8</v>
      </c>
      <c r="CZ20" s="23">
        <v>275</v>
      </c>
      <c r="DA20" s="25">
        <v>254</v>
      </c>
      <c r="DB20" s="23">
        <v>-165</v>
      </c>
      <c r="DC20" s="25">
        <v>4</v>
      </c>
      <c r="DD20" s="23">
        <v>-13</v>
      </c>
      <c r="DE20" s="25">
        <v>33</v>
      </c>
      <c r="DF20" s="86">
        <v>112</v>
      </c>
      <c r="DG20" s="25">
        <v>201</v>
      </c>
      <c r="DH20" s="23">
        <v>856</v>
      </c>
      <c r="DI20" s="25">
        <v>378</v>
      </c>
      <c r="DJ20" s="23">
        <v>172</v>
      </c>
      <c r="DK20" s="28">
        <v>156</v>
      </c>
      <c r="DL20" s="8">
        <v>730</v>
      </c>
      <c r="DN20" s="8">
        <v>102</v>
      </c>
      <c r="DQ20" s="8">
        <v>-249</v>
      </c>
      <c r="DR20" s="52">
        <v>502</v>
      </c>
      <c r="DS20" s="6">
        <v>689</v>
      </c>
      <c r="DT20" s="52">
        <v>205</v>
      </c>
      <c r="DU20" s="8">
        <v>126</v>
      </c>
      <c r="DV20" s="28">
        <v>929</v>
      </c>
      <c r="DW20" s="8">
        <v>172</v>
      </c>
      <c r="DX20" s="28">
        <v>751</v>
      </c>
      <c r="DY20" s="6">
        <v>237</v>
      </c>
      <c r="DZ20" s="52">
        <v>674</v>
      </c>
      <c r="EA20" s="23">
        <v>-62</v>
      </c>
      <c r="EB20" s="52">
        <v>224</v>
      </c>
      <c r="EC20" s="6">
        <v>4</v>
      </c>
      <c r="ED20" s="28">
        <v>3</v>
      </c>
      <c r="EE20" s="8">
        <v>-456</v>
      </c>
      <c r="EF20" s="52">
        <v>612</v>
      </c>
      <c r="EG20" s="8">
        <v>-688</v>
      </c>
      <c r="EH20" s="28">
        <v>735</v>
      </c>
      <c r="EI20" s="8">
        <v>32</v>
      </c>
      <c r="EJ20" s="52">
        <v>696</v>
      </c>
      <c r="EL20" s="8">
        <v>778</v>
      </c>
      <c r="EM20" s="28">
        <v>748</v>
      </c>
      <c r="EN20" s="8">
        <v>-138</v>
      </c>
      <c r="EO20" s="28">
        <v>7</v>
      </c>
      <c r="EP20" s="8">
        <v>192</v>
      </c>
      <c r="EQ20" s="52">
        <v>206</v>
      </c>
      <c r="ER20" s="8">
        <v>545</v>
      </c>
      <c r="ES20" s="52">
        <v>551</v>
      </c>
      <c r="EU20" s="52"/>
      <c r="EV20" s="8">
        <v>502</v>
      </c>
      <c r="EX20" s="8">
        <v>225</v>
      </c>
      <c r="EY20" s="28">
        <v>168</v>
      </c>
      <c r="EZ20" s="8">
        <v>-745</v>
      </c>
      <c r="FA20" s="52">
        <v>157</v>
      </c>
      <c r="FB20" s="8">
        <v>330</v>
      </c>
      <c r="FC20" s="52">
        <v>569</v>
      </c>
      <c r="FD20" s="6">
        <v>-217</v>
      </c>
      <c r="FE20" s="28">
        <v>856</v>
      </c>
      <c r="FF20" s="8">
        <v>21</v>
      </c>
      <c r="FG20" s="28">
        <v>9</v>
      </c>
      <c r="FH20" s="8">
        <v>111</v>
      </c>
      <c r="FI20" s="28">
        <v>801</v>
      </c>
      <c r="FK20" s="52"/>
      <c r="FM20" s="8">
        <v>-419</v>
      </c>
      <c r="FN20" s="52">
        <v>365</v>
      </c>
      <c r="FO20" s="8">
        <v>266</v>
      </c>
      <c r="FP20" s="28">
        <v>795</v>
      </c>
      <c r="FQ20" s="8">
        <v>181</v>
      </c>
      <c r="FR20" s="28">
        <v>86</v>
      </c>
      <c r="FS20" s="8">
        <v>215</v>
      </c>
      <c r="FU20" s="28">
        <v>228</v>
      </c>
      <c r="FV20" s="8">
        <v>-143</v>
      </c>
      <c r="FW20" s="28">
        <v>48</v>
      </c>
      <c r="FY20" s="28"/>
      <c r="GA20" s="8">
        <v>343</v>
      </c>
      <c r="GB20" s="52">
        <v>218</v>
      </c>
      <c r="GC20" s="8">
        <v>519</v>
      </c>
      <c r="GE20" s="8">
        <v>810</v>
      </c>
      <c r="GF20" s="28">
        <v>282</v>
      </c>
      <c r="GG20" s="8">
        <v>-216</v>
      </c>
      <c r="GH20" s="28">
        <v>112</v>
      </c>
      <c r="GI20" s="8">
        <v>-5</v>
      </c>
      <c r="GJ20" s="28">
        <v>8</v>
      </c>
      <c r="GK20" s="8">
        <v>872</v>
      </c>
      <c r="GL20" s="28">
        <v>963</v>
      </c>
      <c r="GN20" s="8">
        <v>-293</v>
      </c>
      <c r="GO20" s="28">
        <v>457</v>
      </c>
      <c r="GP20" s="8">
        <v>-21</v>
      </c>
      <c r="GQ20" s="52">
        <v>317</v>
      </c>
      <c r="GR20" s="8">
        <v>509</v>
      </c>
      <c r="GS20" s="28">
        <v>152</v>
      </c>
      <c r="GT20" s="6">
        <v>880</v>
      </c>
      <c r="GU20" s="52">
        <v>745</v>
      </c>
      <c r="GV20" s="6">
        <v>131</v>
      </c>
      <c r="GW20" s="28">
        <v>147</v>
      </c>
      <c r="GX20" s="8">
        <v>138</v>
      </c>
      <c r="GY20" s="52">
        <v>80</v>
      </c>
      <c r="GZ20" s="8">
        <v>-17</v>
      </c>
      <c r="HA20" s="28">
        <v>17</v>
      </c>
      <c r="HB20" s="6">
        <v>-51</v>
      </c>
      <c r="HC20" s="28"/>
      <c r="HE20" s="8">
        <v>-37</v>
      </c>
      <c r="HF20" s="28">
        <v>67</v>
      </c>
      <c r="HG20" s="8">
        <v>-21</v>
      </c>
      <c r="HI20" s="8">
        <v>33</v>
      </c>
      <c r="HJ20" s="28">
        <v>623</v>
      </c>
      <c r="HL20" s="52"/>
      <c r="HM20" s="8">
        <v>336</v>
      </c>
      <c r="HO20" s="8">
        <v>515</v>
      </c>
      <c r="HP20" s="28">
        <v>902</v>
      </c>
      <c r="HQ20" s="6">
        <v>2</v>
      </c>
      <c r="HR20" s="28">
        <v>1</v>
      </c>
      <c r="HS20" s="8">
        <v>-5</v>
      </c>
      <c r="HT20" s="52">
        <v>205</v>
      </c>
      <c r="HV20" s="8">
        <v>-670</v>
      </c>
      <c r="HW20" s="28">
        <v>196</v>
      </c>
      <c r="HX20" s="8">
        <v>16</v>
      </c>
      <c r="HY20" s="28">
        <v>81</v>
      </c>
      <c r="HZ20" s="8">
        <v>9</v>
      </c>
      <c r="IB20" s="8">
        <v>158</v>
      </c>
      <c r="IC20" s="28">
        <v>606</v>
      </c>
      <c r="ID20" s="8">
        <v>-403</v>
      </c>
      <c r="IE20" s="28">
        <v>6</v>
      </c>
      <c r="IF20" s="8">
        <v>-802</v>
      </c>
      <c r="IG20" s="28">
        <v>455</v>
      </c>
      <c r="IH20" s="8">
        <v>872</v>
      </c>
      <c r="II20" s="28">
        <v>19</v>
      </c>
      <c r="IM20" s="8">
        <v>23</v>
      </c>
      <c r="IO20">
        <v>504</v>
      </c>
      <c r="IP20" s="10">
        <v>20</v>
      </c>
      <c r="IQ20" s="8">
        <v>8</v>
      </c>
      <c r="IR20" s="28">
        <v>3</v>
      </c>
      <c r="IS20" s="6">
        <v>355</v>
      </c>
      <c r="IT20" s="28">
        <v>241</v>
      </c>
      <c r="IU20" s="8">
        <v>804</v>
      </c>
      <c r="IV20" s="28">
        <v>69</v>
      </c>
      <c r="IW20" s="8">
        <v>-565</v>
      </c>
      <c r="IY20" s="8">
        <v>545</v>
      </c>
      <c r="JA20" s="8">
        <v>13</v>
      </c>
      <c r="JB20" s="12">
        <v>196</v>
      </c>
      <c r="JD20" s="8">
        <v>228</v>
      </c>
      <c r="JG20" s="28"/>
      <c r="JH20" s="8">
        <v>494</v>
      </c>
      <c r="JI20" s="28">
        <v>220</v>
      </c>
      <c r="JJ20" s="8">
        <v>113</v>
      </c>
      <c r="JK20" s="28">
        <v>14</v>
      </c>
      <c r="JL20" s="8">
        <v>-569</v>
      </c>
      <c r="JM20" s="12">
        <v>306</v>
      </c>
      <c r="JN20" s="8">
        <v>-3</v>
      </c>
      <c r="JO20" s="28">
        <v>5</v>
      </c>
      <c r="JP20" s="6">
        <v>-3</v>
      </c>
      <c r="JQ20" s="12">
        <v>407</v>
      </c>
      <c r="JR20" s="8">
        <v>640</v>
      </c>
      <c r="JS20" s="12">
        <v>137</v>
      </c>
      <c r="JT20" s="6">
        <v>142</v>
      </c>
      <c r="JU20" s="12">
        <v>187</v>
      </c>
      <c r="JW20" s="8">
        <v>-676</v>
      </c>
      <c r="JX20" s="12">
        <v>139</v>
      </c>
      <c r="JZ20" s="28"/>
      <c r="KA20" s="8">
        <v>152</v>
      </c>
      <c r="KB20" s="28">
        <v>46</v>
      </c>
      <c r="KD20" s="28"/>
      <c r="KE20" s="6">
        <v>-406</v>
      </c>
      <c r="KF20" s="12">
        <v>972</v>
      </c>
      <c r="KJ20" s="28"/>
      <c r="KL20" s="28"/>
      <c r="KM20" s="6"/>
      <c r="KN20" s="28"/>
      <c r="KQ20" s="8">
        <v>487</v>
      </c>
      <c r="KR20" s="28">
        <v>57</v>
      </c>
      <c r="KT20" s="8">
        <v>-5</v>
      </c>
      <c r="KU20" s="28">
        <v>1</v>
      </c>
      <c r="KV20" s="8">
        <v>131</v>
      </c>
      <c r="KY20" s="12"/>
      <c r="KZ20" s="8">
        <v>-126</v>
      </c>
      <c r="LA20" s="12">
        <v>820</v>
      </c>
      <c r="LD20" s="8">
        <v>107</v>
      </c>
      <c r="LE20" s="28">
        <v>547</v>
      </c>
      <c r="LF20" s="8">
        <v>-331</v>
      </c>
      <c r="LG20" s="28">
        <v>20</v>
      </c>
      <c r="LH20" s="6">
        <v>166</v>
      </c>
      <c r="LJ20" s="8">
        <v>455</v>
      </c>
      <c r="LK20" s="28">
        <v>156</v>
      </c>
      <c r="LL20" s="8">
        <v>16</v>
      </c>
      <c r="LM20" s="28">
        <v>8</v>
      </c>
      <c r="LN20" s="8">
        <v>-973</v>
      </c>
      <c r="LO20" s="28">
        <v>337</v>
      </c>
      <c r="LS20" s="8">
        <v>85</v>
      </c>
      <c r="LU20" s="8">
        <v>185</v>
      </c>
      <c r="LV20" s="12">
        <v>525</v>
      </c>
      <c r="LW20" s="8">
        <v>129</v>
      </c>
      <c r="LX20" s="28">
        <v>223</v>
      </c>
      <c r="LZ20" s="8">
        <v>670</v>
      </c>
      <c r="MB20" s="8">
        <v>108</v>
      </c>
      <c r="MC20" s="28">
        <v>78</v>
      </c>
      <c r="MF20" s="8">
        <v>196</v>
      </c>
      <c r="MG20" s="12">
        <v>536</v>
      </c>
      <c r="MH20" s="8">
        <v>-1</v>
      </c>
      <c r="MJ20" s="8">
        <v>151</v>
      </c>
      <c r="MK20" s="12">
        <v>195</v>
      </c>
      <c r="MN20" s="8">
        <v>218</v>
      </c>
      <c r="MO20" s="28">
        <v>704</v>
      </c>
      <c r="MS20" s="8">
        <v>-52</v>
      </c>
      <c r="MT20" s="12">
        <v>416</v>
      </c>
      <c r="MU20" s="8">
        <v>-3</v>
      </c>
      <c r="MV20" s="28">
        <v>11</v>
      </c>
      <c r="MZ20" s="8">
        <v>-368</v>
      </c>
      <c r="NA20" s="12">
        <v>21</v>
      </c>
      <c r="NC20" s="8">
        <v>-675</v>
      </c>
      <c r="ND20" s="12">
        <v>201</v>
      </c>
      <c r="NE20" s="8">
        <v>197</v>
      </c>
      <c r="NF20" s="28">
        <v>236</v>
      </c>
      <c r="NG20" s="8">
        <v>573</v>
      </c>
      <c r="NH20" s="28">
        <v>46</v>
      </c>
      <c r="NI20" s="8">
        <v>-44</v>
      </c>
      <c r="NJ20" s="28">
        <v>3</v>
      </c>
      <c r="NL20" s="8">
        <v>185</v>
      </c>
      <c r="NM20" s="28">
        <v>91</v>
      </c>
      <c r="NN20" s="8">
        <v>78</v>
      </c>
      <c r="NO20" s="28">
        <v>64</v>
      </c>
      <c r="NP20" s="8">
        <v>693</v>
      </c>
      <c r="NQ20" s="12">
        <v>165</v>
      </c>
      <c r="NR20" s="8">
        <v>-186</v>
      </c>
      <c r="NS20" s="12">
        <v>62</v>
      </c>
      <c r="NU20" s="8">
        <v>100</v>
      </c>
      <c r="NV20" s="12">
        <v>140</v>
      </c>
      <c r="NW20" s="8">
        <v>-102</v>
      </c>
      <c r="NX20" s="28">
        <v>537</v>
      </c>
      <c r="NY20" s="8">
        <v>143</v>
      </c>
      <c r="NZ20" s="12">
        <v>174</v>
      </c>
      <c r="OA20" s="8">
        <v>376</v>
      </c>
      <c r="OB20" s="28">
        <v>793</v>
      </c>
      <c r="OC20" s="8">
        <v>-466</v>
      </c>
      <c r="OD20" s="12">
        <v>420</v>
      </c>
      <c r="OE20" s="8">
        <v>-299</v>
      </c>
      <c r="OF20" s="12">
        <v>192</v>
      </c>
      <c r="OG20" s="28"/>
      <c r="OH20" s="8">
        <v>632</v>
      </c>
      <c r="OI20" s="28">
        <v>271</v>
      </c>
      <c r="OK20" s="8">
        <v>-118</v>
      </c>
      <c r="OL20" s="28">
        <v>227</v>
      </c>
      <c r="OM20" s="8">
        <v>206</v>
      </c>
      <c r="ON20" s="28">
        <v>820</v>
      </c>
      <c r="OO20" s="8">
        <v>49</v>
      </c>
      <c r="OP20" s="28">
        <v>70</v>
      </c>
      <c r="OT20" s="28"/>
      <c r="OU20" s="12"/>
      <c r="OV20" s="8">
        <v>114</v>
      </c>
      <c r="OZ20" s="12"/>
      <c r="PA20" s="8">
        <v>-319</v>
      </c>
      <c r="PC20" s="8">
        <v>181</v>
      </c>
      <c r="PD20" s="28">
        <v>202</v>
      </c>
      <c r="PE20" s="8">
        <v>-973</v>
      </c>
      <c r="PF20" s="12">
        <v>791</v>
      </c>
      <c r="PG20" s="8">
        <v>340</v>
      </c>
      <c r="PH20" s="12">
        <v>154</v>
      </c>
      <c r="PJ20" s="8">
        <v>220</v>
      </c>
      <c r="PK20" s="12">
        <v>189</v>
      </c>
      <c r="PL20" s="8">
        <v>-918</v>
      </c>
      <c r="PM20" s="28">
        <v>102</v>
      </c>
      <c r="PP20" s="8">
        <v>896</v>
      </c>
      <c r="PQ20" s="28">
        <v>14</v>
      </c>
      <c r="PR20" s="28"/>
      <c r="PS20" s="8">
        <v>-15</v>
      </c>
      <c r="PT20" s="12">
        <v>290</v>
      </c>
      <c r="PW20" s="8">
        <v>136</v>
      </c>
      <c r="PX20" s="28">
        <v>407</v>
      </c>
      <c r="PY20" s="8">
        <v>-4</v>
      </c>
      <c r="PZ20" s="12">
        <v>139</v>
      </c>
      <c r="QC20" s="8">
        <v>999</v>
      </c>
      <c r="QD20" s="12">
        <v>254</v>
      </c>
      <c r="QE20" s="8">
        <v>-210</v>
      </c>
      <c r="QF20" s="12">
        <v>390</v>
      </c>
      <c r="QH20" s="8">
        <v>-647</v>
      </c>
      <c r="QI20" s="12">
        <v>285</v>
      </c>
      <c r="QJ20" s="8">
        <v>397</v>
      </c>
      <c r="QL20" s="8">
        <v>243</v>
      </c>
      <c r="QM20" s="12">
        <v>220</v>
      </c>
      <c r="QN20" s="12"/>
      <c r="QO20" s="12"/>
      <c r="QQ20" s="8">
        <v>4</v>
      </c>
      <c r="QR20" s="12">
        <f t="shared" si="0"/>
        <v>6.6332495807107996</v>
      </c>
      <c r="QS20" s="8">
        <v>44</v>
      </c>
      <c r="QT20" s="8">
        <v>-15</v>
      </c>
      <c r="QU20" s="12">
        <v>15</v>
      </c>
      <c r="QV20" s="6">
        <v>496</v>
      </c>
      <c r="QW20" s="12">
        <v>195</v>
      </c>
      <c r="QY20" s="8">
        <v>38</v>
      </c>
      <c r="QZ20" s="12">
        <v>113</v>
      </c>
      <c r="RA20" s="8">
        <v>325</v>
      </c>
      <c r="RB20" s="12">
        <v>627</v>
      </c>
      <c r="RC20" s="6">
        <v>-707</v>
      </c>
      <c r="RD20" s="12">
        <v>227</v>
      </c>
      <c r="RE20" s="6">
        <v>-110</v>
      </c>
      <c r="RF20" s="12">
        <v>917</v>
      </c>
      <c r="RG20" s="8">
        <v>-481</v>
      </c>
      <c r="RH20" s="28">
        <v>78</v>
      </c>
      <c r="RJ20" s="8">
        <v>-2</v>
      </c>
      <c r="RK20" s="12">
        <v>96</v>
      </c>
      <c r="RL20" s="8">
        <v>-47</v>
      </c>
      <c r="RM20" s="12">
        <v>32</v>
      </c>
      <c r="RQ20" s="9"/>
      <c r="RR20" s="48"/>
      <c r="RS20" s="54" t="s">
        <v>205</v>
      </c>
      <c r="RT20" s="49" t="s">
        <v>206</v>
      </c>
      <c r="RV20" s="8">
        <v>107</v>
      </c>
      <c r="RW20" s="52">
        <v>162</v>
      </c>
      <c r="RY20" s="48" t="s">
        <v>150</v>
      </c>
      <c r="RZ20" s="49" t="s">
        <v>151</v>
      </c>
      <c r="SA20" s="8">
        <v>8</v>
      </c>
      <c r="SB20" s="28">
        <v>10</v>
      </c>
      <c r="SD20" s="8">
        <v>457</v>
      </c>
      <c r="SE20" s="12">
        <v>256</v>
      </c>
      <c r="SF20" s="8">
        <v>-148</v>
      </c>
      <c r="SG20" s="12">
        <v>614</v>
      </c>
      <c r="SK20" s="8">
        <v>-594</v>
      </c>
      <c r="SL20" s="12">
        <v>59</v>
      </c>
      <c r="SP20" s="8">
        <v>-880</v>
      </c>
      <c r="SQ20" s="12">
        <v>87</v>
      </c>
      <c r="SU20" s="8">
        <v>-314</v>
      </c>
      <c r="SV20" s="28">
        <v>143</v>
      </c>
      <c r="SW20" s="8">
        <v>7</v>
      </c>
      <c r="SX20" s="28">
        <v>12</v>
      </c>
      <c r="SY20" s="6">
        <v>-84</v>
      </c>
      <c r="SZ20" s="28">
        <v>120</v>
      </c>
      <c r="TA20" s="6"/>
      <c r="TB20" s="6"/>
      <c r="TC20" s="8">
        <v>-974</v>
      </c>
      <c r="TD20" s="28">
        <v>521</v>
      </c>
      <c r="TH20" s="8">
        <v>-543</v>
      </c>
      <c r="TI20" s="28">
        <v>79</v>
      </c>
      <c r="TM20" s="8">
        <v>17</v>
      </c>
      <c r="TN20" s="28">
        <v>64</v>
      </c>
      <c r="TP20" s="28"/>
      <c r="TQ20" s="8">
        <v>37</v>
      </c>
      <c r="TR20" s="28">
        <v>10</v>
      </c>
      <c r="TX20" s="8">
        <v>114</v>
      </c>
      <c r="TY20" s="28">
        <v>462</v>
      </c>
      <c r="TZ20" s="8">
        <v>-524</v>
      </c>
      <c r="UA20" s="12">
        <v>530</v>
      </c>
      <c r="UB20" s="8">
        <v>1</v>
      </c>
      <c r="UC20" s="12">
        <v>195</v>
      </c>
      <c r="UE20" s="8">
        <v>213</v>
      </c>
      <c r="UF20" s="12">
        <v>129</v>
      </c>
      <c r="UG20" s="8">
        <v>385</v>
      </c>
      <c r="UH20" s="12">
        <v>309</v>
      </c>
      <c r="UI20" s="8">
        <v>437</v>
      </c>
      <c r="UJ20" s="12">
        <v>112</v>
      </c>
      <c r="UL20" s="8">
        <v>165</v>
      </c>
      <c r="UM20" s="28">
        <v>17</v>
      </c>
      <c r="UN20" s="8">
        <v>186</v>
      </c>
      <c r="UO20" s="12">
        <v>10</v>
      </c>
      <c r="US20" s="8">
        <v>-455</v>
      </c>
      <c r="UT20" s="12">
        <v>212</v>
      </c>
      <c r="UU20" s="8">
        <v>79</v>
      </c>
      <c r="UV20" s="12">
        <v>112</v>
      </c>
      <c r="UZ20" s="8">
        <v>344</v>
      </c>
      <c r="VA20" s="12">
        <v>397</v>
      </c>
      <c r="VB20" s="8">
        <v>412</v>
      </c>
      <c r="VC20" s="12">
        <v>269</v>
      </c>
      <c r="VD20" s="8">
        <v>36</v>
      </c>
      <c r="VE20" s="12">
        <v>159</v>
      </c>
      <c r="VF20" s="8">
        <v>144</v>
      </c>
      <c r="VG20" s="12">
        <v>995</v>
      </c>
      <c r="VH20" s="8">
        <v>227</v>
      </c>
      <c r="VI20" s="28">
        <v>166</v>
      </c>
      <c r="VL20" s="21"/>
      <c r="VM20" s="8">
        <v>-9826</v>
      </c>
      <c r="VQ20" s="8">
        <v>46</v>
      </c>
      <c r="VR20" s="28">
        <v>18</v>
      </c>
      <c r="VS20" s="8">
        <v>4720</v>
      </c>
      <c r="VT20" s="12">
        <v>4655</v>
      </c>
      <c r="VV20" s="8">
        <v>848</v>
      </c>
      <c r="VW20" s="28">
        <v>710</v>
      </c>
      <c r="VX20" s="8">
        <v>19</v>
      </c>
      <c r="VY20" s="12">
        <v>348</v>
      </c>
      <c r="VZ20" s="8">
        <v>-121</v>
      </c>
      <c r="WA20" s="28">
        <v>916</v>
      </c>
      <c r="WB20" s="8">
        <v>5537</v>
      </c>
      <c r="WC20" s="12">
        <v>877</v>
      </c>
      <c r="WG20" s="8">
        <v>755</v>
      </c>
      <c r="WH20" s="28">
        <v>259</v>
      </c>
      <c r="WI20" s="8">
        <v>9024</v>
      </c>
      <c r="WL20">
        <v>-676</v>
      </c>
      <c r="WM20" s="1">
        <v>383</v>
      </c>
      <c r="WN20">
        <v>207</v>
      </c>
      <c r="WO20" s="12">
        <v>222</v>
      </c>
      <c r="WP20" s="2">
        <v>249</v>
      </c>
      <c r="WQ20" s="1">
        <v>100</v>
      </c>
      <c r="WR20" s="10"/>
      <c r="WS20" s="10"/>
      <c r="WT20" s="10"/>
      <c r="WU20" s="10"/>
      <c r="WV20" s="10"/>
      <c r="WX20">
        <v>5238</v>
      </c>
      <c r="WY20" s="10">
        <v>113</v>
      </c>
      <c r="XB20" s="23">
        <v>2</v>
      </c>
      <c r="XE20">
        <v>403</v>
      </c>
      <c r="XF20" s="1">
        <v>92</v>
      </c>
      <c r="XG20" s="2">
        <v>48526</v>
      </c>
      <c r="XH20" s="10"/>
      <c r="XK20">
        <v>77</v>
      </c>
      <c r="XL20" s="1">
        <v>37</v>
      </c>
      <c r="XM20">
        <v>290</v>
      </c>
      <c r="XN20" s="1">
        <v>35</v>
      </c>
      <c r="XO20">
        <v>87</v>
      </c>
      <c r="XP20" s="1">
        <v>69</v>
      </c>
    </row>
    <row r="21" spans="1:640" x14ac:dyDescent="0.25">
      <c r="C21" s="3"/>
      <c r="D21" s="3"/>
      <c r="E21">
        <v>184</v>
      </c>
      <c r="F21" s="1">
        <v>206</v>
      </c>
      <c r="G21" s="2">
        <v>-5746</v>
      </c>
      <c r="I21" s="2">
        <v>-565</v>
      </c>
      <c r="K21" s="2">
        <v>3051</v>
      </c>
      <c r="L21" s="1">
        <v>215</v>
      </c>
      <c r="M21">
        <v>311</v>
      </c>
      <c r="N21" s="1">
        <v>69</v>
      </c>
      <c r="O21" s="26"/>
      <c r="P21">
        <v>86</v>
      </c>
      <c r="Q21" s="1">
        <v>17</v>
      </c>
      <c r="R21">
        <v>-185</v>
      </c>
      <c r="S21" s="12">
        <v>1946</v>
      </c>
      <c r="T21">
        <v>-2399</v>
      </c>
      <c r="U21" s="1">
        <v>541</v>
      </c>
      <c r="V21">
        <v>5</v>
      </c>
      <c r="W21" s="10">
        <v>143</v>
      </c>
      <c r="X21">
        <v>66</v>
      </c>
      <c r="Z21">
        <v>16</v>
      </c>
      <c r="AA21" s="1">
        <v>3</v>
      </c>
      <c r="AB21">
        <v>-77</v>
      </c>
      <c r="AC21" s="1">
        <v>29</v>
      </c>
      <c r="AD21">
        <v>-2</v>
      </c>
      <c r="AE21" s="1">
        <v>3</v>
      </c>
      <c r="AF21">
        <v>-113</v>
      </c>
      <c r="AG21" s="1">
        <v>102</v>
      </c>
      <c r="AJ21" s="2">
        <v>7</v>
      </c>
      <c r="AK21" s="10">
        <v>72</v>
      </c>
      <c r="AN21">
        <v>847</v>
      </c>
      <c r="AO21" s="1">
        <v>191</v>
      </c>
      <c r="AQ21">
        <v>-354</v>
      </c>
      <c r="AR21" s="1">
        <v>1009</v>
      </c>
      <c r="AY21">
        <v>-2</v>
      </c>
      <c r="AZ21" s="1">
        <v>11</v>
      </c>
      <c r="BA21">
        <v>-210</v>
      </c>
      <c r="BB21" s="1">
        <v>491</v>
      </c>
      <c r="BD21" s="8">
        <v>2012</v>
      </c>
      <c r="BE21" s="1">
        <v>171</v>
      </c>
      <c r="BF21">
        <v>358</v>
      </c>
      <c r="BG21" s="1">
        <v>216</v>
      </c>
      <c r="BH21">
        <v>-1097</v>
      </c>
      <c r="BI21" s="1">
        <v>2458</v>
      </c>
      <c r="BJ21">
        <v>-74</v>
      </c>
      <c r="BL21">
        <v>2454</v>
      </c>
      <c r="BM21" s="1">
        <v>70</v>
      </c>
      <c r="BN21">
        <v>175</v>
      </c>
      <c r="BP21">
        <v>-304</v>
      </c>
      <c r="BQ21" s="10">
        <v>4743</v>
      </c>
      <c r="BR21">
        <v>324</v>
      </c>
      <c r="BS21" s="1">
        <v>421</v>
      </c>
      <c r="BT21">
        <v>-223</v>
      </c>
      <c r="BU21" s="1">
        <v>473</v>
      </c>
      <c r="BV21">
        <v>41</v>
      </c>
      <c r="BW21" s="1">
        <v>3</v>
      </c>
      <c r="BX21">
        <v>-56</v>
      </c>
      <c r="CA21" s="8">
        <v>-95</v>
      </c>
      <c r="CB21" s="28">
        <v>49</v>
      </c>
      <c r="CC21" s="8">
        <v>-237</v>
      </c>
      <c r="CD21" s="28">
        <v>757</v>
      </c>
      <c r="CE21" s="8">
        <v>271</v>
      </c>
      <c r="CF21" s="28">
        <v>13</v>
      </c>
      <c r="CG21" s="8">
        <v>-124</v>
      </c>
      <c r="CI21" s="8">
        <v>202</v>
      </c>
      <c r="CJ21" s="12">
        <v>316</v>
      </c>
      <c r="CK21" s="6">
        <v>56</v>
      </c>
      <c r="CL21" s="28">
        <v>39</v>
      </c>
      <c r="CM21" s="8">
        <v>121</v>
      </c>
      <c r="CN21" s="28">
        <v>456</v>
      </c>
      <c r="CO21" s="6">
        <v>-33</v>
      </c>
      <c r="CP21" s="28"/>
      <c r="CQ21" s="6">
        <v>737</v>
      </c>
      <c r="CR21" s="12">
        <v>167</v>
      </c>
      <c r="CS21" s="6">
        <v>545</v>
      </c>
      <c r="CT21" s="28">
        <v>549</v>
      </c>
      <c r="CU21" s="6"/>
      <c r="CV21" s="28"/>
      <c r="CW21" s="6">
        <v>65</v>
      </c>
      <c r="CX21" s="28">
        <v>22</v>
      </c>
      <c r="CZ21" s="23">
        <v>242</v>
      </c>
      <c r="DA21" s="25">
        <v>282</v>
      </c>
      <c r="DB21" s="23">
        <v>102</v>
      </c>
      <c r="DC21" s="25">
        <v>3</v>
      </c>
      <c r="DD21" s="23">
        <v>42</v>
      </c>
      <c r="DE21" s="25">
        <v>40</v>
      </c>
      <c r="DF21" s="86">
        <v>110</v>
      </c>
      <c r="DG21" s="25">
        <v>300</v>
      </c>
      <c r="DH21" s="23">
        <v>645</v>
      </c>
      <c r="DI21" s="25">
        <v>550</v>
      </c>
      <c r="DJ21" s="23">
        <v>-260</v>
      </c>
      <c r="DK21" s="28">
        <v>118</v>
      </c>
      <c r="DL21" s="8">
        <v>671</v>
      </c>
      <c r="DN21" s="8">
        <v>251</v>
      </c>
      <c r="DQ21" s="8">
        <v>740</v>
      </c>
      <c r="DR21" s="52">
        <v>137</v>
      </c>
      <c r="DS21" s="6">
        <v>6</v>
      </c>
      <c r="DT21" s="52">
        <v>46</v>
      </c>
      <c r="DU21" s="8">
        <v>-176</v>
      </c>
      <c r="DV21" s="28">
        <v>132</v>
      </c>
      <c r="DW21" s="8">
        <v>-27</v>
      </c>
      <c r="DX21" s="28">
        <v>237</v>
      </c>
      <c r="DY21" s="6">
        <v>309</v>
      </c>
      <c r="DZ21" s="52">
        <v>692</v>
      </c>
      <c r="EA21" s="23">
        <v>692</v>
      </c>
      <c r="EB21" s="52">
        <v>176</v>
      </c>
      <c r="EC21" s="6">
        <v>3</v>
      </c>
      <c r="ED21" s="28">
        <v>3</v>
      </c>
      <c r="EE21" s="8">
        <v>-413</v>
      </c>
      <c r="EF21" s="52">
        <v>369</v>
      </c>
      <c r="EG21" s="8">
        <v>-608</v>
      </c>
      <c r="EH21" s="28">
        <v>745</v>
      </c>
      <c r="EI21" s="8">
        <v>1</v>
      </c>
      <c r="EJ21" s="52">
        <v>380</v>
      </c>
      <c r="EL21" s="8">
        <v>-582</v>
      </c>
      <c r="EM21" s="28">
        <v>510</v>
      </c>
      <c r="EN21" s="8">
        <v>32</v>
      </c>
      <c r="EO21" s="28">
        <v>1</v>
      </c>
      <c r="EP21" s="8">
        <v>299</v>
      </c>
      <c r="EQ21" s="52">
        <v>280</v>
      </c>
      <c r="ER21" s="8">
        <v>552</v>
      </c>
      <c r="ES21" s="52">
        <v>553</v>
      </c>
      <c r="EU21" s="52"/>
      <c r="EV21" s="8">
        <v>642</v>
      </c>
      <c r="EX21" s="8">
        <v>301</v>
      </c>
      <c r="EY21" s="28">
        <v>180</v>
      </c>
      <c r="EZ21" s="8">
        <v>174</v>
      </c>
      <c r="FA21" s="52">
        <v>693</v>
      </c>
      <c r="FB21" s="8">
        <v>28</v>
      </c>
      <c r="FC21" s="52">
        <v>12</v>
      </c>
      <c r="FD21" s="6">
        <v>926</v>
      </c>
      <c r="FE21" s="28">
        <v>650</v>
      </c>
      <c r="FF21" s="8">
        <v>994</v>
      </c>
      <c r="FG21" s="28">
        <v>33</v>
      </c>
      <c r="FH21" s="8">
        <v>129</v>
      </c>
      <c r="FI21" s="28">
        <v>17</v>
      </c>
      <c r="FK21" s="52"/>
      <c r="FM21" s="8">
        <v>-125</v>
      </c>
      <c r="FN21" s="52">
        <v>149</v>
      </c>
      <c r="FO21" s="8">
        <v>622</v>
      </c>
      <c r="FP21" s="28">
        <v>839</v>
      </c>
      <c r="FQ21" s="8">
        <v>38</v>
      </c>
      <c r="FR21" s="28">
        <v>3</v>
      </c>
      <c r="FS21" s="8">
        <v>-309</v>
      </c>
      <c r="FU21" s="28">
        <v>346</v>
      </c>
      <c r="FV21" s="8">
        <v>-141</v>
      </c>
      <c r="FW21" s="28">
        <v>26</v>
      </c>
      <c r="FY21" s="28"/>
      <c r="GA21" s="8">
        <v>-196</v>
      </c>
      <c r="GB21" s="52">
        <v>66</v>
      </c>
      <c r="GC21" s="8">
        <v>4</v>
      </c>
      <c r="GE21" s="8">
        <v>-376</v>
      </c>
      <c r="GF21" s="28">
        <v>139</v>
      </c>
      <c r="GG21" s="8">
        <v>-219</v>
      </c>
      <c r="GH21" s="28">
        <v>106</v>
      </c>
      <c r="GI21" s="8">
        <v>12</v>
      </c>
      <c r="GJ21" s="28">
        <v>22</v>
      </c>
      <c r="GK21" s="8">
        <v>192</v>
      </c>
      <c r="GL21" s="28">
        <v>722</v>
      </c>
      <c r="GN21" s="8">
        <v>209</v>
      </c>
      <c r="GO21" s="28">
        <v>148</v>
      </c>
      <c r="GP21" s="8">
        <v>-242</v>
      </c>
      <c r="GQ21" s="52">
        <v>586</v>
      </c>
      <c r="GR21" s="8">
        <v>-1</v>
      </c>
      <c r="GS21" s="28">
        <v>235</v>
      </c>
      <c r="GT21" s="6">
        <v>-131</v>
      </c>
      <c r="GU21" s="52">
        <v>110</v>
      </c>
      <c r="GV21" s="6">
        <v>214</v>
      </c>
      <c r="GW21" s="28">
        <v>133</v>
      </c>
      <c r="GX21" s="8">
        <v>876</v>
      </c>
      <c r="GY21" s="52">
        <v>117</v>
      </c>
      <c r="GZ21" s="8">
        <v>248</v>
      </c>
      <c r="HA21" s="28">
        <v>206</v>
      </c>
      <c r="HB21" s="6">
        <v>30</v>
      </c>
      <c r="HC21" s="28"/>
      <c r="HE21" s="8">
        <v>-88</v>
      </c>
      <c r="HF21" s="28">
        <v>132</v>
      </c>
      <c r="HG21" s="8">
        <v>34</v>
      </c>
      <c r="HJ21" s="28"/>
      <c r="HL21" s="52"/>
      <c r="HO21" s="8">
        <v>188</v>
      </c>
      <c r="HP21" s="28">
        <v>857</v>
      </c>
      <c r="HQ21" s="6">
        <v>-1</v>
      </c>
      <c r="HR21" s="28">
        <v>1</v>
      </c>
      <c r="HS21" s="8">
        <v>-51</v>
      </c>
      <c r="HT21" s="52">
        <v>166</v>
      </c>
      <c r="HV21" s="8">
        <v>-215</v>
      </c>
      <c r="HW21" s="28">
        <v>887</v>
      </c>
      <c r="HX21" s="8">
        <v>-281</v>
      </c>
      <c r="HY21" s="28">
        <v>134</v>
      </c>
      <c r="HZ21" s="8">
        <v>-1</v>
      </c>
      <c r="IB21" s="8">
        <v>-159</v>
      </c>
      <c r="IC21" s="28">
        <v>861</v>
      </c>
      <c r="ID21" s="8">
        <v>117</v>
      </c>
      <c r="IE21" s="28">
        <v>770</v>
      </c>
      <c r="IF21" s="8">
        <v>-193</v>
      </c>
      <c r="IG21" s="28">
        <v>109</v>
      </c>
      <c r="IH21" s="8">
        <v>-109</v>
      </c>
      <c r="II21" s="28">
        <v>120</v>
      </c>
      <c r="IM21" s="8">
        <v>87</v>
      </c>
      <c r="IO21">
        <v>-823</v>
      </c>
      <c r="IP21" s="10">
        <v>125</v>
      </c>
      <c r="IQ21" s="8">
        <v>8</v>
      </c>
      <c r="IR21" s="28">
        <v>3</v>
      </c>
      <c r="IS21" s="6">
        <v>-301</v>
      </c>
      <c r="IT21" s="28">
        <v>572</v>
      </c>
      <c r="IU21" s="8">
        <v>139</v>
      </c>
      <c r="IV21" s="28">
        <v>572</v>
      </c>
      <c r="IW21" s="8">
        <v>-174</v>
      </c>
      <c r="IY21" s="8">
        <v>471</v>
      </c>
      <c r="JA21" s="8">
        <v>48</v>
      </c>
      <c r="JB21" s="12">
        <v>611</v>
      </c>
      <c r="JD21" s="8">
        <v>-58</v>
      </c>
      <c r="JG21" s="28"/>
      <c r="JH21" s="8">
        <v>380</v>
      </c>
      <c r="JI21" s="28">
        <v>134</v>
      </c>
      <c r="JJ21" s="8">
        <v>97</v>
      </c>
      <c r="JK21" s="28">
        <v>34</v>
      </c>
      <c r="JL21" s="8">
        <v>119</v>
      </c>
      <c r="JM21" s="12">
        <v>229</v>
      </c>
      <c r="JN21" s="8">
        <v>3</v>
      </c>
      <c r="JO21" s="28">
        <v>3</v>
      </c>
      <c r="JP21" s="6">
        <v>126</v>
      </c>
      <c r="JQ21" s="12">
        <v>732</v>
      </c>
      <c r="JR21" s="8">
        <v>353</v>
      </c>
      <c r="JS21" s="12">
        <v>202</v>
      </c>
      <c r="JT21" s="6">
        <v>-126</v>
      </c>
      <c r="JU21" s="12">
        <v>104</v>
      </c>
      <c r="JW21" s="8">
        <v>-334</v>
      </c>
      <c r="JX21" s="12">
        <v>491</v>
      </c>
      <c r="JZ21" s="28"/>
      <c r="KA21" s="8">
        <v>75</v>
      </c>
      <c r="KB21" s="28">
        <v>27</v>
      </c>
      <c r="KD21" s="28"/>
      <c r="KE21" s="6">
        <v>-365</v>
      </c>
      <c r="KF21" s="12">
        <v>155</v>
      </c>
      <c r="KJ21" s="28"/>
      <c r="KL21" s="28"/>
      <c r="KM21" s="6"/>
      <c r="KN21" s="28"/>
      <c r="KQ21" s="8">
        <v>615</v>
      </c>
      <c r="KR21" s="28">
        <v>63</v>
      </c>
      <c r="KT21" s="8">
        <v>3</v>
      </c>
      <c r="KU21" s="28">
        <v>8</v>
      </c>
      <c r="KV21" s="8">
        <v>349</v>
      </c>
      <c r="KY21" s="12"/>
      <c r="KZ21" s="8">
        <v>192</v>
      </c>
      <c r="LA21" s="12">
        <v>89</v>
      </c>
      <c r="LD21" s="8">
        <v>-718</v>
      </c>
      <c r="LE21" s="28">
        <v>476</v>
      </c>
      <c r="LF21" s="8">
        <v>-359</v>
      </c>
      <c r="LG21" s="28">
        <v>20</v>
      </c>
      <c r="LH21" s="6">
        <v>-760</v>
      </c>
      <c r="LJ21" s="8">
        <v>441</v>
      </c>
      <c r="LK21" s="28">
        <v>187</v>
      </c>
      <c r="LL21" s="8">
        <v>-5</v>
      </c>
      <c r="LM21" s="28">
        <v>3</v>
      </c>
      <c r="LN21" s="8">
        <v>-190</v>
      </c>
      <c r="LO21" s="28">
        <v>953</v>
      </c>
      <c r="LS21" s="8">
        <v>84</v>
      </c>
      <c r="LU21" s="8">
        <v>-569</v>
      </c>
      <c r="LV21" s="12">
        <v>305</v>
      </c>
      <c r="LW21" s="8">
        <v>170</v>
      </c>
      <c r="LX21" s="28">
        <v>212</v>
      </c>
      <c r="LZ21" s="8">
        <v>775</v>
      </c>
      <c r="MB21" s="8">
        <v>101</v>
      </c>
      <c r="MC21" s="28">
        <v>82</v>
      </c>
      <c r="MF21" s="8">
        <v>245</v>
      </c>
      <c r="MG21" s="12">
        <v>650</v>
      </c>
      <c r="MH21" s="8">
        <v>472</v>
      </c>
      <c r="MJ21" s="8">
        <v>-36</v>
      </c>
      <c r="MK21" s="12">
        <v>124</v>
      </c>
      <c r="MN21" s="8">
        <v>406</v>
      </c>
      <c r="MO21" s="28">
        <v>132</v>
      </c>
      <c r="MS21" s="8">
        <v>-97</v>
      </c>
      <c r="MT21" s="12">
        <v>463</v>
      </c>
      <c r="MU21" s="8">
        <v>12</v>
      </c>
      <c r="MV21" s="28">
        <v>14</v>
      </c>
      <c r="MZ21" s="8">
        <v>704</v>
      </c>
      <c r="NA21" s="12">
        <v>33</v>
      </c>
      <c r="NC21" s="8">
        <v>48</v>
      </c>
      <c r="ND21" s="12">
        <v>11</v>
      </c>
      <c r="NE21" s="8">
        <v>453</v>
      </c>
      <c r="NF21" s="28">
        <v>295</v>
      </c>
      <c r="NG21" s="8">
        <v>-124</v>
      </c>
      <c r="NH21" s="28">
        <v>35</v>
      </c>
      <c r="NI21" s="8">
        <v>40</v>
      </c>
      <c r="NJ21" s="28">
        <v>5</v>
      </c>
      <c r="NL21" s="8">
        <v>393</v>
      </c>
      <c r="NM21" s="28">
        <v>121</v>
      </c>
      <c r="NN21" s="8">
        <v>623</v>
      </c>
      <c r="NO21" s="28">
        <v>393</v>
      </c>
      <c r="NP21" s="8">
        <v>865</v>
      </c>
      <c r="NQ21" s="12">
        <v>142</v>
      </c>
      <c r="NR21" s="8">
        <v>30</v>
      </c>
      <c r="NS21" s="12">
        <v>34</v>
      </c>
      <c r="NU21" s="8">
        <v>22</v>
      </c>
      <c r="NV21" s="12">
        <v>94</v>
      </c>
      <c r="NW21" s="8">
        <v>-121</v>
      </c>
      <c r="NX21" s="28">
        <v>598</v>
      </c>
      <c r="NY21" s="8">
        <v>-702</v>
      </c>
      <c r="NZ21" s="12">
        <v>253</v>
      </c>
      <c r="OA21" s="8">
        <v>-188</v>
      </c>
      <c r="OB21" s="28">
        <v>290</v>
      </c>
      <c r="OC21" s="8">
        <v>-280</v>
      </c>
      <c r="OD21" s="12">
        <v>277</v>
      </c>
      <c r="OE21" s="8">
        <v>946</v>
      </c>
      <c r="OG21" s="28">
        <v>138</v>
      </c>
      <c r="OH21" s="8">
        <v>-227</v>
      </c>
      <c r="OI21" s="28">
        <v>247</v>
      </c>
      <c r="OK21" s="8">
        <v>19</v>
      </c>
      <c r="OL21" s="28">
        <v>211</v>
      </c>
      <c r="OM21" s="8">
        <v>-331</v>
      </c>
      <c r="ON21" s="28">
        <v>663</v>
      </c>
      <c r="OO21" s="8">
        <v>-131</v>
      </c>
      <c r="OP21" s="28">
        <v>106</v>
      </c>
      <c r="OT21" s="28"/>
      <c r="OU21" s="12"/>
      <c r="OV21" s="8">
        <v>316</v>
      </c>
      <c r="OZ21" s="12"/>
      <c r="PA21" s="8">
        <v>-238</v>
      </c>
      <c r="PC21" s="8">
        <v>187</v>
      </c>
      <c r="PD21" s="28">
        <v>42</v>
      </c>
      <c r="PE21" s="8">
        <v>-245</v>
      </c>
      <c r="PF21" s="12">
        <v>163</v>
      </c>
      <c r="PG21" s="8">
        <v>733</v>
      </c>
      <c r="PH21" s="12">
        <v>201</v>
      </c>
      <c r="PJ21" s="8">
        <v>50</v>
      </c>
      <c r="PK21" s="12">
        <v>679</v>
      </c>
      <c r="PL21" s="8">
        <v>22</v>
      </c>
      <c r="PM21" s="28">
        <v>3</v>
      </c>
      <c r="PP21" s="8">
        <v>726</v>
      </c>
      <c r="PQ21" s="28">
        <v>19</v>
      </c>
      <c r="PR21" s="28"/>
      <c r="PS21" s="8">
        <v>12</v>
      </c>
      <c r="PT21" s="12">
        <v>123</v>
      </c>
      <c r="PW21" s="8">
        <v>-62</v>
      </c>
      <c r="PX21" s="28">
        <v>73</v>
      </c>
      <c r="PY21" s="8">
        <v>-3</v>
      </c>
      <c r="PZ21" s="12">
        <v>177</v>
      </c>
      <c r="QC21" s="8">
        <v>338</v>
      </c>
      <c r="QD21" s="12">
        <v>370</v>
      </c>
      <c r="QE21" s="8">
        <v>318</v>
      </c>
      <c r="QF21" s="12">
        <v>226</v>
      </c>
      <c r="QH21" s="8">
        <v>-49</v>
      </c>
      <c r="QI21" s="12">
        <v>667</v>
      </c>
      <c r="QJ21" s="8">
        <v>-15</v>
      </c>
      <c r="QL21" s="8">
        <v>-4</v>
      </c>
      <c r="QM21" s="12">
        <v>288</v>
      </c>
      <c r="QN21" s="12"/>
      <c r="QO21" s="12"/>
      <c r="QQ21" s="8">
        <v>171</v>
      </c>
      <c r="QR21" s="12">
        <f t="shared" si="0"/>
        <v>28.053520278211074</v>
      </c>
      <c r="QS21" s="8">
        <v>787</v>
      </c>
      <c r="QT21" s="8">
        <v>928</v>
      </c>
      <c r="QU21" s="12">
        <v>139</v>
      </c>
      <c r="QV21" s="6">
        <v>189</v>
      </c>
      <c r="QW21" s="12">
        <v>448</v>
      </c>
      <c r="QY21" s="8">
        <v>91</v>
      </c>
      <c r="QZ21" s="12">
        <v>94</v>
      </c>
      <c r="RA21" s="8">
        <v>-141</v>
      </c>
      <c r="RB21" s="12">
        <v>360</v>
      </c>
      <c r="RC21" s="6">
        <v>102</v>
      </c>
      <c r="RD21" s="12">
        <v>87</v>
      </c>
      <c r="RE21" s="6">
        <v>628</v>
      </c>
      <c r="RF21" s="12">
        <v>417</v>
      </c>
      <c r="RG21" s="8">
        <v>131</v>
      </c>
      <c r="RH21" s="28">
        <v>107</v>
      </c>
      <c r="RJ21" s="8">
        <v>-130</v>
      </c>
      <c r="RK21" s="12">
        <v>261</v>
      </c>
      <c r="RL21" s="8">
        <v>10</v>
      </c>
      <c r="RM21" s="12">
        <v>411</v>
      </c>
      <c r="RQ21" s="9"/>
      <c r="RR21" s="48"/>
      <c r="RS21" s="54" t="s">
        <v>173</v>
      </c>
      <c r="RT21" s="49" t="s">
        <v>207</v>
      </c>
      <c r="RV21" s="8">
        <v>196</v>
      </c>
      <c r="RW21" s="52">
        <v>200</v>
      </c>
      <c r="RY21" s="48" t="s">
        <v>152</v>
      </c>
      <c r="RZ21" s="49" t="s">
        <v>153</v>
      </c>
      <c r="SA21" s="8">
        <v>116</v>
      </c>
      <c r="SB21" s="28">
        <v>7</v>
      </c>
      <c r="SD21" s="8">
        <v>299</v>
      </c>
      <c r="SE21" s="12">
        <v>159</v>
      </c>
      <c r="SF21" s="8">
        <v>140</v>
      </c>
      <c r="SG21" s="12">
        <v>151</v>
      </c>
      <c r="SK21" s="8">
        <v>-844</v>
      </c>
      <c r="SL21" s="12">
        <v>33</v>
      </c>
      <c r="SP21" s="8">
        <v>321</v>
      </c>
      <c r="SQ21" s="12">
        <v>389</v>
      </c>
      <c r="SW21" s="8">
        <v>-170</v>
      </c>
      <c r="SX21" s="28">
        <v>131</v>
      </c>
      <c r="SY21" s="6">
        <v>-651</v>
      </c>
      <c r="SZ21" s="28">
        <v>234</v>
      </c>
      <c r="TA21" s="6"/>
      <c r="TB21" s="6"/>
      <c r="TC21" s="8">
        <v>-104</v>
      </c>
      <c r="TD21" s="28">
        <v>453</v>
      </c>
      <c r="TH21" s="8">
        <v>-614</v>
      </c>
      <c r="TI21" s="28">
        <v>57</v>
      </c>
      <c r="TM21" s="8">
        <v>870</v>
      </c>
      <c r="TN21" s="28">
        <v>109</v>
      </c>
      <c r="TP21" s="28"/>
      <c r="TQ21" s="8">
        <v>9</v>
      </c>
      <c r="TR21" s="28">
        <v>1</v>
      </c>
      <c r="TX21" s="8">
        <v>-734</v>
      </c>
      <c r="TY21" s="28">
        <v>486</v>
      </c>
      <c r="TZ21" s="8">
        <v>-503</v>
      </c>
      <c r="UA21" s="12">
        <v>536</v>
      </c>
      <c r="UB21" s="8">
        <v>-26</v>
      </c>
      <c r="UC21" s="12">
        <v>130</v>
      </c>
      <c r="UE21" s="8">
        <v>8</v>
      </c>
      <c r="UF21" s="12">
        <v>341</v>
      </c>
      <c r="UG21" s="8">
        <v>-611</v>
      </c>
      <c r="UH21" s="12">
        <v>661</v>
      </c>
      <c r="UI21" s="8">
        <v>-490</v>
      </c>
      <c r="UJ21" s="12">
        <v>144</v>
      </c>
      <c r="UL21" s="8">
        <v>133</v>
      </c>
      <c r="UM21" s="28">
        <v>25</v>
      </c>
      <c r="UN21" s="8">
        <v>-565</v>
      </c>
      <c r="UO21" s="12">
        <v>245</v>
      </c>
      <c r="US21" s="8">
        <v>181</v>
      </c>
      <c r="UT21" s="12">
        <v>97</v>
      </c>
      <c r="UU21" s="8">
        <v>-34</v>
      </c>
      <c r="UV21" s="12">
        <v>27</v>
      </c>
      <c r="UZ21" s="8">
        <v>463</v>
      </c>
      <c r="VA21" s="12">
        <v>451</v>
      </c>
      <c r="VB21" s="8">
        <v>363</v>
      </c>
      <c r="VC21" s="12">
        <v>239</v>
      </c>
      <c r="VD21" s="8">
        <v>-226</v>
      </c>
      <c r="VE21" s="12">
        <v>233</v>
      </c>
      <c r="VF21" s="8">
        <v>156</v>
      </c>
      <c r="VG21" s="12">
        <v>482</v>
      </c>
      <c r="VH21" s="8">
        <v>823</v>
      </c>
      <c r="VI21" s="28">
        <v>279</v>
      </c>
      <c r="VL21" s="21"/>
      <c r="VM21" s="8">
        <v>5136</v>
      </c>
      <c r="VQ21" s="8">
        <v>28</v>
      </c>
      <c r="VR21" s="28">
        <v>13</v>
      </c>
      <c r="VS21" s="8">
        <v>4656</v>
      </c>
      <c r="VT21" s="12">
        <v>3149</v>
      </c>
      <c r="VV21" s="8">
        <v>949</v>
      </c>
      <c r="VW21" s="28">
        <v>137</v>
      </c>
      <c r="VX21" s="8">
        <v>144</v>
      </c>
      <c r="VY21" s="12">
        <v>163</v>
      </c>
      <c r="VZ21" s="8">
        <v>-330</v>
      </c>
      <c r="WA21" s="28">
        <v>442</v>
      </c>
      <c r="WB21" s="8">
        <v>5484</v>
      </c>
      <c r="WC21" s="12">
        <v>714</v>
      </c>
      <c r="WG21" s="8">
        <v>559</v>
      </c>
      <c r="WH21" s="28">
        <v>109</v>
      </c>
      <c r="WI21" s="8">
        <v>9268</v>
      </c>
      <c r="WL21">
        <v>6</v>
      </c>
      <c r="WM21" s="1">
        <v>163</v>
      </c>
      <c r="WN21">
        <v>11</v>
      </c>
      <c r="WO21" s="12">
        <v>57</v>
      </c>
      <c r="WP21" s="2">
        <v>80</v>
      </c>
      <c r="WQ21" s="1">
        <v>80</v>
      </c>
      <c r="WR21" s="10"/>
      <c r="WS21" s="10"/>
      <c r="WT21" s="10"/>
      <c r="WU21" s="10"/>
      <c r="WV21" s="10"/>
      <c r="WX21">
        <v>-3574</v>
      </c>
      <c r="WY21" s="13"/>
      <c r="XB21" s="23">
        <v>-5</v>
      </c>
      <c r="XE21">
        <v>51630</v>
      </c>
      <c r="XF21" s="1">
        <v>7592</v>
      </c>
      <c r="XG21" s="2">
        <v>-18769</v>
      </c>
      <c r="XH21" s="10"/>
      <c r="XK21">
        <v>77</v>
      </c>
      <c r="XL21" s="1">
        <v>30</v>
      </c>
      <c r="XM21">
        <v>950</v>
      </c>
      <c r="XN21" s="1">
        <v>274</v>
      </c>
      <c r="XO21">
        <v>118</v>
      </c>
      <c r="XP21" s="1">
        <v>40</v>
      </c>
    </row>
    <row r="22" spans="1:640" x14ac:dyDescent="0.25">
      <c r="C22" s="3"/>
      <c r="D22" s="3"/>
      <c r="E22">
        <v>-136</v>
      </c>
      <c r="F22" s="1">
        <v>244</v>
      </c>
      <c r="G22" s="2">
        <v>-4619</v>
      </c>
      <c r="I22" s="2">
        <v>217</v>
      </c>
      <c r="K22" s="2">
        <v>3659</v>
      </c>
      <c r="L22" s="1">
        <v>539</v>
      </c>
      <c r="M22">
        <v>220</v>
      </c>
      <c r="N22" s="1">
        <v>23</v>
      </c>
      <c r="O22" s="26"/>
      <c r="P22">
        <v>147</v>
      </c>
      <c r="Q22" s="1">
        <v>56</v>
      </c>
      <c r="R22">
        <v>337</v>
      </c>
      <c r="S22" s="12">
        <v>188</v>
      </c>
      <c r="T22">
        <v>-2590</v>
      </c>
      <c r="U22" s="1">
        <v>564</v>
      </c>
      <c r="V22">
        <v>14</v>
      </c>
      <c r="W22" s="10">
        <v>591</v>
      </c>
      <c r="X22">
        <v>39</v>
      </c>
      <c r="Z22">
        <v>-5</v>
      </c>
      <c r="AA22" s="1">
        <v>1</v>
      </c>
      <c r="AB22">
        <v>-61</v>
      </c>
      <c r="AC22" s="1">
        <v>22</v>
      </c>
      <c r="AD22">
        <v>-4</v>
      </c>
      <c r="AE22" s="1">
        <v>3</v>
      </c>
      <c r="AF22">
        <v>154</v>
      </c>
      <c r="AG22" s="1">
        <v>860</v>
      </c>
      <c r="AJ22" s="2">
        <v>-8</v>
      </c>
      <c r="AK22" s="10">
        <v>350</v>
      </c>
      <c r="AN22">
        <v>578</v>
      </c>
      <c r="AO22" s="1">
        <v>169</v>
      </c>
      <c r="AQ22">
        <v>-375</v>
      </c>
      <c r="AR22" s="1">
        <v>800</v>
      </c>
      <c r="AY22">
        <v>-642</v>
      </c>
      <c r="AZ22" s="1">
        <v>26</v>
      </c>
      <c r="BA22">
        <v>-173</v>
      </c>
      <c r="BB22" s="1">
        <v>442</v>
      </c>
      <c r="BD22" s="8">
        <v>-3561</v>
      </c>
      <c r="BE22" s="1">
        <v>62</v>
      </c>
      <c r="BF22">
        <v>-633</v>
      </c>
      <c r="BG22" s="1">
        <v>1310</v>
      </c>
      <c r="BH22">
        <v>-7963</v>
      </c>
      <c r="BI22" s="1">
        <v>1868</v>
      </c>
      <c r="BJ22">
        <v>147</v>
      </c>
      <c r="BL22">
        <v>-31</v>
      </c>
      <c r="BM22" s="1">
        <v>6</v>
      </c>
      <c r="BN22">
        <v>6</v>
      </c>
      <c r="BP22">
        <v>-224</v>
      </c>
      <c r="BQ22" s="10">
        <v>3853</v>
      </c>
      <c r="BR22">
        <v>277</v>
      </c>
      <c r="BS22" s="1">
        <v>161</v>
      </c>
      <c r="BT22">
        <v>-244</v>
      </c>
      <c r="BU22" s="1">
        <v>105</v>
      </c>
      <c r="BV22">
        <v>41</v>
      </c>
      <c r="BW22" s="1">
        <v>3</v>
      </c>
      <c r="BX22">
        <v>-127</v>
      </c>
      <c r="CA22" s="8">
        <v>118</v>
      </c>
      <c r="CB22" s="28">
        <v>12</v>
      </c>
      <c r="CC22" s="8">
        <v>-116</v>
      </c>
      <c r="CD22" s="28">
        <v>66</v>
      </c>
      <c r="CE22" s="8">
        <v>220</v>
      </c>
      <c r="CF22" s="28">
        <v>8</v>
      </c>
      <c r="CG22" s="8">
        <v>-114</v>
      </c>
      <c r="CI22" s="8">
        <v>176</v>
      </c>
      <c r="CJ22" s="12">
        <v>102</v>
      </c>
      <c r="CK22" s="6">
        <v>57</v>
      </c>
      <c r="CL22" s="28">
        <v>31</v>
      </c>
      <c r="CM22" s="8">
        <v>343</v>
      </c>
      <c r="CN22" s="28">
        <v>292</v>
      </c>
      <c r="CO22" s="6">
        <v>-37</v>
      </c>
      <c r="CP22" s="28"/>
      <c r="CQ22" s="6">
        <v>173</v>
      </c>
      <c r="CR22" s="12">
        <v>355</v>
      </c>
      <c r="CS22" s="6">
        <v>936</v>
      </c>
      <c r="CT22" s="28">
        <v>488</v>
      </c>
      <c r="CU22" s="6"/>
      <c r="CV22" s="28"/>
      <c r="CW22" s="6">
        <v>25</v>
      </c>
      <c r="CX22" s="28">
        <v>15</v>
      </c>
      <c r="CZ22" s="23">
        <v>-95</v>
      </c>
      <c r="DA22" s="25">
        <v>24</v>
      </c>
      <c r="DB22" s="23">
        <v>-103</v>
      </c>
      <c r="DC22" s="25">
        <v>4</v>
      </c>
      <c r="DD22" s="23">
        <v>25</v>
      </c>
      <c r="DE22" s="25">
        <v>21</v>
      </c>
      <c r="DF22" s="86">
        <v>110</v>
      </c>
      <c r="DG22" s="25">
        <v>171</v>
      </c>
      <c r="DH22" s="23">
        <v>-837</v>
      </c>
      <c r="DI22" s="25">
        <v>233</v>
      </c>
      <c r="DJ22" s="23">
        <v>-376</v>
      </c>
      <c r="DK22" s="28">
        <v>136</v>
      </c>
      <c r="DL22" s="8">
        <v>553</v>
      </c>
      <c r="DN22" s="8">
        <v>293</v>
      </c>
      <c r="DQ22" s="8">
        <v>-189</v>
      </c>
      <c r="DR22" s="52">
        <v>540</v>
      </c>
      <c r="DS22" s="6">
        <v>4</v>
      </c>
      <c r="DT22" s="52">
        <v>23</v>
      </c>
      <c r="DU22" s="8">
        <v>-373</v>
      </c>
      <c r="DV22" s="28">
        <v>168</v>
      </c>
      <c r="DW22" s="8">
        <v>-25</v>
      </c>
      <c r="DX22" s="28">
        <v>309</v>
      </c>
      <c r="DY22" s="6">
        <v>-218</v>
      </c>
      <c r="DZ22" s="52">
        <v>209</v>
      </c>
      <c r="EA22" s="23">
        <v>209</v>
      </c>
      <c r="EB22" s="52">
        <v>243</v>
      </c>
      <c r="EC22" s="6">
        <v>1</v>
      </c>
      <c r="ED22" s="28">
        <v>3</v>
      </c>
      <c r="EE22" s="8">
        <v>-87</v>
      </c>
      <c r="EF22" s="52">
        <v>312</v>
      </c>
      <c r="EG22" s="8">
        <v>-105</v>
      </c>
      <c r="EH22" s="28">
        <v>212</v>
      </c>
      <c r="EI22" s="8">
        <v>-693</v>
      </c>
      <c r="EJ22" s="52">
        <v>98</v>
      </c>
      <c r="EL22" s="8">
        <v>-291</v>
      </c>
      <c r="EM22" s="28">
        <v>461</v>
      </c>
      <c r="EN22" s="8">
        <v>97</v>
      </c>
      <c r="EO22" s="28">
        <v>9</v>
      </c>
      <c r="EP22" s="8">
        <v>862</v>
      </c>
      <c r="EQ22" s="52">
        <v>815</v>
      </c>
      <c r="EU22" s="52"/>
      <c r="EV22" s="8">
        <v>247</v>
      </c>
      <c r="EX22" s="8">
        <v>258</v>
      </c>
      <c r="EY22" s="28">
        <v>125</v>
      </c>
      <c r="EZ22" s="8">
        <v>-125</v>
      </c>
      <c r="FA22" s="52">
        <v>107</v>
      </c>
      <c r="FB22" s="8">
        <v>35</v>
      </c>
      <c r="FC22" s="52">
        <v>134</v>
      </c>
      <c r="FD22" s="6">
        <v>733</v>
      </c>
      <c r="FE22" s="28">
        <v>149</v>
      </c>
      <c r="FF22" s="8">
        <v>783</v>
      </c>
      <c r="FG22" s="28">
        <v>93</v>
      </c>
      <c r="FH22" s="8">
        <v>967</v>
      </c>
      <c r="FI22" s="28">
        <v>127</v>
      </c>
      <c r="FK22" s="52"/>
      <c r="FM22" s="8">
        <v>-15</v>
      </c>
      <c r="FN22" s="52">
        <v>17</v>
      </c>
      <c r="FO22" s="8">
        <v>300</v>
      </c>
      <c r="FP22" s="28">
        <v>604</v>
      </c>
      <c r="FQ22" s="8">
        <v>14</v>
      </c>
      <c r="FR22" s="28">
        <v>2</v>
      </c>
      <c r="FS22" s="8">
        <v>-897</v>
      </c>
      <c r="FU22" s="28">
        <v>100</v>
      </c>
      <c r="FV22" s="8">
        <v>-190</v>
      </c>
      <c r="FW22" s="28">
        <v>50</v>
      </c>
      <c r="FY22" s="28"/>
      <c r="GA22" s="8">
        <v>-119</v>
      </c>
      <c r="GB22" s="52">
        <v>66</v>
      </c>
      <c r="GC22" s="8">
        <v>149</v>
      </c>
      <c r="GE22" s="8">
        <v>-428</v>
      </c>
      <c r="GF22" s="28">
        <v>146</v>
      </c>
      <c r="GG22" s="8">
        <v>3</v>
      </c>
      <c r="GH22" s="28">
        <v>32</v>
      </c>
      <c r="GI22" s="8">
        <v>4</v>
      </c>
      <c r="GJ22" s="28">
        <v>20</v>
      </c>
      <c r="GK22" s="8">
        <v>-116</v>
      </c>
      <c r="GL22" s="28">
        <v>232</v>
      </c>
      <c r="GN22" s="8">
        <v>-478</v>
      </c>
      <c r="GO22" s="28">
        <v>132</v>
      </c>
      <c r="GP22" s="8">
        <v>11</v>
      </c>
      <c r="GQ22" s="52">
        <v>193</v>
      </c>
      <c r="GR22" s="8">
        <v>458</v>
      </c>
      <c r="GS22" s="28">
        <v>179</v>
      </c>
      <c r="GT22" s="6">
        <v>82</v>
      </c>
      <c r="GU22" s="52">
        <v>414</v>
      </c>
      <c r="GV22" s="6">
        <v>-32</v>
      </c>
      <c r="GW22" s="28">
        <v>15</v>
      </c>
      <c r="GX22" s="8">
        <v>811</v>
      </c>
      <c r="GY22" s="52">
        <v>686</v>
      </c>
      <c r="GZ22" s="8">
        <v>-558</v>
      </c>
      <c r="HA22" s="28">
        <v>176</v>
      </c>
      <c r="HB22" s="6">
        <v>-17</v>
      </c>
      <c r="HC22" s="28"/>
      <c r="HE22" s="8">
        <v>-196</v>
      </c>
      <c r="HF22" s="28">
        <v>74</v>
      </c>
      <c r="HG22" s="8">
        <v>-108</v>
      </c>
      <c r="HJ22" s="28"/>
      <c r="HL22" s="52"/>
      <c r="HO22" s="8">
        <v>116</v>
      </c>
      <c r="HP22" s="28">
        <v>928</v>
      </c>
      <c r="HQ22" s="6">
        <v>3</v>
      </c>
      <c r="HR22" s="28">
        <v>1</v>
      </c>
      <c r="HS22" s="8">
        <v>72</v>
      </c>
      <c r="HT22" s="52">
        <v>341</v>
      </c>
      <c r="HV22" s="8">
        <v>976</v>
      </c>
      <c r="HW22" s="28">
        <v>650</v>
      </c>
      <c r="HX22" s="8">
        <v>-330</v>
      </c>
      <c r="HY22" s="28">
        <v>110</v>
      </c>
      <c r="HZ22" s="8">
        <v>26</v>
      </c>
      <c r="IB22" s="8">
        <v>-262</v>
      </c>
      <c r="IC22" s="28">
        <v>741</v>
      </c>
      <c r="ID22" s="8">
        <v>209</v>
      </c>
      <c r="IE22" s="28">
        <v>161</v>
      </c>
      <c r="IF22" s="8">
        <v>140</v>
      </c>
      <c r="IG22" s="28">
        <v>592</v>
      </c>
      <c r="IH22" s="8">
        <v>-275</v>
      </c>
      <c r="II22" s="28">
        <v>111</v>
      </c>
      <c r="IM22" s="8">
        <v>508</v>
      </c>
      <c r="IO22">
        <v>-130</v>
      </c>
      <c r="IP22" s="10">
        <v>197</v>
      </c>
      <c r="IQ22" s="8">
        <v>9</v>
      </c>
      <c r="IR22" s="28">
        <v>3</v>
      </c>
      <c r="IS22" s="6">
        <v>195</v>
      </c>
      <c r="IT22" s="28">
        <v>709</v>
      </c>
      <c r="IU22" s="8">
        <v>-575</v>
      </c>
      <c r="IV22" s="28">
        <v>255</v>
      </c>
      <c r="IW22" s="8">
        <v>-264</v>
      </c>
      <c r="IY22" s="8">
        <v>-117</v>
      </c>
      <c r="JA22" s="8">
        <v>18</v>
      </c>
      <c r="JB22" s="12">
        <v>196</v>
      </c>
      <c r="JD22" s="8">
        <v>313</v>
      </c>
      <c r="JG22" s="28"/>
      <c r="JH22" s="8">
        <v>-284</v>
      </c>
      <c r="JI22" s="28">
        <v>629</v>
      </c>
      <c r="JJ22" s="8">
        <v>133</v>
      </c>
      <c r="JK22" s="28">
        <v>23</v>
      </c>
      <c r="JL22" s="8">
        <v>326</v>
      </c>
      <c r="JM22" s="12">
        <v>217</v>
      </c>
      <c r="JN22" s="8">
        <v>9</v>
      </c>
      <c r="JO22" s="28">
        <v>9</v>
      </c>
      <c r="JP22" s="6">
        <v>-2</v>
      </c>
      <c r="JQ22" s="12">
        <v>524</v>
      </c>
      <c r="JR22" s="8">
        <v>869</v>
      </c>
      <c r="JS22" s="12"/>
      <c r="JT22" s="6">
        <v>-212</v>
      </c>
      <c r="JU22" s="12">
        <v>878</v>
      </c>
      <c r="JW22" s="8">
        <v>950</v>
      </c>
      <c r="JX22" s="12">
        <v>132</v>
      </c>
      <c r="JZ22" s="28"/>
      <c r="KA22" s="8">
        <v>135</v>
      </c>
      <c r="KB22" s="28">
        <v>35</v>
      </c>
      <c r="KD22" s="28"/>
      <c r="KE22" s="6">
        <v>109</v>
      </c>
      <c r="KF22" s="12">
        <v>468</v>
      </c>
      <c r="KJ22" s="28"/>
      <c r="KL22" s="28"/>
      <c r="KM22" s="6"/>
      <c r="KN22" s="28"/>
      <c r="KQ22" s="8">
        <v>108</v>
      </c>
      <c r="KR22" s="28">
        <v>49</v>
      </c>
      <c r="KT22" s="8">
        <v>-294</v>
      </c>
      <c r="KU22" s="28">
        <v>5</v>
      </c>
      <c r="KV22" s="8">
        <v>287</v>
      </c>
      <c r="KY22" s="12"/>
      <c r="KZ22" s="8">
        <v>345</v>
      </c>
      <c r="LA22" s="12">
        <v>476</v>
      </c>
      <c r="LD22" s="8">
        <v>78</v>
      </c>
      <c r="LE22" s="28">
        <v>193</v>
      </c>
      <c r="LF22" s="8">
        <v>61</v>
      </c>
      <c r="LG22" s="28">
        <v>51</v>
      </c>
      <c r="LH22" s="6">
        <v>-533</v>
      </c>
      <c r="LJ22" s="8">
        <v>-833</v>
      </c>
      <c r="LK22" s="28">
        <v>209</v>
      </c>
      <c r="LL22" s="8">
        <v>-5</v>
      </c>
      <c r="LM22" s="28">
        <v>3</v>
      </c>
      <c r="LN22" s="8">
        <v>-953</v>
      </c>
      <c r="LO22" s="28">
        <v>566</v>
      </c>
      <c r="LS22" s="8">
        <v>76</v>
      </c>
      <c r="LU22" s="8">
        <v>-9</v>
      </c>
      <c r="LV22" s="12">
        <v>139</v>
      </c>
      <c r="LW22" s="8">
        <v>53</v>
      </c>
      <c r="LX22" s="28">
        <v>188</v>
      </c>
      <c r="LZ22" s="8">
        <v>580</v>
      </c>
      <c r="MB22" s="8">
        <v>99</v>
      </c>
      <c r="MC22" s="28">
        <v>327</v>
      </c>
      <c r="MF22" s="8">
        <v>261</v>
      </c>
      <c r="MG22" s="12">
        <v>444</v>
      </c>
      <c r="MH22" s="8">
        <v>-26</v>
      </c>
      <c r="MJ22" s="8">
        <v>201</v>
      </c>
      <c r="MK22" s="12">
        <v>129</v>
      </c>
      <c r="MN22" s="8">
        <v>370</v>
      </c>
      <c r="MO22" s="28">
        <v>223</v>
      </c>
      <c r="MS22" s="8">
        <v>-309</v>
      </c>
      <c r="MT22" s="12">
        <v>587</v>
      </c>
      <c r="MU22" s="8">
        <v>58</v>
      </c>
      <c r="MV22" s="28">
        <v>10</v>
      </c>
      <c r="MZ22" s="8">
        <v>-205</v>
      </c>
      <c r="NA22" s="12">
        <v>26</v>
      </c>
      <c r="NC22" s="8">
        <v>48</v>
      </c>
      <c r="ND22" s="12">
        <v>13</v>
      </c>
      <c r="NE22" s="8">
        <v>-191</v>
      </c>
      <c r="NF22" s="28">
        <v>172</v>
      </c>
      <c r="NG22" s="8">
        <v>-89</v>
      </c>
      <c r="NH22" s="28">
        <v>29</v>
      </c>
      <c r="NI22" s="8">
        <v>147</v>
      </c>
      <c r="NJ22" s="28">
        <v>26</v>
      </c>
      <c r="NL22" s="8">
        <v>163</v>
      </c>
      <c r="NM22" s="28">
        <v>14</v>
      </c>
      <c r="NN22" s="8">
        <v>-202</v>
      </c>
      <c r="NO22" s="28">
        <v>948</v>
      </c>
      <c r="NP22" s="8">
        <v>25</v>
      </c>
      <c r="NQ22" s="12">
        <v>869</v>
      </c>
      <c r="NR22" s="8">
        <v>138</v>
      </c>
      <c r="NS22" s="12">
        <v>44</v>
      </c>
      <c r="NU22" s="8">
        <v>-106</v>
      </c>
      <c r="NV22" s="12">
        <v>114</v>
      </c>
      <c r="NW22" s="8">
        <v>-138</v>
      </c>
      <c r="NX22" s="28">
        <v>683</v>
      </c>
      <c r="NY22" s="8">
        <v>-286</v>
      </c>
      <c r="NZ22" s="12">
        <v>186</v>
      </c>
      <c r="OA22" s="8">
        <v>-366</v>
      </c>
      <c r="OB22" s="28">
        <v>329</v>
      </c>
      <c r="OC22" s="8">
        <v>366</v>
      </c>
      <c r="OD22" s="12">
        <v>210</v>
      </c>
      <c r="OE22" s="8">
        <v>644</v>
      </c>
      <c r="OG22" s="28">
        <v>295</v>
      </c>
      <c r="OH22" s="8">
        <v>641</v>
      </c>
      <c r="OI22" s="28">
        <v>527</v>
      </c>
      <c r="OK22" s="8">
        <v>754</v>
      </c>
      <c r="OL22" s="28">
        <v>271</v>
      </c>
      <c r="OM22" s="8">
        <v>-770</v>
      </c>
      <c r="ON22" s="28">
        <v>482</v>
      </c>
      <c r="OO22" s="8">
        <v>-93</v>
      </c>
      <c r="OP22" s="28">
        <v>80</v>
      </c>
      <c r="OT22" s="28"/>
      <c r="OU22" s="12"/>
      <c r="OV22" s="8">
        <v>655</v>
      </c>
      <c r="OZ22" s="12"/>
      <c r="PA22" s="8">
        <v>-59</v>
      </c>
      <c r="PC22" s="8">
        <v>444</v>
      </c>
      <c r="PD22" s="28">
        <v>222</v>
      </c>
      <c r="PE22" s="8">
        <v>151</v>
      </c>
      <c r="PF22" s="12">
        <v>389</v>
      </c>
      <c r="PG22" s="8">
        <v>-442</v>
      </c>
      <c r="PH22" s="12">
        <v>352</v>
      </c>
      <c r="PJ22" s="8">
        <v>33</v>
      </c>
      <c r="PK22" s="12">
        <v>936</v>
      </c>
      <c r="PL22" s="8">
        <v>21</v>
      </c>
      <c r="PM22" s="28">
        <v>2</v>
      </c>
      <c r="PP22" s="8">
        <v>794</v>
      </c>
      <c r="PQ22" s="28">
        <v>16</v>
      </c>
      <c r="PR22" s="28"/>
      <c r="PS22" s="8">
        <v>866</v>
      </c>
      <c r="PT22" s="12">
        <v>135</v>
      </c>
      <c r="PW22" s="8">
        <v>-271</v>
      </c>
      <c r="PX22" s="28">
        <v>66</v>
      </c>
      <c r="PY22" s="8">
        <v>39</v>
      </c>
      <c r="PZ22" s="12">
        <v>242</v>
      </c>
      <c r="QC22" s="8">
        <v>126</v>
      </c>
      <c r="QD22" s="12">
        <v>190</v>
      </c>
      <c r="QE22" s="8">
        <v>-153</v>
      </c>
      <c r="QF22" s="12">
        <v>542</v>
      </c>
      <c r="QH22" s="8">
        <v>56</v>
      </c>
      <c r="QI22" s="12">
        <v>124</v>
      </c>
      <c r="QJ22" s="8">
        <v>4</v>
      </c>
      <c r="QL22" s="8">
        <v>-4</v>
      </c>
      <c r="QM22" s="12">
        <v>91</v>
      </c>
      <c r="QN22" s="12"/>
      <c r="QO22" s="12"/>
      <c r="QQ22" s="8">
        <v>-4</v>
      </c>
      <c r="QR22" s="12">
        <f t="shared" si="0"/>
        <v>23.832750575625969</v>
      </c>
      <c r="QS22" s="8">
        <v>568</v>
      </c>
      <c r="QT22" s="8">
        <v>271</v>
      </c>
      <c r="QU22" s="12">
        <v>687</v>
      </c>
      <c r="QV22" s="6">
        <v>129</v>
      </c>
      <c r="QW22" s="12">
        <v>877</v>
      </c>
      <c r="QY22" s="8">
        <v>162</v>
      </c>
      <c r="QZ22" s="12">
        <v>137</v>
      </c>
      <c r="RA22" s="8">
        <v>-2</v>
      </c>
      <c r="RB22" s="12">
        <v>420</v>
      </c>
      <c r="RC22" s="6">
        <v>132</v>
      </c>
      <c r="RD22" s="12">
        <v>131</v>
      </c>
      <c r="RE22" s="6">
        <v>912</v>
      </c>
      <c r="RF22" s="12">
        <v>852</v>
      </c>
      <c r="RG22" s="8">
        <v>-98</v>
      </c>
      <c r="RH22" s="28">
        <v>109</v>
      </c>
      <c r="RJ22" s="8">
        <v>21</v>
      </c>
      <c r="RK22" s="12">
        <v>27</v>
      </c>
      <c r="RL22" s="8">
        <v>806</v>
      </c>
      <c r="RM22" s="12">
        <v>186</v>
      </c>
      <c r="RQ22" s="9"/>
      <c r="RR22" s="48"/>
      <c r="RS22" s="54" t="s">
        <v>208</v>
      </c>
      <c r="RT22" s="49" t="s">
        <v>209</v>
      </c>
      <c r="RV22" s="8">
        <v>377</v>
      </c>
      <c r="RW22" s="52">
        <v>293</v>
      </c>
      <c r="RY22" s="48" t="s">
        <v>154</v>
      </c>
      <c r="RZ22" s="49" t="s">
        <v>155</v>
      </c>
      <c r="SA22" s="8">
        <v>110</v>
      </c>
      <c r="SB22" s="28">
        <v>1</v>
      </c>
      <c r="SD22" s="8">
        <v>-140</v>
      </c>
      <c r="SE22" s="12">
        <v>77</v>
      </c>
      <c r="SF22" s="8">
        <v>-515</v>
      </c>
      <c r="SG22" s="12">
        <v>316</v>
      </c>
      <c r="SK22" s="8">
        <v>880</v>
      </c>
      <c r="SL22" s="12">
        <v>385</v>
      </c>
      <c r="SP22" s="8">
        <v>9</v>
      </c>
      <c r="SQ22" s="12">
        <v>122</v>
      </c>
      <c r="SW22" s="8">
        <v>481</v>
      </c>
      <c r="SX22" s="28">
        <v>134</v>
      </c>
      <c r="SY22" s="6">
        <v>-100</v>
      </c>
      <c r="SZ22" s="28">
        <v>278</v>
      </c>
      <c r="TA22" s="6"/>
      <c r="TB22" s="6"/>
      <c r="TC22" s="8">
        <v>176</v>
      </c>
      <c r="TD22" s="28">
        <v>45</v>
      </c>
      <c r="TH22" s="8">
        <v>-302</v>
      </c>
      <c r="TI22" s="28">
        <v>61</v>
      </c>
      <c r="TM22" s="8">
        <v>49</v>
      </c>
      <c r="TN22" s="28">
        <v>16</v>
      </c>
      <c r="TP22" s="28"/>
      <c r="TQ22" s="8">
        <v>13</v>
      </c>
      <c r="TR22" s="28">
        <v>2</v>
      </c>
      <c r="TX22" s="8">
        <v>-560</v>
      </c>
      <c r="TY22" s="28">
        <v>524</v>
      </c>
      <c r="TZ22" s="8">
        <v>-327</v>
      </c>
      <c r="UA22" s="12">
        <v>540</v>
      </c>
      <c r="UB22" s="8">
        <v>619</v>
      </c>
      <c r="UC22" s="12">
        <v>303</v>
      </c>
      <c r="UE22" s="8">
        <v>3</v>
      </c>
      <c r="UF22" s="12">
        <v>15</v>
      </c>
      <c r="UG22" s="8">
        <v>-115</v>
      </c>
      <c r="UH22" s="12">
        <v>170</v>
      </c>
      <c r="UI22" s="8">
        <v>-26</v>
      </c>
      <c r="UJ22" s="12">
        <v>3</v>
      </c>
      <c r="UL22" s="8">
        <v>-115</v>
      </c>
      <c r="UM22" s="28">
        <v>59</v>
      </c>
      <c r="UN22" s="8">
        <v>277</v>
      </c>
      <c r="UO22" s="12">
        <v>66</v>
      </c>
      <c r="US22" s="8">
        <v>24</v>
      </c>
      <c r="UT22" s="12">
        <v>15</v>
      </c>
      <c r="UU22" s="8">
        <v>-265</v>
      </c>
      <c r="UV22" s="12">
        <v>12</v>
      </c>
      <c r="UZ22" s="8">
        <v>951</v>
      </c>
      <c r="VA22" s="12">
        <v>916</v>
      </c>
      <c r="VB22" s="8">
        <v>-191</v>
      </c>
      <c r="VC22" s="12">
        <v>234</v>
      </c>
      <c r="VD22" s="8">
        <v>7</v>
      </c>
      <c r="VE22" s="12">
        <v>121</v>
      </c>
      <c r="VF22" s="8">
        <v>976</v>
      </c>
      <c r="VG22" s="12">
        <v>194</v>
      </c>
      <c r="VH22" s="8">
        <v>-58</v>
      </c>
      <c r="VI22" s="28">
        <v>41</v>
      </c>
      <c r="VL22" s="21"/>
      <c r="VM22" s="8">
        <v>-3131</v>
      </c>
      <c r="VQ22" s="8">
        <v>-273</v>
      </c>
      <c r="VR22" s="28">
        <v>758</v>
      </c>
      <c r="VS22" s="8">
        <v>2655</v>
      </c>
      <c r="VV22" s="8">
        <v>965</v>
      </c>
      <c r="VW22" s="28">
        <v>319</v>
      </c>
      <c r="VX22" s="8">
        <v>131</v>
      </c>
      <c r="VY22" s="12">
        <v>290</v>
      </c>
      <c r="VZ22" s="8">
        <v>856</v>
      </c>
      <c r="WA22" s="28">
        <v>832</v>
      </c>
      <c r="WB22" s="8">
        <v>4731</v>
      </c>
      <c r="WC22" s="12">
        <v>634</v>
      </c>
      <c r="WG22" s="8">
        <v>1261</v>
      </c>
      <c r="WH22" s="28">
        <v>291</v>
      </c>
      <c r="WI22" s="8">
        <v>1377</v>
      </c>
      <c r="WN22">
        <v>10</v>
      </c>
      <c r="WO22" s="12">
        <v>58</v>
      </c>
      <c r="WP22" s="2">
        <v>35</v>
      </c>
      <c r="WQ22" s="1">
        <v>56</v>
      </c>
      <c r="WR22" s="10"/>
      <c r="WS22" s="10"/>
      <c r="WT22" s="10"/>
      <c r="WU22" s="10"/>
      <c r="WV22" s="10"/>
      <c r="XB22" s="23">
        <v>61</v>
      </c>
      <c r="XC22" s="25">
        <v>32</v>
      </c>
      <c r="XE22">
        <v>380</v>
      </c>
      <c r="XF22" s="1">
        <v>99</v>
      </c>
      <c r="XG22" s="2">
        <v>35734</v>
      </c>
      <c r="XH22" s="10"/>
      <c r="XK22">
        <v>137</v>
      </c>
      <c r="XL22" s="1">
        <v>49</v>
      </c>
      <c r="XO22">
        <v>67</v>
      </c>
      <c r="XP22" s="1">
        <v>19</v>
      </c>
    </row>
    <row r="23" spans="1:640" x14ac:dyDescent="0.25">
      <c r="C23" s="3"/>
      <c r="D23" s="3"/>
      <c r="E23">
        <v>276</v>
      </c>
      <c r="F23" s="1">
        <v>354</v>
      </c>
      <c r="G23" s="2">
        <v>-4293</v>
      </c>
      <c r="I23" s="2">
        <v>-49</v>
      </c>
      <c r="K23" s="2">
        <v>2764</v>
      </c>
      <c r="L23" s="1">
        <v>245</v>
      </c>
      <c r="M23">
        <v>116</v>
      </c>
      <c r="N23" s="1">
        <v>24</v>
      </c>
      <c r="O23" s="26"/>
      <c r="P23">
        <v>129</v>
      </c>
      <c r="Q23" s="1">
        <v>63</v>
      </c>
      <c r="R23">
        <v>-339</v>
      </c>
      <c r="S23" s="12">
        <v>900</v>
      </c>
      <c r="T23">
        <v>-2233</v>
      </c>
      <c r="U23" s="1">
        <v>505</v>
      </c>
      <c r="V23">
        <v>1</v>
      </c>
      <c r="W23" s="10">
        <v>17</v>
      </c>
      <c r="X23">
        <v>45</v>
      </c>
      <c r="Z23">
        <v>24</v>
      </c>
      <c r="AA23" s="1">
        <v>1</v>
      </c>
      <c r="AB23">
        <v>-118</v>
      </c>
      <c r="AC23" s="1">
        <v>38</v>
      </c>
      <c r="AD23">
        <v>-52</v>
      </c>
      <c r="AE23" s="1">
        <v>32</v>
      </c>
      <c r="AF23">
        <v>153</v>
      </c>
      <c r="AG23" s="1">
        <v>870</v>
      </c>
      <c r="AJ23" s="2">
        <v>-8</v>
      </c>
      <c r="AK23" s="10">
        <v>344</v>
      </c>
      <c r="AN23">
        <v>168</v>
      </c>
      <c r="AO23" s="1">
        <v>144</v>
      </c>
      <c r="AQ23">
        <v>1114</v>
      </c>
      <c r="AR23" s="1">
        <v>1141</v>
      </c>
      <c r="AY23">
        <v>42</v>
      </c>
      <c r="AZ23" s="1">
        <v>4</v>
      </c>
      <c r="BA23">
        <v>-534</v>
      </c>
      <c r="BB23" s="1">
        <v>111</v>
      </c>
      <c r="BD23" s="8">
        <v>-482</v>
      </c>
      <c r="BE23" s="1">
        <v>191</v>
      </c>
      <c r="BF23">
        <v>-28</v>
      </c>
      <c r="BG23" s="1">
        <v>24</v>
      </c>
      <c r="BH23">
        <v>-6908</v>
      </c>
      <c r="BI23" s="1">
        <v>1732</v>
      </c>
      <c r="BJ23">
        <v>657</v>
      </c>
      <c r="BL23">
        <v>2</v>
      </c>
      <c r="BM23" s="1">
        <v>2</v>
      </c>
      <c r="BN23">
        <v>4</v>
      </c>
      <c r="BP23">
        <v>-271</v>
      </c>
      <c r="BQ23" s="10">
        <v>2762</v>
      </c>
      <c r="BR23">
        <v>414</v>
      </c>
      <c r="BS23" s="1">
        <v>349</v>
      </c>
      <c r="BT23">
        <v>-237</v>
      </c>
      <c r="BU23" s="1">
        <v>176</v>
      </c>
      <c r="BV23">
        <v>37</v>
      </c>
      <c r="BW23" s="1">
        <v>3</v>
      </c>
      <c r="BX23">
        <v>30</v>
      </c>
      <c r="CA23" s="8">
        <v>-14</v>
      </c>
      <c r="CB23" s="28">
        <v>2</v>
      </c>
      <c r="CC23" s="8">
        <v>-83</v>
      </c>
      <c r="CD23" s="28">
        <v>467</v>
      </c>
      <c r="CE23" s="8">
        <v>139</v>
      </c>
      <c r="CF23" s="28">
        <v>8</v>
      </c>
      <c r="CG23" s="8">
        <v>-121</v>
      </c>
      <c r="CI23" s="8">
        <v>150</v>
      </c>
      <c r="CJ23" s="12">
        <v>212</v>
      </c>
      <c r="CK23" s="6">
        <v>57</v>
      </c>
      <c r="CL23" s="28">
        <v>31</v>
      </c>
      <c r="CM23" s="8">
        <v>11</v>
      </c>
      <c r="CN23" s="28">
        <v>4</v>
      </c>
      <c r="CO23" s="6">
        <v>-94</v>
      </c>
      <c r="CP23" s="28"/>
      <c r="CQ23" s="6">
        <v>165</v>
      </c>
      <c r="CR23" s="12">
        <v>368</v>
      </c>
      <c r="CS23" s="6">
        <v>188</v>
      </c>
      <c r="CT23" s="28">
        <v>887</v>
      </c>
      <c r="CU23" s="6"/>
      <c r="CV23" s="28"/>
      <c r="CW23" s="6">
        <v>-10</v>
      </c>
      <c r="CX23" s="28">
        <v>7</v>
      </c>
      <c r="CZ23" s="23">
        <v>90</v>
      </c>
      <c r="DA23" s="25">
        <v>27</v>
      </c>
      <c r="DB23" s="23">
        <v>-57</v>
      </c>
      <c r="DC23" s="25">
        <v>34</v>
      </c>
      <c r="DD23" s="23">
        <v>12</v>
      </c>
      <c r="DE23" s="25">
        <v>19</v>
      </c>
      <c r="DF23" s="86">
        <v>102</v>
      </c>
      <c r="DG23" s="25">
        <v>396</v>
      </c>
      <c r="DH23" s="23">
        <v>-130</v>
      </c>
      <c r="DI23" s="25">
        <v>256</v>
      </c>
      <c r="DJ23" s="23">
        <v>-500</v>
      </c>
      <c r="DK23" s="28">
        <v>140</v>
      </c>
      <c r="DL23" s="8">
        <v>625</v>
      </c>
      <c r="DN23" s="8">
        <v>9</v>
      </c>
      <c r="DQ23" s="8">
        <v>-158</v>
      </c>
      <c r="DR23" s="52">
        <v>108</v>
      </c>
      <c r="DS23" s="6">
        <v>9</v>
      </c>
      <c r="DT23" s="52">
        <v>52</v>
      </c>
      <c r="DU23" s="8">
        <v>-368</v>
      </c>
      <c r="DV23" s="28">
        <v>238</v>
      </c>
      <c r="DW23" s="8">
        <v>615</v>
      </c>
      <c r="DX23" s="28">
        <v>218</v>
      </c>
      <c r="DY23" s="6">
        <v>-359</v>
      </c>
      <c r="DZ23" s="52">
        <v>891</v>
      </c>
      <c r="EA23" s="23">
        <v>671</v>
      </c>
      <c r="EB23" s="52">
        <v>415</v>
      </c>
      <c r="EC23" s="6">
        <v>2</v>
      </c>
      <c r="ED23" s="28">
        <v>4</v>
      </c>
      <c r="EE23" s="8">
        <v>-136</v>
      </c>
      <c r="EF23" s="52">
        <v>594</v>
      </c>
      <c r="EG23" s="8">
        <v>-311</v>
      </c>
      <c r="EH23" s="28">
        <v>813</v>
      </c>
      <c r="EI23" s="8">
        <v>-69</v>
      </c>
      <c r="EJ23" s="52">
        <v>440</v>
      </c>
      <c r="EL23" s="8">
        <v>-231</v>
      </c>
      <c r="EM23" s="28">
        <v>132</v>
      </c>
      <c r="EN23" s="8">
        <v>-2</v>
      </c>
      <c r="EO23" s="28">
        <v>8</v>
      </c>
      <c r="EP23" s="8">
        <v>609</v>
      </c>
      <c r="EQ23" s="52">
        <v>593</v>
      </c>
      <c r="EU23" s="52"/>
      <c r="EV23" s="8">
        <v>160</v>
      </c>
      <c r="EX23" s="8">
        <v>323</v>
      </c>
      <c r="EY23" s="28">
        <v>157</v>
      </c>
      <c r="EZ23" s="8">
        <v>905</v>
      </c>
      <c r="FA23" s="52">
        <v>680</v>
      </c>
      <c r="FB23" s="8">
        <v>-5</v>
      </c>
      <c r="FC23" s="52">
        <v>152</v>
      </c>
      <c r="FD23" s="6">
        <v>124</v>
      </c>
      <c r="FE23" s="28">
        <v>456</v>
      </c>
      <c r="FF23" s="8">
        <v>45</v>
      </c>
      <c r="FG23" s="28">
        <v>46</v>
      </c>
      <c r="FH23" s="8">
        <v>180</v>
      </c>
      <c r="FI23" s="28">
        <v>163</v>
      </c>
      <c r="FK23" s="52"/>
      <c r="FM23" s="8">
        <v>140</v>
      </c>
      <c r="FN23" s="52">
        <v>155</v>
      </c>
      <c r="FO23" s="8">
        <v>845</v>
      </c>
      <c r="FP23" s="28">
        <v>584</v>
      </c>
      <c r="FQ23" s="8">
        <v>-2</v>
      </c>
      <c r="FR23" s="28">
        <v>4</v>
      </c>
      <c r="FS23" s="8">
        <v>927</v>
      </c>
      <c r="FU23" s="28">
        <v>394</v>
      </c>
      <c r="FV23" s="8">
        <v>-143</v>
      </c>
      <c r="FW23" s="28">
        <v>118</v>
      </c>
      <c r="FY23" s="28"/>
      <c r="GA23" s="8">
        <v>218</v>
      </c>
      <c r="GB23" s="52">
        <v>136</v>
      </c>
      <c r="GC23" s="8">
        <v>513</v>
      </c>
      <c r="GE23" s="8">
        <v>381</v>
      </c>
      <c r="GF23" s="28">
        <v>189</v>
      </c>
      <c r="GG23" s="8">
        <v>22</v>
      </c>
      <c r="GH23" s="28">
        <v>35</v>
      </c>
      <c r="GI23" s="8">
        <v>-20</v>
      </c>
      <c r="GJ23" s="28">
        <v>33</v>
      </c>
      <c r="GK23" s="8">
        <v>-602</v>
      </c>
      <c r="GL23" s="28">
        <v>235</v>
      </c>
      <c r="GN23" s="8">
        <v>-112</v>
      </c>
      <c r="GO23" s="28">
        <v>331</v>
      </c>
      <c r="GP23" s="8">
        <v>21</v>
      </c>
      <c r="GQ23" s="52">
        <v>197</v>
      </c>
      <c r="GR23" s="8">
        <v>453</v>
      </c>
      <c r="GS23" s="28">
        <v>189</v>
      </c>
      <c r="GT23" s="6">
        <v>68</v>
      </c>
      <c r="GU23" s="52">
        <v>367</v>
      </c>
      <c r="GV23" s="6">
        <v>107</v>
      </c>
      <c r="GW23" s="28">
        <v>21</v>
      </c>
      <c r="GX23" s="8">
        <v>630</v>
      </c>
      <c r="GY23" s="52">
        <v>607</v>
      </c>
      <c r="GZ23" s="8">
        <v>477</v>
      </c>
      <c r="HA23" s="28">
        <v>9</v>
      </c>
      <c r="HB23" s="6">
        <v>24</v>
      </c>
      <c r="HC23" s="28"/>
      <c r="HE23" s="8">
        <v>-75</v>
      </c>
      <c r="HF23" s="28">
        <v>51</v>
      </c>
      <c r="HG23" s="8">
        <v>-127</v>
      </c>
      <c r="HJ23" s="28"/>
      <c r="HL23" s="52"/>
      <c r="HO23" s="8">
        <v>718</v>
      </c>
      <c r="HP23" s="28">
        <v>542</v>
      </c>
      <c r="HQ23" s="6">
        <v>1</v>
      </c>
      <c r="HR23" s="28">
        <v>1</v>
      </c>
      <c r="HS23" s="8">
        <v>3</v>
      </c>
      <c r="HT23" s="52">
        <v>576</v>
      </c>
      <c r="HV23" s="8">
        <v>-143</v>
      </c>
      <c r="HW23" s="28">
        <v>163</v>
      </c>
      <c r="HX23" s="8">
        <v>39</v>
      </c>
      <c r="HY23" s="28">
        <v>90</v>
      </c>
      <c r="HZ23" s="8">
        <v>31</v>
      </c>
      <c r="IB23" s="8">
        <v>404</v>
      </c>
      <c r="IC23" s="28">
        <v>105</v>
      </c>
      <c r="ID23" s="8">
        <v>-501</v>
      </c>
      <c r="IE23" s="28">
        <v>21</v>
      </c>
      <c r="IF23" s="8">
        <v>543</v>
      </c>
      <c r="IG23" s="28">
        <v>282</v>
      </c>
      <c r="IH23" s="8">
        <v>200</v>
      </c>
      <c r="II23" s="28">
        <v>121</v>
      </c>
      <c r="IM23" s="8">
        <v>402</v>
      </c>
      <c r="IO23">
        <v>-401</v>
      </c>
      <c r="IP23" s="10">
        <v>31</v>
      </c>
      <c r="IQ23" s="8">
        <v>15</v>
      </c>
      <c r="IR23" s="28">
        <v>21</v>
      </c>
      <c r="IS23" s="6">
        <v>133</v>
      </c>
      <c r="IT23" s="28">
        <v>222</v>
      </c>
      <c r="IU23" s="8">
        <v>-143</v>
      </c>
      <c r="IV23" s="28">
        <v>329</v>
      </c>
      <c r="IW23" s="8">
        <v>-231</v>
      </c>
      <c r="IY23" s="8">
        <v>-65</v>
      </c>
      <c r="JA23" s="8">
        <v>593</v>
      </c>
      <c r="JB23" s="12">
        <v>145</v>
      </c>
      <c r="JD23" s="8">
        <v>117</v>
      </c>
      <c r="JG23" s="28"/>
      <c r="JH23" s="8">
        <v>-283</v>
      </c>
      <c r="JI23" s="28">
        <v>295</v>
      </c>
      <c r="JJ23" s="8">
        <v>172</v>
      </c>
      <c r="JK23" s="28">
        <v>36</v>
      </c>
      <c r="JL23" s="8">
        <v>181</v>
      </c>
      <c r="JM23" s="12">
        <v>287</v>
      </c>
      <c r="JN23" s="8">
        <v>-1</v>
      </c>
      <c r="JO23" s="28">
        <v>4</v>
      </c>
      <c r="JP23" s="6">
        <v>128</v>
      </c>
      <c r="JQ23" s="12">
        <v>728</v>
      </c>
      <c r="JR23" s="8">
        <v>949</v>
      </c>
      <c r="JS23" s="12"/>
      <c r="JT23" s="6">
        <v>-99</v>
      </c>
      <c r="JU23" s="12">
        <v>426</v>
      </c>
      <c r="JW23" s="8">
        <v>204</v>
      </c>
      <c r="JX23" s="12">
        <v>323</v>
      </c>
      <c r="JZ23" s="28"/>
      <c r="KA23" s="8">
        <v>203</v>
      </c>
      <c r="KB23" s="28">
        <v>36</v>
      </c>
      <c r="KD23" s="28"/>
      <c r="KE23" s="6">
        <v>-159</v>
      </c>
      <c r="KF23" s="12">
        <v>213</v>
      </c>
      <c r="KJ23" s="28"/>
      <c r="KL23" s="28"/>
      <c r="KM23" s="6"/>
      <c r="KN23" s="28"/>
      <c r="KQ23" s="8">
        <v>276</v>
      </c>
      <c r="KR23" s="28">
        <v>74</v>
      </c>
      <c r="KT23" s="8">
        <v>25</v>
      </c>
      <c r="KU23" s="28">
        <v>10</v>
      </c>
      <c r="KV23" s="8">
        <v>144</v>
      </c>
      <c r="KY23" s="12"/>
      <c r="KZ23" s="8">
        <v>-142</v>
      </c>
      <c r="LA23" s="12">
        <v>380</v>
      </c>
      <c r="LD23" s="8">
        <v>-650</v>
      </c>
      <c r="LE23" s="28">
        <v>392</v>
      </c>
      <c r="LF23" s="8">
        <v>-274</v>
      </c>
      <c r="LG23" s="28">
        <v>46</v>
      </c>
      <c r="LH23" s="6">
        <v>159</v>
      </c>
      <c r="LJ23" s="8">
        <v>138</v>
      </c>
      <c r="LK23" s="28">
        <v>239</v>
      </c>
      <c r="LL23" s="8">
        <v>9</v>
      </c>
      <c r="LM23" s="28">
        <v>1</v>
      </c>
      <c r="LN23" s="8">
        <v>-638</v>
      </c>
      <c r="LO23" s="28">
        <v>198</v>
      </c>
      <c r="LS23" s="8">
        <v>83</v>
      </c>
      <c r="LU23" s="8">
        <v>-2</v>
      </c>
      <c r="LV23" s="12">
        <v>31</v>
      </c>
      <c r="LW23" s="8">
        <v>-799</v>
      </c>
      <c r="LX23" s="28">
        <v>295</v>
      </c>
      <c r="LZ23" s="8">
        <v>799</v>
      </c>
      <c r="MB23" s="8">
        <v>50</v>
      </c>
      <c r="MC23" s="28">
        <v>132</v>
      </c>
      <c r="MF23" s="8">
        <v>418</v>
      </c>
      <c r="MG23" s="12">
        <v>415</v>
      </c>
      <c r="MH23" s="8">
        <v>10</v>
      </c>
      <c r="MJ23" s="8">
        <v>-21</v>
      </c>
      <c r="MK23" s="12">
        <v>111</v>
      </c>
      <c r="MN23" s="8">
        <v>271</v>
      </c>
      <c r="MO23" s="28">
        <v>845</v>
      </c>
      <c r="MS23" s="8">
        <v>-994</v>
      </c>
      <c r="MT23" s="12">
        <v>331</v>
      </c>
      <c r="MU23" s="8">
        <v>-36</v>
      </c>
      <c r="MV23" s="28">
        <v>39</v>
      </c>
      <c r="MZ23" s="8">
        <v>-315</v>
      </c>
      <c r="NA23" s="12">
        <v>58</v>
      </c>
      <c r="NC23" s="8">
        <v>-64</v>
      </c>
      <c r="ND23" s="12">
        <v>162</v>
      </c>
      <c r="NE23" s="8">
        <v>157</v>
      </c>
      <c r="NF23" s="28">
        <v>406</v>
      </c>
      <c r="NG23" s="8">
        <v>-155</v>
      </c>
      <c r="NH23" s="28">
        <v>40</v>
      </c>
      <c r="NI23" s="8">
        <v>-133</v>
      </c>
      <c r="NJ23" s="28">
        <v>10</v>
      </c>
      <c r="NL23" s="8">
        <v>414</v>
      </c>
      <c r="NM23" s="28">
        <v>35</v>
      </c>
      <c r="NN23" s="8">
        <v>200</v>
      </c>
      <c r="NO23" s="28">
        <v>968</v>
      </c>
      <c r="NP23" s="8">
        <v>793</v>
      </c>
      <c r="NQ23" s="12">
        <v>966</v>
      </c>
      <c r="NR23" s="8">
        <v>247</v>
      </c>
      <c r="NS23" s="12">
        <v>51</v>
      </c>
      <c r="NU23" s="8">
        <v>-267</v>
      </c>
      <c r="NV23" s="12">
        <v>134</v>
      </c>
      <c r="NW23" s="8">
        <v>-181</v>
      </c>
      <c r="NX23" s="28">
        <v>115</v>
      </c>
      <c r="NY23" s="8">
        <v>-258</v>
      </c>
      <c r="NZ23" s="12">
        <v>259</v>
      </c>
      <c r="OA23" s="8">
        <v>-188</v>
      </c>
      <c r="OB23" s="28">
        <v>315</v>
      </c>
      <c r="OC23" s="8">
        <v>-466</v>
      </c>
      <c r="OD23" s="12">
        <v>256</v>
      </c>
      <c r="OE23" s="8">
        <v>325</v>
      </c>
      <c r="OG23" s="28">
        <v>569</v>
      </c>
      <c r="OH23" s="8">
        <v>22</v>
      </c>
      <c r="OI23" s="28">
        <v>44</v>
      </c>
      <c r="OK23" s="8">
        <v>490</v>
      </c>
      <c r="OL23" s="28">
        <v>159</v>
      </c>
      <c r="OM23" s="8">
        <v>226</v>
      </c>
      <c r="ON23" s="28">
        <v>113</v>
      </c>
      <c r="OO23" s="8">
        <v>-26</v>
      </c>
      <c r="OP23" s="28">
        <v>68</v>
      </c>
      <c r="OT23" s="28"/>
      <c r="OU23" s="12"/>
      <c r="OV23" s="8">
        <v>865</v>
      </c>
      <c r="OZ23" s="12"/>
      <c r="PA23" s="8">
        <v>-89</v>
      </c>
      <c r="PC23" s="8">
        <v>-533</v>
      </c>
      <c r="PD23" s="28">
        <v>167</v>
      </c>
      <c r="PE23" s="8">
        <v>343</v>
      </c>
      <c r="PF23" s="12">
        <v>377</v>
      </c>
      <c r="PG23" s="8">
        <v>652</v>
      </c>
      <c r="PH23" s="12">
        <v>286</v>
      </c>
      <c r="PJ23" s="8">
        <v>-89</v>
      </c>
      <c r="PK23" s="12">
        <v>159</v>
      </c>
      <c r="PL23" s="8">
        <v>21</v>
      </c>
      <c r="PM23" s="28">
        <v>2</v>
      </c>
      <c r="PP23" s="8">
        <v>820</v>
      </c>
      <c r="PQ23" s="28">
        <v>21</v>
      </c>
      <c r="PR23" s="28"/>
      <c r="PS23" s="8">
        <v>929</v>
      </c>
      <c r="PT23" s="12">
        <v>146</v>
      </c>
      <c r="PW23" s="8">
        <v>75</v>
      </c>
      <c r="PX23" s="28">
        <v>41</v>
      </c>
      <c r="PY23" s="8">
        <v>-32</v>
      </c>
      <c r="PZ23" s="12">
        <v>449</v>
      </c>
      <c r="QC23" s="8">
        <v>-439</v>
      </c>
      <c r="QD23" s="12">
        <v>418</v>
      </c>
      <c r="QE23" s="8">
        <v>278</v>
      </c>
      <c r="QF23" s="12">
        <v>284</v>
      </c>
      <c r="QH23" s="8">
        <v>-130</v>
      </c>
      <c r="QI23" s="12">
        <v>128</v>
      </c>
      <c r="QJ23" s="8">
        <v>15</v>
      </c>
      <c r="QL23" s="8">
        <v>25</v>
      </c>
      <c r="QM23" s="12">
        <v>74</v>
      </c>
      <c r="QN23" s="12"/>
      <c r="QO23" s="12"/>
      <c r="QQ23" s="8">
        <v>30</v>
      </c>
      <c r="QR23" s="12">
        <f t="shared" si="0"/>
        <v>8.426149773176359</v>
      </c>
      <c r="QS23" s="8">
        <v>71</v>
      </c>
      <c r="QT23" s="8">
        <v>430</v>
      </c>
      <c r="QU23" s="12">
        <v>164</v>
      </c>
      <c r="QV23" s="6">
        <v>741</v>
      </c>
      <c r="QW23" s="12">
        <v>188</v>
      </c>
      <c r="QY23" s="8">
        <v>-39</v>
      </c>
      <c r="QZ23" s="12">
        <v>82</v>
      </c>
      <c r="RA23" s="8">
        <v>-9</v>
      </c>
      <c r="RB23" s="12">
        <v>216</v>
      </c>
      <c r="RC23" s="6">
        <v>4</v>
      </c>
      <c r="RD23" s="12">
        <v>176</v>
      </c>
      <c r="RE23" s="6">
        <v>106</v>
      </c>
      <c r="RF23" s="12">
        <v>823</v>
      </c>
      <c r="RG23" s="8">
        <v>32</v>
      </c>
      <c r="RH23" s="28">
        <v>106</v>
      </c>
      <c r="RJ23" s="8">
        <v>-85</v>
      </c>
      <c r="RK23" s="12">
        <v>164</v>
      </c>
      <c r="RL23" s="8">
        <v>-33</v>
      </c>
      <c r="RM23" s="12">
        <v>367</v>
      </c>
      <c r="RQ23" s="9"/>
      <c r="RR23" s="9"/>
      <c r="RS23" s="55">
        <v>586</v>
      </c>
      <c r="RT23" s="50">
        <v>178</v>
      </c>
      <c r="RV23" s="8">
        <v>764</v>
      </c>
      <c r="RW23" s="52">
        <v>307</v>
      </c>
      <c r="RY23" s="48" t="s">
        <v>156</v>
      </c>
      <c r="RZ23" s="49" t="s">
        <v>157</v>
      </c>
      <c r="SA23" s="8">
        <v>99</v>
      </c>
      <c r="SB23" s="28">
        <v>15</v>
      </c>
      <c r="SD23" s="8">
        <v>-367</v>
      </c>
      <c r="SE23" s="12">
        <v>213</v>
      </c>
      <c r="SF23" s="8">
        <v>-53</v>
      </c>
      <c r="SG23" s="12">
        <v>101</v>
      </c>
      <c r="SK23" s="8">
        <v>198</v>
      </c>
      <c r="SL23" s="12">
        <v>767</v>
      </c>
      <c r="SP23" s="8">
        <v>528</v>
      </c>
      <c r="SQ23" s="12">
        <v>464</v>
      </c>
      <c r="SW23" s="8">
        <v>364</v>
      </c>
      <c r="SX23" s="28">
        <v>106</v>
      </c>
      <c r="SY23" s="6">
        <v>-12</v>
      </c>
      <c r="SZ23" s="28">
        <v>20</v>
      </c>
      <c r="TA23" s="6"/>
      <c r="TB23" s="6"/>
      <c r="TC23" s="8">
        <v>-132</v>
      </c>
      <c r="TD23" s="28">
        <v>149</v>
      </c>
      <c r="TH23" s="8">
        <v>112</v>
      </c>
      <c r="TI23" s="28">
        <v>211</v>
      </c>
      <c r="TM23" s="8">
        <v>51</v>
      </c>
      <c r="TN23" s="28">
        <v>11</v>
      </c>
      <c r="TP23" s="28"/>
      <c r="TQ23" s="29">
        <v>-33</v>
      </c>
      <c r="TX23" s="8">
        <v>-396</v>
      </c>
      <c r="TY23" s="28">
        <v>523</v>
      </c>
      <c r="TZ23" s="8">
        <v>275</v>
      </c>
      <c r="UA23" s="12">
        <v>394</v>
      </c>
      <c r="UB23" s="8">
        <v>4</v>
      </c>
      <c r="UC23" s="12">
        <v>292</v>
      </c>
      <c r="UE23" s="8">
        <v>-22</v>
      </c>
      <c r="UF23" s="12">
        <v>132</v>
      </c>
      <c r="UG23" s="8">
        <v>189</v>
      </c>
      <c r="UH23" s="12">
        <v>81</v>
      </c>
      <c r="UI23" s="8">
        <v>413</v>
      </c>
      <c r="UJ23" s="12">
        <v>79</v>
      </c>
      <c r="UL23" s="8">
        <v>579</v>
      </c>
      <c r="UM23" s="28">
        <v>107</v>
      </c>
      <c r="UN23" s="8">
        <v>124</v>
      </c>
      <c r="UO23" s="12">
        <v>201</v>
      </c>
      <c r="US23" s="8">
        <v>872</v>
      </c>
      <c r="UT23" s="12">
        <v>161</v>
      </c>
      <c r="UU23" s="8">
        <v>224</v>
      </c>
      <c r="UV23" s="12">
        <v>49</v>
      </c>
      <c r="UZ23" s="8">
        <v>121</v>
      </c>
      <c r="VA23" s="12">
        <v>121</v>
      </c>
      <c r="VB23" s="8">
        <v>-195</v>
      </c>
      <c r="VC23" s="12">
        <v>238</v>
      </c>
      <c r="VD23" s="8">
        <v>-251</v>
      </c>
      <c r="VE23" s="12">
        <v>227</v>
      </c>
      <c r="VF23" s="8">
        <v>-114</v>
      </c>
      <c r="VG23" s="12">
        <v>386</v>
      </c>
      <c r="VH23" s="8">
        <v>344</v>
      </c>
      <c r="VI23" s="28">
        <v>41</v>
      </c>
      <c r="VL23" s="21"/>
      <c r="VM23" s="8">
        <v>14501</v>
      </c>
      <c r="VQ23" s="8">
        <v>-207</v>
      </c>
      <c r="VR23" s="28">
        <v>780</v>
      </c>
      <c r="VS23" s="8">
        <v>2619</v>
      </c>
      <c r="VV23" s="8">
        <v>883</v>
      </c>
      <c r="VW23" s="28">
        <v>863</v>
      </c>
      <c r="VX23" s="8">
        <v>25</v>
      </c>
      <c r="VY23" s="12">
        <v>91</v>
      </c>
      <c r="VZ23" s="8">
        <v>607</v>
      </c>
      <c r="WA23" s="28">
        <v>54</v>
      </c>
      <c r="WB23" s="8">
        <v>5326</v>
      </c>
      <c r="WC23" s="12">
        <v>880</v>
      </c>
      <c r="WG23" s="8">
        <v>75</v>
      </c>
      <c r="WH23" s="28">
        <v>28</v>
      </c>
      <c r="WI23" s="8">
        <v>1401</v>
      </c>
      <c r="WN23">
        <v>56</v>
      </c>
      <c r="WO23" s="12">
        <v>52</v>
      </c>
      <c r="WP23" s="2">
        <v>-53</v>
      </c>
      <c r="WQ23" s="1">
        <v>37</v>
      </c>
      <c r="WR23" s="10"/>
      <c r="WS23" s="10"/>
      <c r="WT23" s="10"/>
      <c r="WU23" s="10"/>
      <c r="WV23" s="10"/>
      <c r="XB23" s="23">
        <v>51</v>
      </c>
      <c r="XC23" s="25">
        <v>34</v>
      </c>
      <c r="XE23">
        <v>46359</v>
      </c>
      <c r="XF23" s="1">
        <v>7519</v>
      </c>
      <c r="XG23" s="2">
        <v>23235</v>
      </c>
      <c r="XH23" s="10"/>
      <c r="XK23">
        <v>205</v>
      </c>
      <c r="XL23" s="1">
        <v>47</v>
      </c>
      <c r="XO23">
        <v>105</v>
      </c>
      <c r="XP23" s="1">
        <v>27</v>
      </c>
    </row>
    <row r="24" spans="1:640" x14ac:dyDescent="0.25">
      <c r="C24" s="3"/>
      <c r="D24" s="3"/>
      <c r="E24">
        <v>392</v>
      </c>
      <c r="F24" s="1">
        <v>921</v>
      </c>
      <c r="G24" s="2">
        <v>-3093</v>
      </c>
      <c r="I24" s="2">
        <v>5828</v>
      </c>
      <c r="K24" s="2">
        <v>2835</v>
      </c>
      <c r="L24" s="1">
        <v>217</v>
      </c>
      <c r="M24">
        <v>260</v>
      </c>
      <c r="N24" s="1">
        <v>26</v>
      </c>
      <c r="O24" s="26"/>
      <c r="P24">
        <v>79</v>
      </c>
      <c r="Q24" s="1">
        <v>43</v>
      </c>
      <c r="R24">
        <v>-304</v>
      </c>
      <c r="S24" s="12">
        <v>804</v>
      </c>
      <c r="T24">
        <v>-1509</v>
      </c>
      <c r="U24" s="1">
        <v>565</v>
      </c>
      <c r="V24">
        <v>5</v>
      </c>
      <c r="W24" s="10">
        <v>132</v>
      </c>
      <c r="X24">
        <v>11</v>
      </c>
      <c r="Z24">
        <v>23</v>
      </c>
      <c r="AA24" s="1">
        <v>3</v>
      </c>
      <c r="AB24">
        <v>-125</v>
      </c>
      <c r="AC24" s="1">
        <v>57</v>
      </c>
      <c r="AD24">
        <v>-53</v>
      </c>
      <c r="AE24" s="1">
        <v>31</v>
      </c>
      <c r="AF24">
        <v>134</v>
      </c>
      <c r="AG24" s="1">
        <v>900</v>
      </c>
      <c r="AJ24" s="2">
        <v>50</v>
      </c>
      <c r="AK24" s="10">
        <v>209</v>
      </c>
      <c r="AN24">
        <v>70</v>
      </c>
      <c r="AO24" s="1">
        <v>6</v>
      </c>
      <c r="AQ24">
        <v>1080</v>
      </c>
      <c r="AR24" s="1">
        <v>1298</v>
      </c>
      <c r="AY24">
        <v>-344</v>
      </c>
      <c r="AZ24" s="1">
        <v>1559</v>
      </c>
      <c r="BA24">
        <v>255</v>
      </c>
      <c r="BB24" s="1">
        <v>503</v>
      </c>
      <c r="BD24" s="8">
        <v>391</v>
      </c>
      <c r="BE24" s="1">
        <v>366</v>
      </c>
      <c r="BF24">
        <v>35</v>
      </c>
      <c r="BG24" s="1">
        <v>24</v>
      </c>
      <c r="BH24">
        <v>-4334</v>
      </c>
      <c r="BI24" s="1">
        <v>1948</v>
      </c>
      <c r="BJ24">
        <v>2477</v>
      </c>
      <c r="BL24">
        <v>41</v>
      </c>
      <c r="BM24" s="1">
        <v>4</v>
      </c>
      <c r="BN24">
        <v>-2</v>
      </c>
      <c r="BP24">
        <v>-195</v>
      </c>
      <c r="BQ24" s="10">
        <v>1647</v>
      </c>
      <c r="BR24">
        <v>473</v>
      </c>
      <c r="BS24" s="1">
        <v>448</v>
      </c>
      <c r="BT24">
        <v>342</v>
      </c>
      <c r="BU24" s="1">
        <v>408</v>
      </c>
      <c r="BV24">
        <v>108</v>
      </c>
      <c r="BW24" s="1">
        <v>148</v>
      </c>
      <c r="CA24" s="8">
        <v>-253</v>
      </c>
      <c r="CB24" s="28">
        <v>631</v>
      </c>
      <c r="CC24" s="8">
        <v>-81</v>
      </c>
      <c r="CD24" s="28">
        <v>333</v>
      </c>
      <c r="CE24" s="8">
        <v>169</v>
      </c>
      <c r="CF24" s="28">
        <v>8</v>
      </c>
      <c r="CG24" s="8">
        <v>624</v>
      </c>
      <c r="CI24" s="8">
        <v>821</v>
      </c>
      <c r="CJ24" s="12">
        <v>292</v>
      </c>
      <c r="CK24" s="6">
        <v>-14</v>
      </c>
      <c r="CL24" s="28">
        <v>20</v>
      </c>
      <c r="CM24" s="6">
        <v>218</v>
      </c>
      <c r="CN24" s="28">
        <v>200</v>
      </c>
      <c r="CO24" s="6">
        <v>-76</v>
      </c>
      <c r="CP24" s="28"/>
      <c r="CQ24" s="6">
        <v>187</v>
      </c>
      <c r="CR24" s="12">
        <v>379</v>
      </c>
      <c r="CS24" s="6">
        <v>391</v>
      </c>
      <c r="CT24" s="28">
        <v>546</v>
      </c>
      <c r="CU24" s="6"/>
      <c r="CV24" s="28"/>
      <c r="CW24" s="6">
        <v>-2</v>
      </c>
      <c r="CX24" s="28">
        <v>5</v>
      </c>
      <c r="CZ24" s="23">
        <v>145</v>
      </c>
      <c r="DA24" s="25">
        <v>675</v>
      </c>
      <c r="DB24" s="23">
        <v>-25</v>
      </c>
      <c r="DC24" s="25">
        <v>13</v>
      </c>
      <c r="DD24" s="23">
        <v>-59</v>
      </c>
      <c r="DE24" s="25">
        <v>16</v>
      </c>
      <c r="DF24" s="86">
        <v>112</v>
      </c>
      <c r="DG24" s="25">
        <v>424</v>
      </c>
      <c r="DH24" s="23">
        <v>123</v>
      </c>
      <c r="DI24" s="25">
        <v>285</v>
      </c>
      <c r="DJ24" s="23">
        <v>270</v>
      </c>
      <c r="DK24" s="28">
        <v>295</v>
      </c>
      <c r="DL24" s="8">
        <v>438</v>
      </c>
      <c r="DN24" s="8">
        <v>4</v>
      </c>
      <c r="DQ24" s="8">
        <v>343</v>
      </c>
      <c r="DR24" s="52">
        <v>166</v>
      </c>
      <c r="DS24" s="6">
        <v>24</v>
      </c>
      <c r="DT24" s="52">
        <v>154</v>
      </c>
      <c r="DU24" s="8">
        <v>121</v>
      </c>
      <c r="DV24" s="28">
        <v>455</v>
      </c>
      <c r="DW24" s="8">
        <v>6</v>
      </c>
      <c r="DX24" s="28">
        <v>359</v>
      </c>
      <c r="DY24" s="6">
        <v>940</v>
      </c>
      <c r="DZ24" s="52">
        <v>605</v>
      </c>
      <c r="EA24" s="23">
        <v>27</v>
      </c>
      <c r="EB24" s="52">
        <v>200</v>
      </c>
      <c r="EC24" s="6">
        <v>6</v>
      </c>
      <c r="ED24" s="28">
        <v>3</v>
      </c>
      <c r="EE24" s="8">
        <v>279</v>
      </c>
      <c r="EF24" s="52">
        <v>379</v>
      </c>
      <c r="EG24" s="8">
        <v>402</v>
      </c>
      <c r="EH24" s="28">
        <v>276</v>
      </c>
      <c r="EI24" s="8">
        <v>7</v>
      </c>
      <c r="EJ24" s="52">
        <v>394</v>
      </c>
      <c r="EL24" s="8">
        <v>111</v>
      </c>
      <c r="EM24" s="28">
        <v>504</v>
      </c>
      <c r="EN24" s="8">
        <v>87</v>
      </c>
      <c r="EO24" s="28">
        <v>15</v>
      </c>
      <c r="EP24" s="6">
        <v>-161</v>
      </c>
      <c r="EQ24" s="52">
        <v>118</v>
      </c>
      <c r="EU24" s="52"/>
      <c r="EV24" s="8">
        <v>-50</v>
      </c>
      <c r="EX24" s="8">
        <v>549</v>
      </c>
      <c r="EY24" s="28">
        <v>918</v>
      </c>
      <c r="EZ24" s="8">
        <v>-882</v>
      </c>
      <c r="FA24" s="52">
        <v>588</v>
      </c>
      <c r="FB24" s="8">
        <v>-222</v>
      </c>
      <c r="FC24" s="52">
        <v>132</v>
      </c>
      <c r="FD24" s="6">
        <v>755</v>
      </c>
      <c r="FE24" s="28">
        <v>121</v>
      </c>
      <c r="FF24" s="8">
        <v>1</v>
      </c>
      <c r="FG24" s="28">
        <v>12</v>
      </c>
      <c r="FH24" s="8">
        <v>-262</v>
      </c>
      <c r="FI24" s="28">
        <v>862</v>
      </c>
      <c r="FK24" s="52"/>
      <c r="FM24" s="8">
        <v>93</v>
      </c>
      <c r="FN24" s="52">
        <v>99</v>
      </c>
      <c r="FO24" s="8">
        <v>-179</v>
      </c>
      <c r="FP24" s="28">
        <v>470</v>
      </c>
      <c r="FQ24" s="8">
        <v>-34</v>
      </c>
      <c r="FR24" s="28">
        <v>14</v>
      </c>
      <c r="FS24" s="8">
        <v>-347</v>
      </c>
      <c r="FU24" s="28">
        <v>346</v>
      </c>
      <c r="FV24" s="8">
        <v>-557</v>
      </c>
      <c r="FW24" s="28">
        <v>117</v>
      </c>
      <c r="FY24" s="28"/>
      <c r="GA24" s="8">
        <v>46</v>
      </c>
      <c r="GB24" s="52">
        <v>7</v>
      </c>
      <c r="GC24" s="8">
        <v>102</v>
      </c>
      <c r="GE24" s="8">
        <v>156</v>
      </c>
      <c r="GF24" s="28">
        <v>190</v>
      </c>
      <c r="GG24" s="8">
        <v>-27</v>
      </c>
      <c r="GH24" s="28">
        <v>54</v>
      </c>
      <c r="GI24" s="8">
        <v>-114</v>
      </c>
      <c r="GJ24" s="28">
        <v>53</v>
      </c>
      <c r="GK24" s="8">
        <v>260</v>
      </c>
      <c r="GL24" s="28">
        <v>172</v>
      </c>
      <c r="GN24" s="8">
        <v>-410</v>
      </c>
      <c r="GO24" s="28">
        <v>810</v>
      </c>
      <c r="GP24" s="8">
        <v>-41</v>
      </c>
      <c r="GQ24" s="52">
        <v>353</v>
      </c>
      <c r="GR24" s="8">
        <v>187</v>
      </c>
      <c r="GS24" s="28">
        <v>201</v>
      </c>
      <c r="GT24" s="6">
        <v>-146</v>
      </c>
      <c r="GU24" s="52">
        <v>134</v>
      </c>
      <c r="GV24" s="6">
        <v>109</v>
      </c>
      <c r="GW24" s="28">
        <v>29</v>
      </c>
      <c r="GX24" s="8">
        <v>310</v>
      </c>
      <c r="GY24" s="52">
        <v>158</v>
      </c>
      <c r="GZ24" s="8">
        <v>395</v>
      </c>
      <c r="HA24" s="28">
        <v>6</v>
      </c>
      <c r="HB24" s="6">
        <v>11</v>
      </c>
      <c r="HC24" s="28"/>
      <c r="HE24" s="8">
        <v>100</v>
      </c>
      <c r="HF24" s="28">
        <v>224</v>
      </c>
      <c r="HG24" s="8">
        <v>84</v>
      </c>
      <c r="HJ24" s="28"/>
      <c r="HL24" s="52"/>
      <c r="HO24" s="8">
        <v>165</v>
      </c>
      <c r="HP24" s="28">
        <v>226</v>
      </c>
      <c r="HQ24" s="6">
        <v>-279</v>
      </c>
      <c r="HR24" s="28">
        <v>126</v>
      </c>
      <c r="HS24" s="8">
        <v>83</v>
      </c>
      <c r="HT24" s="52">
        <v>959</v>
      </c>
      <c r="HV24" s="8">
        <v>404</v>
      </c>
      <c r="HW24" s="28">
        <v>295</v>
      </c>
      <c r="HX24" s="8">
        <v>6</v>
      </c>
      <c r="HY24" s="28">
        <v>2</v>
      </c>
      <c r="HZ24" s="8">
        <v>153</v>
      </c>
      <c r="IB24" s="8">
        <v>-192</v>
      </c>
      <c r="IC24" s="28">
        <v>743</v>
      </c>
      <c r="ID24" s="8">
        <v>-184</v>
      </c>
      <c r="IE24" s="28">
        <v>435</v>
      </c>
      <c r="IF24" s="8">
        <v>551</v>
      </c>
      <c r="IG24" s="28">
        <v>309</v>
      </c>
      <c r="IH24" s="8">
        <v>-253</v>
      </c>
      <c r="II24" s="28">
        <v>117</v>
      </c>
      <c r="IM24" s="8">
        <v>431</v>
      </c>
      <c r="IO24">
        <v>607</v>
      </c>
      <c r="IP24" s="10">
        <v>42</v>
      </c>
      <c r="IQ24" s="8">
        <v>27</v>
      </c>
      <c r="IR24" s="28">
        <v>22</v>
      </c>
      <c r="IS24" s="6">
        <v>-2</v>
      </c>
      <c r="IT24" s="28">
        <v>28</v>
      </c>
      <c r="IU24" s="8">
        <v>348</v>
      </c>
      <c r="IV24" s="28">
        <v>374</v>
      </c>
      <c r="IW24" s="8">
        <v>-317</v>
      </c>
      <c r="IY24" s="8">
        <v>-135</v>
      </c>
      <c r="JA24" s="8">
        <v>231</v>
      </c>
      <c r="JB24" s="12">
        <v>615</v>
      </c>
      <c r="JD24" s="8">
        <v>516</v>
      </c>
      <c r="JG24" s="28"/>
      <c r="JH24" s="8">
        <v>240</v>
      </c>
      <c r="JI24" s="28">
        <v>83</v>
      </c>
      <c r="JJ24" s="8">
        <v>331</v>
      </c>
      <c r="JK24" s="28">
        <v>64</v>
      </c>
      <c r="JL24" s="8">
        <v>7</v>
      </c>
      <c r="JM24" s="12">
        <v>10</v>
      </c>
      <c r="JN24" s="8">
        <v>-7</v>
      </c>
      <c r="JO24" s="28">
        <v>5</v>
      </c>
      <c r="JP24" s="6">
        <v>-2</v>
      </c>
      <c r="JQ24" s="12">
        <v>511</v>
      </c>
      <c r="JR24" s="8">
        <v>968</v>
      </c>
      <c r="JS24" s="12"/>
      <c r="JT24" s="6">
        <v>114</v>
      </c>
      <c r="JU24" s="12">
        <v>141</v>
      </c>
      <c r="JW24" s="8">
        <v>-60</v>
      </c>
      <c r="JX24" s="12">
        <v>137</v>
      </c>
      <c r="JZ24" s="28"/>
      <c r="KA24" s="8">
        <v>129</v>
      </c>
      <c r="KB24" s="28">
        <v>46</v>
      </c>
      <c r="KD24" s="28"/>
      <c r="KE24" s="6">
        <v>-178</v>
      </c>
      <c r="KF24" s="12">
        <v>724</v>
      </c>
      <c r="KJ24" s="28"/>
      <c r="KM24" s="6"/>
      <c r="KQ24" s="8">
        <v>383</v>
      </c>
      <c r="KR24" s="28">
        <v>91</v>
      </c>
      <c r="KT24" s="8">
        <v>-7</v>
      </c>
      <c r="KU24" s="28">
        <v>1</v>
      </c>
      <c r="KV24" s="8">
        <v>-526</v>
      </c>
      <c r="KY24" s="12"/>
      <c r="KZ24" s="8">
        <v>106</v>
      </c>
      <c r="LA24" s="12">
        <v>49</v>
      </c>
      <c r="LD24" s="8">
        <v>-73</v>
      </c>
      <c r="LE24" s="28">
        <v>860</v>
      </c>
      <c r="LF24" s="8">
        <v>-341</v>
      </c>
      <c r="LG24" s="28">
        <v>34</v>
      </c>
      <c r="LH24" s="6">
        <v>-141</v>
      </c>
      <c r="LJ24" s="8">
        <v>292</v>
      </c>
      <c r="LK24" s="28">
        <v>298</v>
      </c>
      <c r="LL24" s="8">
        <v>90</v>
      </c>
      <c r="LM24" s="28">
        <v>8</v>
      </c>
      <c r="LN24" s="8">
        <v>-833</v>
      </c>
      <c r="LO24" s="28">
        <v>241</v>
      </c>
      <c r="LS24" s="8">
        <v>91</v>
      </c>
      <c r="LU24" s="8">
        <v>352</v>
      </c>
      <c r="LV24" s="12">
        <v>457</v>
      </c>
      <c r="LW24" s="8">
        <v>-535</v>
      </c>
      <c r="LX24" s="28">
        <v>216</v>
      </c>
      <c r="LZ24" s="8">
        <v>630</v>
      </c>
      <c r="MB24" s="8">
        <v>9</v>
      </c>
      <c r="MC24" s="28">
        <v>32</v>
      </c>
      <c r="MF24" s="8">
        <v>276</v>
      </c>
      <c r="MG24" s="12">
        <v>614</v>
      </c>
      <c r="MH24" s="8">
        <v>4</v>
      </c>
      <c r="MJ24" s="8">
        <v>998</v>
      </c>
      <c r="MK24" s="12">
        <v>127</v>
      </c>
      <c r="MN24" s="8">
        <v>194</v>
      </c>
      <c r="MO24" s="28">
        <v>95</v>
      </c>
      <c r="MS24" s="8">
        <v>-180</v>
      </c>
      <c r="MT24" s="12">
        <v>529</v>
      </c>
      <c r="MU24" s="8">
        <v>-13</v>
      </c>
      <c r="MV24" s="28">
        <v>5</v>
      </c>
      <c r="MZ24" s="8">
        <v>485</v>
      </c>
      <c r="NC24" s="8">
        <v>8</v>
      </c>
      <c r="ND24" s="12">
        <v>158</v>
      </c>
      <c r="NE24" s="8">
        <v>114</v>
      </c>
      <c r="NF24" s="28">
        <v>121</v>
      </c>
      <c r="NG24" s="8">
        <v>47</v>
      </c>
      <c r="NH24" s="28">
        <v>5</v>
      </c>
      <c r="NI24" s="8">
        <v>353</v>
      </c>
      <c r="NJ24" s="28">
        <v>3</v>
      </c>
      <c r="NL24" s="8">
        <v>331</v>
      </c>
      <c r="NM24" s="28">
        <v>33</v>
      </c>
      <c r="NN24" s="8">
        <v>925</v>
      </c>
      <c r="NO24" s="28">
        <v>860</v>
      </c>
      <c r="NP24" s="8">
        <v>191</v>
      </c>
      <c r="NQ24" s="12">
        <v>789</v>
      </c>
      <c r="NR24" s="8">
        <v>-486</v>
      </c>
      <c r="NS24" s="12">
        <v>29</v>
      </c>
      <c r="NU24" s="8">
        <v>41</v>
      </c>
      <c r="NV24" s="12">
        <v>24</v>
      </c>
      <c r="NW24" s="8">
        <v>-223</v>
      </c>
      <c r="NX24" s="28">
        <v>144</v>
      </c>
      <c r="NY24" s="8">
        <v>-266</v>
      </c>
      <c r="NZ24" s="12">
        <v>267</v>
      </c>
      <c r="OA24" s="8">
        <v>-274</v>
      </c>
      <c r="OB24" s="28">
        <v>267</v>
      </c>
      <c r="OC24" s="8">
        <v>383</v>
      </c>
      <c r="OD24" s="12">
        <v>282</v>
      </c>
      <c r="OE24" s="8">
        <v>-761</v>
      </c>
      <c r="OG24" s="28">
        <v>734</v>
      </c>
      <c r="OH24" s="8">
        <v>-348</v>
      </c>
      <c r="OI24" s="28">
        <v>50</v>
      </c>
      <c r="OK24" s="8">
        <v>290</v>
      </c>
      <c r="OL24" s="28">
        <v>230</v>
      </c>
      <c r="ON24" s="28"/>
      <c r="OO24" s="8">
        <v>-30</v>
      </c>
      <c r="OP24" s="28">
        <v>69</v>
      </c>
      <c r="OT24" s="28"/>
      <c r="OU24" s="12"/>
      <c r="OV24" s="8">
        <v>170</v>
      </c>
      <c r="PA24" s="8">
        <v>-208</v>
      </c>
      <c r="PC24" s="8">
        <v>-356</v>
      </c>
      <c r="PD24" s="28">
        <v>106</v>
      </c>
      <c r="PE24" s="8">
        <v>321</v>
      </c>
      <c r="PF24" s="12">
        <v>345</v>
      </c>
      <c r="PG24" s="8">
        <v>-105</v>
      </c>
      <c r="PH24" s="12">
        <v>158</v>
      </c>
      <c r="PJ24" s="8">
        <v>410</v>
      </c>
      <c r="PK24" s="12">
        <v>998</v>
      </c>
      <c r="PL24" s="8">
        <v>156</v>
      </c>
      <c r="PM24" s="28">
        <v>245</v>
      </c>
      <c r="PP24" s="8">
        <v>101</v>
      </c>
      <c r="PQ24" s="28">
        <v>25</v>
      </c>
      <c r="PR24" s="28"/>
      <c r="PS24" s="8">
        <v>673</v>
      </c>
      <c r="PT24" s="12">
        <v>656</v>
      </c>
      <c r="PW24" s="8">
        <v>-81</v>
      </c>
      <c r="PX24" s="28">
        <v>28</v>
      </c>
      <c r="PY24" s="8">
        <v>-37</v>
      </c>
      <c r="PZ24" s="12">
        <v>606</v>
      </c>
      <c r="QC24" s="8">
        <v>299</v>
      </c>
      <c r="QD24" s="12">
        <v>356</v>
      </c>
      <c r="QE24" s="8">
        <v>685</v>
      </c>
      <c r="QF24" s="12">
        <v>641</v>
      </c>
      <c r="QH24" s="8">
        <v>-345</v>
      </c>
      <c r="QI24" s="12">
        <v>302</v>
      </c>
      <c r="QJ24" s="8">
        <v>13</v>
      </c>
      <c r="QL24" s="8">
        <v>96</v>
      </c>
      <c r="QM24" s="12">
        <v>340</v>
      </c>
      <c r="QN24" s="12"/>
      <c r="QO24" s="12"/>
      <c r="QQ24" s="8">
        <v>22</v>
      </c>
      <c r="QR24" s="12">
        <f t="shared" si="0"/>
        <v>20.904544960366874</v>
      </c>
      <c r="QS24" s="8">
        <v>437</v>
      </c>
      <c r="QT24" s="8">
        <v>-153</v>
      </c>
      <c r="QU24" s="12">
        <v>129</v>
      </c>
      <c r="QV24" s="6">
        <v>-483</v>
      </c>
      <c r="QW24" s="12">
        <v>183</v>
      </c>
      <c r="QY24" s="8">
        <v>-92</v>
      </c>
      <c r="QZ24" s="12">
        <v>117</v>
      </c>
      <c r="RA24" s="8">
        <v>-364</v>
      </c>
      <c r="RB24" s="12">
        <v>338</v>
      </c>
      <c r="RC24" s="6">
        <v>352</v>
      </c>
      <c r="RD24" s="12">
        <v>101</v>
      </c>
      <c r="RE24" s="6">
        <v>129</v>
      </c>
      <c r="RF24" s="12">
        <v>947</v>
      </c>
      <c r="RG24" s="8">
        <v>281</v>
      </c>
      <c r="RH24" s="28">
        <v>133</v>
      </c>
      <c r="RJ24" s="8">
        <v>11</v>
      </c>
      <c r="RK24" s="12">
        <v>25</v>
      </c>
      <c r="RL24" s="8">
        <v>69</v>
      </c>
      <c r="RM24" s="12">
        <v>170</v>
      </c>
      <c r="RQ24" s="9"/>
      <c r="RR24" s="9"/>
      <c r="RS24" s="55">
        <v>-682</v>
      </c>
      <c r="RT24" s="50">
        <v>284</v>
      </c>
      <c r="RV24" s="8">
        <v>128</v>
      </c>
      <c r="RW24" s="52">
        <v>309</v>
      </c>
      <c r="RY24" s="48" t="s">
        <v>156</v>
      </c>
      <c r="RZ24" s="49" t="s">
        <v>158</v>
      </c>
      <c r="SA24" s="8">
        <v>94</v>
      </c>
      <c r="SB24" s="28">
        <v>1</v>
      </c>
      <c r="SD24" s="8">
        <v>660</v>
      </c>
      <c r="SE24" s="12">
        <v>342</v>
      </c>
      <c r="SF24" s="8">
        <v>102</v>
      </c>
      <c r="SG24" s="12">
        <v>155</v>
      </c>
      <c r="SK24" s="8">
        <v>-307</v>
      </c>
      <c r="SL24" s="12">
        <v>146</v>
      </c>
      <c r="SP24" s="8">
        <v>-505</v>
      </c>
      <c r="SQ24" s="12">
        <v>276</v>
      </c>
      <c r="SW24" s="8">
        <v>-344</v>
      </c>
      <c r="SX24" s="28">
        <v>148</v>
      </c>
      <c r="SY24" s="6">
        <v>108</v>
      </c>
      <c r="SZ24" s="28">
        <v>661</v>
      </c>
      <c r="TA24" s="6"/>
      <c r="TB24" s="6"/>
      <c r="TC24" s="8">
        <v>77</v>
      </c>
      <c r="TD24" s="28">
        <v>25</v>
      </c>
      <c r="TH24" s="8">
        <v>534</v>
      </c>
      <c r="TI24" s="28">
        <v>191</v>
      </c>
      <c r="TM24" s="8">
        <v>107</v>
      </c>
      <c r="TN24" s="28">
        <v>42</v>
      </c>
      <c r="TP24" s="28"/>
      <c r="TQ24" s="8">
        <v>-16</v>
      </c>
      <c r="TX24" s="8">
        <v>-992</v>
      </c>
      <c r="TY24" s="28">
        <v>630</v>
      </c>
      <c r="TZ24" s="8">
        <v>141</v>
      </c>
      <c r="UA24" s="12">
        <v>969</v>
      </c>
      <c r="UB24" s="8">
        <v>174</v>
      </c>
      <c r="UC24" s="12">
        <v>328</v>
      </c>
      <c r="UE24" s="8">
        <v>-1</v>
      </c>
      <c r="UF24" s="12">
        <v>577</v>
      </c>
      <c r="UG24" s="8">
        <v>174</v>
      </c>
      <c r="UH24" s="12">
        <v>486</v>
      </c>
      <c r="UI24" s="8">
        <v>936</v>
      </c>
      <c r="UJ24" s="12">
        <v>122</v>
      </c>
      <c r="UL24" s="8">
        <v>365</v>
      </c>
      <c r="UM24" s="28">
        <v>23</v>
      </c>
      <c r="UN24" s="8">
        <v>-127</v>
      </c>
      <c r="UO24" s="12">
        <v>8</v>
      </c>
      <c r="US24" s="8">
        <v>859</v>
      </c>
      <c r="UT24" s="12">
        <v>164</v>
      </c>
      <c r="UU24" s="8">
        <v>69</v>
      </c>
      <c r="UV24" s="12">
        <v>27</v>
      </c>
      <c r="UZ24" s="8">
        <v>798</v>
      </c>
      <c r="VA24" s="12">
        <v>258</v>
      </c>
      <c r="VB24" s="8">
        <v>-145</v>
      </c>
      <c r="VC24" s="12">
        <v>178</v>
      </c>
      <c r="VD24" s="8">
        <v>978</v>
      </c>
      <c r="VE24" s="12">
        <v>107</v>
      </c>
      <c r="VF24" s="8">
        <v>840</v>
      </c>
      <c r="VG24" s="12">
        <v>160</v>
      </c>
      <c r="VH24" s="8">
        <v>140</v>
      </c>
      <c r="VI24" s="28">
        <v>119</v>
      </c>
      <c r="VL24" s="21"/>
      <c r="VM24" s="8">
        <v>44678</v>
      </c>
      <c r="VN24" s="12">
        <v>272</v>
      </c>
      <c r="VO24" s="12"/>
      <c r="VP24" s="12"/>
      <c r="VQ24" s="6">
        <v>-315</v>
      </c>
      <c r="VR24" s="28">
        <v>848</v>
      </c>
      <c r="VS24" s="6">
        <v>1180</v>
      </c>
      <c r="VT24" s="12"/>
      <c r="VV24" s="8">
        <v>818</v>
      </c>
      <c r="VW24" s="28">
        <v>629</v>
      </c>
      <c r="VX24" s="8">
        <v>66</v>
      </c>
      <c r="VY24" s="12">
        <v>507</v>
      </c>
      <c r="VZ24" s="8">
        <v>895</v>
      </c>
      <c r="WA24" s="28">
        <v>231</v>
      </c>
      <c r="WB24" s="8">
        <v>6312</v>
      </c>
      <c r="WC24" s="12">
        <v>1408</v>
      </c>
      <c r="WG24" s="8">
        <v>629</v>
      </c>
      <c r="WH24" s="28">
        <v>149</v>
      </c>
      <c r="WI24" s="8">
        <v>1414</v>
      </c>
      <c r="WN24">
        <v>489</v>
      </c>
      <c r="WO24" s="12">
        <v>3764</v>
      </c>
      <c r="WP24" s="2">
        <v>226</v>
      </c>
      <c r="WQ24" s="1">
        <v>89</v>
      </c>
      <c r="WR24" s="10"/>
      <c r="WS24" s="10"/>
      <c r="WT24" s="10"/>
      <c r="WU24" s="10"/>
      <c r="WV24" s="10"/>
      <c r="XB24" s="23">
        <v>39</v>
      </c>
      <c r="XC24" s="25">
        <v>16</v>
      </c>
      <c r="XE24">
        <v>34447</v>
      </c>
      <c r="XF24" s="1">
        <v>17321</v>
      </c>
      <c r="XG24" s="2">
        <v>104172</v>
      </c>
      <c r="XH24" s="10"/>
      <c r="XK24">
        <v>89</v>
      </c>
      <c r="XL24" s="1">
        <v>60</v>
      </c>
      <c r="XO24">
        <v>351</v>
      </c>
      <c r="XP24" s="1">
        <v>98</v>
      </c>
    </row>
    <row r="25" spans="1:640" x14ac:dyDescent="0.25">
      <c r="C25" s="3"/>
      <c r="D25" s="3"/>
      <c r="E25">
        <v>525</v>
      </c>
      <c r="F25" s="1">
        <v>107</v>
      </c>
      <c r="G25" s="2">
        <v>-2054</v>
      </c>
      <c r="I25" s="2">
        <v>-146</v>
      </c>
      <c r="K25" s="2">
        <v>2747</v>
      </c>
      <c r="L25" s="1">
        <v>212</v>
      </c>
      <c r="M25">
        <v>134</v>
      </c>
      <c r="N25" s="1">
        <v>36</v>
      </c>
      <c r="O25" s="26"/>
      <c r="P25">
        <v>45</v>
      </c>
      <c r="Q25" s="1">
        <v>13</v>
      </c>
      <c r="R25">
        <v>2045</v>
      </c>
      <c r="S25" s="12">
        <v>274</v>
      </c>
      <c r="T25">
        <v>-1661</v>
      </c>
      <c r="U25" s="1">
        <v>589</v>
      </c>
      <c r="V25">
        <v>11</v>
      </c>
      <c r="W25" s="10">
        <v>698</v>
      </c>
      <c r="X25">
        <v>41</v>
      </c>
      <c r="Z25">
        <v>17</v>
      </c>
      <c r="AA25" s="1">
        <v>1</v>
      </c>
      <c r="AB25">
        <v>-61</v>
      </c>
      <c r="AC25" s="1">
        <v>128</v>
      </c>
      <c r="AD25">
        <v>3</v>
      </c>
      <c r="AE25" s="1">
        <v>1</v>
      </c>
      <c r="AF25">
        <v>-1129</v>
      </c>
      <c r="AG25" s="1">
        <v>334</v>
      </c>
      <c r="AJ25" s="2">
        <v>44</v>
      </c>
      <c r="AK25" s="10">
        <v>186</v>
      </c>
      <c r="AN25">
        <v>69</v>
      </c>
      <c r="AO25" s="1">
        <v>6</v>
      </c>
      <c r="AQ25">
        <v>-480</v>
      </c>
      <c r="AR25" s="1">
        <v>1007</v>
      </c>
      <c r="AY25">
        <v>-3545</v>
      </c>
      <c r="AZ25" s="1">
        <v>203</v>
      </c>
      <c r="BA25">
        <v>156</v>
      </c>
      <c r="BB25" s="1">
        <v>567</v>
      </c>
      <c r="BD25" s="8">
        <v>79</v>
      </c>
      <c r="BE25" s="1">
        <v>52</v>
      </c>
      <c r="BF25">
        <v>48</v>
      </c>
      <c r="BG25" s="1">
        <v>27</v>
      </c>
      <c r="BH25">
        <v>-2098</v>
      </c>
      <c r="BI25" s="1">
        <v>1973</v>
      </c>
      <c r="BJ25">
        <v>-348</v>
      </c>
      <c r="BL25">
        <v>2619</v>
      </c>
      <c r="BM25" s="1">
        <v>61</v>
      </c>
      <c r="BN25">
        <v>2</v>
      </c>
      <c r="BP25">
        <v>-876</v>
      </c>
      <c r="BQ25" s="10">
        <v>1589</v>
      </c>
      <c r="BR25">
        <v>545</v>
      </c>
      <c r="BS25" s="1">
        <v>256</v>
      </c>
      <c r="BT25">
        <v>903</v>
      </c>
      <c r="BU25" s="1">
        <v>848</v>
      </c>
      <c r="BV25">
        <v>957</v>
      </c>
      <c r="BW25" s="1">
        <v>142</v>
      </c>
      <c r="CA25" s="8">
        <v>-336</v>
      </c>
      <c r="CB25" s="28">
        <v>294</v>
      </c>
      <c r="CC25" s="8">
        <v>-120</v>
      </c>
      <c r="CD25" s="28">
        <v>284</v>
      </c>
      <c r="CE25" s="8">
        <v>108</v>
      </c>
      <c r="CF25" s="28">
        <v>8</v>
      </c>
      <c r="CG25" s="8">
        <v>719</v>
      </c>
      <c r="CI25" s="8">
        <v>769</v>
      </c>
      <c r="CJ25" s="12">
        <v>113</v>
      </c>
      <c r="CK25" s="6">
        <v>-10</v>
      </c>
      <c r="CL25" s="28">
        <v>20</v>
      </c>
      <c r="CM25" s="6">
        <v>-164</v>
      </c>
      <c r="CN25" s="28">
        <v>996</v>
      </c>
      <c r="CO25" s="6">
        <v>-94</v>
      </c>
      <c r="CP25" s="28"/>
      <c r="CQ25" s="6">
        <v>190</v>
      </c>
      <c r="CR25" s="12">
        <v>365</v>
      </c>
      <c r="CS25" s="6">
        <v>-408</v>
      </c>
      <c r="CT25" s="28">
        <v>191</v>
      </c>
      <c r="CU25" s="28"/>
      <c r="CV25" s="28"/>
      <c r="CW25" s="6">
        <v>17</v>
      </c>
      <c r="CX25" s="28">
        <v>15</v>
      </c>
      <c r="CZ25" s="23">
        <v>-462</v>
      </c>
      <c r="DA25" s="25">
        <v>405</v>
      </c>
      <c r="DB25" s="23">
        <v>156</v>
      </c>
      <c r="DC25" s="25">
        <v>6</v>
      </c>
      <c r="DD25" s="23">
        <v>7</v>
      </c>
      <c r="DE25" s="25">
        <v>16</v>
      </c>
      <c r="DF25" s="86">
        <v>106</v>
      </c>
      <c r="DG25" s="25">
        <v>187</v>
      </c>
      <c r="DH25" s="23">
        <v>-209</v>
      </c>
      <c r="DI25" s="25">
        <v>318</v>
      </c>
      <c r="DJ25" s="23">
        <v>804</v>
      </c>
      <c r="DK25" s="28">
        <v>292</v>
      </c>
      <c r="DL25" s="8">
        <v>711</v>
      </c>
      <c r="DN25" s="8">
        <v>10</v>
      </c>
      <c r="DQ25" s="8">
        <v>525</v>
      </c>
      <c r="DR25" s="52">
        <v>136</v>
      </c>
      <c r="DS25" s="6">
        <v>39</v>
      </c>
      <c r="DT25" s="52">
        <v>276</v>
      </c>
      <c r="DU25" s="8">
        <v>-570</v>
      </c>
      <c r="DV25" s="28">
        <v>330</v>
      </c>
      <c r="DW25" s="8">
        <v>169</v>
      </c>
      <c r="DX25" s="28">
        <v>175</v>
      </c>
      <c r="DY25" s="6">
        <v>665</v>
      </c>
      <c r="DZ25" s="52">
        <v>791</v>
      </c>
      <c r="EA25" s="23">
        <v>4</v>
      </c>
      <c r="EB25" s="52">
        <v>247</v>
      </c>
      <c r="EC25" s="6">
        <v>6</v>
      </c>
      <c r="ED25" s="28">
        <v>7</v>
      </c>
      <c r="EE25" s="8">
        <v>113</v>
      </c>
      <c r="EF25" s="52">
        <v>648</v>
      </c>
      <c r="EG25" s="8">
        <v>519</v>
      </c>
      <c r="EH25" s="28">
        <v>717</v>
      </c>
      <c r="EI25" s="8">
        <v>-16</v>
      </c>
      <c r="EJ25" s="52">
        <v>334</v>
      </c>
      <c r="EL25" s="8">
        <v>-505</v>
      </c>
      <c r="EM25" s="28">
        <v>138</v>
      </c>
      <c r="EN25" s="8">
        <v>124</v>
      </c>
      <c r="EO25" s="28">
        <v>16</v>
      </c>
      <c r="EP25" s="6">
        <v>-46</v>
      </c>
      <c r="EQ25" s="52">
        <v>352</v>
      </c>
      <c r="EU25" s="52"/>
      <c r="EV25" s="8">
        <v>59</v>
      </c>
      <c r="EX25" s="8">
        <v>173</v>
      </c>
      <c r="EY25" s="28">
        <v>310</v>
      </c>
      <c r="EZ25" s="8">
        <v>-726</v>
      </c>
      <c r="FA25" s="52">
        <v>563</v>
      </c>
      <c r="FB25" s="8">
        <v>-115</v>
      </c>
      <c r="FC25" s="52">
        <v>175</v>
      </c>
      <c r="FD25" s="6">
        <v>734</v>
      </c>
      <c r="FE25" s="28">
        <v>155</v>
      </c>
      <c r="FF25" s="8">
        <v>100</v>
      </c>
      <c r="FG25" s="28">
        <v>34</v>
      </c>
      <c r="FH25" s="8">
        <v>-535</v>
      </c>
      <c r="FI25" s="28">
        <v>175</v>
      </c>
      <c r="FK25" s="52"/>
      <c r="FM25" s="8">
        <v>26</v>
      </c>
      <c r="FN25" s="52">
        <v>19</v>
      </c>
      <c r="FO25" s="8">
        <v>296</v>
      </c>
      <c r="FP25" s="28">
        <v>584</v>
      </c>
      <c r="FQ25" s="8">
        <v>186</v>
      </c>
      <c r="FR25" s="28">
        <v>73</v>
      </c>
      <c r="FS25" s="8">
        <v>-237</v>
      </c>
      <c r="FU25" s="28">
        <v>101</v>
      </c>
      <c r="FV25" s="8">
        <v>-178</v>
      </c>
      <c r="FW25" s="28">
        <v>42</v>
      </c>
      <c r="GA25" s="8">
        <v>193</v>
      </c>
      <c r="GB25" s="52">
        <v>105</v>
      </c>
      <c r="GC25" s="8">
        <v>-477</v>
      </c>
      <c r="GE25" s="8">
        <v>-31</v>
      </c>
      <c r="GF25" s="28">
        <v>941</v>
      </c>
      <c r="GG25" s="8">
        <v>-40</v>
      </c>
      <c r="GH25" s="28">
        <v>48</v>
      </c>
      <c r="GI25" s="8">
        <v>2</v>
      </c>
      <c r="GJ25" s="28">
        <v>1</v>
      </c>
      <c r="GK25" s="8">
        <v>44</v>
      </c>
      <c r="GL25" s="28">
        <v>231</v>
      </c>
      <c r="GN25" s="8">
        <v>-360</v>
      </c>
      <c r="GO25" s="28">
        <v>566</v>
      </c>
      <c r="GP25" s="8">
        <v>-23</v>
      </c>
      <c r="GQ25" s="52">
        <v>188</v>
      </c>
      <c r="GR25" s="8">
        <v>616</v>
      </c>
      <c r="GS25" s="28">
        <v>197</v>
      </c>
      <c r="GT25" s="6">
        <v>59</v>
      </c>
      <c r="GU25" s="52">
        <v>552</v>
      </c>
      <c r="GV25" s="6">
        <v>-71</v>
      </c>
      <c r="GW25" s="28">
        <v>31</v>
      </c>
      <c r="GX25" s="8">
        <v>68</v>
      </c>
      <c r="GY25" s="52">
        <v>38</v>
      </c>
      <c r="GZ25" s="8">
        <v>51</v>
      </c>
      <c r="HA25" s="28">
        <v>23</v>
      </c>
      <c r="HB25" s="6">
        <v>104</v>
      </c>
      <c r="HC25" s="28"/>
      <c r="HE25" s="8">
        <v>256</v>
      </c>
      <c r="HF25" s="28">
        <v>175</v>
      </c>
      <c r="HG25" s="8">
        <v>248</v>
      </c>
      <c r="HJ25" s="28"/>
      <c r="HL25" s="52"/>
      <c r="HO25" s="8">
        <v>419</v>
      </c>
      <c r="HP25" s="28">
        <v>726</v>
      </c>
      <c r="HQ25" s="6">
        <v>33</v>
      </c>
      <c r="HR25" s="28">
        <v>9</v>
      </c>
      <c r="HS25" s="8">
        <v>1</v>
      </c>
      <c r="HT25" s="52">
        <v>30</v>
      </c>
      <c r="HV25" s="8">
        <v>-510</v>
      </c>
      <c r="HW25" s="28">
        <v>157</v>
      </c>
      <c r="HX25" s="8">
        <v>34</v>
      </c>
      <c r="HY25" s="28">
        <v>8</v>
      </c>
      <c r="HZ25" s="8">
        <v>-24</v>
      </c>
      <c r="IB25" s="8">
        <v>-207</v>
      </c>
      <c r="IC25" s="28">
        <v>711</v>
      </c>
      <c r="ID25" s="8">
        <v>57</v>
      </c>
      <c r="IE25" s="28">
        <v>801</v>
      </c>
      <c r="IF25" s="8">
        <v>270</v>
      </c>
      <c r="IG25" s="28">
        <v>306</v>
      </c>
      <c r="IH25" s="8">
        <v>86</v>
      </c>
      <c r="II25" s="28">
        <v>11</v>
      </c>
      <c r="IM25" s="8">
        <v>216</v>
      </c>
      <c r="IO25">
        <v>5</v>
      </c>
      <c r="IP25" s="10">
        <v>136</v>
      </c>
      <c r="IR25" s="28"/>
      <c r="IS25" s="6">
        <v>-204</v>
      </c>
      <c r="IT25" s="28">
        <v>764</v>
      </c>
      <c r="IU25" s="8">
        <v>-106</v>
      </c>
      <c r="IV25" s="28">
        <v>428</v>
      </c>
      <c r="IW25" s="8">
        <v>-979</v>
      </c>
      <c r="IY25" s="8">
        <v>641</v>
      </c>
      <c r="JA25" s="8">
        <v>572</v>
      </c>
      <c r="JB25" s="12">
        <v>155</v>
      </c>
      <c r="JD25" s="8">
        <v>38</v>
      </c>
      <c r="JG25" s="28"/>
      <c r="JH25" s="8">
        <v>-672</v>
      </c>
      <c r="JI25" s="28">
        <v>153</v>
      </c>
      <c r="JJ25" s="8">
        <v>38</v>
      </c>
      <c r="JK25" s="28">
        <v>10</v>
      </c>
      <c r="JL25" s="8">
        <v>536</v>
      </c>
      <c r="JM25" s="12">
        <v>147</v>
      </c>
      <c r="JN25" s="8">
        <v>2</v>
      </c>
      <c r="JO25" s="28">
        <v>3</v>
      </c>
      <c r="JP25" s="6">
        <v>-7</v>
      </c>
      <c r="JQ25" s="12">
        <v>94</v>
      </c>
      <c r="JR25" s="8">
        <v>988</v>
      </c>
      <c r="JS25" s="12"/>
      <c r="JT25" s="6">
        <v>584</v>
      </c>
      <c r="JU25" s="12">
        <v>275</v>
      </c>
      <c r="JW25" s="8">
        <v>494</v>
      </c>
      <c r="JX25" s="12">
        <v>156</v>
      </c>
      <c r="JZ25" s="28"/>
      <c r="KA25" s="8">
        <v>165</v>
      </c>
      <c r="KB25" s="28">
        <v>17</v>
      </c>
      <c r="KD25" s="28"/>
      <c r="KE25" s="6">
        <v>-414</v>
      </c>
      <c r="KF25" s="12">
        <v>486</v>
      </c>
      <c r="KJ25" s="28"/>
      <c r="KM25" s="6"/>
      <c r="KQ25" s="8">
        <v>19</v>
      </c>
      <c r="KR25" s="28">
        <v>106</v>
      </c>
      <c r="KT25" s="8">
        <v>23</v>
      </c>
      <c r="KU25" s="28">
        <v>7</v>
      </c>
      <c r="KV25" s="8">
        <v>15</v>
      </c>
      <c r="KZ25" s="8">
        <v>93</v>
      </c>
      <c r="LA25" s="12">
        <v>235</v>
      </c>
      <c r="LD25" s="8">
        <v>-478</v>
      </c>
      <c r="LE25" s="28">
        <v>771</v>
      </c>
      <c r="LF25" s="8">
        <v>-295</v>
      </c>
      <c r="LG25" s="28">
        <v>35</v>
      </c>
      <c r="LH25" s="8">
        <v>-430</v>
      </c>
      <c r="LJ25" s="8">
        <v>-124</v>
      </c>
      <c r="LK25" s="28">
        <v>316</v>
      </c>
      <c r="LL25" s="8">
        <v>-137</v>
      </c>
      <c r="LM25" s="28">
        <v>63</v>
      </c>
      <c r="LN25" s="8">
        <v>166</v>
      </c>
      <c r="LO25" s="28">
        <v>695</v>
      </c>
      <c r="LS25" s="8">
        <v>197</v>
      </c>
      <c r="LU25" s="8">
        <v>61</v>
      </c>
      <c r="LV25" s="12">
        <v>65</v>
      </c>
      <c r="LW25" s="8">
        <v>-339</v>
      </c>
      <c r="LX25" s="28">
        <v>188</v>
      </c>
      <c r="LZ25" s="8">
        <v>797</v>
      </c>
      <c r="MB25" s="8">
        <v>-78</v>
      </c>
      <c r="MC25" s="28">
        <v>89</v>
      </c>
      <c r="MF25" s="8">
        <v>-169</v>
      </c>
      <c r="MG25" s="12">
        <v>70</v>
      </c>
      <c r="MH25" s="8">
        <v>-7</v>
      </c>
      <c r="MJ25" s="8">
        <v>-21</v>
      </c>
      <c r="MK25" s="12">
        <v>955</v>
      </c>
      <c r="MN25" s="8">
        <v>143</v>
      </c>
      <c r="MO25" s="28">
        <v>41</v>
      </c>
      <c r="MS25" s="8">
        <v>-251</v>
      </c>
      <c r="MT25" s="12">
        <v>674</v>
      </c>
      <c r="MU25" s="8">
        <v>-13</v>
      </c>
      <c r="MV25" s="28">
        <v>17</v>
      </c>
      <c r="MZ25" s="8">
        <v>147</v>
      </c>
      <c r="NC25" s="8">
        <v>-135</v>
      </c>
      <c r="ND25" s="12">
        <v>410</v>
      </c>
      <c r="NE25" s="8">
        <v>660</v>
      </c>
      <c r="NF25" s="28">
        <v>357</v>
      </c>
      <c r="NG25" s="8">
        <f>137</f>
        <v>137</v>
      </c>
      <c r="NH25" s="28">
        <v>18</v>
      </c>
      <c r="NI25" s="8">
        <v>393</v>
      </c>
      <c r="NJ25" s="28">
        <v>3</v>
      </c>
      <c r="NL25" s="8">
        <v>3</v>
      </c>
      <c r="NM25" s="28">
        <v>26</v>
      </c>
      <c r="NN25" s="8">
        <v>-344</v>
      </c>
      <c r="NO25" s="28">
        <v>873</v>
      </c>
      <c r="NP25" s="8">
        <v>279</v>
      </c>
      <c r="NQ25" s="12">
        <v>957</v>
      </c>
      <c r="NR25" s="8">
        <v>-35</v>
      </c>
      <c r="NS25" s="12">
        <v>6</v>
      </c>
      <c r="NU25" s="8">
        <v>401</v>
      </c>
      <c r="NV25" s="12">
        <v>234</v>
      </c>
      <c r="NW25" s="8">
        <v>-266</v>
      </c>
      <c r="NX25" s="28">
        <v>163</v>
      </c>
      <c r="NY25" s="8">
        <v>943</v>
      </c>
      <c r="NZ25" s="12">
        <v>126</v>
      </c>
      <c r="OA25" s="8">
        <v>1</v>
      </c>
      <c r="OB25" s="28">
        <v>494</v>
      </c>
      <c r="OC25" s="8">
        <v>-391</v>
      </c>
      <c r="OD25" s="12">
        <v>755</v>
      </c>
      <c r="OE25" s="8">
        <v>-109</v>
      </c>
      <c r="OF25" s="28"/>
      <c r="OG25" s="28">
        <v>904</v>
      </c>
      <c r="OH25" s="8">
        <v>816</v>
      </c>
      <c r="OI25" s="28">
        <v>75</v>
      </c>
      <c r="OK25" s="8">
        <v>-161</v>
      </c>
      <c r="OL25" s="28">
        <v>119</v>
      </c>
      <c r="ON25" s="28"/>
      <c r="OO25" s="8">
        <v>-41</v>
      </c>
      <c r="OP25" s="28">
        <v>54</v>
      </c>
      <c r="OT25" s="28"/>
      <c r="OU25" s="12"/>
      <c r="OV25" s="8">
        <v>269</v>
      </c>
      <c r="PA25" s="8">
        <v>53</v>
      </c>
      <c r="PC25" s="8">
        <v>397</v>
      </c>
      <c r="PD25" s="28">
        <v>378</v>
      </c>
      <c r="PE25" s="8">
        <v>161</v>
      </c>
      <c r="PF25" s="12">
        <v>142</v>
      </c>
      <c r="PG25" s="8">
        <v>652</v>
      </c>
      <c r="PH25" s="12">
        <v>211</v>
      </c>
      <c r="PJ25" s="8">
        <v>-103</v>
      </c>
      <c r="PK25" s="12">
        <v>996</v>
      </c>
      <c r="PL25" s="8">
        <v>445</v>
      </c>
      <c r="PM25" s="28">
        <v>597</v>
      </c>
      <c r="PP25" s="8">
        <v>625</v>
      </c>
      <c r="PQ25" s="28">
        <v>42</v>
      </c>
      <c r="PR25" s="28"/>
      <c r="PS25" s="8">
        <v>-100</v>
      </c>
      <c r="PT25" s="12">
        <v>106</v>
      </c>
      <c r="PW25" s="8">
        <v>-19</v>
      </c>
      <c r="PX25" s="28">
        <v>28</v>
      </c>
      <c r="PY25" s="8">
        <v>-37</v>
      </c>
      <c r="PZ25" s="12">
        <v>24</v>
      </c>
      <c r="QC25" s="8">
        <v>118</v>
      </c>
      <c r="QD25" s="12">
        <v>530</v>
      </c>
      <c r="QE25" s="8">
        <v>122</v>
      </c>
      <c r="QF25" s="12">
        <v>261</v>
      </c>
      <c r="QH25" s="8">
        <v>-277</v>
      </c>
      <c r="QI25" s="12">
        <v>394</v>
      </c>
      <c r="QJ25" s="8">
        <v>8</v>
      </c>
      <c r="QL25" s="8">
        <v>-4</v>
      </c>
      <c r="QM25" s="12">
        <v>255</v>
      </c>
      <c r="QN25" s="12"/>
      <c r="QO25" s="12"/>
      <c r="QQ25" s="8">
        <v>-188</v>
      </c>
      <c r="QR25" s="12">
        <f t="shared" si="0"/>
        <v>28.600699292150182</v>
      </c>
      <c r="QS25" s="8">
        <v>818</v>
      </c>
      <c r="QT25" s="8">
        <v>136</v>
      </c>
      <c r="QU25" s="12">
        <v>321</v>
      </c>
      <c r="QV25" s="6">
        <v>-561</v>
      </c>
      <c r="QW25" s="12">
        <v>251</v>
      </c>
      <c r="QY25" s="8">
        <v>127</v>
      </c>
      <c r="QZ25" s="12">
        <v>136</v>
      </c>
      <c r="RA25" s="8">
        <v>-56</v>
      </c>
      <c r="RB25" s="12">
        <v>591</v>
      </c>
      <c r="RC25" s="6">
        <v>675</v>
      </c>
      <c r="RD25" s="12">
        <v>149</v>
      </c>
      <c r="RE25" s="6">
        <v>840</v>
      </c>
      <c r="RF25" s="12">
        <v>695</v>
      </c>
      <c r="RG25" s="8">
        <v>-247</v>
      </c>
      <c r="RH25" s="28">
        <v>123</v>
      </c>
      <c r="RJ25" s="8">
        <v>1</v>
      </c>
      <c r="RK25" s="12">
        <v>114</v>
      </c>
      <c r="RL25" s="8">
        <v>-96</v>
      </c>
      <c r="RM25" s="12">
        <v>117</v>
      </c>
      <c r="RQ25" s="9"/>
      <c r="RR25" s="9"/>
      <c r="RS25" s="55">
        <v>128</v>
      </c>
      <c r="RT25" s="50">
        <v>886</v>
      </c>
      <c r="RV25" s="8">
        <v>2</v>
      </c>
      <c r="RW25" s="52">
        <v>152</v>
      </c>
      <c r="RY25" s="48" t="s">
        <v>159</v>
      </c>
      <c r="RZ25" s="49" t="s">
        <v>160</v>
      </c>
      <c r="SA25" s="8">
        <v>83</v>
      </c>
      <c r="SB25" s="28">
        <v>2</v>
      </c>
      <c r="SD25" s="8">
        <v>608</v>
      </c>
      <c r="SE25" s="12">
        <v>151</v>
      </c>
      <c r="SF25" s="8">
        <v>-502</v>
      </c>
      <c r="SG25" s="12">
        <v>447</v>
      </c>
      <c r="SP25" s="8">
        <v>266</v>
      </c>
      <c r="SQ25" s="12">
        <v>36</v>
      </c>
      <c r="SW25" s="8">
        <v>55</v>
      </c>
      <c r="SX25" s="28">
        <v>22</v>
      </c>
      <c r="SY25" s="6">
        <v>495</v>
      </c>
      <c r="SZ25" s="28">
        <v>972</v>
      </c>
      <c r="TA25" s="6"/>
      <c r="TB25" s="6"/>
      <c r="TC25" s="8">
        <v>96</v>
      </c>
      <c r="TD25" s="28">
        <v>12</v>
      </c>
      <c r="TH25" s="8">
        <v>830</v>
      </c>
      <c r="TI25" s="28">
        <v>249</v>
      </c>
      <c r="TM25" s="8">
        <v>-278</v>
      </c>
      <c r="TN25" s="28">
        <v>189</v>
      </c>
      <c r="TP25" s="28"/>
      <c r="TQ25" s="8">
        <v>8</v>
      </c>
      <c r="TX25" s="8">
        <v>-618</v>
      </c>
      <c r="TY25" s="28">
        <v>612</v>
      </c>
      <c r="TZ25" s="8">
        <v>161</v>
      </c>
      <c r="UA25" s="12">
        <v>204</v>
      </c>
      <c r="UB25" s="8">
        <v>152</v>
      </c>
      <c r="UC25" s="12">
        <v>237</v>
      </c>
      <c r="UE25" s="8">
        <v>1</v>
      </c>
      <c r="UF25" s="12">
        <v>124</v>
      </c>
      <c r="UG25" s="8">
        <v>-256</v>
      </c>
      <c r="UH25" s="12">
        <v>4</v>
      </c>
      <c r="UI25" s="8">
        <v>128</v>
      </c>
      <c r="UJ25" s="12">
        <v>121</v>
      </c>
      <c r="UL25" s="8">
        <v>438</v>
      </c>
      <c r="UM25" s="28">
        <v>27</v>
      </c>
      <c r="UN25" s="8">
        <v>348</v>
      </c>
      <c r="UO25" s="12">
        <v>151</v>
      </c>
      <c r="US25" s="8">
        <v>116</v>
      </c>
      <c r="UT25" s="12">
        <v>399</v>
      </c>
      <c r="UU25" s="8">
        <v>159</v>
      </c>
      <c r="UV25" s="12">
        <v>38</v>
      </c>
      <c r="UZ25" s="8">
        <v>131</v>
      </c>
      <c r="VA25" s="12">
        <v>478</v>
      </c>
      <c r="VB25" s="8">
        <v>-146</v>
      </c>
      <c r="VC25" s="12">
        <v>181</v>
      </c>
      <c r="VD25" s="8">
        <v>-463</v>
      </c>
      <c r="VE25" s="12">
        <v>268</v>
      </c>
      <c r="VF25" s="8">
        <v>-136</v>
      </c>
      <c r="VG25" s="12">
        <v>295</v>
      </c>
      <c r="VH25" s="8">
        <v>874</v>
      </c>
      <c r="VI25" s="28">
        <v>127</v>
      </c>
      <c r="VL25" s="21"/>
      <c r="VM25" s="8">
        <v>-2535</v>
      </c>
      <c r="VN25" s="12">
        <v>124</v>
      </c>
      <c r="VO25" s="12"/>
      <c r="VP25" s="12"/>
      <c r="VQ25" s="6">
        <v>-129</v>
      </c>
      <c r="VR25" s="28">
        <v>105</v>
      </c>
      <c r="VS25" s="6">
        <v>1164</v>
      </c>
      <c r="VT25" s="12"/>
      <c r="VV25" s="8">
        <v>892</v>
      </c>
      <c r="VW25" s="28">
        <v>1638</v>
      </c>
      <c r="VX25" s="8">
        <v>-402</v>
      </c>
      <c r="VY25" s="12">
        <v>187</v>
      </c>
      <c r="VZ25" s="8">
        <v>548</v>
      </c>
      <c r="WA25" s="28">
        <v>158</v>
      </c>
      <c r="WB25" s="8">
        <v>6264</v>
      </c>
      <c r="WC25" s="12">
        <v>1034</v>
      </c>
      <c r="WG25" s="8">
        <v>209</v>
      </c>
      <c r="WH25" s="28">
        <v>57</v>
      </c>
      <c r="WI25" s="8">
        <v>3247</v>
      </c>
      <c r="WN25">
        <v>381</v>
      </c>
      <c r="WO25" s="12">
        <v>3049</v>
      </c>
      <c r="WP25" s="2">
        <v>99</v>
      </c>
      <c r="WQ25" s="1">
        <v>71</v>
      </c>
      <c r="WR25" s="10"/>
      <c r="WS25" s="10"/>
      <c r="WT25" s="10"/>
      <c r="WU25" s="10"/>
      <c r="WV25" s="10"/>
      <c r="XB25" s="23">
        <v>60</v>
      </c>
      <c r="XC25" s="25">
        <v>9</v>
      </c>
      <c r="XE25">
        <v>405</v>
      </c>
      <c r="XF25" s="1">
        <v>92</v>
      </c>
      <c r="XG25" s="2">
        <v>3007</v>
      </c>
      <c r="XH25" s="10"/>
      <c r="XK25">
        <v>6</v>
      </c>
      <c r="XL25" s="1">
        <v>64</v>
      </c>
      <c r="XO25">
        <v>327</v>
      </c>
      <c r="XP25" s="1">
        <v>62</v>
      </c>
    </row>
    <row r="26" spans="1:640" x14ac:dyDescent="0.25">
      <c r="C26" s="3"/>
      <c r="D26" s="3"/>
      <c r="E26">
        <v>-176</v>
      </c>
      <c r="F26" s="1">
        <v>224</v>
      </c>
      <c r="G26" s="2">
        <v>-3227</v>
      </c>
      <c r="I26" s="2">
        <v>-1</v>
      </c>
      <c r="K26" s="2">
        <v>2370</v>
      </c>
      <c r="L26" s="1">
        <v>212</v>
      </c>
      <c r="M26">
        <v>365</v>
      </c>
      <c r="N26" s="1">
        <v>154</v>
      </c>
      <c r="O26" s="26"/>
      <c r="R26">
        <v>154</v>
      </c>
      <c r="S26" s="12">
        <v>430</v>
      </c>
      <c r="T26">
        <v>-1624</v>
      </c>
      <c r="U26" s="1">
        <v>53</v>
      </c>
      <c r="V26">
        <v>16</v>
      </c>
      <c r="W26" s="10">
        <v>1214</v>
      </c>
      <c r="X26">
        <v>47</v>
      </c>
      <c r="Z26">
        <v>1</v>
      </c>
      <c r="AA26" s="1">
        <v>2</v>
      </c>
      <c r="AB26">
        <v>-68</v>
      </c>
      <c r="AC26" s="1">
        <v>32</v>
      </c>
      <c r="AD26">
        <v>2</v>
      </c>
      <c r="AE26" s="1">
        <v>1</v>
      </c>
      <c r="AF26">
        <v>-1449</v>
      </c>
      <c r="AG26" s="1">
        <v>244</v>
      </c>
      <c r="AJ26" s="2">
        <v>4</v>
      </c>
      <c r="AK26" s="10">
        <v>120</v>
      </c>
      <c r="AN26">
        <v>-96</v>
      </c>
      <c r="AO26" s="1">
        <v>21</v>
      </c>
      <c r="AQ26">
        <v>-508</v>
      </c>
      <c r="AR26" s="1">
        <v>865</v>
      </c>
      <c r="AY26">
        <v>-49303</v>
      </c>
      <c r="AZ26" s="1">
        <v>6267</v>
      </c>
      <c r="BA26">
        <v>590</v>
      </c>
      <c r="BB26" s="1">
        <v>723</v>
      </c>
      <c r="BD26" s="8">
        <v>47</v>
      </c>
      <c r="BE26" s="1">
        <v>89</v>
      </c>
      <c r="BF26">
        <v>1924</v>
      </c>
      <c r="BG26" s="1">
        <v>666</v>
      </c>
      <c r="BH26">
        <v>-8028</v>
      </c>
      <c r="BI26" s="1">
        <v>1084</v>
      </c>
      <c r="BJ26">
        <v>-138</v>
      </c>
      <c r="BL26">
        <v>-90</v>
      </c>
      <c r="BM26" s="1">
        <v>19</v>
      </c>
      <c r="BN26">
        <v>-46</v>
      </c>
      <c r="BP26">
        <v>-613</v>
      </c>
      <c r="BQ26" s="10">
        <v>5527</v>
      </c>
      <c r="BR26">
        <v>457</v>
      </c>
      <c r="BS26" s="1">
        <v>187</v>
      </c>
      <c r="BT26">
        <v>661</v>
      </c>
      <c r="BU26" s="1">
        <v>118</v>
      </c>
      <c r="BV26">
        <v>931</v>
      </c>
      <c r="BW26" s="1">
        <v>143</v>
      </c>
      <c r="CA26" s="8">
        <v>-463</v>
      </c>
      <c r="CB26" s="28">
        <v>238</v>
      </c>
      <c r="CC26" s="8">
        <v>803</v>
      </c>
      <c r="CD26" s="28">
        <v>193</v>
      </c>
      <c r="CE26" s="8">
        <v>69</v>
      </c>
      <c r="CF26" s="28">
        <v>7</v>
      </c>
      <c r="CG26" s="8">
        <v>682</v>
      </c>
      <c r="CI26" s="8">
        <v>429</v>
      </c>
      <c r="CJ26" s="12">
        <v>220</v>
      </c>
      <c r="CK26" s="6">
        <v>-12</v>
      </c>
      <c r="CL26" s="28">
        <v>20</v>
      </c>
      <c r="CM26" s="6">
        <v>-858</v>
      </c>
      <c r="CN26" s="28">
        <v>649</v>
      </c>
      <c r="CO26" s="6">
        <v>3</v>
      </c>
      <c r="CP26" s="28"/>
      <c r="CQ26" s="6">
        <v>163</v>
      </c>
      <c r="CR26" s="12">
        <v>343</v>
      </c>
      <c r="CS26" s="6">
        <v>260</v>
      </c>
      <c r="CT26" s="28">
        <v>424</v>
      </c>
      <c r="CU26" s="28"/>
      <c r="CV26" s="28"/>
      <c r="CW26" s="6">
        <v>1</v>
      </c>
      <c r="CX26" s="28">
        <v>8</v>
      </c>
      <c r="CZ26" s="23">
        <v>309</v>
      </c>
      <c r="DA26" s="25">
        <v>270</v>
      </c>
      <c r="DB26" s="23">
        <v>-92</v>
      </c>
      <c r="DC26" s="25">
        <v>8</v>
      </c>
      <c r="DD26" s="23">
        <v>-6</v>
      </c>
      <c r="DE26" s="25">
        <v>16</v>
      </c>
      <c r="DF26" s="86">
        <v>109</v>
      </c>
      <c r="DG26" s="25">
        <v>177</v>
      </c>
      <c r="DH26" s="23">
        <v>117</v>
      </c>
      <c r="DI26" s="25">
        <v>313</v>
      </c>
      <c r="DJ26" s="23">
        <v>686</v>
      </c>
      <c r="DK26" s="28">
        <v>204</v>
      </c>
      <c r="DL26" s="8">
        <v>364</v>
      </c>
      <c r="DN26" s="8">
        <v>8</v>
      </c>
      <c r="DQ26" s="8">
        <v>-77</v>
      </c>
      <c r="DR26" s="52">
        <v>596</v>
      </c>
      <c r="DS26" s="6">
        <v>27</v>
      </c>
      <c r="DT26" s="52">
        <v>199</v>
      </c>
      <c r="DU26" s="8">
        <v>-151</v>
      </c>
      <c r="DV26" s="28">
        <v>319</v>
      </c>
      <c r="DW26" s="8">
        <v>-426</v>
      </c>
      <c r="DX26" s="28">
        <v>78</v>
      </c>
      <c r="DY26" s="6">
        <v>-258</v>
      </c>
      <c r="DZ26" s="52">
        <v>150</v>
      </c>
      <c r="EA26" s="23">
        <v>7</v>
      </c>
      <c r="EB26" s="52">
        <v>432</v>
      </c>
      <c r="EC26" s="6">
        <v>5</v>
      </c>
      <c r="ED26" s="28">
        <v>7</v>
      </c>
      <c r="EE26" s="8">
        <v>-23</v>
      </c>
      <c r="EF26" s="52">
        <v>409</v>
      </c>
      <c r="EG26" s="8">
        <v>-437</v>
      </c>
      <c r="EH26" s="28">
        <v>486</v>
      </c>
      <c r="EI26" s="8">
        <v>13</v>
      </c>
      <c r="EJ26" s="52">
        <v>646</v>
      </c>
      <c r="EL26" s="8">
        <v>-141</v>
      </c>
      <c r="EM26" s="28">
        <v>378</v>
      </c>
      <c r="EN26" s="8">
        <v>170</v>
      </c>
      <c r="EO26" s="28">
        <v>17</v>
      </c>
      <c r="EP26" s="6">
        <v>-161</v>
      </c>
      <c r="EQ26" s="52">
        <v>126</v>
      </c>
      <c r="EU26" s="52"/>
      <c r="EV26" s="8">
        <v>88</v>
      </c>
      <c r="EX26" s="8">
        <v>313</v>
      </c>
      <c r="EY26" s="28">
        <v>281</v>
      </c>
      <c r="EZ26" s="8">
        <v>235</v>
      </c>
      <c r="FA26" s="52">
        <v>656</v>
      </c>
      <c r="FB26" s="8">
        <v>173</v>
      </c>
      <c r="FC26" s="52">
        <v>168</v>
      </c>
      <c r="FD26" s="6">
        <v>264</v>
      </c>
      <c r="FE26" s="28">
        <v>807</v>
      </c>
      <c r="FF26" s="8">
        <v>658</v>
      </c>
      <c r="FG26" s="28">
        <v>84</v>
      </c>
      <c r="FH26" s="8">
        <v>-7</v>
      </c>
      <c r="FI26" s="28">
        <v>1</v>
      </c>
      <c r="FK26" s="52"/>
      <c r="FM26" s="8">
        <v>490</v>
      </c>
      <c r="FN26" s="52">
        <v>251</v>
      </c>
      <c r="FO26" s="8">
        <v>175</v>
      </c>
      <c r="FP26" s="28">
        <v>544</v>
      </c>
      <c r="FQ26" s="8">
        <v>45</v>
      </c>
      <c r="FR26" s="28">
        <v>5</v>
      </c>
      <c r="FS26" s="8">
        <v>348</v>
      </c>
      <c r="FU26" s="28">
        <v>158</v>
      </c>
      <c r="FV26" s="8">
        <v>-347</v>
      </c>
      <c r="FW26" s="28">
        <v>53</v>
      </c>
      <c r="GA26" s="8">
        <v>115</v>
      </c>
      <c r="GB26" s="52">
        <v>177</v>
      </c>
      <c r="GC26" s="8">
        <v>-947</v>
      </c>
      <c r="GE26" s="8">
        <v>194</v>
      </c>
      <c r="GF26" s="28">
        <v>197</v>
      </c>
      <c r="GG26" s="8">
        <v>-27</v>
      </c>
      <c r="GH26" s="28">
        <v>102</v>
      </c>
      <c r="GI26" s="8">
        <v>-25</v>
      </c>
      <c r="GJ26" s="28">
        <v>64</v>
      </c>
      <c r="GK26" s="8">
        <v>156</v>
      </c>
      <c r="GL26" s="28">
        <v>155</v>
      </c>
      <c r="GN26" s="8">
        <v>175</v>
      </c>
      <c r="GO26" s="28">
        <v>222</v>
      </c>
      <c r="GP26" s="8">
        <v>29</v>
      </c>
      <c r="GQ26" s="52">
        <v>234</v>
      </c>
      <c r="GR26" s="8">
        <v>-175</v>
      </c>
      <c r="GS26" s="28">
        <v>124</v>
      </c>
      <c r="GT26" s="6">
        <v>690</v>
      </c>
      <c r="GU26" s="52">
        <v>290</v>
      </c>
      <c r="GV26" s="6">
        <v>-149</v>
      </c>
      <c r="GW26" s="28">
        <v>38</v>
      </c>
      <c r="GX26" s="8">
        <v>802</v>
      </c>
      <c r="GY26" s="52">
        <v>123</v>
      </c>
      <c r="GZ26" s="8">
        <v>-13</v>
      </c>
      <c r="HA26" s="28">
        <v>48</v>
      </c>
      <c r="HB26" s="6">
        <v>-44</v>
      </c>
      <c r="HC26" s="28"/>
      <c r="HE26" s="8">
        <v>257</v>
      </c>
      <c r="HF26" s="28">
        <v>56</v>
      </c>
      <c r="HG26" s="8">
        <v>-64</v>
      </c>
      <c r="HJ26" s="28"/>
      <c r="HL26" s="52"/>
      <c r="HO26" s="8">
        <v>-36</v>
      </c>
      <c r="HP26" s="28">
        <v>976</v>
      </c>
      <c r="HQ26" s="6">
        <v>19</v>
      </c>
      <c r="HR26" s="28">
        <v>12</v>
      </c>
      <c r="HS26" s="8">
        <v>-21</v>
      </c>
      <c r="HT26" s="52">
        <v>136</v>
      </c>
      <c r="HV26" s="8">
        <v>153</v>
      </c>
      <c r="HW26" s="28">
        <v>874</v>
      </c>
      <c r="HX26" s="8">
        <v>32</v>
      </c>
      <c r="HY26" s="28">
        <v>6</v>
      </c>
      <c r="HZ26" s="8">
        <v>-34</v>
      </c>
      <c r="IB26" s="8">
        <v>-432</v>
      </c>
      <c r="IC26" s="28">
        <v>100</v>
      </c>
      <c r="ID26" s="8">
        <v>-277</v>
      </c>
      <c r="IE26" s="28">
        <v>246</v>
      </c>
      <c r="IF26" s="8">
        <v>496</v>
      </c>
      <c r="IG26" s="28">
        <v>446</v>
      </c>
      <c r="IH26" s="8">
        <v>503</v>
      </c>
      <c r="II26" s="28">
        <v>152</v>
      </c>
      <c r="IM26" s="8">
        <v>966</v>
      </c>
      <c r="IO26">
        <v>173</v>
      </c>
      <c r="IP26" s="10">
        <v>209</v>
      </c>
      <c r="IR26" s="28"/>
      <c r="IS26" s="6">
        <v>410</v>
      </c>
      <c r="IT26" s="28">
        <v>194</v>
      </c>
      <c r="IU26" s="8">
        <v>-231</v>
      </c>
      <c r="IV26" s="28">
        <v>872</v>
      </c>
      <c r="IW26" s="8">
        <v>-143</v>
      </c>
      <c r="IY26" s="8">
        <v>-247</v>
      </c>
      <c r="JA26" s="8">
        <v>433</v>
      </c>
      <c r="JB26" s="12">
        <v>109</v>
      </c>
      <c r="JG26" s="28"/>
      <c r="JH26" s="8">
        <v>-163</v>
      </c>
      <c r="JI26" s="28">
        <v>182</v>
      </c>
      <c r="JJ26" s="8">
        <v>36</v>
      </c>
      <c r="JK26" s="28">
        <v>11</v>
      </c>
      <c r="JL26" s="8">
        <v>-723</v>
      </c>
      <c r="JM26" s="12">
        <v>103</v>
      </c>
      <c r="JN26" s="8">
        <v>-150</v>
      </c>
      <c r="JO26" s="28">
        <v>271</v>
      </c>
      <c r="JP26" s="6">
        <v>132</v>
      </c>
      <c r="JQ26" s="12">
        <v>761</v>
      </c>
      <c r="JR26" s="8">
        <v>633</v>
      </c>
      <c r="JS26" s="12"/>
      <c r="JT26" s="6">
        <v>127</v>
      </c>
      <c r="JU26" s="12">
        <v>230</v>
      </c>
      <c r="JW26" s="8">
        <v>-498</v>
      </c>
      <c r="JX26" s="12">
        <v>150</v>
      </c>
      <c r="JZ26" s="28"/>
      <c r="KA26" s="8">
        <v>314</v>
      </c>
      <c r="KB26" s="28">
        <v>27</v>
      </c>
      <c r="KD26" s="28"/>
      <c r="KE26" s="6">
        <v>-154</v>
      </c>
      <c r="KF26" s="12">
        <v>261</v>
      </c>
      <c r="KJ26" s="28"/>
      <c r="KM26" s="6"/>
      <c r="KQ26" s="8">
        <v>120</v>
      </c>
      <c r="KR26" s="28">
        <v>55</v>
      </c>
      <c r="KT26" s="8">
        <v>-357</v>
      </c>
      <c r="KU26" s="28">
        <v>8</v>
      </c>
      <c r="KV26" s="8">
        <v>-833</v>
      </c>
      <c r="KZ26" s="8">
        <v>547</v>
      </c>
      <c r="LA26" s="12">
        <v>301</v>
      </c>
      <c r="LD26" s="8">
        <v>364</v>
      </c>
      <c r="LE26" s="28">
        <v>778</v>
      </c>
      <c r="LF26" s="8">
        <v>-46</v>
      </c>
      <c r="LG26" s="28">
        <v>32</v>
      </c>
      <c r="LH26" s="8">
        <v>-104</v>
      </c>
      <c r="LJ26" s="8">
        <f>966</f>
        <v>966</v>
      </c>
      <c r="LK26" s="28">
        <v>306</v>
      </c>
      <c r="LL26" s="8">
        <v>156</v>
      </c>
      <c r="LM26" s="28">
        <v>70</v>
      </c>
      <c r="LN26" s="8">
        <v>809</v>
      </c>
      <c r="LO26" s="28">
        <v>681</v>
      </c>
      <c r="LS26" s="8">
        <v>35</v>
      </c>
      <c r="LU26" s="8">
        <v>-102</v>
      </c>
      <c r="LV26" s="12">
        <v>172</v>
      </c>
      <c r="LW26" s="8">
        <v>-123</v>
      </c>
      <c r="LX26" s="28">
        <v>160</v>
      </c>
      <c r="LZ26" s="8">
        <v>890</v>
      </c>
      <c r="MF26" s="8">
        <v>3</v>
      </c>
      <c r="MG26" s="12">
        <v>2</v>
      </c>
      <c r="MH26" s="8">
        <v>7</v>
      </c>
      <c r="MJ26" s="8">
        <v>116</v>
      </c>
      <c r="MK26" s="12">
        <v>606</v>
      </c>
      <c r="MN26" s="8">
        <v>646</v>
      </c>
      <c r="MO26" s="28">
        <v>56</v>
      </c>
      <c r="MS26" s="8">
        <v>926</v>
      </c>
      <c r="MT26" s="12">
        <v>178</v>
      </c>
      <c r="MU26" s="8">
        <v>-11</v>
      </c>
      <c r="MV26" s="28">
        <v>5</v>
      </c>
      <c r="MZ26" s="8">
        <v>-403</v>
      </c>
      <c r="NC26" s="8">
        <v>-425</v>
      </c>
      <c r="ND26" s="12">
        <v>281</v>
      </c>
      <c r="NE26" s="8">
        <v>-194</v>
      </c>
      <c r="NF26" s="28">
        <v>176</v>
      </c>
      <c r="NG26" s="8">
        <v>190</v>
      </c>
      <c r="NH26" s="28">
        <v>22</v>
      </c>
      <c r="NI26" s="8">
        <v>128</v>
      </c>
      <c r="NJ26" s="28">
        <v>3</v>
      </c>
      <c r="NL26" s="8">
        <v>122</v>
      </c>
      <c r="NM26" s="28">
        <v>15</v>
      </c>
      <c r="NN26" s="8">
        <v>737</v>
      </c>
      <c r="NO26" s="28">
        <v>724</v>
      </c>
      <c r="NP26" s="8">
        <v>143</v>
      </c>
      <c r="NQ26" s="12">
        <v>336</v>
      </c>
      <c r="NR26" s="8">
        <v>65</v>
      </c>
      <c r="NS26" s="12">
        <v>3</v>
      </c>
      <c r="NU26" s="8">
        <v>-119</v>
      </c>
      <c r="NV26" s="12">
        <v>147</v>
      </c>
      <c r="NW26" s="8">
        <v>-309</v>
      </c>
      <c r="NX26" s="28">
        <v>174</v>
      </c>
      <c r="NY26" s="8">
        <v>81</v>
      </c>
      <c r="NZ26" s="12">
        <v>131</v>
      </c>
      <c r="OA26" s="8">
        <v>101</v>
      </c>
      <c r="OB26" s="28">
        <v>363</v>
      </c>
      <c r="OC26" s="8">
        <v>-506</v>
      </c>
      <c r="OD26" s="12">
        <v>388</v>
      </c>
      <c r="OE26" s="8">
        <v>233</v>
      </c>
      <c r="OF26" s="28"/>
      <c r="OG26" s="28">
        <v>181</v>
      </c>
      <c r="OK26" s="8">
        <v>-142</v>
      </c>
      <c r="OL26" s="28"/>
      <c r="ON26" s="28"/>
      <c r="OO26" s="8">
        <v>-38</v>
      </c>
      <c r="OP26" s="28">
        <v>67</v>
      </c>
      <c r="OT26" s="28"/>
      <c r="OU26" s="12"/>
      <c r="OV26" s="8">
        <v>233</v>
      </c>
      <c r="PA26" s="8">
        <v>-92</v>
      </c>
      <c r="PC26" s="8">
        <v>84</v>
      </c>
      <c r="PD26" s="28">
        <v>2</v>
      </c>
      <c r="PE26" s="8">
        <v>154</v>
      </c>
      <c r="PF26" s="12">
        <v>181</v>
      </c>
      <c r="PG26" s="8">
        <v>-290</v>
      </c>
      <c r="PH26" s="12">
        <v>449</v>
      </c>
      <c r="PJ26" s="8">
        <v>189</v>
      </c>
      <c r="PK26" s="12">
        <v>235</v>
      </c>
      <c r="PL26" s="8">
        <v>969</v>
      </c>
      <c r="PM26" s="28">
        <v>117</v>
      </c>
      <c r="PP26" s="8">
        <v>817</v>
      </c>
      <c r="PQ26" s="28">
        <v>33</v>
      </c>
      <c r="PR26" s="28"/>
      <c r="PS26" s="8">
        <v>-10</v>
      </c>
      <c r="PT26" s="12">
        <v>20</v>
      </c>
      <c r="PW26" s="8">
        <v>8</v>
      </c>
      <c r="PX26" s="28">
        <v>23</v>
      </c>
      <c r="PY26" s="8">
        <v>22</v>
      </c>
      <c r="PZ26" s="12">
        <v>121</v>
      </c>
      <c r="QC26" s="8">
        <v>877</v>
      </c>
      <c r="QD26" s="12">
        <v>222</v>
      </c>
      <c r="QE26" s="8">
        <v>673</v>
      </c>
      <c r="QF26" s="12">
        <v>695</v>
      </c>
      <c r="QH26" s="8">
        <v>-31</v>
      </c>
      <c r="QI26" s="12">
        <v>612</v>
      </c>
      <c r="QJ26" s="8">
        <v>43</v>
      </c>
      <c r="QL26" s="8">
        <v>-1</v>
      </c>
      <c r="QM26" s="12">
        <v>21</v>
      </c>
      <c r="QN26" s="12"/>
      <c r="QO26" s="12"/>
      <c r="QQ26" s="8">
        <v>-75</v>
      </c>
      <c r="QR26" s="12">
        <f t="shared" si="0"/>
        <v>23.130067012440755</v>
      </c>
      <c r="QS26" s="8">
        <v>535</v>
      </c>
      <c r="QT26" s="8">
        <v>524</v>
      </c>
      <c r="QU26" s="12">
        <v>198</v>
      </c>
      <c r="QV26" s="6">
        <v>-711</v>
      </c>
      <c r="QW26" s="12">
        <v>180</v>
      </c>
      <c r="QY26" s="8">
        <v>82</v>
      </c>
      <c r="QZ26" s="12">
        <v>110</v>
      </c>
      <c r="RA26" s="8">
        <v>-136</v>
      </c>
      <c r="RB26" s="12">
        <v>127</v>
      </c>
      <c r="RC26" s="6">
        <v>-446</v>
      </c>
      <c r="RD26" s="12">
        <v>136</v>
      </c>
      <c r="RE26" s="6">
        <v>-127</v>
      </c>
      <c r="RF26" s="12">
        <v>885</v>
      </c>
      <c r="RG26" s="8">
        <v>-255</v>
      </c>
      <c r="RH26" s="28">
        <v>77</v>
      </c>
      <c r="RJ26" s="8">
        <v>-41</v>
      </c>
      <c r="RK26" s="12">
        <v>34</v>
      </c>
      <c r="RL26" s="8">
        <v>18</v>
      </c>
      <c r="RM26" s="12">
        <v>673</v>
      </c>
      <c r="RQ26" s="9"/>
      <c r="RR26" s="9"/>
      <c r="RS26" s="55">
        <v>-603</v>
      </c>
      <c r="RT26" s="50">
        <v>223</v>
      </c>
      <c r="RV26" s="8">
        <v>346</v>
      </c>
      <c r="RW26" s="52">
        <v>69</v>
      </c>
      <c r="RY26" s="48" t="s">
        <v>161</v>
      </c>
      <c r="RZ26" s="49" t="s">
        <v>162</v>
      </c>
      <c r="SA26" s="8">
        <v>77</v>
      </c>
      <c r="SB26" s="28">
        <v>7</v>
      </c>
      <c r="SD26" s="8">
        <v>704</v>
      </c>
      <c r="SE26" s="12">
        <v>495</v>
      </c>
      <c r="SF26" s="8">
        <v>-102</v>
      </c>
      <c r="SG26" s="12">
        <v>684</v>
      </c>
      <c r="SP26" s="8">
        <v>4</v>
      </c>
      <c r="SQ26" s="12">
        <v>153</v>
      </c>
      <c r="SW26" s="8">
        <v>3</v>
      </c>
      <c r="SX26" s="28">
        <v>218</v>
      </c>
      <c r="SY26" s="6">
        <v>782</v>
      </c>
      <c r="SZ26" s="28">
        <v>249</v>
      </c>
      <c r="TA26" s="6"/>
      <c r="TB26" s="6"/>
      <c r="TC26" s="8">
        <v>-208</v>
      </c>
      <c r="TD26" s="28">
        <v>73</v>
      </c>
      <c r="TH26" s="8">
        <v>115</v>
      </c>
      <c r="TI26" s="28">
        <v>237</v>
      </c>
      <c r="TM26" s="8">
        <v>502</v>
      </c>
      <c r="TN26" s="28">
        <v>120</v>
      </c>
      <c r="TP26" s="28"/>
      <c r="TQ26" s="8">
        <v>20</v>
      </c>
      <c r="TX26" s="8">
        <v>-454</v>
      </c>
      <c r="TY26" s="28">
        <v>742</v>
      </c>
      <c r="TZ26" s="8">
        <v>182</v>
      </c>
      <c r="UA26" s="12">
        <v>415</v>
      </c>
      <c r="UB26" s="8">
        <v>1</v>
      </c>
      <c r="UC26" s="12">
        <v>187</v>
      </c>
      <c r="UE26" s="8">
        <v>16</v>
      </c>
      <c r="UF26" s="12">
        <v>105</v>
      </c>
      <c r="UG26" s="8">
        <v>443</v>
      </c>
      <c r="UH26" s="12">
        <v>278</v>
      </c>
      <c r="UI26" s="8">
        <v>132</v>
      </c>
      <c r="UJ26" s="12">
        <v>175</v>
      </c>
      <c r="UL26" s="8">
        <v>311</v>
      </c>
      <c r="UM26" s="28">
        <v>974</v>
      </c>
      <c r="UN26" s="8">
        <v>391</v>
      </c>
      <c r="UO26" s="12">
        <v>336</v>
      </c>
      <c r="US26" s="8">
        <v>857</v>
      </c>
      <c r="UT26" s="12">
        <v>149</v>
      </c>
      <c r="UU26" s="8">
        <v>109</v>
      </c>
      <c r="UV26" s="12">
        <v>21</v>
      </c>
      <c r="UZ26" s="8">
        <v>-728</v>
      </c>
      <c r="VA26" s="12">
        <v>786</v>
      </c>
      <c r="VB26" s="8">
        <v>113</v>
      </c>
      <c r="VC26" s="12">
        <v>354</v>
      </c>
      <c r="VD26" s="8">
        <v>205</v>
      </c>
      <c r="VE26" s="12">
        <v>363</v>
      </c>
      <c r="VF26" s="8">
        <v>352</v>
      </c>
      <c r="VG26" s="12">
        <v>111</v>
      </c>
      <c r="VH26" s="8">
        <v>779</v>
      </c>
      <c r="VI26" s="28">
        <v>123</v>
      </c>
      <c r="VL26" s="21"/>
      <c r="VM26" s="8">
        <v>5954</v>
      </c>
      <c r="VN26" s="12">
        <v>324</v>
      </c>
      <c r="VO26" s="12"/>
      <c r="VP26" s="12"/>
      <c r="VQ26" s="6">
        <v>-270</v>
      </c>
      <c r="VR26" s="28">
        <v>106</v>
      </c>
      <c r="VS26" s="6">
        <v>295</v>
      </c>
      <c r="VT26" s="12"/>
      <c r="VV26" s="8">
        <v>-145</v>
      </c>
      <c r="VX26" s="8">
        <v>129</v>
      </c>
      <c r="VY26" s="12">
        <v>276</v>
      </c>
      <c r="VZ26" s="8">
        <v>253</v>
      </c>
      <c r="WA26" s="28">
        <v>242</v>
      </c>
      <c r="WB26" s="8">
        <v>5439</v>
      </c>
      <c r="WC26" s="12">
        <v>1065</v>
      </c>
      <c r="WG26" s="8">
        <v>356</v>
      </c>
      <c r="WH26" s="28">
        <v>126</v>
      </c>
      <c r="WI26" s="8">
        <v>-1672</v>
      </c>
      <c r="WO26" s="10"/>
      <c r="WP26" s="2">
        <v>-58</v>
      </c>
      <c r="WQ26" s="1">
        <v>35</v>
      </c>
      <c r="WR26" s="10"/>
      <c r="WS26" s="10"/>
      <c r="WT26" s="10"/>
      <c r="WU26" s="10"/>
      <c r="WV26" s="10"/>
      <c r="XB26" s="23">
        <v>48</v>
      </c>
      <c r="XC26" s="25">
        <v>14</v>
      </c>
      <c r="XE26">
        <v>48429</v>
      </c>
      <c r="XF26" s="1">
        <v>7320</v>
      </c>
      <c r="XG26" s="2">
        <v>939</v>
      </c>
      <c r="XH26" s="10"/>
      <c r="XK26">
        <v>188</v>
      </c>
      <c r="XL26" s="1">
        <v>76</v>
      </c>
      <c r="XO26">
        <v>529</v>
      </c>
      <c r="XP26" s="1">
        <v>161</v>
      </c>
    </row>
    <row r="27" spans="1:640" x14ac:dyDescent="0.25">
      <c r="C27" s="3"/>
      <c r="D27" s="3"/>
      <c r="E27">
        <v>231</v>
      </c>
      <c r="F27" s="1">
        <v>330</v>
      </c>
      <c r="G27" s="2">
        <v>-115</v>
      </c>
      <c r="I27" s="2">
        <v>26</v>
      </c>
      <c r="K27" s="2">
        <v>2568</v>
      </c>
      <c r="L27" s="1">
        <v>214</v>
      </c>
      <c r="M27">
        <v>61</v>
      </c>
      <c r="N27" s="1">
        <v>20</v>
      </c>
      <c r="O27" s="26"/>
      <c r="R27">
        <v>71</v>
      </c>
      <c r="S27" s="12">
        <v>364</v>
      </c>
      <c r="T27">
        <v>4170</v>
      </c>
      <c r="U27" s="1">
        <v>853</v>
      </c>
      <c r="V27">
        <v>10</v>
      </c>
      <c r="W27" s="10">
        <v>377</v>
      </c>
      <c r="X27">
        <v>85</v>
      </c>
      <c r="Z27">
        <v>21</v>
      </c>
      <c r="AA27" s="1">
        <v>2</v>
      </c>
      <c r="AB27">
        <v>-75</v>
      </c>
      <c r="AC27" s="1">
        <v>24</v>
      </c>
      <c r="AD27">
        <v>-3</v>
      </c>
      <c r="AE27" s="1">
        <v>23</v>
      </c>
      <c r="AF27">
        <v>802</v>
      </c>
      <c r="AG27" s="1">
        <v>402</v>
      </c>
      <c r="AJ27" s="2">
        <v>3</v>
      </c>
      <c r="AK27" s="10">
        <v>89</v>
      </c>
      <c r="AN27">
        <v>-77</v>
      </c>
      <c r="AO27" s="1">
        <v>13</v>
      </c>
      <c r="AQ27">
        <v>-5127</v>
      </c>
      <c r="AR27" s="1">
        <v>15919</v>
      </c>
      <c r="AY27">
        <v>-27</v>
      </c>
      <c r="AZ27" s="1">
        <v>5</v>
      </c>
      <c r="BA27">
        <v>-937</v>
      </c>
      <c r="BB27" s="1">
        <v>759</v>
      </c>
      <c r="BD27" s="8">
        <v>25</v>
      </c>
      <c r="BE27" s="1">
        <v>126</v>
      </c>
      <c r="BF27">
        <v>854</v>
      </c>
      <c r="BG27" s="1">
        <v>373</v>
      </c>
      <c r="BH27">
        <v>-7031</v>
      </c>
      <c r="BI27" s="1">
        <v>1160</v>
      </c>
      <c r="BJ27">
        <v>-85</v>
      </c>
      <c r="BL27">
        <v>36</v>
      </c>
      <c r="BM27" s="1">
        <v>6</v>
      </c>
      <c r="BN27">
        <v>-53</v>
      </c>
      <c r="BP27">
        <v>-419</v>
      </c>
      <c r="BQ27" s="10">
        <v>6658</v>
      </c>
      <c r="BR27">
        <v>529</v>
      </c>
      <c r="BS27" s="1">
        <v>122</v>
      </c>
      <c r="BT27">
        <v>172</v>
      </c>
      <c r="BU27" s="1">
        <v>125</v>
      </c>
      <c r="BV27">
        <v>833</v>
      </c>
      <c r="BW27" s="1">
        <v>142</v>
      </c>
      <c r="CA27" s="8">
        <v>-293</v>
      </c>
      <c r="CB27" s="28">
        <v>767</v>
      </c>
      <c r="CC27" s="8">
        <v>-124</v>
      </c>
      <c r="CD27" s="28">
        <v>81</v>
      </c>
      <c r="CE27" s="8">
        <v>101</v>
      </c>
      <c r="CF27" s="28">
        <v>9</v>
      </c>
      <c r="CG27" s="8">
        <v>1227</v>
      </c>
      <c r="CI27" s="8">
        <v>-258</v>
      </c>
      <c r="CJ27" s="12">
        <v>20</v>
      </c>
      <c r="CK27" s="6">
        <v>-12</v>
      </c>
      <c r="CL27" s="28">
        <v>20</v>
      </c>
      <c r="CM27" s="6">
        <v>-625</v>
      </c>
      <c r="CN27" s="28">
        <v>539</v>
      </c>
      <c r="CO27" s="6">
        <v>-29</v>
      </c>
      <c r="CP27" s="28"/>
      <c r="CQ27" s="6">
        <v>152</v>
      </c>
      <c r="CR27" s="12">
        <v>356</v>
      </c>
      <c r="CS27" s="6">
        <v>-8</v>
      </c>
      <c r="CT27" s="28">
        <v>5</v>
      </c>
      <c r="CU27" s="28"/>
      <c r="CV27" s="28"/>
      <c r="CW27" s="6">
        <v>-11</v>
      </c>
      <c r="CX27" s="28">
        <v>8</v>
      </c>
      <c r="CZ27" s="23">
        <v>-48</v>
      </c>
      <c r="DA27" s="25">
        <v>30</v>
      </c>
      <c r="DB27" s="23">
        <v>37</v>
      </c>
      <c r="DC27" s="25">
        <v>3</v>
      </c>
      <c r="DD27" s="23">
        <v>15</v>
      </c>
      <c r="DE27" s="25">
        <v>11</v>
      </c>
      <c r="DF27" s="86">
        <v>110</v>
      </c>
      <c r="DG27" s="25">
        <v>341</v>
      </c>
      <c r="DH27" s="23">
        <v>533</v>
      </c>
      <c r="DI27" s="25">
        <v>323</v>
      </c>
      <c r="DJ27" s="23">
        <v>87</v>
      </c>
      <c r="DK27" s="28">
        <v>501</v>
      </c>
      <c r="DL27" s="8">
        <v>433</v>
      </c>
      <c r="DN27" s="8">
        <v>419</v>
      </c>
      <c r="DQ27" s="8">
        <v>21</v>
      </c>
      <c r="DR27" s="52">
        <v>96</v>
      </c>
      <c r="DS27" s="6">
        <v>8</v>
      </c>
      <c r="DT27" s="52">
        <v>75</v>
      </c>
      <c r="DU27" s="8">
        <v>-195</v>
      </c>
      <c r="DV27" s="28">
        <v>284</v>
      </c>
      <c r="DW27" s="8">
        <v>-10</v>
      </c>
      <c r="DX27" s="28">
        <v>1</v>
      </c>
      <c r="DY27" s="6">
        <v>177</v>
      </c>
      <c r="DZ27" s="52">
        <v>105</v>
      </c>
      <c r="EA27" s="23">
        <v>57</v>
      </c>
      <c r="EB27" s="52">
        <v>785</v>
      </c>
      <c r="EC27" s="6">
        <v>3</v>
      </c>
      <c r="ED27" s="28">
        <v>7</v>
      </c>
      <c r="EE27" s="8">
        <v>279</v>
      </c>
      <c r="EF27" s="52">
        <v>241</v>
      </c>
      <c r="EG27" s="8">
        <v>220</v>
      </c>
      <c r="EH27" s="28">
        <v>405</v>
      </c>
      <c r="EI27" s="8">
        <v>25</v>
      </c>
      <c r="EJ27" s="52">
        <v>525</v>
      </c>
      <c r="EL27" s="8">
        <v>-319</v>
      </c>
      <c r="EM27" s="28">
        <v>461</v>
      </c>
      <c r="EN27" s="8">
        <v>145</v>
      </c>
      <c r="EO27" s="28">
        <v>10</v>
      </c>
      <c r="EP27" s="6">
        <v>33</v>
      </c>
      <c r="EQ27" s="52">
        <v>312</v>
      </c>
      <c r="EU27" s="52"/>
      <c r="EV27" s="8">
        <v>-166</v>
      </c>
      <c r="EX27" s="8">
        <v>155</v>
      </c>
      <c r="EY27" s="28">
        <v>737</v>
      </c>
      <c r="EZ27" s="8">
        <v>121</v>
      </c>
      <c r="FA27" s="52">
        <v>596</v>
      </c>
      <c r="FB27" s="8">
        <v>520</v>
      </c>
      <c r="FC27" s="52">
        <v>579</v>
      </c>
      <c r="FD27" s="6">
        <v>159</v>
      </c>
      <c r="FE27" s="28">
        <v>716</v>
      </c>
      <c r="FF27" s="8">
        <v>106</v>
      </c>
      <c r="FG27" s="28">
        <v>44</v>
      </c>
      <c r="FH27" s="8">
        <v>-31</v>
      </c>
      <c r="FI27" s="28">
        <v>23</v>
      </c>
      <c r="FK27" s="52"/>
      <c r="FM27" s="8">
        <v>239</v>
      </c>
      <c r="FN27" s="52">
        <v>366</v>
      </c>
      <c r="FO27" s="8">
        <v>106</v>
      </c>
      <c r="FP27" s="28">
        <v>110</v>
      </c>
      <c r="FQ27" s="8">
        <v>84</v>
      </c>
      <c r="FR27" s="28">
        <v>6</v>
      </c>
      <c r="FS27" s="8">
        <v>805</v>
      </c>
      <c r="FU27" s="28">
        <v>736</v>
      </c>
      <c r="FV27" s="8">
        <v>96</v>
      </c>
      <c r="FW27" s="28">
        <v>77</v>
      </c>
      <c r="GA27" s="8">
        <v>293</v>
      </c>
      <c r="GB27" s="52">
        <v>349</v>
      </c>
      <c r="GC27" s="8">
        <v>-175</v>
      </c>
      <c r="GE27" s="8">
        <v>-976</v>
      </c>
      <c r="GF27" s="28">
        <v>197</v>
      </c>
      <c r="GG27" s="8">
        <v>-82</v>
      </c>
      <c r="GH27" s="28">
        <v>78</v>
      </c>
      <c r="GI27" s="8">
        <v>-9</v>
      </c>
      <c r="GJ27" s="28">
        <v>61</v>
      </c>
      <c r="GK27" s="8">
        <v>221</v>
      </c>
      <c r="GL27" s="28">
        <v>96</v>
      </c>
      <c r="GN27" s="8">
        <v>-397</v>
      </c>
      <c r="GO27" s="28">
        <v>116</v>
      </c>
      <c r="GP27" s="8">
        <v>65</v>
      </c>
      <c r="GQ27" s="52">
        <v>209</v>
      </c>
      <c r="GR27" s="8">
        <v>-53</v>
      </c>
      <c r="GS27" s="28">
        <v>117</v>
      </c>
      <c r="GT27" s="6">
        <v>-813</v>
      </c>
      <c r="GU27" s="52">
        <v>214</v>
      </c>
      <c r="GV27" s="6">
        <v>-113</v>
      </c>
      <c r="GW27" s="28">
        <v>48</v>
      </c>
      <c r="GX27" s="8">
        <v>241</v>
      </c>
      <c r="GY27" s="52">
        <v>259</v>
      </c>
      <c r="GZ27" s="8">
        <v>21</v>
      </c>
      <c r="HA27" s="28">
        <v>18</v>
      </c>
      <c r="HB27" s="6">
        <v>-6</v>
      </c>
      <c r="HC27" s="28"/>
      <c r="HE27" s="8">
        <v>194</v>
      </c>
      <c r="HF27" s="28">
        <v>100</v>
      </c>
      <c r="HG27" s="8">
        <v>-35</v>
      </c>
      <c r="HJ27" s="28"/>
      <c r="HO27" s="8">
        <v>506</v>
      </c>
      <c r="HP27" s="28">
        <v>66</v>
      </c>
      <c r="HQ27" s="6">
        <v>3</v>
      </c>
      <c r="HR27" s="28">
        <v>2</v>
      </c>
      <c r="HS27" s="8">
        <v>-33</v>
      </c>
      <c r="HT27" s="52">
        <v>218</v>
      </c>
      <c r="HV27" s="8">
        <v>400</v>
      </c>
      <c r="HW27" s="28">
        <v>584</v>
      </c>
      <c r="HX27" s="8">
        <v>27</v>
      </c>
      <c r="HY27" s="28">
        <v>8</v>
      </c>
      <c r="HZ27" s="8">
        <v>-38</v>
      </c>
      <c r="IB27" s="8">
        <v>-404</v>
      </c>
      <c r="IC27" s="28">
        <v>182</v>
      </c>
      <c r="ID27" s="8">
        <v>569</v>
      </c>
      <c r="IE27" s="28">
        <v>16</v>
      </c>
      <c r="IF27" s="8">
        <v>456</v>
      </c>
      <c r="IG27" s="28">
        <v>313</v>
      </c>
      <c r="IH27" s="8">
        <v>849</v>
      </c>
      <c r="II27" s="28">
        <v>20</v>
      </c>
      <c r="IM27" s="8">
        <v>773</v>
      </c>
      <c r="IO27">
        <v>-269</v>
      </c>
      <c r="IP27" s="10">
        <v>22</v>
      </c>
      <c r="IR27" s="28"/>
      <c r="IS27" s="6">
        <v>980</v>
      </c>
      <c r="IT27" s="28">
        <v>827</v>
      </c>
      <c r="IU27" s="8">
        <v>128</v>
      </c>
      <c r="IV27" s="28">
        <v>710</v>
      </c>
      <c r="IW27" s="8">
        <v>-963</v>
      </c>
      <c r="IY27" s="8">
        <v>-460</v>
      </c>
      <c r="JA27" s="8">
        <v>47</v>
      </c>
      <c r="JB27" s="12">
        <v>178</v>
      </c>
      <c r="JG27" s="28"/>
      <c r="JH27" s="8">
        <v>473</v>
      </c>
      <c r="JI27" s="28">
        <v>213</v>
      </c>
      <c r="JJ27" s="8">
        <v>88</v>
      </c>
      <c r="JK27" s="28">
        <v>88</v>
      </c>
      <c r="JL27" s="8">
        <v>129</v>
      </c>
      <c r="JM27" s="12">
        <v>94</v>
      </c>
      <c r="JN27" s="8">
        <v>-224</v>
      </c>
      <c r="JO27" s="28">
        <v>272</v>
      </c>
      <c r="JP27" s="6">
        <v>-3</v>
      </c>
      <c r="JQ27" s="12">
        <v>556</v>
      </c>
      <c r="JR27" s="8">
        <v>950</v>
      </c>
      <c r="JS27" s="12"/>
      <c r="JT27" s="6">
        <v>426</v>
      </c>
      <c r="JU27" s="12">
        <v>116</v>
      </c>
      <c r="JW27" s="8">
        <v>109</v>
      </c>
      <c r="JX27" s="12">
        <v>271</v>
      </c>
      <c r="JZ27" s="28"/>
      <c r="KA27" s="8">
        <v>94</v>
      </c>
      <c r="KB27" s="28">
        <v>34</v>
      </c>
      <c r="KD27" s="28"/>
      <c r="KE27" s="6">
        <v>-213</v>
      </c>
      <c r="KF27" s="12">
        <v>788</v>
      </c>
      <c r="KM27" s="6"/>
      <c r="KQ27" s="8">
        <v>568</v>
      </c>
      <c r="KR27" s="28">
        <v>51</v>
      </c>
      <c r="KT27" s="8">
        <v>14</v>
      </c>
      <c r="KU27" s="28">
        <v>10</v>
      </c>
      <c r="KV27" s="8">
        <v>421</v>
      </c>
      <c r="KZ27" s="8">
        <v>-885</v>
      </c>
      <c r="LA27" s="12">
        <v>279</v>
      </c>
      <c r="LD27" s="8">
        <v>49</v>
      </c>
      <c r="LE27" s="28">
        <v>406</v>
      </c>
      <c r="LF27" s="8">
        <v>-323</v>
      </c>
      <c r="LG27" s="28">
        <v>31</v>
      </c>
      <c r="LH27" s="8">
        <v>692</v>
      </c>
      <c r="LJ27" s="8">
        <v>653</v>
      </c>
      <c r="LK27" s="28">
        <v>322</v>
      </c>
      <c r="LL27" s="8">
        <v>19</v>
      </c>
      <c r="LM27" s="28">
        <v>32</v>
      </c>
      <c r="LN27" s="8">
        <v>-121</v>
      </c>
      <c r="LO27" s="28">
        <v>614</v>
      </c>
      <c r="LS27" s="8">
        <v>29</v>
      </c>
      <c r="LU27" s="8">
        <v>38</v>
      </c>
      <c r="LV27" s="12">
        <v>41</v>
      </c>
      <c r="LW27" s="8">
        <v>207</v>
      </c>
      <c r="LX27" s="28">
        <v>266</v>
      </c>
      <c r="LZ27" s="8">
        <v>904</v>
      </c>
      <c r="MF27" s="8">
        <v>-267</v>
      </c>
      <c r="MG27" s="12">
        <v>267</v>
      </c>
      <c r="MH27" s="8">
        <v>75</v>
      </c>
      <c r="MJ27" s="8">
        <v>169</v>
      </c>
      <c r="MK27" s="12">
        <v>191</v>
      </c>
      <c r="MN27" s="8">
        <v>380</v>
      </c>
      <c r="MO27" s="28">
        <v>118</v>
      </c>
      <c r="MS27" s="8">
        <v>-41</v>
      </c>
      <c r="MT27" s="12">
        <v>302</v>
      </c>
      <c r="MU27" s="8">
        <v>1</v>
      </c>
      <c r="MV27" s="28">
        <v>1</v>
      </c>
      <c r="MZ27" s="8">
        <v>-308</v>
      </c>
      <c r="NC27" s="8">
        <v>-119</v>
      </c>
      <c r="ND27" s="12">
        <v>67</v>
      </c>
      <c r="NE27" s="8">
        <v>-43</v>
      </c>
      <c r="NF27" s="28">
        <v>130</v>
      </c>
      <c r="NG27" s="8">
        <v>310</v>
      </c>
      <c r="NH27" s="28">
        <v>26</v>
      </c>
      <c r="NI27" s="8">
        <v>57</v>
      </c>
      <c r="NJ27" s="28">
        <v>4</v>
      </c>
      <c r="NL27" s="8">
        <v>254</v>
      </c>
      <c r="NM27" s="28">
        <v>28</v>
      </c>
      <c r="NN27" s="8">
        <v>925</v>
      </c>
      <c r="NO27" s="28">
        <v>918</v>
      </c>
      <c r="NP27" s="8">
        <v>324</v>
      </c>
      <c r="NQ27" s="12">
        <v>167</v>
      </c>
      <c r="NR27" s="8">
        <v>21</v>
      </c>
      <c r="NS27" s="12">
        <v>24</v>
      </c>
      <c r="NU27" s="8">
        <v>911</v>
      </c>
      <c r="NV27" s="12">
        <v>126</v>
      </c>
      <c r="NW27" s="8">
        <v>-502</v>
      </c>
      <c r="NX27" s="28">
        <v>231</v>
      </c>
      <c r="NY27" s="8">
        <v>-415</v>
      </c>
      <c r="NZ27" s="12">
        <v>710</v>
      </c>
      <c r="OA27" s="8">
        <v>652</v>
      </c>
      <c r="OB27" s="28">
        <v>136</v>
      </c>
      <c r="OC27" s="8">
        <v>-181</v>
      </c>
      <c r="OD27" s="12">
        <v>590</v>
      </c>
      <c r="OE27" s="8">
        <v>936</v>
      </c>
      <c r="OF27" s="28"/>
      <c r="OG27" s="28">
        <v>223</v>
      </c>
      <c r="OK27" s="8">
        <v>-755</v>
      </c>
      <c r="OL27" s="28"/>
      <c r="ON27" s="28"/>
      <c r="OO27" s="8">
        <v>-11</v>
      </c>
      <c r="OP27" s="28">
        <v>58</v>
      </c>
      <c r="OT27" s="28"/>
      <c r="OU27" s="12"/>
      <c r="OV27" s="8">
        <v>473</v>
      </c>
      <c r="PA27" s="8">
        <v>208</v>
      </c>
      <c r="PC27" s="8">
        <v>-122</v>
      </c>
      <c r="PD27" s="28">
        <v>2</v>
      </c>
      <c r="PE27" s="8">
        <v>30</v>
      </c>
      <c r="PF27" s="12">
        <v>971</v>
      </c>
      <c r="PG27" s="8">
        <v>193</v>
      </c>
      <c r="PH27" s="12">
        <v>206</v>
      </c>
      <c r="PJ27" s="8">
        <v>-483</v>
      </c>
      <c r="PK27" s="12">
        <v>660</v>
      </c>
      <c r="PL27" s="8">
        <v>996</v>
      </c>
      <c r="PM27" s="28">
        <v>122</v>
      </c>
      <c r="PP27" s="8">
        <v>811</v>
      </c>
      <c r="PQ27" s="28">
        <v>25</v>
      </c>
      <c r="PR27" s="28"/>
      <c r="PS27" s="8">
        <v>-35</v>
      </c>
      <c r="PT27" s="12">
        <v>83</v>
      </c>
      <c r="PW27" s="8">
        <v>1</v>
      </c>
      <c r="PX27" s="28">
        <v>3</v>
      </c>
      <c r="PY27" s="8">
        <v>-12</v>
      </c>
      <c r="PZ27" s="12">
        <v>47</v>
      </c>
      <c r="QC27" s="8">
        <v>-379</v>
      </c>
      <c r="QD27" s="12">
        <v>364</v>
      </c>
      <c r="QE27" s="8">
        <v>-394</v>
      </c>
      <c r="QF27" s="12">
        <v>398</v>
      </c>
      <c r="QH27" s="8">
        <v>-116</v>
      </c>
      <c r="QI27" s="12">
        <v>289</v>
      </c>
      <c r="QJ27" s="8">
        <v>328</v>
      </c>
      <c r="QQ27" s="8">
        <v>326</v>
      </c>
      <c r="QR27" s="12">
        <f t="shared" si="0"/>
        <v>25.98076211353316</v>
      </c>
      <c r="QS27" s="8">
        <v>675</v>
      </c>
      <c r="QT27" s="8">
        <v>172</v>
      </c>
      <c r="QU27" s="12">
        <v>368</v>
      </c>
      <c r="QV27" s="6">
        <v>-391</v>
      </c>
      <c r="QW27" s="12">
        <v>998</v>
      </c>
      <c r="QY27" s="8">
        <v>42</v>
      </c>
      <c r="QZ27" s="12">
        <v>126</v>
      </c>
      <c r="RA27" s="8">
        <v>224</v>
      </c>
      <c r="RB27" s="12">
        <v>200</v>
      </c>
      <c r="RC27" s="6">
        <v>-848</v>
      </c>
      <c r="RD27" s="12">
        <v>7</v>
      </c>
      <c r="RE27" s="6">
        <v>114</v>
      </c>
      <c r="RF27" s="12">
        <v>203</v>
      </c>
      <c r="RG27" s="8">
        <v>-227</v>
      </c>
      <c r="RH27" s="28">
        <v>106</v>
      </c>
      <c r="RJ27" s="8">
        <v>-47</v>
      </c>
      <c r="RK27" s="12">
        <v>206</v>
      </c>
      <c r="RL27" s="8">
        <v>-34</v>
      </c>
      <c r="RM27" s="12">
        <v>485</v>
      </c>
      <c r="RQ27" s="9"/>
      <c r="RR27" s="9"/>
      <c r="RS27" s="55">
        <v>-51</v>
      </c>
      <c r="RT27" s="50">
        <v>77</v>
      </c>
      <c r="RV27" s="8">
        <v>12</v>
      </c>
      <c r="RW27" s="52">
        <v>292</v>
      </c>
      <c r="RY27" s="48" t="s">
        <v>163</v>
      </c>
      <c r="RZ27" s="49" t="s">
        <v>164</v>
      </c>
      <c r="SA27" s="8">
        <v>93</v>
      </c>
      <c r="SB27" s="28">
        <v>3</v>
      </c>
      <c r="SD27" s="8">
        <v>134</v>
      </c>
      <c r="SE27" s="12">
        <v>76</v>
      </c>
      <c r="SF27" s="8">
        <v>-319</v>
      </c>
      <c r="SG27" s="12">
        <v>465</v>
      </c>
      <c r="SP27" s="8">
        <v>526</v>
      </c>
      <c r="SQ27" s="12">
        <v>335</v>
      </c>
      <c r="SW27" s="8">
        <v>332</v>
      </c>
      <c r="SX27" s="28">
        <v>699</v>
      </c>
      <c r="SY27" s="6">
        <v>53</v>
      </c>
      <c r="SZ27" s="28">
        <v>37</v>
      </c>
      <c r="TA27" s="6"/>
      <c r="TB27" s="6"/>
      <c r="TC27" s="8">
        <v>136</v>
      </c>
      <c r="TD27" s="28">
        <v>73</v>
      </c>
      <c r="TH27" s="8">
        <v>951</v>
      </c>
      <c r="TI27" s="28">
        <v>238</v>
      </c>
      <c r="TM27" s="8">
        <v>932</v>
      </c>
      <c r="TN27" s="28">
        <v>116</v>
      </c>
      <c r="TP27" s="28"/>
      <c r="TQ27" s="8">
        <v>22</v>
      </c>
      <c r="TX27" s="8">
        <v>-995</v>
      </c>
      <c r="TY27" s="28">
        <v>498</v>
      </c>
      <c r="TZ27" s="8">
        <v>182</v>
      </c>
      <c r="UA27" s="12">
        <v>401</v>
      </c>
      <c r="UB27" s="8">
        <v>-22</v>
      </c>
      <c r="UC27" s="12">
        <v>148</v>
      </c>
      <c r="UE27" s="8">
        <v>4</v>
      </c>
      <c r="UF27" s="12">
        <v>447</v>
      </c>
      <c r="UG27" s="8">
        <v>221</v>
      </c>
      <c r="UH27" s="12">
        <v>5</v>
      </c>
      <c r="UI27" s="8">
        <v>104</v>
      </c>
      <c r="UJ27" s="12">
        <v>147</v>
      </c>
      <c r="UL27" s="8">
        <v>240</v>
      </c>
      <c r="UM27" s="28">
        <v>133</v>
      </c>
      <c r="UN27" s="8">
        <v>133</v>
      </c>
      <c r="UO27" s="12">
        <v>169</v>
      </c>
      <c r="US27" s="8">
        <v>108</v>
      </c>
      <c r="UT27" s="12">
        <v>365</v>
      </c>
      <c r="UU27" s="8">
        <v>80</v>
      </c>
      <c r="UV27" s="12">
        <v>104</v>
      </c>
      <c r="UZ27" s="8">
        <v>-461</v>
      </c>
      <c r="VA27" s="12">
        <v>450</v>
      </c>
      <c r="VB27" s="8">
        <v>114</v>
      </c>
      <c r="VC27" s="12">
        <v>354</v>
      </c>
      <c r="VD27" s="8">
        <v>-76</v>
      </c>
      <c r="VE27" s="12">
        <v>653</v>
      </c>
      <c r="VF27" s="8">
        <v>-322</v>
      </c>
      <c r="VG27" s="12">
        <v>309</v>
      </c>
      <c r="VH27" s="8">
        <v>212</v>
      </c>
      <c r="VI27" s="28">
        <v>146</v>
      </c>
      <c r="VL27" s="21"/>
      <c r="VM27" s="8">
        <v>-6787</v>
      </c>
      <c r="VN27" s="12">
        <v>397</v>
      </c>
      <c r="VO27" s="12"/>
      <c r="VP27" s="12"/>
      <c r="VQ27" s="6">
        <v>-107</v>
      </c>
      <c r="VR27" s="28">
        <v>1002</v>
      </c>
      <c r="VS27" s="6">
        <v>291</v>
      </c>
      <c r="VT27" s="12"/>
      <c r="VV27" s="8">
        <v>-1504</v>
      </c>
      <c r="VX27" s="8">
        <v>934</v>
      </c>
      <c r="VY27" s="12">
        <v>449</v>
      </c>
      <c r="VZ27" s="8">
        <v>264</v>
      </c>
      <c r="WA27" s="28">
        <v>225</v>
      </c>
      <c r="WB27" s="8">
        <v>5693</v>
      </c>
      <c r="WC27" s="12">
        <v>1155</v>
      </c>
      <c r="WG27" s="8">
        <v>596</v>
      </c>
      <c r="WH27" s="28">
        <v>114</v>
      </c>
      <c r="WI27" s="8">
        <v>1733</v>
      </c>
      <c r="WP27" s="2">
        <v>303</v>
      </c>
      <c r="WQ27" s="1">
        <v>73</v>
      </c>
      <c r="WR27" s="10"/>
      <c r="WS27" s="10"/>
      <c r="WT27" s="10"/>
      <c r="WU27" s="10"/>
      <c r="WV27" s="10"/>
      <c r="XB27" s="23">
        <v>58</v>
      </c>
      <c r="XC27" s="25">
        <v>8</v>
      </c>
      <c r="XE27">
        <v>22536</v>
      </c>
      <c r="XF27" s="1">
        <v>12067</v>
      </c>
      <c r="XG27" s="2">
        <v>2993</v>
      </c>
      <c r="XH27" s="10"/>
      <c r="XK27">
        <v>53</v>
      </c>
      <c r="XL27" s="1">
        <v>38</v>
      </c>
      <c r="XO27">
        <v>-6</v>
      </c>
      <c r="XP27" s="1">
        <v>98</v>
      </c>
    </row>
    <row r="28" spans="1:640" x14ac:dyDescent="0.25">
      <c r="C28" s="3"/>
      <c r="D28" s="3"/>
      <c r="E28">
        <v>-204</v>
      </c>
      <c r="F28" s="1">
        <v>874</v>
      </c>
      <c r="G28" s="2">
        <v>-2226</v>
      </c>
      <c r="I28" s="2">
        <v>-7</v>
      </c>
      <c r="K28" s="2">
        <v>3296</v>
      </c>
      <c r="L28" s="1">
        <v>341</v>
      </c>
      <c r="M28">
        <v>274</v>
      </c>
      <c r="N28" s="1">
        <v>23</v>
      </c>
      <c r="O28" s="26"/>
      <c r="R28">
        <v>-51</v>
      </c>
      <c r="S28" s="12">
        <v>291</v>
      </c>
      <c r="T28">
        <v>4433</v>
      </c>
      <c r="U28" s="1">
        <v>890</v>
      </c>
      <c r="V28">
        <v>15</v>
      </c>
      <c r="W28" s="10">
        <v>289</v>
      </c>
      <c r="X28">
        <v>76</v>
      </c>
      <c r="AB28">
        <v>-21</v>
      </c>
      <c r="AC28" s="1">
        <v>44</v>
      </c>
      <c r="AD28">
        <v>-20</v>
      </c>
      <c r="AE28" s="1">
        <v>22</v>
      </c>
      <c r="AF28">
        <v>490</v>
      </c>
      <c r="AG28" s="1">
        <v>468</v>
      </c>
      <c r="AJ28" s="2">
        <v>-8</v>
      </c>
      <c r="AK28" s="10">
        <v>38</v>
      </c>
      <c r="AN28">
        <v>23818</v>
      </c>
      <c r="AO28" s="1"/>
      <c r="AP28" s="10">
        <v>403609</v>
      </c>
      <c r="AQ28">
        <v>-2805</v>
      </c>
      <c r="AR28" s="1">
        <v>16609</v>
      </c>
      <c r="AY28">
        <v>92</v>
      </c>
      <c r="AZ28" s="1">
        <v>2</v>
      </c>
      <c r="BA28">
        <v>925</v>
      </c>
      <c r="BB28" s="1">
        <v>147</v>
      </c>
      <c r="BD28" s="8">
        <v>33</v>
      </c>
      <c r="BE28" s="1">
        <v>174</v>
      </c>
      <c r="BF28">
        <v>878</v>
      </c>
      <c r="BG28" s="1">
        <v>268</v>
      </c>
      <c r="BH28">
        <v>-4753</v>
      </c>
      <c r="BI28" s="1">
        <v>1307</v>
      </c>
      <c r="BJ28">
        <v>-155</v>
      </c>
      <c r="BL28">
        <v>74</v>
      </c>
      <c r="BM28" s="1">
        <v>10</v>
      </c>
      <c r="BN28">
        <v>1</v>
      </c>
      <c r="BP28">
        <v>-1031</v>
      </c>
      <c r="BQ28" s="10">
        <v>9557</v>
      </c>
      <c r="BR28">
        <v>487</v>
      </c>
      <c r="BS28" s="1">
        <v>555</v>
      </c>
      <c r="BT28">
        <v>282</v>
      </c>
      <c r="BU28" s="1">
        <v>351</v>
      </c>
      <c r="BV28">
        <v>61</v>
      </c>
      <c r="BW28" s="1">
        <v>4</v>
      </c>
      <c r="CA28" s="8">
        <v>-241</v>
      </c>
      <c r="CB28" s="28">
        <v>398</v>
      </c>
      <c r="CC28" s="8">
        <v>-106</v>
      </c>
      <c r="CD28" s="28">
        <v>7</v>
      </c>
      <c r="CE28" s="8">
        <v>202</v>
      </c>
      <c r="CF28" s="28">
        <v>9</v>
      </c>
      <c r="CG28" s="8">
        <v>1645</v>
      </c>
      <c r="CI28" s="8">
        <v>-228</v>
      </c>
      <c r="CJ28" s="12">
        <v>70</v>
      </c>
      <c r="CK28" s="6">
        <v>-6</v>
      </c>
      <c r="CL28" s="28">
        <v>21</v>
      </c>
      <c r="CM28" s="6">
        <v>-192</v>
      </c>
      <c r="CN28" s="28">
        <v>153</v>
      </c>
      <c r="CO28" s="6">
        <v>-1</v>
      </c>
      <c r="CP28" s="28"/>
      <c r="CQ28" s="6">
        <v>154</v>
      </c>
      <c r="CR28" s="12">
        <v>331</v>
      </c>
      <c r="CS28" s="6">
        <v>-499</v>
      </c>
      <c r="CT28" s="28">
        <v>300</v>
      </c>
      <c r="CU28" s="28"/>
      <c r="CV28" s="28"/>
      <c r="CW28" s="6">
        <v>99</v>
      </c>
      <c r="CX28" s="28">
        <v>23</v>
      </c>
      <c r="CZ28" s="23">
        <v>106</v>
      </c>
      <c r="DA28" s="25">
        <v>29</v>
      </c>
      <c r="DB28" s="23">
        <v>-22</v>
      </c>
      <c r="DC28" s="25">
        <v>8</v>
      </c>
      <c r="DD28" s="23">
        <v>-41</v>
      </c>
      <c r="DE28" s="25">
        <v>13</v>
      </c>
      <c r="DF28" s="86">
        <v>101</v>
      </c>
      <c r="DG28" s="25">
        <v>181</v>
      </c>
      <c r="DH28" s="23">
        <v>-140</v>
      </c>
      <c r="DI28" s="25">
        <v>353</v>
      </c>
      <c r="DJ28" s="23">
        <v>27</v>
      </c>
      <c r="DK28" s="28">
        <v>219</v>
      </c>
      <c r="DL28" s="8">
        <v>535</v>
      </c>
      <c r="DN28" s="8">
        <v>388</v>
      </c>
      <c r="DQ28" s="8">
        <v>55</v>
      </c>
      <c r="DR28" s="52">
        <v>163</v>
      </c>
      <c r="DS28" s="6">
        <v>-16</v>
      </c>
      <c r="DT28" s="52">
        <v>174</v>
      </c>
      <c r="DU28" s="8">
        <v>-171</v>
      </c>
      <c r="DV28" s="28">
        <v>266</v>
      </c>
      <c r="DW28" s="8">
        <v>919</v>
      </c>
      <c r="DX28" s="28">
        <v>521</v>
      </c>
      <c r="DY28" s="6">
        <v>-107</v>
      </c>
      <c r="DZ28" s="52">
        <v>58</v>
      </c>
      <c r="EA28" s="23">
        <v>724</v>
      </c>
      <c r="EB28" s="52">
        <v>257</v>
      </c>
      <c r="EC28" s="6">
        <v>4</v>
      </c>
      <c r="ED28" s="28">
        <v>5</v>
      </c>
      <c r="EE28" s="8">
        <v>181</v>
      </c>
      <c r="EF28" s="52">
        <v>883</v>
      </c>
      <c r="EG28" s="8">
        <v>-266</v>
      </c>
      <c r="EH28" s="28">
        <v>77</v>
      </c>
      <c r="EI28" s="8">
        <v>1</v>
      </c>
      <c r="EJ28" s="52">
        <v>604</v>
      </c>
      <c r="EL28" s="8">
        <v>-433</v>
      </c>
      <c r="EM28" s="28">
        <v>780</v>
      </c>
      <c r="EN28" s="8">
        <v>451</v>
      </c>
      <c r="EO28" s="28">
        <v>14</v>
      </c>
      <c r="EP28" s="6">
        <v>-442</v>
      </c>
      <c r="EQ28" s="52">
        <v>229</v>
      </c>
      <c r="EU28" s="52"/>
      <c r="EV28" s="8">
        <v>23</v>
      </c>
      <c r="EX28" s="8">
        <v>855</v>
      </c>
      <c r="EY28" s="28">
        <v>104</v>
      </c>
      <c r="EZ28" s="8">
        <v>651</v>
      </c>
      <c r="FA28" s="52">
        <v>305</v>
      </c>
      <c r="FB28" s="8">
        <v>-44</v>
      </c>
      <c r="FC28" s="52">
        <v>235</v>
      </c>
      <c r="FD28" s="6">
        <v>-242</v>
      </c>
      <c r="FE28" s="28">
        <v>101</v>
      </c>
      <c r="FF28" s="8">
        <v>20</v>
      </c>
      <c r="FG28" s="28">
        <v>10</v>
      </c>
      <c r="FH28" s="8">
        <v>-46</v>
      </c>
      <c r="FI28" s="28">
        <v>49</v>
      </c>
      <c r="FK28" s="52"/>
      <c r="FM28" s="8">
        <v>-91</v>
      </c>
      <c r="FN28" s="52">
        <v>68</v>
      </c>
      <c r="FO28" s="8">
        <v>510</v>
      </c>
      <c r="FP28" s="28">
        <v>102</v>
      </c>
      <c r="FQ28" s="8">
        <v>-54</v>
      </c>
      <c r="FR28" s="28">
        <v>3</v>
      </c>
      <c r="FS28" s="8">
        <v>-868</v>
      </c>
      <c r="FU28" s="28">
        <v>428</v>
      </c>
      <c r="FV28" s="8">
        <v>-219</v>
      </c>
      <c r="FW28" s="28">
        <v>103</v>
      </c>
      <c r="GA28" s="8">
        <v>132</v>
      </c>
      <c r="GB28" s="52">
        <v>881</v>
      </c>
      <c r="GC28" s="8">
        <v>-457</v>
      </c>
      <c r="GE28" s="8">
        <v>119</v>
      </c>
      <c r="GF28" s="28">
        <v>544</v>
      </c>
      <c r="GG28" s="8">
        <v>162</v>
      </c>
      <c r="GH28" s="28">
        <v>60</v>
      </c>
      <c r="GI28" s="8">
        <v>-74</v>
      </c>
      <c r="GJ28" s="28">
        <v>53</v>
      </c>
      <c r="GK28" s="8">
        <v>-211</v>
      </c>
      <c r="GL28" s="28">
        <v>221</v>
      </c>
      <c r="GN28" s="8">
        <v>140</v>
      </c>
      <c r="GO28" s="28">
        <v>379</v>
      </c>
      <c r="GP28" s="8">
        <v>15</v>
      </c>
      <c r="GQ28" s="52">
        <v>333</v>
      </c>
      <c r="GR28" s="8">
        <v>41</v>
      </c>
      <c r="GS28" s="28">
        <v>152</v>
      </c>
      <c r="GT28" s="6">
        <v>-280</v>
      </c>
      <c r="GU28" s="52">
        <v>142</v>
      </c>
      <c r="GV28" s="6">
        <v>-103</v>
      </c>
      <c r="GW28" s="28">
        <v>51</v>
      </c>
      <c r="GX28" s="8">
        <v>79</v>
      </c>
      <c r="GY28" s="52">
        <v>71</v>
      </c>
      <c r="GZ28" s="8">
        <v>-527</v>
      </c>
      <c r="HA28" s="28">
        <v>169</v>
      </c>
      <c r="HB28" s="6">
        <v>18</v>
      </c>
      <c r="HC28" s="28"/>
      <c r="HE28" s="8">
        <v>127</v>
      </c>
      <c r="HF28" s="28">
        <v>104</v>
      </c>
      <c r="HG28" s="8">
        <v>-122</v>
      </c>
      <c r="HJ28" s="28"/>
      <c r="HO28" s="8">
        <v>152</v>
      </c>
      <c r="HP28" s="28">
        <v>92</v>
      </c>
      <c r="HQ28" s="6">
        <v>3</v>
      </c>
      <c r="HR28" s="28">
        <v>2</v>
      </c>
      <c r="HS28" s="8">
        <v>57</v>
      </c>
      <c r="HT28" s="52">
        <v>18</v>
      </c>
      <c r="HV28" s="8">
        <v>244</v>
      </c>
      <c r="HW28" s="28">
        <v>122</v>
      </c>
      <c r="HX28" s="8">
        <v>33</v>
      </c>
      <c r="HY28" s="28">
        <v>7</v>
      </c>
      <c r="HZ28" s="8">
        <v>-292</v>
      </c>
      <c r="IB28" s="8">
        <v>-314</v>
      </c>
      <c r="IC28" s="28">
        <v>213</v>
      </c>
      <c r="ID28" s="8">
        <v>53</v>
      </c>
      <c r="IE28" s="28">
        <v>757</v>
      </c>
      <c r="IG28" s="28"/>
      <c r="IH28" s="8">
        <v>-110</v>
      </c>
      <c r="II28" s="28">
        <v>120</v>
      </c>
      <c r="IM28" s="8">
        <v>355</v>
      </c>
      <c r="IO28">
        <v>-166</v>
      </c>
      <c r="IP28" s="10">
        <v>129</v>
      </c>
      <c r="IR28" s="28"/>
      <c r="IS28" s="6">
        <v>-413</v>
      </c>
      <c r="IT28" s="28">
        <v>200</v>
      </c>
      <c r="IU28" s="8">
        <v>-573</v>
      </c>
      <c r="IV28" s="28">
        <v>110</v>
      </c>
      <c r="IW28" s="8">
        <v>-687</v>
      </c>
      <c r="IY28" s="8">
        <v>30</v>
      </c>
      <c r="JA28" s="8">
        <v>-3</v>
      </c>
      <c r="JB28" s="12">
        <v>527</v>
      </c>
      <c r="JG28" s="28"/>
      <c r="JH28" s="8">
        <v>294</v>
      </c>
      <c r="JI28" s="28">
        <v>124</v>
      </c>
      <c r="JJ28" s="8">
        <v>130</v>
      </c>
      <c r="JK28" s="28">
        <v>27</v>
      </c>
      <c r="JL28" s="8">
        <v>58</v>
      </c>
      <c r="JM28" s="12">
        <v>240</v>
      </c>
      <c r="JN28" s="8">
        <v>-100</v>
      </c>
      <c r="JO28" s="28">
        <v>456</v>
      </c>
      <c r="JP28" s="6">
        <v>-19</v>
      </c>
      <c r="JQ28" s="12">
        <v>143</v>
      </c>
      <c r="JR28" s="8">
        <v>633</v>
      </c>
      <c r="JS28" s="12"/>
      <c r="JT28" s="6">
        <v>51</v>
      </c>
      <c r="JU28" s="12">
        <v>214</v>
      </c>
      <c r="JW28" s="8">
        <v>214</v>
      </c>
      <c r="JX28" s="12">
        <v>106</v>
      </c>
      <c r="JZ28" s="28"/>
      <c r="KA28" s="8">
        <v>-106</v>
      </c>
      <c r="KB28" s="28">
        <v>44</v>
      </c>
      <c r="KD28" s="28"/>
      <c r="KE28" s="6">
        <v>-178</v>
      </c>
      <c r="KF28" s="12">
        <v>406</v>
      </c>
      <c r="KM28" s="6"/>
      <c r="KQ28" s="8">
        <v>584</v>
      </c>
      <c r="KR28" s="28">
        <v>57</v>
      </c>
      <c r="KT28" s="8">
        <v>5</v>
      </c>
      <c r="KU28" s="28">
        <v>1</v>
      </c>
      <c r="KV28" s="8">
        <v>380</v>
      </c>
      <c r="KZ28" s="8">
        <v>-176</v>
      </c>
      <c r="LA28" s="12">
        <v>156</v>
      </c>
      <c r="LD28" s="8">
        <v>158</v>
      </c>
      <c r="LE28" s="28">
        <v>684</v>
      </c>
      <c r="LF28" s="8">
        <v>-339</v>
      </c>
      <c r="LG28" s="28">
        <v>23</v>
      </c>
      <c r="LH28" s="8">
        <v>-275</v>
      </c>
      <c r="LJ28" s="8">
        <v>-140</v>
      </c>
      <c r="LK28" s="28">
        <v>368</v>
      </c>
      <c r="LL28" s="8">
        <v>-9</v>
      </c>
      <c r="LM28" s="28">
        <v>10</v>
      </c>
      <c r="LN28" s="8">
        <v>-603</v>
      </c>
      <c r="LO28" s="28">
        <v>524</v>
      </c>
      <c r="LS28" s="8">
        <v>124</v>
      </c>
      <c r="LU28" s="8">
        <v>-72</v>
      </c>
      <c r="LV28" s="12">
        <v>91</v>
      </c>
      <c r="LW28" s="8">
        <v>-764</v>
      </c>
      <c r="LX28" s="28">
        <v>152</v>
      </c>
      <c r="LZ28" s="8">
        <v>890</v>
      </c>
      <c r="MF28" s="8">
        <v>127</v>
      </c>
      <c r="MG28" s="12">
        <v>102</v>
      </c>
      <c r="MH28" s="8">
        <v>75</v>
      </c>
      <c r="MJ28" s="8">
        <v>-19</v>
      </c>
      <c r="MK28" s="12">
        <v>177</v>
      </c>
      <c r="MN28" s="8">
        <v>121</v>
      </c>
      <c r="MO28" s="28">
        <v>63</v>
      </c>
      <c r="MS28" s="8">
        <v>-312</v>
      </c>
      <c r="MT28" s="12">
        <v>531</v>
      </c>
      <c r="MU28" s="8">
        <v>5</v>
      </c>
      <c r="MV28" s="28">
        <v>2</v>
      </c>
      <c r="MZ28" s="8">
        <v>-21</v>
      </c>
      <c r="NC28" s="8">
        <v>526</v>
      </c>
      <c r="ND28" s="12">
        <v>216</v>
      </c>
      <c r="NE28" s="8">
        <v>139</v>
      </c>
      <c r="NF28" s="28">
        <v>156</v>
      </c>
      <c r="NG28" s="8">
        <v>425</v>
      </c>
      <c r="NH28" s="28">
        <v>33</v>
      </c>
      <c r="NI28" s="8">
        <v>163</v>
      </c>
      <c r="NJ28" s="28">
        <v>4</v>
      </c>
      <c r="NL28" s="8">
        <v>453</v>
      </c>
      <c r="NM28" s="28">
        <v>29</v>
      </c>
      <c r="NN28" s="8">
        <v>849</v>
      </c>
      <c r="NO28" s="28">
        <v>131</v>
      </c>
      <c r="NP28" s="8">
        <v>521</v>
      </c>
      <c r="NQ28" s="12">
        <v>132</v>
      </c>
      <c r="NR28" s="8">
        <v>413</v>
      </c>
      <c r="NS28" s="12">
        <v>31</v>
      </c>
      <c r="NU28" s="8">
        <v>24</v>
      </c>
      <c r="NV28" s="12">
        <v>102</v>
      </c>
      <c r="NW28" s="8">
        <v>833</v>
      </c>
      <c r="NX28" s="28">
        <v>245</v>
      </c>
      <c r="NY28" s="8">
        <v>916</v>
      </c>
      <c r="NZ28" s="12">
        <v>162</v>
      </c>
      <c r="OA28" s="8">
        <v>457</v>
      </c>
      <c r="OB28" s="28">
        <v>188</v>
      </c>
      <c r="OC28" s="8">
        <v>131</v>
      </c>
      <c r="OD28" s="12">
        <v>118</v>
      </c>
      <c r="OE28" s="8">
        <v>209</v>
      </c>
      <c r="OF28" s="28"/>
      <c r="OG28" s="28">
        <v>127</v>
      </c>
      <c r="OL28" s="28"/>
      <c r="ON28" s="28"/>
      <c r="OO28" s="8">
        <v>13</v>
      </c>
      <c r="OP28" s="28">
        <v>61</v>
      </c>
      <c r="OT28" s="28"/>
      <c r="OU28" s="12"/>
      <c r="OV28" s="8">
        <v>103</v>
      </c>
      <c r="PA28" s="8">
        <v>91</v>
      </c>
      <c r="PC28" s="8">
        <v>167</v>
      </c>
      <c r="PD28" s="28">
        <v>33</v>
      </c>
      <c r="PE28" s="8">
        <v>662</v>
      </c>
      <c r="PF28" s="12">
        <v>413</v>
      </c>
      <c r="PG28" s="8">
        <v>-903</v>
      </c>
      <c r="PH28" s="12">
        <v>193</v>
      </c>
      <c r="PJ28" s="8">
        <v>427</v>
      </c>
      <c r="PK28" s="12">
        <v>130</v>
      </c>
      <c r="PL28" s="8">
        <v>-51</v>
      </c>
      <c r="PM28" s="28">
        <v>6</v>
      </c>
      <c r="PP28" s="8">
        <v>531</v>
      </c>
      <c r="PQ28" s="28">
        <v>19</v>
      </c>
      <c r="PR28" s="28"/>
      <c r="PS28" s="8">
        <v>29</v>
      </c>
      <c r="PT28" s="12">
        <v>86</v>
      </c>
      <c r="PW28" s="8">
        <v>15</v>
      </c>
      <c r="PX28" s="28">
        <v>64</v>
      </c>
      <c r="PY28" s="8">
        <v>-1</v>
      </c>
      <c r="PZ28" s="12">
        <v>15</v>
      </c>
      <c r="QC28" s="8">
        <v>290</v>
      </c>
      <c r="QD28" s="12">
        <v>788</v>
      </c>
      <c r="QE28" s="8">
        <v>-434</v>
      </c>
      <c r="QF28" s="12">
        <v>181</v>
      </c>
      <c r="QH28" s="8">
        <v>-41</v>
      </c>
      <c r="QI28" s="12">
        <v>215</v>
      </c>
      <c r="QJ28" s="8">
        <v>2</v>
      </c>
      <c r="QQ28" s="8">
        <v>4</v>
      </c>
      <c r="QR28" s="12">
        <f t="shared" si="0"/>
        <v>1.4142135623730951</v>
      </c>
      <c r="QS28" s="8">
        <v>2</v>
      </c>
      <c r="QT28" s="8">
        <v>243</v>
      </c>
      <c r="QU28" s="12">
        <v>255</v>
      </c>
      <c r="QV28" s="6">
        <v>818</v>
      </c>
      <c r="QW28" s="12">
        <v>197</v>
      </c>
      <c r="QY28" s="8">
        <v>27</v>
      </c>
      <c r="QZ28" s="12">
        <v>101</v>
      </c>
      <c r="RA28" s="8">
        <v>191</v>
      </c>
      <c r="RB28" s="12">
        <v>294</v>
      </c>
      <c r="RC28" s="6">
        <v>357</v>
      </c>
      <c r="RD28" s="12">
        <v>355</v>
      </c>
      <c r="RE28" s="6">
        <v>-185</v>
      </c>
      <c r="RF28" s="12">
        <v>146</v>
      </c>
      <c r="RG28" s="8">
        <v>-215</v>
      </c>
      <c r="RH28" s="28">
        <v>109</v>
      </c>
      <c r="RJ28" s="8">
        <v>-141</v>
      </c>
      <c r="RK28" s="12">
        <v>273</v>
      </c>
      <c r="RL28" s="8">
        <v>-4</v>
      </c>
      <c r="RM28" s="12">
        <v>446</v>
      </c>
      <c r="RQ28" s="9"/>
      <c r="RR28" s="9"/>
      <c r="RS28" s="55">
        <v>-343</v>
      </c>
      <c r="RT28" s="50">
        <v>858</v>
      </c>
      <c r="RV28" s="8">
        <v>457</v>
      </c>
      <c r="RW28" s="52">
        <v>165</v>
      </c>
      <c r="RY28" s="48" t="s">
        <v>152</v>
      </c>
      <c r="RZ28" s="49" t="s">
        <v>165</v>
      </c>
      <c r="SA28" s="8">
        <v>-2</v>
      </c>
      <c r="SB28" s="28">
        <v>1</v>
      </c>
      <c r="SD28" s="8">
        <v>108</v>
      </c>
      <c r="SE28" s="12">
        <v>61</v>
      </c>
      <c r="SF28" s="8">
        <v>-329</v>
      </c>
      <c r="SG28" s="12">
        <v>452</v>
      </c>
      <c r="SP28" s="8">
        <v>-188</v>
      </c>
      <c r="SQ28" s="12">
        <v>207</v>
      </c>
      <c r="SW28" s="8">
        <v>472</v>
      </c>
      <c r="SX28" s="28">
        <v>852</v>
      </c>
      <c r="SY28" s="6">
        <v>-69</v>
      </c>
      <c r="SZ28" s="28">
        <v>32</v>
      </c>
      <c r="TA28" s="6"/>
      <c r="TB28" s="6"/>
      <c r="TC28" s="8">
        <v>-421</v>
      </c>
      <c r="TD28" s="28">
        <v>10</v>
      </c>
      <c r="TH28" s="8">
        <v>784</v>
      </c>
      <c r="TI28" s="28">
        <v>144</v>
      </c>
      <c r="TM28" s="8">
        <v>67</v>
      </c>
      <c r="TN28" s="28">
        <v>15</v>
      </c>
      <c r="TP28" s="28"/>
      <c r="TQ28" s="8">
        <v>-38</v>
      </c>
      <c r="TX28" s="8">
        <v>-989</v>
      </c>
      <c r="TY28" s="28">
        <v>653</v>
      </c>
      <c r="TZ28" s="8">
        <v>175</v>
      </c>
      <c r="UA28" s="12">
        <v>282</v>
      </c>
      <c r="UB28" s="8">
        <v>580</v>
      </c>
      <c r="UC28" s="12">
        <v>290</v>
      </c>
      <c r="UE28" s="8">
        <v>-134</v>
      </c>
      <c r="UF28" s="12">
        <v>325</v>
      </c>
      <c r="UG28" s="8">
        <v>573</v>
      </c>
      <c r="UH28" s="12">
        <v>15</v>
      </c>
      <c r="UI28" s="8">
        <v>554</v>
      </c>
      <c r="UJ28" s="12">
        <v>33</v>
      </c>
      <c r="UL28" s="8">
        <v>-839</v>
      </c>
      <c r="UM28" s="28">
        <v>165</v>
      </c>
      <c r="UN28" s="8">
        <v>134</v>
      </c>
      <c r="UO28" s="12">
        <v>103</v>
      </c>
      <c r="US28" s="8">
        <v>841</v>
      </c>
      <c r="UT28" s="12">
        <v>147</v>
      </c>
      <c r="UU28" s="8">
        <v>81</v>
      </c>
      <c r="UV28" s="12">
        <v>106</v>
      </c>
      <c r="UZ28" s="8">
        <v>225</v>
      </c>
      <c r="VA28" s="12">
        <v>393</v>
      </c>
      <c r="VB28" s="8">
        <v>754</v>
      </c>
      <c r="VC28" s="12">
        <v>240</v>
      </c>
      <c r="VD28" s="8">
        <v>710</v>
      </c>
      <c r="VE28" s="12">
        <v>383</v>
      </c>
      <c r="VF28" s="8">
        <v>172</v>
      </c>
      <c r="VG28" s="12">
        <v>576</v>
      </c>
      <c r="VH28" s="8">
        <v>385</v>
      </c>
      <c r="VI28" s="28">
        <v>177</v>
      </c>
      <c r="VL28" s="21"/>
      <c r="VM28" s="8">
        <v>-3856</v>
      </c>
      <c r="VN28" s="12">
        <v>268</v>
      </c>
      <c r="VO28" s="12"/>
      <c r="VP28" s="12"/>
      <c r="VQ28" s="6">
        <v>-643</v>
      </c>
      <c r="VR28" s="28">
        <v>669</v>
      </c>
      <c r="VS28" s="12"/>
      <c r="VT28" s="12"/>
      <c r="VV28" s="8">
        <v>-1905</v>
      </c>
      <c r="VX28" s="8">
        <v>678</v>
      </c>
      <c r="VY28" s="12">
        <v>271</v>
      </c>
      <c r="VZ28" s="8">
        <v>170</v>
      </c>
      <c r="WA28" s="28">
        <v>140</v>
      </c>
      <c r="WB28" s="8">
        <v>5391</v>
      </c>
      <c r="WC28" s="12">
        <v>1194</v>
      </c>
      <c r="WG28" s="8">
        <v>347</v>
      </c>
      <c r="WH28" s="28">
        <v>182</v>
      </c>
      <c r="WI28" s="8">
        <v>-638</v>
      </c>
      <c r="WJ28" s="28">
        <v>163</v>
      </c>
      <c r="WP28" s="2">
        <v>-31</v>
      </c>
      <c r="WQ28" s="1">
        <v>30</v>
      </c>
      <c r="WR28" s="10"/>
      <c r="XB28" s="23">
        <v>40</v>
      </c>
      <c r="XC28" s="25">
        <v>16</v>
      </c>
      <c r="XE28">
        <v>369</v>
      </c>
      <c r="XF28" s="1">
        <v>93</v>
      </c>
      <c r="XG28" s="2">
        <v>4054</v>
      </c>
      <c r="XH28" s="10"/>
      <c r="XK28">
        <v>86</v>
      </c>
      <c r="XL28" s="1">
        <v>35</v>
      </c>
      <c r="XO28">
        <v>4260</v>
      </c>
      <c r="XP28" s="1">
        <v>887</v>
      </c>
    </row>
    <row r="29" spans="1:640" x14ac:dyDescent="0.25">
      <c r="C29" s="3"/>
      <c r="D29" s="3"/>
      <c r="E29">
        <v>419</v>
      </c>
      <c r="F29" s="1">
        <v>102</v>
      </c>
      <c r="G29" s="2">
        <v>-3787</v>
      </c>
      <c r="I29" s="2">
        <v>-1</v>
      </c>
      <c r="K29" s="2">
        <v>2918</v>
      </c>
      <c r="L29" s="1">
        <v>157</v>
      </c>
      <c r="M29">
        <v>134</v>
      </c>
      <c r="N29" s="1">
        <v>46</v>
      </c>
      <c r="O29" s="26"/>
      <c r="R29">
        <v>-228</v>
      </c>
      <c r="S29" s="12">
        <v>314</v>
      </c>
      <c r="T29">
        <v>3399</v>
      </c>
      <c r="U29" s="1">
        <v>81</v>
      </c>
      <c r="V29">
        <v>19</v>
      </c>
      <c r="W29" s="10">
        <v>236</v>
      </c>
      <c r="X29">
        <v>85</v>
      </c>
      <c r="AB29">
        <v>-57</v>
      </c>
      <c r="AC29" s="1">
        <v>63</v>
      </c>
      <c r="AD29">
        <v>1</v>
      </c>
      <c r="AE29" s="1">
        <v>1</v>
      </c>
      <c r="AF29">
        <v>-594</v>
      </c>
      <c r="AG29" s="1">
        <v>774</v>
      </c>
      <c r="AJ29" s="2">
        <v>-8</v>
      </c>
      <c r="AK29" s="10">
        <v>40</v>
      </c>
      <c r="AN29">
        <v>72996</v>
      </c>
      <c r="AO29" s="1"/>
      <c r="AP29" s="10">
        <v>644810</v>
      </c>
      <c r="AQ29">
        <v>656</v>
      </c>
      <c r="AR29" s="1">
        <v>21685</v>
      </c>
      <c r="AY29">
        <v>-3</v>
      </c>
      <c r="AZ29" s="1">
        <v>1</v>
      </c>
      <c r="BA29">
        <v>139</v>
      </c>
      <c r="BB29" s="1">
        <v>510</v>
      </c>
      <c r="BD29" s="8">
        <v>-298</v>
      </c>
      <c r="BE29" s="1">
        <v>310</v>
      </c>
      <c r="BF29">
        <v>-337</v>
      </c>
      <c r="BG29" s="1">
        <v>159</v>
      </c>
      <c r="BH29">
        <v>-2878</v>
      </c>
      <c r="BI29" s="1">
        <v>1037</v>
      </c>
      <c r="BJ29">
        <v>-69</v>
      </c>
      <c r="BL29">
        <v>2158</v>
      </c>
      <c r="BM29" s="1">
        <v>130</v>
      </c>
      <c r="BN29">
        <v>1</v>
      </c>
      <c r="BP29">
        <v>-617</v>
      </c>
      <c r="BQ29" s="10">
        <v>1299</v>
      </c>
      <c r="BR29">
        <v>446</v>
      </c>
      <c r="BS29" s="1">
        <v>406</v>
      </c>
      <c r="BT29">
        <v>10</v>
      </c>
      <c r="BU29" s="1">
        <v>13</v>
      </c>
      <c r="BV29">
        <v>60</v>
      </c>
      <c r="BW29" s="1">
        <v>4</v>
      </c>
      <c r="CA29" s="8">
        <v>-237</v>
      </c>
      <c r="CB29" s="28">
        <v>356</v>
      </c>
      <c r="CC29" s="8">
        <v>-632</v>
      </c>
      <c r="CD29" s="28">
        <v>365</v>
      </c>
      <c r="CE29" s="8">
        <v>67</v>
      </c>
      <c r="CF29" s="28">
        <v>8</v>
      </c>
      <c r="CG29" s="8">
        <v>1648</v>
      </c>
      <c r="CI29" s="8">
        <v>158</v>
      </c>
      <c r="CJ29" s="12">
        <v>169</v>
      </c>
      <c r="CK29" s="6">
        <v>-6</v>
      </c>
      <c r="CL29" s="28">
        <v>21</v>
      </c>
      <c r="CM29" s="6">
        <v>213</v>
      </c>
      <c r="CN29" s="28">
        <v>670</v>
      </c>
      <c r="CO29" s="6">
        <v>6</v>
      </c>
      <c r="CP29" s="28"/>
      <c r="CQ29" s="6">
        <v>147</v>
      </c>
      <c r="CR29" s="12">
        <v>329</v>
      </c>
      <c r="CS29" s="6">
        <v>-714</v>
      </c>
      <c r="CT29" s="28">
        <v>520</v>
      </c>
      <c r="CU29" s="28"/>
      <c r="CV29" s="28"/>
      <c r="CW29" s="6"/>
      <c r="CX29" s="28"/>
      <c r="CZ29" s="23">
        <v>317</v>
      </c>
      <c r="DA29" s="25">
        <v>784</v>
      </c>
      <c r="DB29" s="23">
        <v>8</v>
      </c>
      <c r="DC29" s="25">
        <v>3</v>
      </c>
      <c r="DD29" s="23">
        <v>14</v>
      </c>
      <c r="DE29" s="25">
        <v>9</v>
      </c>
      <c r="DF29" s="86">
        <v>114</v>
      </c>
      <c r="DG29" s="25">
        <v>372</v>
      </c>
      <c r="DH29" s="23">
        <v>173</v>
      </c>
      <c r="DI29" s="25">
        <v>381</v>
      </c>
      <c r="DJ29" s="23">
        <v>-353</v>
      </c>
      <c r="DK29" s="28">
        <v>210</v>
      </c>
      <c r="DL29" s="8">
        <v>509</v>
      </c>
      <c r="DN29" s="8">
        <v>299</v>
      </c>
      <c r="DQ29" s="8">
        <v>476</v>
      </c>
      <c r="DR29" s="52">
        <v>784</v>
      </c>
      <c r="DS29" s="6">
        <v>40</v>
      </c>
      <c r="DT29" s="52">
        <v>152</v>
      </c>
      <c r="DU29" s="8">
        <v>113</v>
      </c>
      <c r="DV29" s="28">
        <v>261</v>
      </c>
      <c r="DW29" s="8">
        <v>-26</v>
      </c>
      <c r="DX29" s="28">
        <v>8</v>
      </c>
      <c r="DY29" s="6">
        <v>599</v>
      </c>
      <c r="DZ29" s="52">
        <v>35</v>
      </c>
      <c r="EA29" s="23">
        <v>485</v>
      </c>
      <c r="EB29" s="52">
        <v>576</v>
      </c>
      <c r="EC29" s="6">
        <v>10</v>
      </c>
      <c r="ED29" s="28">
        <v>6</v>
      </c>
      <c r="EE29" s="8">
        <v>34</v>
      </c>
      <c r="EF29" s="52">
        <v>465</v>
      </c>
      <c r="EG29" s="8">
        <v>-295</v>
      </c>
      <c r="EH29" s="28">
        <v>357</v>
      </c>
      <c r="EI29" s="8">
        <v>-965</v>
      </c>
      <c r="EJ29" s="52">
        <v>116</v>
      </c>
      <c r="EL29" s="8">
        <v>-665</v>
      </c>
      <c r="EM29" s="28">
        <v>141</v>
      </c>
      <c r="EN29" s="8">
        <v>563</v>
      </c>
      <c r="EO29" s="28">
        <v>17</v>
      </c>
      <c r="EP29" s="6">
        <v>336</v>
      </c>
      <c r="EQ29" s="52">
        <v>204</v>
      </c>
      <c r="EU29" s="52"/>
      <c r="EV29" s="8">
        <v>61</v>
      </c>
      <c r="EX29" s="8">
        <v>969</v>
      </c>
      <c r="EY29" s="28">
        <v>103</v>
      </c>
      <c r="EZ29" s="8">
        <v>-164</v>
      </c>
      <c r="FA29" s="52">
        <v>777</v>
      </c>
      <c r="FB29" s="8">
        <v>35</v>
      </c>
      <c r="FC29" s="52">
        <v>133</v>
      </c>
      <c r="FD29" s="6">
        <v>338</v>
      </c>
      <c r="FE29" s="28">
        <v>513</v>
      </c>
      <c r="FF29" s="8">
        <v>970</v>
      </c>
      <c r="FG29" s="28">
        <v>22</v>
      </c>
      <c r="FH29" s="8">
        <v>-318</v>
      </c>
      <c r="FI29" s="28">
        <v>370</v>
      </c>
      <c r="FK29" s="52"/>
      <c r="FM29" s="8">
        <v>-40</v>
      </c>
      <c r="FN29" s="52">
        <v>66</v>
      </c>
      <c r="FO29" s="8">
        <v>166</v>
      </c>
      <c r="FP29" s="28">
        <v>120</v>
      </c>
      <c r="FQ29" s="8">
        <v>24</v>
      </c>
      <c r="FR29" s="28">
        <v>2</v>
      </c>
      <c r="FS29" s="8">
        <v>273</v>
      </c>
      <c r="FU29" s="28">
        <v>126</v>
      </c>
      <c r="FV29" s="8">
        <v>-440</v>
      </c>
      <c r="FW29" s="28">
        <v>86</v>
      </c>
      <c r="GA29" s="8">
        <v>131</v>
      </c>
      <c r="GB29" s="52">
        <v>100</v>
      </c>
      <c r="GC29" s="8">
        <v>1</v>
      </c>
      <c r="GE29" s="8">
        <v>112</v>
      </c>
      <c r="GF29" s="28">
        <v>360</v>
      </c>
      <c r="GG29" s="8">
        <v>163</v>
      </c>
      <c r="GH29" s="28">
        <v>59</v>
      </c>
      <c r="GI29" s="8">
        <v>1</v>
      </c>
      <c r="GJ29" s="28">
        <v>37</v>
      </c>
      <c r="GK29" s="8">
        <v>-842</v>
      </c>
      <c r="GL29" s="28">
        <v>63</v>
      </c>
      <c r="GN29" s="8">
        <v>474</v>
      </c>
      <c r="GO29" s="28">
        <v>107</v>
      </c>
      <c r="GP29" s="8">
        <v>-26</v>
      </c>
      <c r="GQ29" s="52">
        <v>329</v>
      </c>
      <c r="GR29" s="8">
        <v>101</v>
      </c>
      <c r="GS29" s="28">
        <v>121</v>
      </c>
      <c r="GT29" s="6">
        <v>-401</v>
      </c>
      <c r="GU29" s="52">
        <v>143</v>
      </c>
      <c r="GV29" s="6">
        <v>-111</v>
      </c>
      <c r="GW29" s="28">
        <v>51</v>
      </c>
      <c r="GX29" s="8">
        <v>125</v>
      </c>
      <c r="GY29" s="52">
        <v>106</v>
      </c>
      <c r="GZ29" s="8">
        <v>-600</v>
      </c>
      <c r="HA29" s="28">
        <v>259</v>
      </c>
      <c r="HB29" s="6">
        <v>89</v>
      </c>
      <c r="HC29" s="28"/>
      <c r="HE29" s="8">
        <v>382</v>
      </c>
      <c r="HF29" s="28">
        <v>93</v>
      </c>
      <c r="HG29" s="8">
        <v>-89</v>
      </c>
      <c r="HJ29" s="28"/>
      <c r="HO29" s="8">
        <v>184</v>
      </c>
      <c r="HP29" s="28">
        <v>889</v>
      </c>
      <c r="HQ29" s="6">
        <v>-1</v>
      </c>
      <c r="HR29" s="28">
        <v>1</v>
      </c>
      <c r="HS29" s="8">
        <v>-7</v>
      </c>
      <c r="HT29" s="52">
        <v>323</v>
      </c>
      <c r="HV29" s="8">
        <v>-125</v>
      </c>
      <c r="HW29" s="28">
        <v>577</v>
      </c>
      <c r="HX29" s="8">
        <v>5</v>
      </c>
      <c r="HY29" s="28">
        <v>6</v>
      </c>
      <c r="HZ29" s="8">
        <v>4</v>
      </c>
      <c r="IB29" s="8">
        <v>437</v>
      </c>
      <c r="IC29" s="28">
        <v>298</v>
      </c>
      <c r="ID29" s="8">
        <v>73</v>
      </c>
      <c r="IE29" s="28">
        <v>3</v>
      </c>
      <c r="IG29" s="28"/>
      <c r="IH29" s="8">
        <v>-270</v>
      </c>
      <c r="II29" s="28">
        <v>112</v>
      </c>
      <c r="IM29" s="8">
        <v>717</v>
      </c>
      <c r="IO29">
        <v>108</v>
      </c>
      <c r="IP29" s="10">
        <v>208</v>
      </c>
      <c r="IR29" s="28"/>
      <c r="IS29" s="6">
        <v>375</v>
      </c>
      <c r="IT29" s="28">
        <v>155</v>
      </c>
      <c r="IU29" s="8">
        <v>-122</v>
      </c>
      <c r="IV29" s="28">
        <v>673</v>
      </c>
      <c r="IW29" s="8">
        <v>-648</v>
      </c>
      <c r="IY29" s="8">
        <v>-103</v>
      </c>
      <c r="JA29" s="8">
        <v>-52</v>
      </c>
      <c r="JB29" s="12">
        <v>115</v>
      </c>
      <c r="JG29" s="28"/>
      <c r="JH29" s="8">
        <v>-119</v>
      </c>
      <c r="JI29" s="28">
        <v>680</v>
      </c>
      <c r="JJ29" s="8">
        <v>236</v>
      </c>
      <c r="JK29" s="28">
        <v>48</v>
      </c>
      <c r="JL29" s="8">
        <v>-850</v>
      </c>
      <c r="JM29" s="12">
        <v>190</v>
      </c>
      <c r="JN29" s="8">
        <v>404</v>
      </c>
      <c r="JO29" s="28">
        <v>138</v>
      </c>
      <c r="JP29" s="6">
        <v>-24</v>
      </c>
      <c r="JQ29" s="12">
        <v>142</v>
      </c>
      <c r="JR29" s="8">
        <v>950</v>
      </c>
      <c r="JS29" s="12"/>
      <c r="JT29" s="6">
        <v>52</v>
      </c>
      <c r="JU29" s="12">
        <v>61</v>
      </c>
      <c r="JW29" s="8">
        <v>963</v>
      </c>
      <c r="JX29" s="12">
        <v>144</v>
      </c>
      <c r="JZ29" s="28"/>
      <c r="KA29" s="8">
        <v>9</v>
      </c>
      <c r="KB29" s="28">
        <v>20</v>
      </c>
      <c r="KD29" s="28"/>
      <c r="KE29" s="6">
        <v>-185</v>
      </c>
      <c r="KF29" s="12">
        <v>712</v>
      </c>
      <c r="KM29" s="6"/>
      <c r="KQ29" s="8">
        <v>460</v>
      </c>
      <c r="KR29" s="28">
        <v>42</v>
      </c>
      <c r="KT29" s="8">
        <v>-5</v>
      </c>
      <c r="KU29" s="28">
        <v>10</v>
      </c>
      <c r="KV29" s="8">
        <v>470</v>
      </c>
      <c r="KZ29" s="8">
        <v>453</v>
      </c>
      <c r="LA29" s="12">
        <v>446</v>
      </c>
      <c r="LD29" s="8">
        <v>28</v>
      </c>
      <c r="LE29" s="28">
        <v>249</v>
      </c>
      <c r="LF29" s="8">
        <v>-279</v>
      </c>
      <c r="LG29" s="28">
        <v>27</v>
      </c>
      <c r="LH29" s="8">
        <v>-215</v>
      </c>
      <c r="LJ29" s="8">
        <v>-424</v>
      </c>
      <c r="LK29" s="28">
        <v>307</v>
      </c>
      <c r="LL29" s="8">
        <v>27</v>
      </c>
      <c r="LM29" s="28">
        <v>18</v>
      </c>
      <c r="LN29" s="8">
        <v>-156</v>
      </c>
      <c r="LO29" s="28">
        <v>744</v>
      </c>
      <c r="LS29" s="8">
        <v>167</v>
      </c>
      <c r="LU29" s="8">
        <v>186</v>
      </c>
      <c r="LV29" s="12">
        <v>199</v>
      </c>
      <c r="LW29" s="8">
        <v>-154</v>
      </c>
      <c r="LX29" s="28">
        <v>134</v>
      </c>
      <c r="LZ29" s="8">
        <v>825</v>
      </c>
      <c r="MF29" s="8">
        <v>-170</v>
      </c>
      <c r="MG29" s="12">
        <v>114</v>
      </c>
      <c r="MH29" s="8">
        <v>20</v>
      </c>
      <c r="MJ29" s="8">
        <v>132</v>
      </c>
      <c r="MK29" s="12">
        <v>230</v>
      </c>
      <c r="MN29" s="8">
        <v>406</v>
      </c>
      <c r="MO29" s="28">
        <v>132</v>
      </c>
      <c r="MS29" s="8">
        <v>-130</v>
      </c>
      <c r="MT29" s="12">
        <v>397</v>
      </c>
      <c r="MU29" s="8">
        <v>-2</v>
      </c>
      <c r="MV29" s="28">
        <v>1</v>
      </c>
      <c r="MZ29" s="8">
        <v>-49</v>
      </c>
      <c r="NC29" s="8">
        <v>983</v>
      </c>
      <c r="ND29" s="12">
        <v>275</v>
      </c>
      <c r="NE29" s="8">
        <v>235</v>
      </c>
      <c r="NF29" s="28">
        <v>183</v>
      </c>
      <c r="NG29" s="8">
        <v>556</v>
      </c>
      <c r="NH29" s="28">
        <v>44</v>
      </c>
      <c r="NI29" s="8">
        <v>-44</v>
      </c>
      <c r="NJ29" s="28">
        <v>3</v>
      </c>
      <c r="NL29" s="8">
        <v>881</v>
      </c>
      <c r="NM29" s="28">
        <v>58</v>
      </c>
      <c r="NN29" s="8">
        <v>109</v>
      </c>
      <c r="NO29" s="28">
        <v>265</v>
      </c>
      <c r="NP29" s="8">
        <v>677</v>
      </c>
      <c r="NQ29" s="12">
        <v>136</v>
      </c>
      <c r="NR29" s="8">
        <v>287</v>
      </c>
      <c r="NS29" s="12">
        <v>34</v>
      </c>
      <c r="NU29" s="8">
        <v>-899</v>
      </c>
      <c r="NV29" s="12">
        <v>101</v>
      </c>
      <c r="NW29" s="8">
        <v>855</v>
      </c>
      <c r="NX29" s="28">
        <v>240</v>
      </c>
      <c r="NY29" s="8">
        <v>-216</v>
      </c>
      <c r="NZ29" s="12">
        <v>459</v>
      </c>
      <c r="OA29" s="8">
        <v>217</v>
      </c>
      <c r="OB29" s="28">
        <v>116</v>
      </c>
      <c r="OC29" s="8">
        <v>891</v>
      </c>
      <c r="OD29" s="12">
        <v>929</v>
      </c>
      <c r="OE29" s="8">
        <v>740</v>
      </c>
      <c r="OG29" s="28">
        <v>136</v>
      </c>
      <c r="OL29" s="28"/>
      <c r="ON29" s="28"/>
      <c r="OO29" s="8">
        <v>-41</v>
      </c>
      <c r="OP29" s="28">
        <v>56</v>
      </c>
      <c r="OT29" s="28"/>
      <c r="OU29" s="12"/>
      <c r="OV29" s="8">
        <v>133</v>
      </c>
      <c r="PA29" s="8">
        <v>274</v>
      </c>
      <c r="PC29" s="8">
        <v>107</v>
      </c>
      <c r="PD29" s="28">
        <v>150</v>
      </c>
      <c r="PE29" s="8">
        <v>-319</v>
      </c>
      <c r="PF29" s="12">
        <v>273</v>
      </c>
      <c r="PJ29" s="8">
        <v>323</v>
      </c>
      <c r="PK29" s="12">
        <v>189</v>
      </c>
      <c r="PL29" s="8">
        <v>-139</v>
      </c>
      <c r="PM29" s="28">
        <v>172</v>
      </c>
      <c r="PP29" s="8">
        <v>218</v>
      </c>
      <c r="PQ29" s="28">
        <v>27</v>
      </c>
      <c r="PR29" s="28"/>
      <c r="PS29" s="8">
        <v>143</v>
      </c>
      <c r="PT29" s="12">
        <v>336</v>
      </c>
      <c r="PW29" s="8">
        <v>19</v>
      </c>
      <c r="PX29" s="28">
        <v>144</v>
      </c>
      <c r="PY29" s="8">
        <v>1</v>
      </c>
      <c r="PZ29" s="12">
        <v>48</v>
      </c>
      <c r="QC29" s="8">
        <v>-115</v>
      </c>
      <c r="QD29" s="12">
        <v>269</v>
      </c>
      <c r="QE29" s="8">
        <v>176</v>
      </c>
      <c r="QF29" s="12">
        <v>107</v>
      </c>
      <c r="QH29" s="8">
        <v>-15</v>
      </c>
      <c r="QI29" s="12">
        <v>196</v>
      </c>
      <c r="QJ29" s="8">
        <v>21</v>
      </c>
      <c r="QQ29" s="8">
        <v>-2</v>
      </c>
      <c r="QR29" s="12">
        <v>24</v>
      </c>
      <c r="QT29" s="8">
        <v>398</v>
      </c>
      <c r="QU29" s="12">
        <v>264</v>
      </c>
      <c r="QV29" s="6">
        <v>-550</v>
      </c>
      <c r="QW29" s="12">
        <v>199</v>
      </c>
      <c r="QY29" s="8">
        <v>48</v>
      </c>
      <c r="QZ29" s="12">
        <v>158</v>
      </c>
      <c r="RA29" s="8">
        <v>900</v>
      </c>
      <c r="RB29" s="12">
        <v>146</v>
      </c>
      <c r="RC29" s="6">
        <v>-5</v>
      </c>
      <c r="RD29" s="12">
        <v>252</v>
      </c>
      <c r="RE29" s="6">
        <v>-168</v>
      </c>
      <c r="RF29" s="12">
        <v>161</v>
      </c>
      <c r="RG29" s="8">
        <v>220</v>
      </c>
      <c r="RH29" s="28">
        <v>106</v>
      </c>
      <c r="RJ29" s="8">
        <v>-42</v>
      </c>
      <c r="RK29" s="12">
        <v>426</v>
      </c>
      <c r="RL29" s="8">
        <v>71</v>
      </c>
      <c r="RM29" s="12">
        <v>254</v>
      </c>
      <c r="RQ29" s="9"/>
      <c r="RR29" s="9"/>
      <c r="RS29" s="55">
        <v>348</v>
      </c>
      <c r="RT29" s="50">
        <v>468</v>
      </c>
      <c r="RV29" s="8">
        <v>58</v>
      </c>
      <c r="RW29" s="52">
        <v>44</v>
      </c>
      <c r="RY29" s="48" t="s">
        <v>166</v>
      </c>
      <c r="RZ29" s="49" t="s">
        <v>167</v>
      </c>
      <c r="SA29" s="8">
        <v>97</v>
      </c>
      <c r="SB29" s="28">
        <v>1</v>
      </c>
      <c r="SD29" s="8">
        <v>-445</v>
      </c>
      <c r="SE29" s="12">
        <v>303</v>
      </c>
      <c r="SF29" s="8">
        <v>21</v>
      </c>
      <c r="SG29" s="12">
        <v>148</v>
      </c>
      <c r="SP29" s="8">
        <v>391</v>
      </c>
      <c r="SQ29" s="12">
        <v>460</v>
      </c>
      <c r="SW29" s="8">
        <v>343</v>
      </c>
      <c r="SX29" s="28">
        <v>686</v>
      </c>
      <c r="SY29" s="6">
        <v>200</v>
      </c>
      <c r="SZ29" s="28">
        <v>245</v>
      </c>
      <c r="TA29" s="6"/>
      <c r="TB29" s="6"/>
      <c r="TC29" s="8">
        <v>-179</v>
      </c>
      <c r="TD29" s="28">
        <v>79</v>
      </c>
      <c r="TH29" s="8">
        <v>999</v>
      </c>
      <c r="TI29" s="28">
        <v>168</v>
      </c>
      <c r="TM29" s="8">
        <v>33</v>
      </c>
      <c r="TN29" s="28">
        <v>11</v>
      </c>
      <c r="TP29" s="28"/>
      <c r="TQ29" s="8">
        <v>-22</v>
      </c>
      <c r="TX29" s="8">
        <v>-466</v>
      </c>
      <c r="TY29" s="28">
        <v>157</v>
      </c>
      <c r="TZ29" s="8">
        <v>146</v>
      </c>
      <c r="UA29" s="12">
        <v>221</v>
      </c>
      <c r="UB29" s="8">
        <v>4</v>
      </c>
      <c r="UC29" s="12">
        <v>361</v>
      </c>
      <c r="UE29" s="8">
        <v>-850</v>
      </c>
      <c r="UF29" s="12">
        <v>620</v>
      </c>
      <c r="UG29" s="8">
        <v>326</v>
      </c>
      <c r="UH29" s="12">
        <v>8</v>
      </c>
      <c r="UI29" s="8">
        <v>87</v>
      </c>
      <c r="UJ29" s="12">
        <v>5</v>
      </c>
      <c r="UL29" s="8">
        <v>435</v>
      </c>
      <c r="UM29" s="28">
        <v>124</v>
      </c>
      <c r="UN29" s="8">
        <v>247</v>
      </c>
      <c r="UO29" s="12">
        <v>2</v>
      </c>
      <c r="US29" s="8">
        <v>116</v>
      </c>
      <c r="UT29" s="12">
        <v>580</v>
      </c>
      <c r="UU29" s="8">
        <v>-35</v>
      </c>
      <c r="UV29" s="12">
        <v>25</v>
      </c>
      <c r="UZ29" s="8">
        <v>395</v>
      </c>
      <c r="VA29" s="12">
        <v>668</v>
      </c>
      <c r="VB29" s="8">
        <v>720</v>
      </c>
      <c r="VC29" s="12">
        <v>231</v>
      </c>
      <c r="VD29" s="8">
        <v>-722</v>
      </c>
      <c r="VE29" s="12">
        <v>162</v>
      </c>
      <c r="VF29" s="8">
        <v>420</v>
      </c>
      <c r="VG29" s="12">
        <v>84</v>
      </c>
      <c r="VH29" s="8">
        <v>-26</v>
      </c>
      <c r="VI29" s="28">
        <v>35</v>
      </c>
      <c r="VL29" s="21"/>
      <c r="VM29" s="8">
        <v>-3085</v>
      </c>
      <c r="VN29" s="12">
        <v>180</v>
      </c>
      <c r="VO29" s="12"/>
      <c r="VP29" s="12"/>
      <c r="VQ29" s="6">
        <v>-262</v>
      </c>
      <c r="VR29" s="28">
        <v>752</v>
      </c>
      <c r="VS29" s="12"/>
      <c r="VT29" s="12"/>
      <c r="VV29" s="8">
        <v>-2388</v>
      </c>
      <c r="VX29" s="8">
        <v>226</v>
      </c>
      <c r="VY29" s="12">
        <v>796</v>
      </c>
      <c r="VZ29" s="8">
        <v>107</v>
      </c>
      <c r="WA29" s="28">
        <v>146</v>
      </c>
      <c r="WB29" s="8">
        <v>5143</v>
      </c>
      <c r="WC29" s="12">
        <v>1248</v>
      </c>
      <c r="WG29" s="8">
        <v>27</v>
      </c>
      <c r="WH29" s="28">
        <v>34</v>
      </c>
      <c r="WI29" s="8">
        <v>-608</v>
      </c>
      <c r="WJ29" s="28">
        <v>154</v>
      </c>
      <c r="WP29" s="2">
        <v>179</v>
      </c>
      <c r="WQ29" s="1">
        <v>41</v>
      </c>
      <c r="WR29" s="10"/>
      <c r="XB29" s="23">
        <v>68</v>
      </c>
      <c r="XC29" s="25">
        <v>9</v>
      </c>
      <c r="XE29">
        <v>44783</v>
      </c>
      <c r="XF29" s="1">
        <v>7461</v>
      </c>
      <c r="XG29" s="2">
        <v>2729</v>
      </c>
      <c r="XH29" s="10"/>
      <c r="XK29">
        <v>120</v>
      </c>
      <c r="XL29" s="1">
        <v>29</v>
      </c>
      <c r="XO29">
        <v>162</v>
      </c>
      <c r="XP29" s="1">
        <v>122</v>
      </c>
    </row>
    <row r="30" spans="1:640" x14ac:dyDescent="0.25">
      <c r="C30" s="3"/>
      <c r="D30" s="3"/>
      <c r="E30">
        <v>778</v>
      </c>
      <c r="F30" s="1">
        <v>136</v>
      </c>
      <c r="G30" s="2">
        <v>-1840</v>
      </c>
      <c r="I30" s="2">
        <v>2</v>
      </c>
      <c r="K30" s="2">
        <v>2850</v>
      </c>
      <c r="L30" s="1">
        <v>184</v>
      </c>
      <c r="M30">
        <v>211</v>
      </c>
      <c r="N30" s="1">
        <v>15</v>
      </c>
      <c r="O30" s="26"/>
      <c r="R30">
        <v>20</v>
      </c>
      <c r="S30" s="12">
        <v>154</v>
      </c>
      <c r="T30">
        <v>7456</v>
      </c>
      <c r="U30" s="1">
        <v>874</v>
      </c>
      <c r="V30">
        <v>23</v>
      </c>
      <c r="W30" s="10">
        <v>284</v>
      </c>
      <c r="X30">
        <v>71</v>
      </c>
      <c r="AB30">
        <v>-700</v>
      </c>
      <c r="AC30" s="1">
        <v>120</v>
      </c>
      <c r="AD30">
        <v>1</v>
      </c>
      <c r="AE30" s="1">
        <v>1</v>
      </c>
      <c r="AF30">
        <v>-463</v>
      </c>
      <c r="AG30" s="1">
        <v>657</v>
      </c>
      <c r="AJ30" s="2">
        <v>-18</v>
      </c>
      <c r="AK30" s="10">
        <v>79</v>
      </c>
      <c r="AQ30">
        <v>-783</v>
      </c>
      <c r="AR30" s="1">
        <v>21231</v>
      </c>
      <c r="AY30">
        <v>-15</v>
      </c>
      <c r="AZ30" s="1">
        <v>6</v>
      </c>
      <c r="BA30">
        <v>-185</v>
      </c>
      <c r="BB30" s="1">
        <v>446</v>
      </c>
      <c r="BD30" s="8">
        <v>-2175</v>
      </c>
      <c r="BE30" s="1">
        <v>204</v>
      </c>
      <c r="BF30">
        <v>-110</v>
      </c>
      <c r="BG30" s="1">
        <v>160</v>
      </c>
      <c r="BJ30">
        <v>-113</v>
      </c>
      <c r="BL30">
        <v>-25</v>
      </c>
      <c r="BM30" s="1">
        <v>4</v>
      </c>
      <c r="BN30">
        <v>-1</v>
      </c>
      <c r="BP30">
        <v>-251</v>
      </c>
      <c r="BQ30" s="10">
        <v>2545</v>
      </c>
      <c r="BR30">
        <v>427</v>
      </c>
      <c r="BS30" s="1">
        <v>320</v>
      </c>
      <c r="BT30">
        <v>191</v>
      </c>
      <c r="BU30" s="1">
        <v>122</v>
      </c>
      <c r="BV30">
        <v>-92</v>
      </c>
      <c r="BW30" s="1">
        <v>7</v>
      </c>
      <c r="CA30" s="8">
        <v>-86</v>
      </c>
      <c r="CB30" s="28">
        <v>19</v>
      </c>
      <c r="CC30" s="8">
        <v>-743</v>
      </c>
      <c r="CD30" s="28">
        <v>489</v>
      </c>
      <c r="CE30" s="8">
        <v>72</v>
      </c>
      <c r="CF30" s="28">
        <v>8</v>
      </c>
      <c r="CG30" s="8">
        <v>-342</v>
      </c>
      <c r="CI30" s="8">
        <v>543</v>
      </c>
      <c r="CJ30" s="12">
        <v>86</v>
      </c>
      <c r="CK30" s="6">
        <v>-76</v>
      </c>
      <c r="CL30" s="28">
        <v>23</v>
      </c>
      <c r="CM30" s="6">
        <v>103</v>
      </c>
      <c r="CN30" s="28">
        <v>334</v>
      </c>
      <c r="CO30" s="6">
        <v>31</v>
      </c>
      <c r="CP30" s="28"/>
      <c r="CQ30" s="6">
        <v>165</v>
      </c>
      <c r="CR30" s="12">
        <v>367</v>
      </c>
      <c r="CS30" s="6">
        <v>152</v>
      </c>
      <c r="CT30" s="28">
        <v>139</v>
      </c>
      <c r="CU30" s="28"/>
      <c r="CV30" s="28"/>
      <c r="CW30" s="6"/>
      <c r="CX30" s="28"/>
      <c r="CZ30" s="23">
        <v>-118</v>
      </c>
      <c r="DA30" s="25">
        <v>408</v>
      </c>
      <c r="DB30" s="23">
        <v>-56</v>
      </c>
      <c r="DC30" s="25">
        <v>5</v>
      </c>
      <c r="DD30" s="23">
        <v>21</v>
      </c>
      <c r="DE30" s="25">
        <v>12</v>
      </c>
      <c r="DF30" s="86">
        <v>112</v>
      </c>
      <c r="DG30" s="25">
        <v>359</v>
      </c>
      <c r="DH30" s="23">
        <v>195</v>
      </c>
      <c r="DI30" s="25">
        <v>325</v>
      </c>
      <c r="DJ30" s="23">
        <v>238</v>
      </c>
      <c r="DK30" s="28">
        <v>184</v>
      </c>
      <c r="DL30" s="8">
        <v>252</v>
      </c>
      <c r="DN30" s="8">
        <v>493</v>
      </c>
      <c r="DQ30" s="8">
        <v>398</v>
      </c>
      <c r="DR30" s="52">
        <v>295</v>
      </c>
      <c r="DS30" s="6">
        <v>232</v>
      </c>
      <c r="DT30" s="52">
        <v>256</v>
      </c>
      <c r="DU30" s="8">
        <v>-743</v>
      </c>
      <c r="DV30" s="28">
        <v>280</v>
      </c>
      <c r="DW30" s="8">
        <v>154</v>
      </c>
      <c r="DX30" s="28">
        <v>876</v>
      </c>
      <c r="DY30" s="6">
        <v>-301</v>
      </c>
      <c r="DZ30" s="52">
        <v>103</v>
      </c>
      <c r="EA30" s="23">
        <v>-169</v>
      </c>
      <c r="EB30" s="52">
        <v>102</v>
      </c>
      <c r="EC30" s="6">
        <v>5</v>
      </c>
      <c r="ED30" s="28">
        <v>6</v>
      </c>
      <c r="EE30" s="8">
        <v>353</v>
      </c>
      <c r="EF30" s="52">
        <v>35</v>
      </c>
      <c r="EG30" s="8">
        <v>-73</v>
      </c>
      <c r="EH30" s="28">
        <v>82</v>
      </c>
      <c r="EI30" s="8">
        <v>-52</v>
      </c>
      <c r="EJ30" s="52">
        <v>483</v>
      </c>
      <c r="EL30" s="8">
        <v>-897</v>
      </c>
      <c r="EM30" s="28">
        <v>434</v>
      </c>
      <c r="EN30" s="8">
        <v>-58</v>
      </c>
      <c r="EO30" s="28">
        <v>11</v>
      </c>
      <c r="EP30" s="6">
        <v>199</v>
      </c>
      <c r="EQ30" s="52">
        <v>158</v>
      </c>
      <c r="EU30" s="52"/>
      <c r="EV30" s="8">
        <v>-99</v>
      </c>
      <c r="EX30" s="8">
        <v>-263</v>
      </c>
      <c r="EY30" s="28">
        <v>715</v>
      </c>
      <c r="EZ30" s="8">
        <v>480</v>
      </c>
      <c r="FA30" s="52">
        <v>322</v>
      </c>
      <c r="FB30" s="8">
        <v>-5</v>
      </c>
      <c r="FC30" s="52">
        <v>152</v>
      </c>
      <c r="FD30" s="6">
        <v>-293</v>
      </c>
      <c r="FE30" s="28">
        <v>125</v>
      </c>
      <c r="FF30" s="8">
        <v>482</v>
      </c>
      <c r="FG30" s="28">
        <v>79</v>
      </c>
      <c r="FH30" s="8">
        <v>3</v>
      </c>
      <c r="FI30" s="28">
        <v>1</v>
      </c>
      <c r="FK30" s="52"/>
      <c r="FM30" s="8">
        <v>240</v>
      </c>
      <c r="FN30" s="52">
        <v>161</v>
      </c>
      <c r="FO30" s="8">
        <v>15</v>
      </c>
      <c r="FP30" s="28">
        <v>74</v>
      </c>
      <c r="FQ30" s="8">
        <v>-4</v>
      </c>
      <c r="FR30" s="28">
        <v>4</v>
      </c>
      <c r="FS30" s="8">
        <v>265</v>
      </c>
      <c r="FT30" s="52">
        <v>147</v>
      </c>
      <c r="FV30" s="8">
        <v>304</v>
      </c>
      <c r="FW30" s="28">
        <v>75</v>
      </c>
      <c r="GA30" s="8">
        <v>304</v>
      </c>
      <c r="GB30" s="52">
        <v>936</v>
      </c>
      <c r="GC30" s="8">
        <v>520</v>
      </c>
      <c r="GE30" s="8">
        <v>-9</v>
      </c>
      <c r="GF30" s="28">
        <v>8</v>
      </c>
      <c r="GG30" s="8">
        <v>-1</v>
      </c>
      <c r="GH30" s="28">
        <v>5</v>
      </c>
      <c r="GI30" s="8">
        <v>-43</v>
      </c>
      <c r="GJ30" s="28">
        <v>58</v>
      </c>
      <c r="GK30" s="8">
        <v>182</v>
      </c>
      <c r="GL30" s="28">
        <v>275</v>
      </c>
      <c r="GN30" s="8">
        <v>131</v>
      </c>
      <c r="GO30" s="28">
        <v>515</v>
      </c>
      <c r="GP30" s="8">
        <v>19</v>
      </c>
      <c r="GQ30" s="52">
        <v>225</v>
      </c>
      <c r="GR30" s="8">
        <v>-65</v>
      </c>
      <c r="GS30" s="28">
        <v>81</v>
      </c>
      <c r="GT30" s="6">
        <v>-98</v>
      </c>
      <c r="GU30" s="52">
        <v>287</v>
      </c>
      <c r="GV30" s="6">
        <v>-109</v>
      </c>
      <c r="GW30" s="28">
        <v>53</v>
      </c>
      <c r="GX30" s="8">
        <v>162</v>
      </c>
      <c r="GY30" s="52">
        <v>129</v>
      </c>
      <c r="GZ30" s="8">
        <v>530</v>
      </c>
      <c r="HA30" s="28">
        <v>10</v>
      </c>
      <c r="HB30" s="6">
        <v>44</v>
      </c>
      <c r="HC30" s="28"/>
      <c r="HE30" s="8">
        <v>54</v>
      </c>
      <c r="HF30" s="28">
        <v>98</v>
      </c>
      <c r="HG30" s="8">
        <v>137</v>
      </c>
      <c r="HJ30" s="28"/>
      <c r="HO30" s="8">
        <v>122</v>
      </c>
      <c r="HP30" s="28">
        <v>285</v>
      </c>
      <c r="HQ30" s="6">
        <v>5</v>
      </c>
      <c r="HR30" s="28">
        <v>2</v>
      </c>
      <c r="HS30" s="8">
        <v>139</v>
      </c>
      <c r="HT30" s="52">
        <v>875</v>
      </c>
      <c r="HV30" s="8">
        <v>194</v>
      </c>
      <c r="HW30" s="28">
        <v>550</v>
      </c>
      <c r="HX30" s="8">
        <v>-58</v>
      </c>
      <c r="HY30" s="28">
        <v>130</v>
      </c>
      <c r="HZ30" s="8">
        <v>-1</v>
      </c>
      <c r="IB30" s="8">
        <v>-310</v>
      </c>
      <c r="IC30" s="28">
        <v>100</v>
      </c>
      <c r="ID30" s="8">
        <v>-41</v>
      </c>
      <c r="IE30" s="28">
        <v>653</v>
      </c>
      <c r="IG30" s="28"/>
      <c r="IH30" s="8">
        <v>217</v>
      </c>
      <c r="II30" s="28">
        <v>122</v>
      </c>
      <c r="IM30" s="8">
        <v>339</v>
      </c>
      <c r="IO30">
        <v>143</v>
      </c>
      <c r="IP30" s="10">
        <v>28</v>
      </c>
      <c r="IR30" s="28"/>
      <c r="IS30" s="6">
        <v>459</v>
      </c>
      <c r="IT30" s="28">
        <v>653</v>
      </c>
      <c r="IU30" s="8">
        <v>107</v>
      </c>
      <c r="IV30" s="28">
        <v>662</v>
      </c>
      <c r="IW30" s="8">
        <v>-962</v>
      </c>
      <c r="IY30" s="8">
        <v>-132</v>
      </c>
      <c r="JA30" s="8">
        <v>-41</v>
      </c>
      <c r="JB30" s="12">
        <v>120</v>
      </c>
      <c r="JG30" s="28"/>
      <c r="JH30" s="8">
        <v>-609</v>
      </c>
      <c r="JI30" s="28">
        <v>235</v>
      </c>
      <c r="JJ30" s="8">
        <v>348</v>
      </c>
      <c r="JK30" s="28">
        <v>89</v>
      </c>
      <c r="JL30" s="8">
        <v>-901</v>
      </c>
      <c r="JM30" s="12">
        <v>233</v>
      </c>
      <c r="JN30" s="8">
        <v>-74</v>
      </c>
      <c r="JO30" s="28">
        <v>476</v>
      </c>
      <c r="JP30" s="6">
        <v>-21</v>
      </c>
      <c r="JQ30" s="12">
        <v>128</v>
      </c>
      <c r="JR30" s="8">
        <v>88</v>
      </c>
      <c r="JS30" s="12"/>
      <c r="JT30" s="6">
        <v>-68</v>
      </c>
      <c r="JU30" s="12">
        <v>497</v>
      </c>
      <c r="JW30" s="8">
        <v>-284</v>
      </c>
      <c r="JX30" s="12">
        <v>904</v>
      </c>
      <c r="JZ30" s="28"/>
      <c r="KA30" s="8">
        <v>7</v>
      </c>
      <c r="KB30" s="28">
        <v>5</v>
      </c>
      <c r="KD30" s="28"/>
      <c r="KE30" s="6">
        <v>27</v>
      </c>
      <c r="KF30" s="12">
        <v>120</v>
      </c>
      <c r="KM30" s="6"/>
      <c r="KQ30" s="8">
        <v>164</v>
      </c>
      <c r="KR30" s="28">
        <v>28</v>
      </c>
      <c r="KT30" s="8">
        <v>-186</v>
      </c>
      <c r="KU30" s="28">
        <v>4</v>
      </c>
      <c r="KV30" s="8">
        <v>-484</v>
      </c>
      <c r="KZ30" s="8">
        <v>-96</v>
      </c>
      <c r="LA30" s="12">
        <v>40</v>
      </c>
      <c r="LD30" s="8">
        <v>-44</v>
      </c>
      <c r="LE30" s="28">
        <v>203</v>
      </c>
      <c r="LF30" s="8">
        <v>48</v>
      </c>
      <c r="LG30" s="28">
        <v>9</v>
      </c>
      <c r="LH30" s="8">
        <v>-851</v>
      </c>
      <c r="LJ30" s="8">
        <v>366</v>
      </c>
      <c r="LK30" s="28">
        <v>692</v>
      </c>
      <c r="LL30" s="8">
        <v>76</v>
      </c>
      <c r="LM30" s="28">
        <v>1</v>
      </c>
      <c r="LN30" s="8">
        <v>-949</v>
      </c>
      <c r="LO30" s="28">
        <v>608</v>
      </c>
      <c r="LS30" s="8">
        <v>4</v>
      </c>
      <c r="LU30" s="8">
        <v>187</v>
      </c>
      <c r="LV30" s="12">
        <v>280</v>
      </c>
      <c r="LW30" s="8">
        <v>-820</v>
      </c>
      <c r="LX30" s="28">
        <v>80</v>
      </c>
      <c r="LZ30" s="8">
        <v>670</v>
      </c>
      <c r="MF30" s="8">
        <v>340</v>
      </c>
      <c r="MG30" s="12">
        <v>655</v>
      </c>
      <c r="MH30" s="8">
        <v>6</v>
      </c>
      <c r="MJ30" s="8">
        <v>-32</v>
      </c>
      <c r="MK30" s="12">
        <v>150</v>
      </c>
      <c r="MN30" s="8">
        <v>243</v>
      </c>
      <c r="MO30" s="28">
        <v>746</v>
      </c>
      <c r="MS30" s="8">
        <v>-172</v>
      </c>
      <c r="MT30" s="12">
        <v>452</v>
      </c>
      <c r="MU30" s="8">
        <v>93</v>
      </c>
      <c r="MV30" s="28">
        <v>5</v>
      </c>
      <c r="NC30" s="8">
        <v>235</v>
      </c>
      <c r="ND30" s="12">
        <v>135</v>
      </c>
      <c r="NE30" s="8">
        <v>-161</v>
      </c>
      <c r="NF30" s="28">
        <v>212</v>
      </c>
      <c r="NG30" s="8">
        <v>-111</v>
      </c>
      <c r="NH30" s="28">
        <v>34</v>
      </c>
      <c r="NI30" s="8">
        <v>20</v>
      </c>
      <c r="NJ30" s="28">
        <v>17</v>
      </c>
      <c r="NL30" s="8">
        <v>80</v>
      </c>
      <c r="NM30" s="28">
        <v>48</v>
      </c>
      <c r="NN30" s="8">
        <v>-457</v>
      </c>
      <c r="NO30" s="28">
        <v>213</v>
      </c>
      <c r="NP30" s="8">
        <v>110</v>
      </c>
      <c r="NQ30" s="12">
        <v>243</v>
      </c>
      <c r="NR30" s="8">
        <v>-247</v>
      </c>
      <c r="NS30" s="12">
        <v>27</v>
      </c>
      <c r="NU30" s="8">
        <v>-470</v>
      </c>
      <c r="NV30" s="12">
        <v>212</v>
      </c>
      <c r="NW30" s="8">
        <v>118</v>
      </c>
      <c r="NX30" s="28">
        <v>249</v>
      </c>
      <c r="NY30" s="8">
        <v>255</v>
      </c>
      <c r="NZ30" s="12">
        <v>305</v>
      </c>
      <c r="OA30" s="8">
        <v>-747</v>
      </c>
      <c r="OB30" s="28">
        <v>272</v>
      </c>
      <c r="OC30" s="8">
        <v>-392</v>
      </c>
      <c r="OD30" s="12">
        <v>359</v>
      </c>
      <c r="OE30" s="8">
        <v>342</v>
      </c>
      <c r="OG30" s="28">
        <v>205</v>
      </c>
      <c r="OL30" s="28"/>
      <c r="OO30" s="8">
        <v>-87</v>
      </c>
      <c r="OP30" s="28">
        <v>103</v>
      </c>
      <c r="OT30" s="28"/>
      <c r="OU30" s="12"/>
      <c r="OV30" s="8">
        <v>96</v>
      </c>
      <c r="PA30" s="8">
        <v>73</v>
      </c>
      <c r="PC30" s="8">
        <v>-149</v>
      </c>
      <c r="PD30" s="28">
        <v>43</v>
      </c>
      <c r="PE30" s="8">
        <v>121</v>
      </c>
      <c r="PF30" s="12">
        <v>117</v>
      </c>
      <c r="PJ30" s="8">
        <v>30</v>
      </c>
      <c r="PK30" s="12">
        <v>76</v>
      </c>
      <c r="PL30" s="8">
        <v>26</v>
      </c>
      <c r="PM30" s="28">
        <v>4</v>
      </c>
      <c r="PP30" s="8">
        <v>266</v>
      </c>
      <c r="PQ30" s="28">
        <v>18</v>
      </c>
      <c r="PR30" s="28"/>
      <c r="PS30" s="8">
        <v>-101</v>
      </c>
      <c r="PT30" s="12">
        <v>415</v>
      </c>
      <c r="PW30" s="8">
        <v>-13</v>
      </c>
      <c r="PX30" s="28">
        <v>158</v>
      </c>
      <c r="PY30" s="8">
        <v>-12</v>
      </c>
      <c r="PZ30" s="12">
        <v>141</v>
      </c>
      <c r="QC30" s="8">
        <v>-147</v>
      </c>
      <c r="QD30" s="12">
        <v>116</v>
      </c>
      <c r="QE30" s="8">
        <v>101</v>
      </c>
      <c r="QF30" s="12">
        <v>121</v>
      </c>
      <c r="QH30" s="8">
        <v>55</v>
      </c>
      <c r="QI30" s="12">
        <v>132</v>
      </c>
      <c r="QJ30" s="8">
        <v>186</v>
      </c>
      <c r="QQ30" s="8">
        <v>45</v>
      </c>
      <c r="QR30" s="12">
        <v>246</v>
      </c>
      <c r="QT30" s="8">
        <v>277</v>
      </c>
      <c r="QU30" s="12">
        <v>423</v>
      </c>
      <c r="QV30" s="6">
        <v>-617</v>
      </c>
      <c r="QW30" s="12">
        <v>269</v>
      </c>
      <c r="QY30" s="8">
        <v>52</v>
      </c>
      <c r="QZ30" s="12">
        <v>172</v>
      </c>
      <c r="RA30" s="8">
        <v>-201</v>
      </c>
      <c r="RB30" s="12">
        <v>373</v>
      </c>
      <c r="RC30" s="6">
        <v>-63</v>
      </c>
      <c r="RD30" s="12">
        <v>2</v>
      </c>
      <c r="RE30" s="6">
        <v>475</v>
      </c>
      <c r="RF30" s="12">
        <v>533</v>
      </c>
      <c r="RG30" s="8">
        <v>-367</v>
      </c>
      <c r="RH30" s="28">
        <v>203</v>
      </c>
      <c r="RJ30" s="8">
        <v>7</v>
      </c>
      <c r="RK30" s="12">
        <v>10</v>
      </c>
      <c r="RL30" s="8">
        <v>-61</v>
      </c>
      <c r="RM30" s="12">
        <v>637</v>
      </c>
      <c r="RQ30" s="9"/>
      <c r="RR30" s="9"/>
      <c r="RS30" s="55">
        <v>748</v>
      </c>
      <c r="RT30" s="50">
        <v>511</v>
      </c>
      <c r="RV30" s="8">
        <v>25</v>
      </c>
      <c r="RW30" s="52">
        <v>691</v>
      </c>
      <c r="RY30" s="48" t="s">
        <v>156</v>
      </c>
      <c r="RZ30" s="49" t="s">
        <v>168</v>
      </c>
      <c r="SA30" s="8">
        <v>27</v>
      </c>
      <c r="SB30" s="28">
        <v>15</v>
      </c>
      <c r="SD30" s="8">
        <v>312</v>
      </c>
      <c r="SE30" s="12">
        <v>242</v>
      </c>
      <c r="SF30" s="8">
        <v>164</v>
      </c>
      <c r="SG30" s="12">
        <v>88</v>
      </c>
      <c r="SP30" s="8">
        <v>30</v>
      </c>
      <c r="SQ30" s="12">
        <v>8</v>
      </c>
      <c r="SW30" s="8">
        <v>634</v>
      </c>
      <c r="SX30" s="28">
        <v>816</v>
      </c>
      <c r="SY30" s="6">
        <v>420</v>
      </c>
      <c r="SZ30" s="28">
        <v>283</v>
      </c>
      <c r="TA30" s="6"/>
      <c r="TB30" s="6"/>
      <c r="TC30" s="8">
        <v>-77</v>
      </c>
      <c r="TD30" s="28">
        <v>68</v>
      </c>
      <c r="TH30" s="8">
        <v>857</v>
      </c>
      <c r="TI30" s="28">
        <v>136</v>
      </c>
      <c r="TM30" s="8">
        <v>84</v>
      </c>
      <c r="TN30" s="28">
        <v>43</v>
      </c>
      <c r="TP30" s="28"/>
      <c r="TQ30" s="8">
        <v>2</v>
      </c>
      <c r="TX30" s="8">
        <v>-470</v>
      </c>
      <c r="TY30" s="28">
        <v>146</v>
      </c>
      <c r="TZ30" s="8">
        <v>112</v>
      </c>
      <c r="UA30" s="12">
        <v>187</v>
      </c>
      <c r="UB30" s="8">
        <v>19</v>
      </c>
      <c r="UC30" s="12">
        <v>108</v>
      </c>
      <c r="UE30" s="8">
        <v>274</v>
      </c>
      <c r="UF30" s="12">
        <v>622</v>
      </c>
      <c r="UG30" s="8">
        <v>-393</v>
      </c>
      <c r="UH30" s="12">
        <v>575</v>
      </c>
      <c r="UI30" s="8">
        <v>-458</v>
      </c>
      <c r="UJ30" s="12">
        <v>380</v>
      </c>
      <c r="UL30" s="8">
        <v>728</v>
      </c>
      <c r="UM30" s="28">
        <v>167</v>
      </c>
      <c r="UN30" s="8">
        <v>-518</v>
      </c>
      <c r="UO30" s="12">
        <v>66</v>
      </c>
      <c r="US30" s="8">
        <v>111</v>
      </c>
      <c r="UT30" s="12">
        <v>550</v>
      </c>
      <c r="UU30" s="8">
        <v>-231</v>
      </c>
      <c r="UV30" s="12">
        <v>17</v>
      </c>
      <c r="UZ30" s="8">
        <v>125</v>
      </c>
      <c r="VA30" s="12">
        <v>220</v>
      </c>
      <c r="VB30" s="8">
        <v>-383</v>
      </c>
      <c r="VC30" s="12">
        <v>528</v>
      </c>
      <c r="VD30" s="8">
        <v>38</v>
      </c>
      <c r="VE30" s="12">
        <v>370</v>
      </c>
      <c r="VF30" s="8">
        <v>-275</v>
      </c>
      <c r="VG30" s="12">
        <v>790</v>
      </c>
      <c r="VH30" s="8">
        <v>311</v>
      </c>
      <c r="VI30" s="28">
        <v>35</v>
      </c>
      <c r="VL30" s="21"/>
      <c r="VM30" s="8">
        <v>-4679</v>
      </c>
      <c r="VN30" s="12">
        <v>284</v>
      </c>
      <c r="VO30" s="12"/>
      <c r="VP30" s="12"/>
      <c r="VQ30" s="6">
        <v>550</v>
      </c>
      <c r="VR30" s="28">
        <v>302</v>
      </c>
      <c r="VS30" s="12"/>
      <c r="VT30" s="12"/>
      <c r="VV30" s="8">
        <v>-650</v>
      </c>
      <c r="VX30" s="8">
        <v>120</v>
      </c>
      <c r="VY30" s="12">
        <v>257</v>
      </c>
      <c r="VZ30" s="8">
        <v>104</v>
      </c>
      <c r="WA30" s="28">
        <v>665</v>
      </c>
      <c r="WB30" s="8">
        <v>4758</v>
      </c>
      <c r="WC30" s="12">
        <v>1069</v>
      </c>
      <c r="WG30" s="8">
        <v>615</v>
      </c>
      <c r="WH30" s="28">
        <v>110</v>
      </c>
      <c r="WI30" s="8">
        <v>-202</v>
      </c>
      <c r="WJ30" s="28">
        <v>45</v>
      </c>
      <c r="WP30" s="2">
        <v>86</v>
      </c>
      <c r="WQ30" s="1">
        <v>39</v>
      </c>
      <c r="WR30" s="10"/>
      <c r="XB30" s="23">
        <v>101</v>
      </c>
      <c r="XC30" s="25">
        <v>17</v>
      </c>
      <c r="XE30">
        <v>46638</v>
      </c>
      <c r="XF30" s="1">
        <v>20406</v>
      </c>
      <c r="XG30" s="2">
        <v>1813</v>
      </c>
      <c r="XH30" s="10"/>
      <c r="XK30">
        <v>142</v>
      </c>
      <c r="XL30" s="1">
        <v>31</v>
      </c>
      <c r="XO30">
        <v>65</v>
      </c>
      <c r="XP30" s="1">
        <v>25</v>
      </c>
    </row>
    <row r="31" spans="1:640" x14ac:dyDescent="0.25">
      <c r="C31" s="3"/>
      <c r="D31" s="3"/>
      <c r="E31">
        <v>159</v>
      </c>
      <c r="F31" s="1">
        <v>192</v>
      </c>
      <c r="G31" s="2">
        <v>-5447</v>
      </c>
      <c r="I31" s="2">
        <v>53</v>
      </c>
      <c r="K31" s="2">
        <v>2875</v>
      </c>
      <c r="L31" s="1">
        <v>155</v>
      </c>
      <c r="M31">
        <v>377</v>
      </c>
      <c r="N31" s="1">
        <v>46</v>
      </c>
      <c r="O31" s="26"/>
      <c r="R31">
        <v>19</v>
      </c>
      <c r="S31" s="12">
        <v>147</v>
      </c>
      <c r="T31">
        <v>7838</v>
      </c>
      <c r="U31" s="1">
        <v>911</v>
      </c>
      <c r="V31">
        <v>18</v>
      </c>
      <c r="W31" s="10">
        <v>233</v>
      </c>
      <c r="X31">
        <v>93</v>
      </c>
      <c r="AB31">
        <v>-61</v>
      </c>
      <c r="AC31" s="1">
        <v>19</v>
      </c>
      <c r="AD31">
        <v>20</v>
      </c>
      <c r="AE31" s="1">
        <v>3</v>
      </c>
      <c r="AF31">
        <v>-601</v>
      </c>
      <c r="AG31" s="1">
        <v>553</v>
      </c>
      <c r="AJ31" s="2">
        <v>-16</v>
      </c>
      <c r="AK31" s="10">
        <v>69</v>
      </c>
      <c r="AQ31">
        <v>5031</v>
      </c>
      <c r="AR31" s="1">
        <v>15201</v>
      </c>
      <c r="AY31">
        <v>-449</v>
      </c>
      <c r="AZ31" s="1">
        <v>130</v>
      </c>
      <c r="BA31">
        <v>-569</v>
      </c>
      <c r="BB31" s="1">
        <v>116</v>
      </c>
      <c r="BD31" s="8">
        <v>2497</v>
      </c>
      <c r="BE31" s="1">
        <v>119</v>
      </c>
      <c r="BF31">
        <v>328</v>
      </c>
      <c r="BG31" s="1">
        <v>111</v>
      </c>
      <c r="BJ31">
        <v>-90</v>
      </c>
      <c r="BL31">
        <v>7</v>
      </c>
      <c r="BM31" s="1">
        <v>2</v>
      </c>
      <c r="BN31">
        <v>296</v>
      </c>
      <c r="BP31">
        <v>-704</v>
      </c>
      <c r="BQ31" s="10">
        <v>1209</v>
      </c>
      <c r="BR31">
        <v>476</v>
      </c>
      <c r="BS31" s="1">
        <v>217</v>
      </c>
      <c r="BT31">
        <v>198</v>
      </c>
      <c r="BU31" s="1">
        <v>157</v>
      </c>
      <c r="BV31">
        <v>-8</v>
      </c>
      <c r="BW31" s="1">
        <v>5</v>
      </c>
      <c r="CA31" s="8">
        <v>-27</v>
      </c>
      <c r="CB31" s="28">
        <v>69</v>
      </c>
      <c r="CE31" s="8">
        <v>92</v>
      </c>
      <c r="CF31" s="28">
        <v>9</v>
      </c>
      <c r="CG31" s="8">
        <v>-350</v>
      </c>
      <c r="CI31" s="8">
        <v>133</v>
      </c>
      <c r="CJ31" s="12">
        <v>11</v>
      </c>
      <c r="CK31" s="8">
        <v>-81</v>
      </c>
      <c r="CL31" s="28">
        <v>23</v>
      </c>
      <c r="CM31" s="6">
        <v>116</v>
      </c>
      <c r="CN31" s="28">
        <v>27</v>
      </c>
      <c r="CO31" s="6">
        <v>51</v>
      </c>
      <c r="CP31" s="28"/>
      <c r="CQ31" s="6">
        <v>147</v>
      </c>
      <c r="CR31" s="12">
        <v>324</v>
      </c>
      <c r="CS31" s="6">
        <v>349</v>
      </c>
      <c r="CT31" s="28">
        <v>944</v>
      </c>
      <c r="CU31" s="28"/>
      <c r="CV31" s="28"/>
      <c r="CW31" s="6"/>
      <c r="CX31" s="28"/>
      <c r="CZ31" s="23">
        <v>272</v>
      </c>
      <c r="DA31" s="25">
        <v>262</v>
      </c>
      <c r="DB31" s="23">
        <v>275</v>
      </c>
      <c r="DC31" s="25">
        <v>8</v>
      </c>
      <c r="DD31" s="23">
        <v>-26</v>
      </c>
      <c r="DE31" s="25">
        <v>32</v>
      </c>
      <c r="DF31" s="86">
        <v>112</v>
      </c>
      <c r="DG31" s="25">
        <v>337</v>
      </c>
      <c r="DH31" s="23">
        <v>69</v>
      </c>
      <c r="DI31" s="25">
        <v>12</v>
      </c>
      <c r="DJ31" s="23">
        <v>-260</v>
      </c>
      <c r="DK31" s="28">
        <v>134</v>
      </c>
      <c r="DL31" s="8">
        <v>417</v>
      </c>
      <c r="DN31" s="8">
        <v>138</v>
      </c>
      <c r="DQ31" s="8">
        <v>2</v>
      </c>
      <c r="DR31" s="52">
        <v>77</v>
      </c>
      <c r="DS31" s="6">
        <v>-164</v>
      </c>
      <c r="DT31" s="52">
        <v>289</v>
      </c>
      <c r="DU31" s="8">
        <v>-241</v>
      </c>
      <c r="DV31" s="28">
        <v>274</v>
      </c>
      <c r="DW31" s="8">
        <v>-167</v>
      </c>
      <c r="DX31" s="28">
        <v>181</v>
      </c>
      <c r="DY31" s="6">
        <v>-372</v>
      </c>
      <c r="DZ31" s="52">
        <v>126</v>
      </c>
      <c r="EA31" s="23">
        <v>35</v>
      </c>
      <c r="EB31" s="52">
        <v>279</v>
      </c>
      <c r="EC31" s="6">
        <v>5</v>
      </c>
      <c r="ED31" s="28">
        <v>5</v>
      </c>
      <c r="EE31" s="8">
        <v>-19</v>
      </c>
      <c r="EF31" s="52">
        <v>55</v>
      </c>
      <c r="EG31" s="8">
        <v>-290</v>
      </c>
      <c r="EH31" s="28">
        <v>108</v>
      </c>
      <c r="EI31" s="8">
        <v>6</v>
      </c>
      <c r="EJ31" s="52">
        <v>432</v>
      </c>
      <c r="EL31" s="8">
        <v>600</v>
      </c>
      <c r="EM31" s="28">
        <v>404</v>
      </c>
      <c r="EN31" s="8">
        <v>-148</v>
      </c>
      <c r="EO31" s="28">
        <v>12</v>
      </c>
      <c r="EP31" s="6">
        <v>276</v>
      </c>
      <c r="EQ31" s="52">
        <v>333</v>
      </c>
      <c r="EV31" s="8">
        <v>33</v>
      </c>
      <c r="EX31" s="8">
        <v>-557</v>
      </c>
      <c r="EY31" s="28">
        <v>643</v>
      </c>
      <c r="EZ31" s="8">
        <v>22</v>
      </c>
      <c r="FA31" s="52">
        <v>275</v>
      </c>
      <c r="FB31" s="8">
        <v>-219</v>
      </c>
      <c r="FC31" s="52">
        <v>254</v>
      </c>
      <c r="FD31" s="6">
        <v>583</v>
      </c>
      <c r="FE31" s="28">
        <v>125</v>
      </c>
      <c r="FF31" s="8">
        <v>-158</v>
      </c>
      <c r="FG31" s="28">
        <v>53</v>
      </c>
      <c r="FH31" s="8">
        <v>37</v>
      </c>
      <c r="FI31" s="28">
        <v>12</v>
      </c>
      <c r="FK31" s="52"/>
      <c r="FM31" s="8">
        <v>98</v>
      </c>
      <c r="FN31" s="52">
        <v>83</v>
      </c>
      <c r="FO31" s="8">
        <v>527</v>
      </c>
      <c r="FP31" s="28">
        <v>113</v>
      </c>
      <c r="FQ31" s="8">
        <v>-72</v>
      </c>
      <c r="FR31" s="28">
        <v>12</v>
      </c>
      <c r="FS31" s="8">
        <v>257</v>
      </c>
      <c r="FT31" s="52">
        <v>141</v>
      </c>
      <c r="FV31" s="8">
        <v>100</v>
      </c>
      <c r="FW31" s="28">
        <v>120</v>
      </c>
      <c r="GA31" s="8">
        <v>128</v>
      </c>
      <c r="GB31" s="52">
        <v>153</v>
      </c>
      <c r="GC31" s="8">
        <v>-1</v>
      </c>
      <c r="GE31" s="8">
        <v>-499</v>
      </c>
      <c r="GF31" s="28">
        <v>129</v>
      </c>
      <c r="GG31" s="8">
        <v>16</v>
      </c>
      <c r="GH31" s="28">
        <v>11</v>
      </c>
      <c r="GI31" s="8">
        <v>-22</v>
      </c>
      <c r="GJ31" s="28">
        <v>51</v>
      </c>
      <c r="GK31" s="8">
        <v>215</v>
      </c>
      <c r="GL31" s="28">
        <v>323</v>
      </c>
      <c r="GN31" s="8">
        <v>-994</v>
      </c>
      <c r="GO31" s="28">
        <v>125</v>
      </c>
      <c r="GP31" s="8">
        <v>-9</v>
      </c>
      <c r="GQ31" s="52">
        <v>125</v>
      </c>
      <c r="GR31" s="8">
        <v>-89</v>
      </c>
      <c r="GS31" s="28">
        <v>147</v>
      </c>
      <c r="GT31" s="6">
        <v>-32</v>
      </c>
      <c r="GU31" s="52">
        <v>921</v>
      </c>
      <c r="GV31" s="6">
        <v>-92</v>
      </c>
      <c r="GW31" s="28">
        <v>46</v>
      </c>
      <c r="GZ31" s="8">
        <v>366</v>
      </c>
      <c r="HA31" s="28">
        <v>5</v>
      </c>
      <c r="HB31" s="6">
        <v>33</v>
      </c>
      <c r="HC31" s="28"/>
      <c r="HE31" s="8">
        <v>819</v>
      </c>
      <c r="HF31" s="28">
        <v>418</v>
      </c>
      <c r="HG31" s="8">
        <v>-22</v>
      </c>
      <c r="HJ31" s="28"/>
      <c r="HO31" s="8">
        <v>743</v>
      </c>
      <c r="HP31" s="28">
        <v>27</v>
      </c>
      <c r="HQ31" s="6">
        <v>3</v>
      </c>
      <c r="HR31" s="28">
        <v>3</v>
      </c>
      <c r="HS31" s="8">
        <v>1</v>
      </c>
      <c r="HT31" s="52">
        <v>227</v>
      </c>
      <c r="HV31" s="8">
        <v>-956</v>
      </c>
      <c r="HW31" s="28">
        <v>204</v>
      </c>
      <c r="HX31" s="8">
        <v>-10</v>
      </c>
      <c r="HY31" s="28">
        <v>19</v>
      </c>
      <c r="HZ31" s="8">
        <v>3</v>
      </c>
      <c r="IB31" s="8">
        <v>-409</v>
      </c>
      <c r="IC31" s="28">
        <v>420</v>
      </c>
      <c r="ID31" s="8">
        <v>-401</v>
      </c>
      <c r="IE31" s="28">
        <v>6</v>
      </c>
      <c r="IG31" s="28"/>
      <c r="IH31" s="8">
        <v>-204</v>
      </c>
      <c r="II31" s="28">
        <v>119</v>
      </c>
      <c r="IM31" s="8">
        <v>338</v>
      </c>
      <c r="IO31">
        <v>-592</v>
      </c>
      <c r="IP31" s="10">
        <v>29</v>
      </c>
      <c r="IR31" s="28"/>
      <c r="IS31" s="6">
        <v>-376</v>
      </c>
      <c r="IT31" s="28">
        <v>158</v>
      </c>
      <c r="IU31" s="8">
        <v>941</v>
      </c>
      <c r="IV31" s="28">
        <v>126</v>
      </c>
      <c r="IW31" s="8">
        <v>-366</v>
      </c>
      <c r="IY31" s="8">
        <v>-239</v>
      </c>
      <c r="JA31" s="8">
        <v>-52</v>
      </c>
      <c r="JB31" s="68">
        <v>154</v>
      </c>
      <c r="JH31" s="8">
        <v>220</v>
      </c>
      <c r="JI31" s="28">
        <v>98</v>
      </c>
      <c r="JJ31" s="8">
        <v>203</v>
      </c>
      <c r="JK31" s="28">
        <v>46</v>
      </c>
      <c r="JL31" s="8">
        <v>-56</v>
      </c>
      <c r="JM31" s="12">
        <v>52</v>
      </c>
      <c r="JN31" s="8">
        <v>-129</v>
      </c>
      <c r="JO31" s="28">
        <v>452</v>
      </c>
      <c r="JP31" s="6">
        <v>83</v>
      </c>
      <c r="JQ31" s="12">
        <v>213</v>
      </c>
      <c r="JR31" s="8">
        <v>88</v>
      </c>
      <c r="JS31" s="12"/>
      <c r="JT31" s="6">
        <v>-89</v>
      </c>
      <c r="JU31" s="12">
        <v>326</v>
      </c>
      <c r="JW31" s="8">
        <v>-311</v>
      </c>
      <c r="JX31" s="12">
        <v>998</v>
      </c>
      <c r="JZ31" s="28"/>
      <c r="KA31" s="8">
        <v>-7</v>
      </c>
      <c r="KB31" s="28">
        <v>7</v>
      </c>
      <c r="KD31" s="28"/>
      <c r="KE31" s="6">
        <v>3</v>
      </c>
      <c r="KF31" s="12">
        <v>4</v>
      </c>
      <c r="KM31" s="6"/>
      <c r="KQ31" s="8">
        <v>187</v>
      </c>
      <c r="KR31" s="28">
        <v>46</v>
      </c>
      <c r="KT31" s="8">
        <v>20</v>
      </c>
      <c r="KU31" s="28">
        <v>8</v>
      </c>
      <c r="KV31" s="8">
        <v>175</v>
      </c>
      <c r="KZ31" s="8">
        <v>159</v>
      </c>
      <c r="LA31" s="12">
        <v>113</v>
      </c>
      <c r="LD31" s="8">
        <v>48</v>
      </c>
      <c r="LE31" s="28">
        <v>58</v>
      </c>
      <c r="LF31" s="8">
        <v>29</v>
      </c>
      <c r="LG31" s="28">
        <v>29</v>
      </c>
      <c r="LH31" s="8">
        <v>-113</v>
      </c>
      <c r="LJ31" s="8">
        <v>-253</v>
      </c>
      <c r="LK31" s="28">
        <v>585</v>
      </c>
      <c r="LL31" s="8">
        <v>77</v>
      </c>
      <c r="LM31" s="28">
        <v>8</v>
      </c>
      <c r="LN31" s="8">
        <v>-234</v>
      </c>
      <c r="LO31" s="28">
        <v>114</v>
      </c>
      <c r="LS31" s="8">
        <v>130</v>
      </c>
      <c r="LU31" s="8">
        <v>-27</v>
      </c>
      <c r="LV31" s="12">
        <v>38</v>
      </c>
      <c r="LW31" s="8">
        <v>896</v>
      </c>
      <c r="LX31" s="28">
        <v>73</v>
      </c>
      <c r="LZ31" s="8">
        <v>101</v>
      </c>
      <c r="MF31" s="8">
        <v>852</v>
      </c>
      <c r="MG31" s="12">
        <v>593</v>
      </c>
      <c r="MJ31" s="8">
        <v>135</v>
      </c>
      <c r="MK31" s="12">
        <v>766</v>
      </c>
      <c r="MN31" s="8">
        <v>159</v>
      </c>
      <c r="MO31" s="28">
        <v>93</v>
      </c>
      <c r="MS31" s="8">
        <v>-224</v>
      </c>
      <c r="MT31" s="12">
        <v>545</v>
      </c>
      <c r="MU31" s="8">
        <v>-1</v>
      </c>
      <c r="MV31" s="28">
        <v>1</v>
      </c>
      <c r="NC31" s="8">
        <v>-193</v>
      </c>
      <c r="ND31" s="12">
        <v>200</v>
      </c>
      <c r="NE31" s="8">
        <v>470</v>
      </c>
      <c r="NF31" s="28">
        <v>113</v>
      </c>
      <c r="NG31" s="8">
        <v>-102</v>
      </c>
      <c r="NH31" s="28">
        <v>29</v>
      </c>
      <c r="NI31" s="8">
        <v>165</v>
      </c>
      <c r="NJ31" s="28">
        <v>28</v>
      </c>
      <c r="NL31" s="8">
        <v>109</v>
      </c>
      <c r="NM31" s="28">
        <v>64</v>
      </c>
      <c r="NN31" s="8">
        <v>329</v>
      </c>
      <c r="NO31" s="28">
        <v>93</v>
      </c>
      <c r="NP31" s="8">
        <v>-1</v>
      </c>
      <c r="NQ31" s="12">
        <v>214</v>
      </c>
      <c r="NR31" s="8">
        <v>-2</v>
      </c>
      <c r="NS31" s="12">
        <v>1</v>
      </c>
      <c r="NU31" s="8">
        <v>-231</v>
      </c>
      <c r="NV31" s="12">
        <v>109</v>
      </c>
      <c r="NW31" s="8">
        <v>122</v>
      </c>
      <c r="NX31" s="28">
        <v>267</v>
      </c>
      <c r="NY31" s="8">
        <v>586</v>
      </c>
      <c r="NZ31" s="12">
        <v>101</v>
      </c>
      <c r="OA31" s="8">
        <v>650</v>
      </c>
      <c r="OB31" s="28">
        <v>178</v>
      </c>
      <c r="OC31" s="8">
        <v>-187</v>
      </c>
      <c r="OD31" s="12">
        <v>186</v>
      </c>
      <c r="OE31" s="8">
        <v>-40</v>
      </c>
      <c r="OG31" s="28">
        <v>41</v>
      </c>
      <c r="OL31" s="28"/>
      <c r="OO31" s="8">
        <v>-28</v>
      </c>
      <c r="OP31" s="28">
        <v>50</v>
      </c>
      <c r="OT31" s="28"/>
      <c r="OU31" s="12"/>
      <c r="OV31" s="8">
        <v>224</v>
      </c>
      <c r="PA31" s="8">
        <v>134</v>
      </c>
      <c r="PC31" s="8">
        <v>712</v>
      </c>
      <c r="PD31" s="28">
        <v>382</v>
      </c>
      <c r="PE31" s="8">
        <v>-643</v>
      </c>
      <c r="PF31" s="12">
        <v>45</v>
      </c>
      <c r="PJ31" s="8">
        <v>-418</v>
      </c>
      <c r="PK31" s="12">
        <v>153</v>
      </c>
      <c r="PL31" s="8">
        <v>26</v>
      </c>
      <c r="PM31" s="28">
        <v>3</v>
      </c>
      <c r="PP31" s="8">
        <v>663</v>
      </c>
      <c r="PQ31" s="28">
        <v>16</v>
      </c>
      <c r="PR31" s="28"/>
      <c r="PS31" s="8">
        <v>24</v>
      </c>
      <c r="PT31" s="12">
        <v>212</v>
      </c>
      <c r="PW31" s="8">
        <v>-16</v>
      </c>
      <c r="PX31" s="28">
        <v>4</v>
      </c>
      <c r="PY31" s="8">
        <v>-13</v>
      </c>
      <c r="PZ31" s="12">
        <v>155</v>
      </c>
      <c r="QC31" s="8">
        <v>199</v>
      </c>
      <c r="QD31" s="12">
        <v>531</v>
      </c>
      <c r="QE31" s="8">
        <v>959</v>
      </c>
      <c r="QF31" s="12">
        <v>192</v>
      </c>
      <c r="QH31" s="8">
        <v>64</v>
      </c>
      <c r="QI31" s="12">
        <v>101</v>
      </c>
      <c r="QJ31" s="8">
        <v>142</v>
      </c>
      <c r="QQ31" s="8">
        <v>-28</v>
      </c>
      <c r="QR31" s="12">
        <v>244</v>
      </c>
      <c r="QT31" s="8">
        <v>232</v>
      </c>
      <c r="QU31" s="12">
        <v>908</v>
      </c>
      <c r="QV31" s="6">
        <v>-789</v>
      </c>
      <c r="QW31" s="12">
        <v>191</v>
      </c>
      <c r="QY31" s="8">
        <v>54</v>
      </c>
      <c r="QZ31" s="12">
        <v>126</v>
      </c>
      <c r="RA31" s="8">
        <v>-304</v>
      </c>
      <c r="RB31" s="12">
        <v>239</v>
      </c>
      <c r="RC31" s="6">
        <v>437</v>
      </c>
      <c r="RD31" s="12">
        <v>97</v>
      </c>
      <c r="RE31" s="6">
        <v>101</v>
      </c>
      <c r="RF31" s="12">
        <v>105</v>
      </c>
      <c r="RG31" s="8">
        <v>571</v>
      </c>
      <c r="RH31" s="28">
        <v>205</v>
      </c>
      <c r="RJ31" s="8">
        <v>-6</v>
      </c>
      <c r="RK31" s="12">
        <v>206</v>
      </c>
      <c r="RL31" s="8">
        <v>-122</v>
      </c>
      <c r="RM31" s="12">
        <v>114</v>
      </c>
      <c r="RQ31" s="9"/>
      <c r="RR31" s="9"/>
      <c r="RS31" s="55">
        <v>-748</v>
      </c>
      <c r="RT31" s="50">
        <v>274</v>
      </c>
      <c r="RV31" s="8">
        <v>105</v>
      </c>
      <c r="RW31" s="52">
        <v>155</v>
      </c>
      <c r="RY31" s="48" t="s">
        <v>169</v>
      </c>
      <c r="RZ31" s="49" t="s">
        <v>170</v>
      </c>
      <c r="SA31" s="8">
        <v>102</v>
      </c>
      <c r="SB31" s="28">
        <v>3</v>
      </c>
      <c r="SF31" s="8">
        <v>267</v>
      </c>
      <c r="SG31" s="12">
        <v>164</v>
      </c>
      <c r="SP31" s="8">
        <v>7</v>
      </c>
      <c r="SQ31" s="12">
        <v>190</v>
      </c>
      <c r="SW31" s="8">
        <v>-19</v>
      </c>
      <c r="SX31" s="28">
        <v>3</v>
      </c>
      <c r="SY31" s="6">
        <v>263</v>
      </c>
      <c r="SZ31" s="28">
        <v>64</v>
      </c>
      <c r="TA31" s="6"/>
      <c r="TB31" s="6"/>
      <c r="TC31" s="8">
        <v>168</v>
      </c>
      <c r="TD31" s="28">
        <v>46</v>
      </c>
      <c r="TH31" s="8">
        <v>659</v>
      </c>
      <c r="TI31" s="28">
        <v>219</v>
      </c>
      <c r="TM31" s="8">
        <v>-285</v>
      </c>
      <c r="TN31" s="28">
        <v>210</v>
      </c>
      <c r="TP31" s="28"/>
      <c r="TQ31" s="8">
        <v>11</v>
      </c>
      <c r="TX31" s="8">
        <v>-462</v>
      </c>
      <c r="TY31" s="28">
        <v>135</v>
      </c>
      <c r="TZ31" s="8">
        <v>63</v>
      </c>
      <c r="UA31" s="12">
        <v>166</v>
      </c>
      <c r="UB31" s="8">
        <v>36</v>
      </c>
      <c r="UC31" s="12">
        <v>448</v>
      </c>
      <c r="UE31" s="8">
        <v>900</v>
      </c>
      <c r="UF31" s="12">
        <v>414</v>
      </c>
      <c r="UG31" s="8">
        <v>143</v>
      </c>
      <c r="UH31" s="12">
        <v>25</v>
      </c>
      <c r="UI31" s="8">
        <v>-348</v>
      </c>
      <c r="UJ31" s="12">
        <v>242</v>
      </c>
      <c r="UL31" s="8">
        <v>-827</v>
      </c>
      <c r="UM31" s="28">
        <v>184</v>
      </c>
      <c r="UN31" s="8">
        <v>305</v>
      </c>
      <c r="UO31" s="12">
        <v>264</v>
      </c>
      <c r="US31" s="8">
        <v>824</v>
      </c>
      <c r="UT31" s="12">
        <v>132</v>
      </c>
      <c r="UU31" s="8">
        <v>222</v>
      </c>
      <c r="UV31" s="12">
        <v>75</v>
      </c>
      <c r="UZ31" s="8">
        <v>442</v>
      </c>
      <c r="VA31" s="12">
        <v>503</v>
      </c>
      <c r="VB31" s="8">
        <v>-410</v>
      </c>
      <c r="VC31" s="12">
        <v>564</v>
      </c>
      <c r="VD31" s="8">
        <v>-107</v>
      </c>
      <c r="VE31" s="12">
        <v>120</v>
      </c>
      <c r="VF31" s="8">
        <v>-110</v>
      </c>
      <c r="VG31" s="12">
        <v>214</v>
      </c>
      <c r="VH31" s="8">
        <v>-342</v>
      </c>
      <c r="VI31" s="28">
        <v>803</v>
      </c>
      <c r="VL31" s="21"/>
      <c r="VM31" s="8">
        <v>-2542</v>
      </c>
      <c r="VN31" s="12">
        <v>114</v>
      </c>
      <c r="VO31" s="12"/>
      <c r="VP31" s="12"/>
      <c r="VQ31" s="6">
        <v>107</v>
      </c>
      <c r="VR31" s="28">
        <v>190</v>
      </c>
      <c r="VS31" s="12"/>
      <c r="VT31" s="12"/>
      <c r="VV31" s="8">
        <v>-1987</v>
      </c>
      <c r="VX31" s="8">
        <v>289</v>
      </c>
      <c r="VY31" s="12">
        <v>647</v>
      </c>
      <c r="VZ31" s="8">
        <v>-468</v>
      </c>
      <c r="WA31" s="28">
        <v>320</v>
      </c>
      <c r="WB31" s="8">
        <v>4541</v>
      </c>
      <c r="WC31" s="12">
        <v>1144</v>
      </c>
      <c r="WG31" s="8">
        <v>330</v>
      </c>
      <c r="WH31" s="28">
        <v>178</v>
      </c>
      <c r="WI31" s="8">
        <v>-189</v>
      </c>
      <c r="WJ31" s="28">
        <v>42</v>
      </c>
      <c r="WP31" s="2">
        <v>9</v>
      </c>
      <c r="WQ31" s="1">
        <v>66</v>
      </c>
      <c r="WR31" s="10"/>
      <c r="XB31" s="23">
        <v>24</v>
      </c>
      <c r="XC31" s="25">
        <v>12</v>
      </c>
      <c r="XE31">
        <v>423</v>
      </c>
      <c r="XF31" s="1">
        <v>91</v>
      </c>
      <c r="XG31" s="2">
        <v>4876</v>
      </c>
      <c r="XH31" s="10"/>
      <c r="XK31">
        <v>52</v>
      </c>
      <c r="XL31" s="1">
        <v>38</v>
      </c>
      <c r="XO31">
        <v>62</v>
      </c>
      <c r="XP31" s="1">
        <v>31</v>
      </c>
    </row>
    <row r="32" spans="1:640" x14ac:dyDescent="0.25">
      <c r="C32" s="3"/>
      <c r="D32" s="3"/>
      <c r="E32">
        <v>857</v>
      </c>
      <c r="F32" s="1">
        <v>197</v>
      </c>
      <c r="G32" s="2">
        <v>-5268</v>
      </c>
      <c r="I32" s="2">
        <v>8</v>
      </c>
      <c r="K32" s="2">
        <v>910</v>
      </c>
      <c r="L32" s="1">
        <v>264</v>
      </c>
      <c r="M32">
        <v>430</v>
      </c>
      <c r="N32" s="1">
        <v>159</v>
      </c>
      <c r="O32" s="26"/>
      <c r="R32">
        <v>105</v>
      </c>
      <c r="S32" s="12">
        <v>328</v>
      </c>
      <c r="T32">
        <v>6516</v>
      </c>
      <c r="U32" s="1">
        <v>86</v>
      </c>
      <c r="V32">
        <v>19</v>
      </c>
      <c r="W32" s="10">
        <v>220</v>
      </c>
      <c r="X32">
        <v>83</v>
      </c>
      <c r="AB32">
        <v>-49</v>
      </c>
      <c r="AC32" s="1">
        <v>15</v>
      </c>
      <c r="AD32">
        <v>37</v>
      </c>
      <c r="AE32" s="1">
        <v>4</v>
      </c>
      <c r="AF32">
        <v>-1475</v>
      </c>
      <c r="AG32" s="1">
        <v>603</v>
      </c>
      <c r="AJ32" s="2">
        <v>-1</v>
      </c>
      <c r="AK32" s="10">
        <v>175</v>
      </c>
      <c r="AQ32">
        <v>3747</v>
      </c>
      <c r="AR32" s="1">
        <v>16109</v>
      </c>
      <c r="AY32">
        <v>-3</v>
      </c>
      <c r="AZ32" s="1">
        <v>3</v>
      </c>
      <c r="BA32">
        <v>272</v>
      </c>
      <c r="BB32" s="1">
        <v>503</v>
      </c>
      <c r="BD32" s="8">
        <v>1540</v>
      </c>
      <c r="BE32" s="1">
        <v>124</v>
      </c>
      <c r="BF32">
        <v>668</v>
      </c>
      <c r="BG32" s="1">
        <v>179</v>
      </c>
      <c r="BJ32">
        <v>-63</v>
      </c>
      <c r="BL32">
        <v>39</v>
      </c>
      <c r="BM32" s="1">
        <v>4</v>
      </c>
      <c r="BN32">
        <v>279</v>
      </c>
      <c r="BP32">
        <v>-416</v>
      </c>
      <c r="BQ32" s="10">
        <v>1315</v>
      </c>
      <c r="BR32">
        <v>244</v>
      </c>
      <c r="BS32" s="1">
        <v>102</v>
      </c>
      <c r="BT32">
        <v>-126</v>
      </c>
      <c r="BU32" s="1">
        <v>100</v>
      </c>
      <c r="BV32">
        <v>-39</v>
      </c>
      <c r="BW32" s="1">
        <v>7</v>
      </c>
      <c r="CA32" s="8">
        <v>-36</v>
      </c>
      <c r="CB32" s="28">
        <v>45</v>
      </c>
      <c r="CE32" s="8">
        <v>118</v>
      </c>
      <c r="CF32" s="28">
        <v>12</v>
      </c>
      <c r="CG32" s="8">
        <v>-328</v>
      </c>
      <c r="CI32" s="8">
        <v>-402</v>
      </c>
      <c r="CJ32" s="12">
        <v>63</v>
      </c>
      <c r="CK32" s="8">
        <v>-86</v>
      </c>
      <c r="CL32" s="28">
        <v>24</v>
      </c>
      <c r="CM32" s="6">
        <v>-176</v>
      </c>
      <c r="CN32" s="28">
        <v>412</v>
      </c>
      <c r="CO32" s="6">
        <v>74</v>
      </c>
      <c r="CP32" s="28"/>
      <c r="CQ32" s="6">
        <v>169</v>
      </c>
      <c r="CR32" s="12">
        <v>381</v>
      </c>
      <c r="CS32" s="6">
        <v>-128</v>
      </c>
      <c r="CT32" s="28">
        <v>405</v>
      </c>
      <c r="CU32" s="28"/>
      <c r="CV32" s="28"/>
      <c r="CW32" s="6"/>
      <c r="CX32" s="28"/>
      <c r="CZ32" s="23">
        <v>211</v>
      </c>
      <c r="DA32" s="25">
        <v>300</v>
      </c>
      <c r="DB32" s="23">
        <v>72</v>
      </c>
      <c r="DC32" s="25">
        <v>13</v>
      </c>
      <c r="DD32" s="23">
        <v>-128</v>
      </c>
      <c r="DE32" s="25">
        <v>14</v>
      </c>
      <c r="DF32" s="86">
        <v>110</v>
      </c>
      <c r="DG32" s="25">
        <v>316</v>
      </c>
      <c r="DH32" s="23">
        <v>-64</v>
      </c>
      <c r="DI32" s="25">
        <v>9</v>
      </c>
      <c r="DJ32" s="23">
        <v>-428</v>
      </c>
      <c r="DK32" s="28">
        <v>158</v>
      </c>
      <c r="DL32" s="8">
        <v>279</v>
      </c>
      <c r="DN32" s="8">
        <v>293</v>
      </c>
      <c r="DQ32" s="8">
        <v>-48</v>
      </c>
      <c r="DR32" s="52">
        <v>165</v>
      </c>
      <c r="DS32" s="6">
        <v>18</v>
      </c>
      <c r="DT32" s="52">
        <v>32</v>
      </c>
      <c r="DU32" s="8">
        <v>-136</v>
      </c>
      <c r="DV32" s="28">
        <v>258</v>
      </c>
      <c r="DW32" s="8">
        <v>-20</v>
      </c>
      <c r="DX32" s="28">
        <v>4</v>
      </c>
      <c r="DY32" s="6">
        <v>264</v>
      </c>
      <c r="DZ32" s="52">
        <v>116</v>
      </c>
      <c r="EA32" s="23">
        <v>-224</v>
      </c>
      <c r="EB32" s="52">
        <v>697</v>
      </c>
      <c r="EC32" s="6">
        <v>6</v>
      </c>
      <c r="ED32" s="28">
        <v>5</v>
      </c>
      <c r="EE32" s="8">
        <v>149</v>
      </c>
      <c r="EF32" s="52">
        <v>79</v>
      </c>
      <c r="EG32" s="8">
        <v>19</v>
      </c>
      <c r="EH32" s="28">
        <v>86</v>
      </c>
      <c r="EI32" s="8">
        <v>-19</v>
      </c>
      <c r="EJ32" s="52">
        <v>518</v>
      </c>
      <c r="EL32" s="8">
        <v>-185</v>
      </c>
      <c r="EM32" s="28">
        <v>220</v>
      </c>
      <c r="EN32" s="8">
        <v>-187</v>
      </c>
      <c r="EO32" s="28">
        <v>12</v>
      </c>
      <c r="EP32" s="6">
        <v>-303</v>
      </c>
      <c r="EQ32" s="52">
        <v>317</v>
      </c>
      <c r="EX32" s="8">
        <v>-891</v>
      </c>
      <c r="EY32" s="28">
        <v>905</v>
      </c>
      <c r="EZ32" s="8">
        <v>12</v>
      </c>
      <c r="FA32" s="52">
        <v>322</v>
      </c>
      <c r="FB32" s="8">
        <v>-113</v>
      </c>
      <c r="FC32" s="52">
        <v>174</v>
      </c>
      <c r="FD32" s="6">
        <v>255</v>
      </c>
      <c r="FE32" s="28">
        <v>897</v>
      </c>
      <c r="FF32" s="8">
        <v>18</v>
      </c>
      <c r="FG32" s="28">
        <v>8</v>
      </c>
      <c r="FH32" s="8">
        <v>308</v>
      </c>
      <c r="FI32" s="28">
        <v>142</v>
      </c>
      <c r="FK32" s="52"/>
      <c r="FM32" s="8">
        <v>249</v>
      </c>
      <c r="FN32" s="52">
        <v>75</v>
      </c>
      <c r="FO32" s="8">
        <v>334</v>
      </c>
      <c r="FP32" s="28">
        <v>96</v>
      </c>
      <c r="FQ32" s="8">
        <v>147</v>
      </c>
      <c r="FR32" s="28">
        <v>107</v>
      </c>
      <c r="FS32" s="8">
        <v>264</v>
      </c>
      <c r="FT32" s="52">
        <v>146</v>
      </c>
      <c r="FV32" s="8">
        <v>-120</v>
      </c>
      <c r="FW32" s="28">
        <v>58</v>
      </c>
      <c r="GA32" s="8">
        <v>26</v>
      </c>
      <c r="GB32" s="52">
        <v>94</v>
      </c>
      <c r="GC32" s="8">
        <v>972</v>
      </c>
      <c r="GE32" s="8">
        <v>358</v>
      </c>
      <c r="GF32" s="28">
        <v>629</v>
      </c>
      <c r="GG32" s="8">
        <v>10</v>
      </c>
      <c r="GH32" s="28">
        <v>5</v>
      </c>
      <c r="GI32" s="8">
        <v>79</v>
      </c>
      <c r="GJ32" s="28">
        <v>63</v>
      </c>
      <c r="GK32" s="8">
        <v>231</v>
      </c>
      <c r="GL32" s="28">
        <v>415</v>
      </c>
      <c r="GN32" s="8">
        <v>-395</v>
      </c>
      <c r="GO32" s="28">
        <v>115</v>
      </c>
      <c r="GP32" s="8">
        <v>-179</v>
      </c>
      <c r="GQ32" s="52">
        <v>489</v>
      </c>
      <c r="GR32" s="8">
        <v>-2</v>
      </c>
      <c r="GS32" s="28">
        <v>116</v>
      </c>
      <c r="GT32" s="6">
        <v>-97</v>
      </c>
      <c r="GU32" s="52">
        <v>150</v>
      </c>
      <c r="GV32" s="6">
        <v>-70</v>
      </c>
      <c r="GW32" s="28">
        <v>26</v>
      </c>
      <c r="GZ32" s="8">
        <v>95</v>
      </c>
      <c r="HA32" s="28">
        <v>42</v>
      </c>
      <c r="HB32" s="6">
        <v>21</v>
      </c>
      <c r="HC32" s="28"/>
      <c r="HE32" s="8">
        <v>456</v>
      </c>
      <c r="HF32" s="28">
        <v>306</v>
      </c>
      <c r="HG32" s="8">
        <v>32</v>
      </c>
      <c r="HJ32" s="28"/>
      <c r="HO32" s="8">
        <v>-208</v>
      </c>
      <c r="HP32" s="28">
        <v>97</v>
      </c>
      <c r="HQ32" s="6">
        <v>-1</v>
      </c>
      <c r="HR32" s="28">
        <v>2</v>
      </c>
      <c r="HS32" s="8">
        <v>-11</v>
      </c>
      <c r="HT32" s="52">
        <v>631</v>
      </c>
      <c r="HV32" s="8">
        <v>648</v>
      </c>
      <c r="HW32" s="28">
        <v>194</v>
      </c>
      <c r="HX32" s="8">
        <v>96</v>
      </c>
      <c r="HY32" s="28">
        <v>172</v>
      </c>
      <c r="HZ32" s="8">
        <v>12</v>
      </c>
      <c r="IB32" s="8">
        <v>432</v>
      </c>
      <c r="IC32" s="28">
        <v>679</v>
      </c>
      <c r="ID32" s="8">
        <v>117</v>
      </c>
      <c r="IE32" s="28">
        <v>771</v>
      </c>
      <c r="IH32" s="8">
        <v>73</v>
      </c>
      <c r="II32" s="28">
        <v>11</v>
      </c>
      <c r="IM32" s="8">
        <v>228</v>
      </c>
      <c r="IO32">
        <v>-228</v>
      </c>
      <c r="IP32" s="10">
        <v>13</v>
      </c>
      <c r="IS32" s="6">
        <v>392</v>
      </c>
      <c r="IT32" s="28">
        <v>245</v>
      </c>
      <c r="IU32" s="8">
        <v>-321</v>
      </c>
      <c r="IV32" s="28">
        <v>106</v>
      </c>
      <c r="IW32" s="8">
        <v>4</v>
      </c>
      <c r="IY32" s="8">
        <v>-124</v>
      </c>
      <c r="JA32" s="8">
        <v>438</v>
      </c>
      <c r="JB32" s="68">
        <v>163</v>
      </c>
      <c r="JH32" s="8">
        <v>-654</v>
      </c>
      <c r="JI32" s="28">
        <v>153</v>
      </c>
      <c r="JJ32" s="8">
        <v>96</v>
      </c>
      <c r="JK32" s="28">
        <v>23</v>
      </c>
      <c r="JL32" s="8">
        <v>211</v>
      </c>
      <c r="JM32" s="12">
        <v>84</v>
      </c>
      <c r="JN32" s="8">
        <v>-196</v>
      </c>
      <c r="JO32" s="28">
        <v>464</v>
      </c>
      <c r="JP32" s="6">
        <v>13</v>
      </c>
      <c r="JQ32" s="12">
        <v>369</v>
      </c>
      <c r="JS32" s="12"/>
      <c r="JT32" s="6">
        <v>70</v>
      </c>
      <c r="JU32" s="12">
        <v>264</v>
      </c>
      <c r="JW32" s="8">
        <v>-272</v>
      </c>
      <c r="JX32" s="12">
        <v>63</v>
      </c>
      <c r="JZ32" s="28"/>
      <c r="KA32" s="8">
        <v>35</v>
      </c>
      <c r="KB32" s="28">
        <v>13</v>
      </c>
      <c r="KD32" s="28"/>
      <c r="KE32" s="6">
        <v>-132</v>
      </c>
      <c r="KF32" s="12">
        <v>502</v>
      </c>
      <c r="KQ32" s="8">
        <v>115</v>
      </c>
      <c r="KR32" s="28">
        <v>36</v>
      </c>
      <c r="KT32" s="8">
        <v>-2</v>
      </c>
      <c r="KU32" s="28">
        <v>1</v>
      </c>
      <c r="KV32" s="8">
        <v>-293</v>
      </c>
      <c r="KZ32" s="8">
        <v>-453</v>
      </c>
      <c r="LA32" s="12">
        <v>137</v>
      </c>
      <c r="LD32" s="8">
        <v>-60</v>
      </c>
      <c r="LE32" s="28">
        <v>45</v>
      </c>
      <c r="LF32" s="8">
        <v>4</v>
      </c>
      <c r="LG32" s="28">
        <v>8</v>
      </c>
      <c r="LH32" s="8">
        <v>756</v>
      </c>
      <c r="LJ32" s="8">
        <v>-126</v>
      </c>
      <c r="LK32" s="28">
        <v>865</v>
      </c>
      <c r="LL32" s="8">
        <v>-203</v>
      </c>
      <c r="LM32" s="28">
        <v>60</v>
      </c>
      <c r="LN32" s="8">
        <v>-212</v>
      </c>
      <c r="LO32" s="28">
        <v>929</v>
      </c>
      <c r="LS32" s="8">
        <v>68</v>
      </c>
      <c r="LU32" s="8">
        <v>4</v>
      </c>
      <c r="LV32" s="12">
        <v>99</v>
      </c>
      <c r="LW32" s="8">
        <v>47</v>
      </c>
      <c r="LX32" s="28">
        <v>7</v>
      </c>
      <c r="LZ32" s="8">
        <v>890</v>
      </c>
      <c r="MF32" s="8">
        <v>856</v>
      </c>
      <c r="MG32" s="12">
        <v>603</v>
      </c>
      <c r="MN32" s="8">
        <v>121</v>
      </c>
      <c r="MO32" s="28">
        <v>41</v>
      </c>
      <c r="MS32" s="8">
        <v>838</v>
      </c>
      <c r="MT32" s="12">
        <v>154</v>
      </c>
      <c r="MU32" s="8">
        <v>1</v>
      </c>
      <c r="MV32" s="28">
        <v>2</v>
      </c>
      <c r="NC32" s="8">
        <v>201</v>
      </c>
      <c r="ND32" s="12">
        <v>131</v>
      </c>
      <c r="NE32" s="8">
        <v>757</v>
      </c>
      <c r="NF32" s="28">
        <v>257</v>
      </c>
      <c r="NG32" s="8">
        <v>-126</v>
      </c>
      <c r="NH32" s="28">
        <v>41</v>
      </c>
      <c r="NI32" s="8">
        <v>-135</v>
      </c>
      <c r="NJ32" s="28">
        <v>10</v>
      </c>
      <c r="NL32" s="8">
        <v>-43</v>
      </c>
      <c r="NM32" s="28">
        <v>118</v>
      </c>
      <c r="NN32" s="8">
        <v>283</v>
      </c>
      <c r="NO32" s="28">
        <v>72</v>
      </c>
      <c r="NP32" s="8">
        <v>873</v>
      </c>
      <c r="NQ32" s="12">
        <v>868</v>
      </c>
      <c r="NR32" s="8">
        <v>753</v>
      </c>
      <c r="NS32" s="12">
        <v>146</v>
      </c>
      <c r="NU32" s="8">
        <v>652</v>
      </c>
      <c r="NV32" s="12">
        <v>310</v>
      </c>
      <c r="NW32" s="8">
        <v>113</v>
      </c>
      <c r="NX32" s="28">
        <v>295</v>
      </c>
      <c r="NY32" s="8">
        <v>-112</v>
      </c>
      <c r="NZ32" s="12">
        <v>364</v>
      </c>
      <c r="OA32" s="8">
        <v>-121</v>
      </c>
      <c r="OB32" s="28">
        <v>245</v>
      </c>
      <c r="OC32" s="8">
        <v>315</v>
      </c>
      <c r="OD32" s="12">
        <v>184</v>
      </c>
      <c r="OE32" s="8">
        <v>-893</v>
      </c>
      <c r="OG32" s="28">
        <v>292</v>
      </c>
      <c r="OO32" s="8">
        <v>-27</v>
      </c>
      <c r="OP32" s="28">
        <v>69</v>
      </c>
      <c r="OT32" s="28"/>
      <c r="OU32" s="12"/>
      <c r="OV32" s="8">
        <v>169</v>
      </c>
      <c r="PA32" s="8">
        <v>91</v>
      </c>
      <c r="PC32" s="8">
        <v>660</v>
      </c>
      <c r="PD32" s="28">
        <v>150</v>
      </c>
      <c r="PE32" s="8">
        <v>267</v>
      </c>
      <c r="PF32" s="12">
        <v>27</v>
      </c>
      <c r="PJ32" s="8">
        <v>-340</v>
      </c>
      <c r="PK32" s="12">
        <v>196</v>
      </c>
      <c r="PL32" s="8">
        <v>26</v>
      </c>
      <c r="PM32" s="28">
        <v>3</v>
      </c>
      <c r="PP32" s="8">
        <v>199</v>
      </c>
      <c r="PQ32" s="28">
        <v>16</v>
      </c>
      <c r="PR32" s="28"/>
      <c r="PS32" s="8">
        <v>-5</v>
      </c>
      <c r="PT32" s="12">
        <v>45</v>
      </c>
      <c r="PW32" s="8">
        <v>61</v>
      </c>
      <c r="PX32" s="28">
        <v>77</v>
      </c>
      <c r="PY32" s="8">
        <v>2</v>
      </c>
      <c r="PZ32" s="12">
        <v>26</v>
      </c>
      <c r="QC32" s="8">
        <v>113</v>
      </c>
      <c r="QD32" s="12">
        <v>218</v>
      </c>
      <c r="QE32" s="8">
        <v>-620</v>
      </c>
      <c r="QF32" s="12">
        <v>126</v>
      </c>
      <c r="QH32" s="8">
        <v>22</v>
      </c>
      <c r="QI32" s="12">
        <v>163</v>
      </c>
      <c r="QJ32" s="8">
        <v>96</v>
      </c>
      <c r="QQ32" s="8">
        <v>-3</v>
      </c>
      <c r="QR32" s="12">
        <v>14</v>
      </c>
      <c r="QT32" s="8">
        <v>350</v>
      </c>
      <c r="QU32" s="12">
        <v>336</v>
      </c>
      <c r="QV32" s="6">
        <v>-390</v>
      </c>
      <c r="QW32" s="12">
        <v>924</v>
      </c>
      <c r="QY32" s="8">
        <v>38</v>
      </c>
      <c r="QZ32" s="12">
        <v>154</v>
      </c>
      <c r="RA32" s="8">
        <v>-971</v>
      </c>
      <c r="RB32" s="12">
        <v>244</v>
      </c>
      <c r="RC32" s="6">
        <v>472</v>
      </c>
      <c r="RD32" s="12">
        <v>145</v>
      </c>
      <c r="RE32" s="6">
        <v>990</v>
      </c>
      <c r="RF32" s="12">
        <v>114</v>
      </c>
      <c r="RG32" s="8">
        <v>-138</v>
      </c>
      <c r="RH32" s="28">
        <v>101</v>
      </c>
      <c r="RJ32" s="8">
        <v>-32</v>
      </c>
      <c r="RK32" s="12">
        <v>35</v>
      </c>
      <c r="RL32" s="8">
        <v>6</v>
      </c>
      <c r="RM32" s="12">
        <v>341</v>
      </c>
      <c r="RQ32" s="9"/>
      <c r="RR32" s="9"/>
      <c r="RS32" s="55">
        <v>436</v>
      </c>
      <c r="RT32" s="50">
        <v>127</v>
      </c>
      <c r="RV32" s="8">
        <v>189</v>
      </c>
      <c r="RW32" s="52">
        <v>187</v>
      </c>
      <c r="RY32" s="48" t="s">
        <v>159</v>
      </c>
      <c r="RZ32" s="49" t="s">
        <v>170</v>
      </c>
      <c r="SA32" s="8">
        <v>97</v>
      </c>
      <c r="SB32" s="28">
        <v>10</v>
      </c>
      <c r="SF32" s="8">
        <v>295</v>
      </c>
      <c r="SG32" s="12">
        <v>193</v>
      </c>
      <c r="SP32" s="8">
        <v>149</v>
      </c>
      <c r="SQ32" s="12">
        <v>60</v>
      </c>
      <c r="SW32" s="8">
        <v>12</v>
      </c>
      <c r="SX32" s="28">
        <v>23</v>
      </c>
      <c r="SY32" s="6">
        <v>292</v>
      </c>
      <c r="SZ32" s="28">
        <v>114</v>
      </c>
      <c r="TA32" s="6"/>
      <c r="TB32" s="6"/>
      <c r="TC32" s="8">
        <v>-129</v>
      </c>
      <c r="TD32" s="28">
        <v>15</v>
      </c>
      <c r="TH32" s="8">
        <v>829</v>
      </c>
      <c r="TI32" s="28">
        <v>159</v>
      </c>
      <c r="TM32" s="8">
        <v>441</v>
      </c>
      <c r="TN32" s="28">
        <v>131</v>
      </c>
      <c r="TP32" s="28"/>
      <c r="TQ32" s="8">
        <v>32</v>
      </c>
      <c r="TX32" s="8">
        <v>-445</v>
      </c>
      <c r="TY32" s="28">
        <v>126</v>
      </c>
      <c r="TZ32" s="8">
        <v>116</v>
      </c>
      <c r="UA32" s="12">
        <v>157</v>
      </c>
      <c r="UE32" s="8">
        <v>792</v>
      </c>
      <c r="UG32" s="8">
        <v>844</v>
      </c>
      <c r="UH32" s="12">
        <v>35</v>
      </c>
      <c r="UI32" s="8">
        <v>-325</v>
      </c>
      <c r="UJ32" s="12">
        <v>280</v>
      </c>
      <c r="UL32" s="8">
        <v>-991</v>
      </c>
      <c r="UN32" s="8">
        <v>-367</v>
      </c>
      <c r="UO32" s="12">
        <v>123</v>
      </c>
      <c r="US32" s="8">
        <v>116</v>
      </c>
      <c r="UT32" s="12">
        <v>609</v>
      </c>
      <c r="UU32" s="8">
        <v>72</v>
      </c>
      <c r="UV32" s="12">
        <v>44</v>
      </c>
      <c r="UZ32" s="8">
        <v>-113</v>
      </c>
      <c r="VA32" s="12">
        <v>223</v>
      </c>
      <c r="VB32" s="8">
        <v>-234</v>
      </c>
      <c r="VC32" s="12">
        <v>305</v>
      </c>
      <c r="VD32" s="8">
        <v>137</v>
      </c>
      <c r="VE32" s="12">
        <v>240</v>
      </c>
      <c r="VF32" s="8">
        <v>380</v>
      </c>
      <c r="VG32" s="12">
        <v>685</v>
      </c>
      <c r="VH32" s="8">
        <v>143</v>
      </c>
      <c r="VI32" s="28">
        <v>119</v>
      </c>
      <c r="VL32" s="21"/>
      <c r="VM32" s="8">
        <v>4140</v>
      </c>
      <c r="VN32" s="12">
        <v>255</v>
      </c>
      <c r="VO32" s="12"/>
      <c r="VP32" s="12"/>
      <c r="VQ32" s="6">
        <v>118</v>
      </c>
      <c r="VR32" s="28">
        <v>202</v>
      </c>
      <c r="VS32" s="12"/>
      <c r="VT32" s="12"/>
      <c r="VV32" s="8">
        <v>-2917</v>
      </c>
      <c r="VX32" s="8">
        <v>255</v>
      </c>
      <c r="VY32" s="12">
        <v>487</v>
      </c>
      <c r="VZ32" s="8">
        <v>-235</v>
      </c>
      <c r="WA32" s="28">
        <v>604</v>
      </c>
      <c r="WB32" s="8">
        <v>6288</v>
      </c>
      <c r="WC32" s="12">
        <v>1747</v>
      </c>
      <c r="WG32" s="8">
        <v>95</v>
      </c>
      <c r="WH32" s="28">
        <v>77</v>
      </c>
      <c r="WI32" s="8">
        <v>43</v>
      </c>
      <c r="WJ32" s="28">
        <v>21</v>
      </c>
      <c r="WP32" s="2">
        <v>29</v>
      </c>
      <c r="WQ32" s="1">
        <v>14</v>
      </c>
      <c r="WR32" s="10"/>
      <c r="XB32" s="23">
        <v>62</v>
      </c>
      <c r="XC32" s="25">
        <v>10</v>
      </c>
      <c r="XE32">
        <v>43903</v>
      </c>
      <c r="XF32" s="1">
        <v>7077</v>
      </c>
      <c r="XG32" s="2">
        <v>-55339</v>
      </c>
      <c r="XH32" s="10"/>
      <c r="XK32">
        <v>45</v>
      </c>
      <c r="XL32" s="1">
        <v>30</v>
      </c>
      <c r="XO32">
        <v>322</v>
      </c>
      <c r="XP32" s="1">
        <v>144</v>
      </c>
    </row>
    <row r="33" spans="3:640" x14ac:dyDescent="0.25">
      <c r="C33" s="3"/>
      <c r="D33" s="3"/>
      <c r="E33">
        <v>146</v>
      </c>
      <c r="F33" s="1">
        <v>250</v>
      </c>
      <c r="G33" s="2">
        <v>-4663</v>
      </c>
      <c r="I33" s="2">
        <v>-93</v>
      </c>
      <c r="K33" s="2">
        <v>906</v>
      </c>
      <c r="L33" s="1">
        <v>301</v>
      </c>
      <c r="M33">
        <v>142</v>
      </c>
      <c r="N33" s="1">
        <v>53</v>
      </c>
      <c r="O33" s="26"/>
      <c r="R33">
        <v>116</v>
      </c>
      <c r="S33" s="12">
        <v>354</v>
      </c>
      <c r="T33">
        <v>6132</v>
      </c>
      <c r="U33" s="1">
        <v>707</v>
      </c>
      <c r="V33">
        <v>21</v>
      </c>
      <c r="W33" s="10">
        <v>428</v>
      </c>
      <c r="X33">
        <v>84</v>
      </c>
      <c r="AB33">
        <v>-64</v>
      </c>
      <c r="AC33" s="1">
        <v>26</v>
      </c>
      <c r="AD33">
        <v>39</v>
      </c>
      <c r="AE33" s="1">
        <v>4</v>
      </c>
      <c r="AF33">
        <v>1415</v>
      </c>
      <c r="AG33" s="1">
        <v>403</v>
      </c>
      <c r="AJ33" s="2">
        <v>83</v>
      </c>
      <c r="AK33" s="10">
        <v>4</v>
      </c>
      <c r="AQ33">
        <v>57615</v>
      </c>
      <c r="AR33" s="1">
        <v>11202</v>
      </c>
      <c r="AY33">
        <v>-1</v>
      </c>
      <c r="AZ33" s="1">
        <v>11</v>
      </c>
      <c r="BA33">
        <v>167</v>
      </c>
      <c r="BB33" s="1">
        <v>592</v>
      </c>
      <c r="BD33" s="8">
        <v>273</v>
      </c>
      <c r="BE33" s="1">
        <v>189</v>
      </c>
      <c r="BF33">
        <v>-210</v>
      </c>
      <c r="BG33" s="1">
        <v>307</v>
      </c>
      <c r="BJ33">
        <v>-83</v>
      </c>
      <c r="BL33">
        <v>2644</v>
      </c>
      <c r="BM33" s="1">
        <v>59</v>
      </c>
      <c r="BN33">
        <v>-2</v>
      </c>
      <c r="BP33">
        <v>-634</v>
      </c>
      <c r="BQ33" s="10">
        <v>9007</v>
      </c>
      <c r="BR33">
        <v>301</v>
      </c>
      <c r="BS33" s="1">
        <v>169</v>
      </c>
      <c r="BT33">
        <v>-109</v>
      </c>
      <c r="BU33" s="1">
        <v>142</v>
      </c>
      <c r="BV33">
        <v>119</v>
      </c>
      <c r="BW33" s="1">
        <v>3</v>
      </c>
      <c r="CA33" s="8">
        <v>270</v>
      </c>
      <c r="CB33" s="28">
        <v>824</v>
      </c>
      <c r="CE33" s="8">
        <v>143</v>
      </c>
      <c r="CF33" s="28">
        <v>13</v>
      </c>
      <c r="CG33" s="8">
        <v>314</v>
      </c>
      <c r="CI33" s="8">
        <v>105</v>
      </c>
      <c r="CJ33" s="12">
        <v>310</v>
      </c>
      <c r="CK33" s="8">
        <v>-82</v>
      </c>
      <c r="CL33" s="28">
        <v>24</v>
      </c>
      <c r="CM33" s="6">
        <v>-183</v>
      </c>
      <c r="CN33" s="28">
        <v>246</v>
      </c>
      <c r="CO33" s="6">
        <v>44</v>
      </c>
      <c r="CP33" s="28"/>
      <c r="CQ33" s="6">
        <v>153</v>
      </c>
      <c r="CR33" s="12">
        <v>343</v>
      </c>
      <c r="CS33" s="6">
        <v>168</v>
      </c>
      <c r="CT33" s="28">
        <v>223</v>
      </c>
      <c r="CU33" s="28"/>
      <c r="CV33" s="28"/>
      <c r="CW33" s="6"/>
      <c r="CX33" s="28"/>
      <c r="CZ33" s="23">
        <v>6</v>
      </c>
      <c r="DA33" s="25">
        <v>10</v>
      </c>
      <c r="DB33" s="23">
        <v>61</v>
      </c>
      <c r="DC33" s="25">
        <v>5</v>
      </c>
      <c r="DD33" s="23">
        <v>9</v>
      </c>
      <c r="DE33" s="25">
        <v>16</v>
      </c>
      <c r="DF33" s="86">
        <v>110</v>
      </c>
      <c r="DG33" s="25">
        <v>345</v>
      </c>
      <c r="DH33" s="23">
        <v>112</v>
      </c>
      <c r="DI33" s="25">
        <v>89</v>
      </c>
      <c r="DJ33" s="23">
        <v>-577</v>
      </c>
      <c r="DK33" s="28">
        <v>161</v>
      </c>
      <c r="DL33" s="8">
        <v>396</v>
      </c>
      <c r="DN33" s="8">
        <v>335</v>
      </c>
      <c r="DQ33" s="8">
        <v>8</v>
      </c>
      <c r="DR33" s="52">
        <v>39</v>
      </c>
      <c r="DS33" s="6">
        <v>111</v>
      </c>
      <c r="DT33" s="52">
        <v>207</v>
      </c>
      <c r="DU33" s="8">
        <v>-180</v>
      </c>
      <c r="DV33" s="28">
        <v>245</v>
      </c>
      <c r="DW33" s="8">
        <v>377</v>
      </c>
      <c r="DX33" s="28">
        <v>930</v>
      </c>
      <c r="DY33" s="6">
        <v>-407</v>
      </c>
      <c r="DZ33" s="52">
        <v>243</v>
      </c>
      <c r="EA33" s="23">
        <v>368</v>
      </c>
      <c r="EB33" s="52">
        <v>906</v>
      </c>
      <c r="EC33" s="6">
        <v>5</v>
      </c>
      <c r="ED33" s="28">
        <v>5</v>
      </c>
      <c r="EE33" s="8">
        <v>28</v>
      </c>
      <c r="EF33" s="52">
        <v>53</v>
      </c>
      <c r="EG33" s="8">
        <v>87</v>
      </c>
      <c r="EH33" s="28">
        <v>110</v>
      </c>
      <c r="EI33" s="8">
        <v>10</v>
      </c>
      <c r="EJ33" s="52">
        <v>823</v>
      </c>
      <c r="EL33" s="8">
        <v>-390</v>
      </c>
      <c r="EM33" s="28">
        <v>516</v>
      </c>
      <c r="EN33" s="8">
        <v>-115</v>
      </c>
      <c r="EO33" s="28">
        <v>43</v>
      </c>
      <c r="EP33" s="6">
        <v>-207</v>
      </c>
      <c r="EQ33" s="52">
        <v>220</v>
      </c>
      <c r="EX33" s="8">
        <v>-704</v>
      </c>
      <c r="EY33" s="28">
        <v>644</v>
      </c>
      <c r="EZ33" s="8">
        <v>-2</v>
      </c>
      <c r="FA33" s="52">
        <v>531</v>
      </c>
      <c r="FB33" s="8">
        <v>37</v>
      </c>
      <c r="FC33" s="52">
        <v>578</v>
      </c>
      <c r="FD33" s="6">
        <v>412</v>
      </c>
      <c r="FE33" s="28">
        <v>779</v>
      </c>
      <c r="FF33" s="8">
        <v>-470</v>
      </c>
      <c r="FG33" s="28">
        <v>236</v>
      </c>
      <c r="FH33" s="8">
        <v>-51</v>
      </c>
      <c r="FI33" s="28">
        <v>8</v>
      </c>
      <c r="FK33" s="52"/>
      <c r="FM33" s="8">
        <v>-93</v>
      </c>
      <c r="FN33" s="52">
        <v>109</v>
      </c>
      <c r="FO33" s="8">
        <v>318</v>
      </c>
      <c r="FP33" s="28">
        <v>66</v>
      </c>
      <c r="FQ33" s="8">
        <v>41</v>
      </c>
      <c r="FR33" s="28">
        <v>2</v>
      </c>
      <c r="FS33" s="8">
        <v>256</v>
      </c>
      <c r="FT33" s="52">
        <v>140</v>
      </c>
      <c r="FV33" s="8">
        <v>-34</v>
      </c>
      <c r="FW33" s="28">
        <v>60</v>
      </c>
      <c r="GA33" s="8">
        <v>77</v>
      </c>
      <c r="GB33" s="52">
        <v>138</v>
      </c>
      <c r="GC33" s="8">
        <v>878</v>
      </c>
      <c r="GE33" s="8">
        <v>722</v>
      </c>
      <c r="GF33" s="28">
        <v>650</v>
      </c>
      <c r="GI33" s="8">
        <v>-114</v>
      </c>
      <c r="GJ33" s="28">
        <v>64</v>
      </c>
      <c r="GK33" s="8">
        <v>219</v>
      </c>
      <c r="GL33" s="28">
        <v>297</v>
      </c>
      <c r="GN33" s="8">
        <v>277</v>
      </c>
      <c r="GO33" s="28">
        <v>233</v>
      </c>
      <c r="GP33" s="8">
        <v>29</v>
      </c>
      <c r="GQ33" s="52">
        <v>345</v>
      </c>
      <c r="GR33" s="8">
        <v>-217</v>
      </c>
      <c r="GS33" s="28">
        <v>145</v>
      </c>
      <c r="GT33" s="6">
        <v>179</v>
      </c>
      <c r="GU33" s="52">
        <v>274</v>
      </c>
      <c r="GV33" s="6">
        <v>-6</v>
      </c>
      <c r="GW33" s="28">
        <v>13</v>
      </c>
      <c r="GZ33" s="8">
        <v>-10</v>
      </c>
      <c r="HA33" s="28">
        <v>70</v>
      </c>
      <c r="HB33" s="6">
        <v>14</v>
      </c>
      <c r="HC33" s="28"/>
      <c r="HE33" s="8">
        <v>3</v>
      </c>
      <c r="HF33" s="28">
        <v>107</v>
      </c>
      <c r="HG33" s="8">
        <v>-101</v>
      </c>
      <c r="HJ33" s="28"/>
      <c r="HO33" s="8">
        <v>-43</v>
      </c>
      <c r="HP33" s="28">
        <v>92</v>
      </c>
      <c r="HQ33" s="6">
        <v>-102</v>
      </c>
      <c r="HR33" s="28">
        <v>80</v>
      </c>
      <c r="HS33" s="8">
        <v>-3</v>
      </c>
      <c r="HT33" s="52">
        <v>10</v>
      </c>
      <c r="HV33" s="8">
        <v>655</v>
      </c>
      <c r="HW33" s="28">
        <v>586</v>
      </c>
      <c r="HX33" s="8">
        <v>-23</v>
      </c>
      <c r="HY33" s="28">
        <v>43</v>
      </c>
      <c r="HZ33" s="8">
        <v>57</v>
      </c>
      <c r="IB33" s="8">
        <v>161</v>
      </c>
      <c r="IC33" s="28">
        <v>171</v>
      </c>
      <c r="ID33" s="8">
        <v>207</v>
      </c>
      <c r="IE33" s="28">
        <v>166</v>
      </c>
      <c r="IH33" s="8">
        <v>18</v>
      </c>
      <c r="II33" s="28">
        <v>23</v>
      </c>
      <c r="IM33" s="8">
        <v>135</v>
      </c>
      <c r="IO33">
        <v>-513</v>
      </c>
      <c r="IP33" s="10">
        <v>20</v>
      </c>
      <c r="IS33" s="6">
        <v>109</v>
      </c>
      <c r="IT33" s="28">
        <v>853</v>
      </c>
      <c r="IU33" s="8">
        <v>-674</v>
      </c>
      <c r="IV33" s="28">
        <v>347</v>
      </c>
      <c r="IW33" s="8">
        <v>200</v>
      </c>
      <c r="IY33" s="8">
        <v>117</v>
      </c>
      <c r="JA33" s="8">
        <v>697</v>
      </c>
      <c r="JB33" s="12">
        <v>120</v>
      </c>
      <c r="JH33" s="8">
        <v>-180</v>
      </c>
      <c r="JI33" s="28">
        <v>269</v>
      </c>
      <c r="JJ33" s="8">
        <v>84</v>
      </c>
      <c r="JK33" s="28">
        <v>30</v>
      </c>
      <c r="JL33" s="8">
        <v>183</v>
      </c>
      <c r="JM33" s="12">
        <v>147</v>
      </c>
      <c r="JN33" s="8">
        <v>-107</v>
      </c>
      <c r="JO33" s="28">
        <v>766</v>
      </c>
      <c r="JP33" s="6">
        <v>-21</v>
      </c>
      <c r="JQ33" s="12">
        <v>278</v>
      </c>
      <c r="JT33" s="6">
        <v>113</v>
      </c>
      <c r="JU33" s="12">
        <v>114</v>
      </c>
      <c r="JW33" s="8">
        <v>-199</v>
      </c>
      <c r="JX33" s="12">
        <v>541</v>
      </c>
      <c r="JZ33" s="28"/>
      <c r="KA33" s="8">
        <v>48</v>
      </c>
      <c r="KB33" s="28">
        <v>19</v>
      </c>
      <c r="KD33" s="28"/>
      <c r="KE33" s="6">
        <v>21</v>
      </c>
      <c r="KF33" s="12">
        <v>25</v>
      </c>
      <c r="KQ33" s="8">
        <v>24</v>
      </c>
      <c r="KR33" s="28">
        <v>7</v>
      </c>
      <c r="KT33" s="8">
        <v>2</v>
      </c>
      <c r="KU33" s="28">
        <v>10</v>
      </c>
      <c r="KV33" s="8">
        <v>-323</v>
      </c>
      <c r="KZ33" s="8">
        <v>-167</v>
      </c>
      <c r="LA33" s="12">
        <v>99</v>
      </c>
      <c r="LD33" s="8">
        <v>353</v>
      </c>
      <c r="LE33" s="28">
        <v>424</v>
      </c>
      <c r="LF33" s="8">
        <v>20</v>
      </c>
      <c r="LG33" s="28">
        <v>7</v>
      </c>
      <c r="LH33" s="8">
        <v>367</v>
      </c>
      <c r="LJ33" s="8">
        <v>619</v>
      </c>
      <c r="LK33" s="28">
        <v>235</v>
      </c>
      <c r="LL33" s="8">
        <v>-19</v>
      </c>
      <c r="LM33" s="28">
        <v>5</v>
      </c>
      <c r="LN33" s="8">
        <v>-352</v>
      </c>
      <c r="LO33" s="28">
        <v>163</v>
      </c>
      <c r="LS33" s="8">
        <v>73</v>
      </c>
      <c r="LU33" s="8">
        <v>1</v>
      </c>
      <c r="LV33" s="12">
        <v>204</v>
      </c>
      <c r="LW33" s="8">
        <v>-330</v>
      </c>
      <c r="LX33" s="28">
        <v>185</v>
      </c>
      <c r="LZ33" s="8">
        <v>395</v>
      </c>
      <c r="MF33" s="8">
        <v>106</v>
      </c>
      <c r="MG33" s="12">
        <v>403</v>
      </c>
      <c r="MN33" s="8">
        <v>698</v>
      </c>
      <c r="MO33" s="28">
        <v>56</v>
      </c>
      <c r="MS33" s="8">
        <v>-103</v>
      </c>
      <c r="MT33" s="12">
        <v>613</v>
      </c>
      <c r="MU33" s="8">
        <v>-1</v>
      </c>
      <c r="MV33" s="28">
        <v>1</v>
      </c>
      <c r="NC33" s="8">
        <v>274</v>
      </c>
      <c r="ND33" s="12">
        <v>68</v>
      </c>
      <c r="NE33" s="8">
        <v>857</v>
      </c>
      <c r="NF33" s="28">
        <v>694</v>
      </c>
      <c r="NG33" s="8">
        <v>48</v>
      </c>
      <c r="NH33" s="28">
        <v>5</v>
      </c>
      <c r="NI33" s="8">
        <v>353</v>
      </c>
      <c r="NJ33" s="28">
        <v>3</v>
      </c>
      <c r="NL33" s="8">
        <v>188</v>
      </c>
      <c r="NM33" s="28">
        <v>93</v>
      </c>
      <c r="NN33" s="8">
        <v>170</v>
      </c>
      <c r="NO33" s="28">
        <v>50</v>
      </c>
      <c r="NP33" s="8">
        <v>168</v>
      </c>
      <c r="NQ33" s="12">
        <v>595</v>
      </c>
      <c r="NR33" s="8">
        <v>91</v>
      </c>
      <c r="NS33" s="12">
        <v>16</v>
      </c>
      <c r="NU33" s="8">
        <v>-157</v>
      </c>
      <c r="NV33" s="12">
        <v>179</v>
      </c>
      <c r="NW33" s="8">
        <v>102</v>
      </c>
      <c r="NX33" s="28">
        <v>285</v>
      </c>
      <c r="NY33" s="8">
        <v>523</v>
      </c>
      <c r="NZ33" s="12">
        <v>187</v>
      </c>
      <c r="OA33" s="8">
        <v>-925</v>
      </c>
      <c r="OB33" s="28">
        <v>27</v>
      </c>
      <c r="OC33" s="8">
        <v>-280</v>
      </c>
      <c r="OD33" s="12">
        <v>152</v>
      </c>
      <c r="OE33" s="8">
        <v>137</v>
      </c>
      <c r="OG33" s="28">
        <v>843</v>
      </c>
      <c r="OO33" s="8">
        <v>8</v>
      </c>
      <c r="OP33" s="28">
        <v>54</v>
      </c>
      <c r="OT33" s="28"/>
      <c r="OU33" s="12"/>
      <c r="OV33" s="8">
        <v>262</v>
      </c>
      <c r="PA33" s="8">
        <v>6</v>
      </c>
      <c r="PC33" s="8">
        <v>232</v>
      </c>
      <c r="PD33" s="28">
        <v>26</v>
      </c>
      <c r="PE33" s="8">
        <v>67</v>
      </c>
      <c r="PF33" s="12">
        <v>42</v>
      </c>
      <c r="PJ33" s="8">
        <v>48</v>
      </c>
      <c r="PK33" s="12">
        <v>386</v>
      </c>
      <c r="PL33" s="8">
        <v>-69</v>
      </c>
      <c r="PM33" s="28">
        <v>179</v>
      </c>
      <c r="PP33" s="8">
        <v>-492</v>
      </c>
      <c r="PQ33" s="28">
        <v>14</v>
      </c>
      <c r="PR33" s="28"/>
      <c r="PS33" s="8">
        <v>-5</v>
      </c>
      <c r="PT33" s="12">
        <v>41</v>
      </c>
      <c r="PW33" s="8">
        <v>-34</v>
      </c>
      <c r="PX33" s="28">
        <v>23</v>
      </c>
      <c r="QC33" s="8">
        <v>534</v>
      </c>
      <c r="QD33" s="12">
        <v>379</v>
      </c>
      <c r="QE33" s="8">
        <v>-650</v>
      </c>
      <c r="QF33" s="12">
        <v>526</v>
      </c>
      <c r="QH33" s="8">
        <v>26</v>
      </c>
      <c r="QI33" s="12">
        <v>179</v>
      </c>
      <c r="QJ33" s="8">
        <v>314</v>
      </c>
      <c r="QQ33" s="8">
        <v>16</v>
      </c>
      <c r="QR33" s="12">
        <v>232</v>
      </c>
      <c r="QT33" s="8">
        <v>-126</v>
      </c>
      <c r="QU33" s="12">
        <v>276</v>
      </c>
      <c r="QV33" s="6">
        <v>283</v>
      </c>
      <c r="QW33" s="12">
        <v>174</v>
      </c>
      <c r="QY33" s="8">
        <v>42</v>
      </c>
      <c r="QZ33" s="12">
        <v>182</v>
      </c>
      <c r="RA33" s="8">
        <v>-261</v>
      </c>
      <c r="RB33" s="12">
        <v>255</v>
      </c>
      <c r="RC33" s="6">
        <v>-935</v>
      </c>
      <c r="RD33" s="12">
        <v>75</v>
      </c>
      <c r="RE33" s="6">
        <v>400</v>
      </c>
      <c r="RF33" s="12">
        <v>447</v>
      </c>
      <c r="RG33" s="8">
        <v>-694</v>
      </c>
      <c r="RH33" s="28">
        <v>400</v>
      </c>
      <c r="RJ33" s="8">
        <v>-50</v>
      </c>
      <c r="RK33" s="12">
        <v>216</v>
      </c>
      <c r="RL33" s="8">
        <v>735</v>
      </c>
      <c r="RM33" s="12">
        <v>231</v>
      </c>
      <c r="RQ33" s="9"/>
      <c r="RR33" s="9"/>
      <c r="RS33" s="55">
        <v>192</v>
      </c>
      <c r="RT33" s="50">
        <v>931</v>
      </c>
      <c r="RV33" s="8">
        <v>364</v>
      </c>
      <c r="RW33" s="52">
        <v>268</v>
      </c>
      <c r="RY33" s="48" t="s">
        <v>171</v>
      </c>
      <c r="RZ33" s="49" t="s">
        <v>172</v>
      </c>
      <c r="SA33" s="8">
        <v>72</v>
      </c>
      <c r="SB33" s="28">
        <v>4</v>
      </c>
      <c r="SF33" s="8">
        <v>310</v>
      </c>
      <c r="SG33" s="12">
        <v>217</v>
      </c>
      <c r="SP33" s="8">
        <v>-100</v>
      </c>
      <c r="SQ33" s="12">
        <v>126</v>
      </c>
      <c r="SW33" s="8">
        <v>-7</v>
      </c>
      <c r="SX33" s="28">
        <v>22</v>
      </c>
      <c r="SY33" s="6">
        <v>181</v>
      </c>
      <c r="SZ33" s="28">
        <v>907</v>
      </c>
      <c r="TA33" s="6"/>
      <c r="TB33" s="6"/>
      <c r="TC33" s="8">
        <v>74</v>
      </c>
      <c r="TD33" s="28">
        <v>26</v>
      </c>
      <c r="TH33" s="8">
        <v>112</v>
      </c>
      <c r="TI33" s="28">
        <v>195</v>
      </c>
      <c r="TM33" s="8">
        <v>-20</v>
      </c>
      <c r="TN33" s="28">
        <v>48</v>
      </c>
      <c r="TP33" s="28"/>
      <c r="TQ33" s="8">
        <v>65</v>
      </c>
      <c r="TX33" s="8">
        <v>-488</v>
      </c>
      <c r="TY33" s="28">
        <v>126</v>
      </c>
      <c r="TZ33" s="8">
        <v>138</v>
      </c>
      <c r="UA33" s="12">
        <v>504</v>
      </c>
      <c r="UE33" s="8">
        <v>440</v>
      </c>
      <c r="UG33" s="8">
        <v>160</v>
      </c>
      <c r="UH33" s="12">
        <v>910</v>
      </c>
      <c r="UI33" s="8">
        <v>468</v>
      </c>
      <c r="UJ33" s="12">
        <v>124</v>
      </c>
      <c r="UL33" s="8">
        <v>-102</v>
      </c>
      <c r="UN33" s="8">
        <v>119</v>
      </c>
      <c r="UO33" s="12">
        <v>276</v>
      </c>
      <c r="US33" s="8">
        <v>111</v>
      </c>
      <c r="UT33" s="12">
        <v>578</v>
      </c>
      <c r="UU33" s="8">
        <v>158</v>
      </c>
      <c r="UV33" s="12">
        <v>57</v>
      </c>
      <c r="UZ33" s="8">
        <v>221</v>
      </c>
      <c r="VA33" s="12">
        <v>401</v>
      </c>
      <c r="VB33" s="8">
        <v>-246</v>
      </c>
      <c r="VC33" s="12">
        <v>323</v>
      </c>
      <c r="VD33" s="8">
        <v>344</v>
      </c>
      <c r="VE33" s="12">
        <v>525</v>
      </c>
      <c r="VF33" s="8">
        <v>134</v>
      </c>
      <c r="VG33" s="12">
        <v>277</v>
      </c>
      <c r="VH33" s="8">
        <v>139</v>
      </c>
      <c r="VI33" s="28">
        <v>169</v>
      </c>
      <c r="VL33" s="21"/>
      <c r="VM33" s="8">
        <v>4823</v>
      </c>
      <c r="VN33" s="12">
        <v>295</v>
      </c>
      <c r="VO33" s="12"/>
      <c r="VP33" s="12"/>
      <c r="VQ33" s="6">
        <v>999</v>
      </c>
      <c r="VR33" s="28">
        <v>200</v>
      </c>
      <c r="VS33" s="12"/>
      <c r="VT33" s="12"/>
      <c r="VV33" s="8">
        <v>-1000</v>
      </c>
      <c r="VX33" s="8">
        <v>22</v>
      </c>
      <c r="VY33" s="12">
        <v>868</v>
      </c>
      <c r="VZ33" s="8">
        <v>-802</v>
      </c>
      <c r="WA33" s="28">
        <v>167</v>
      </c>
      <c r="WB33" s="8">
        <v>5800</v>
      </c>
      <c r="WC33" s="12">
        <v>1430</v>
      </c>
      <c r="WG33" s="8">
        <v>466</v>
      </c>
      <c r="WH33" s="28">
        <v>208</v>
      </c>
      <c r="WI33" s="8">
        <v>46</v>
      </c>
      <c r="WJ33" s="28">
        <v>21</v>
      </c>
      <c r="WP33" s="2">
        <v>113</v>
      </c>
      <c r="WQ33" s="1">
        <v>38</v>
      </c>
      <c r="WR33" s="10"/>
      <c r="XB33" s="23">
        <v>-21</v>
      </c>
      <c r="XC33" s="25">
        <v>19</v>
      </c>
      <c r="XE33">
        <v>49024</v>
      </c>
      <c r="XF33" s="1">
        <v>17882</v>
      </c>
      <c r="XG33" s="2">
        <v>-6893</v>
      </c>
      <c r="XH33" s="10"/>
      <c r="XK33">
        <v>11</v>
      </c>
      <c r="XL33" s="1">
        <v>49</v>
      </c>
      <c r="XO33">
        <v>338</v>
      </c>
      <c r="XP33" s="1">
        <v>69</v>
      </c>
    </row>
    <row r="34" spans="3:640" x14ac:dyDescent="0.25">
      <c r="C34" s="3"/>
      <c r="D34" s="3"/>
      <c r="G34" s="2">
        <v>-1270</v>
      </c>
      <c r="I34" s="2">
        <v>-1896</v>
      </c>
      <c r="K34" s="2">
        <v>2370</v>
      </c>
      <c r="L34" s="1">
        <v>212</v>
      </c>
      <c r="M34">
        <v>345</v>
      </c>
      <c r="N34" s="1">
        <v>168</v>
      </c>
      <c r="O34" s="26"/>
      <c r="R34">
        <v>-114</v>
      </c>
      <c r="S34" s="12">
        <v>167</v>
      </c>
      <c r="T34">
        <v>6534</v>
      </c>
      <c r="U34" s="1">
        <v>737</v>
      </c>
      <c r="V34">
        <v>17</v>
      </c>
      <c r="W34" s="10">
        <v>267</v>
      </c>
      <c r="AB34">
        <v>12</v>
      </c>
      <c r="AC34" s="1">
        <v>34</v>
      </c>
      <c r="AD34">
        <v>21</v>
      </c>
      <c r="AE34" s="1">
        <v>4</v>
      </c>
      <c r="AF34">
        <v>1261</v>
      </c>
      <c r="AG34" s="1">
        <v>392</v>
      </c>
      <c r="AJ34" s="2">
        <v>-127</v>
      </c>
      <c r="AK34" s="10">
        <v>7</v>
      </c>
      <c r="AQ34">
        <v>38612</v>
      </c>
      <c r="AR34" s="1">
        <v>8024</v>
      </c>
      <c r="AY34">
        <v>-411</v>
      </c>
      <c r="AZ34" s="1">
        <v>26</v>
      </c>
      <c r="BA34">
        <v>630</v>
      </c>
      <c r="BB34" s="1">
        <v>701</v>
      </c>
      <c r="BD34" s="8">
        <v>97</v>
      </c>
      <c r="BE34" s="1">
        <v>70</v>
      </c>
      <c r="BF34">
        <v>392</v>
      </c>
      <c r="BG34" s="1">
        <v>273</v>
      </c>
      <c r="BJ34">
        <v>-59</v>
      </c>
      <c r="BL34">
        <v>-42</v>
      </c>
      <c r="BM34" s="1">
        <v>7</v>
      </c>
      <c r="BN34">
        <v>2</v>
      </c>
      <c r="BP34">
        <v>306</v>
      </c>
      <c r="BQ34" s="10">
        <v>7695</v>
      </c>
      <c r="BR34">
        <v>240</v>
      </c>
      <c r="BS34" s="1">
        <v>6008</v>
      </c>
      <c r="BT34">
        <v>304</v>
      </c>
      <c r="BU34" s="1">
        <v>350</v>
      </c>
      <c r="BV34">
        <v>-87</v>
      </c>
      <c r="BW34" s="1">
        <v>32</v>
      </c>
      <c r="CA34" s="8">
        <v>181</v>
      </c>
      <c r="CB34" s="28">
        <v>355</v>
      </c>
      <c r="CE34" s="8">
        <v>146</v>
      </c>
      <c r="CF34" s="28">
        <v>12</v>
      </c>
      <c r="CG34" s="8">
        <v>290</v>
      </c>
      <c r="CI34" s="8">
        <v>268</v>
      </c>
      <c r="CJ34" s="12">
        <v>35</v>
      </c>
      <c r="CK34" s="8">
        <v>-84</v>
      </c>
      <c r="CL34" s="28">
        <v>24</v>
      </c>
      <c r="CM34" s="6">
        <v>-114</v>
      </c>
      <c r="CN34" s="28">
        <v>122</v>
      </c>
      <c r="CO34" s="6">
        <v>17</v>
      </c>
      <c r="CP34" s="28"/>
      <c r="CQ34" s="6">
        <v>159</v>
      </c>
      <c r="CR34" s="12">
        <v>360</v>
      </c>
      <c r="CS34" s="6">
        <v>-209</v>
      </c>
      <c r="CT34" s="28">
        <v>593</v>
      </c>
      <c r="CU34" s="28"/>
      <c r="CV34" s="28"/>
      <c r="CW34" s="6"/>
      <c r="CX34" s="28"/>
      <c r="CZ34" s="23">
        <v>321</v>
      </c>
      <c r="DA34" s="25">
        <v>186</v>
      </c>
      <c r="DB34" s="23">
        <v>-111</v>
      </c>
      <c r="DC34" s="25">
        <v>3</v>
      </c>
      <c r="DD34" s="23">
        <v>-19</v>
      </c>
      <c r="DE34" s="25">
        <v>25</v>
      </c>
      <c r="DF34" s="86">
        <v>102</v>
      </c>
      <c r="DG34" s="25">
        <v>551</v>
      </c>
      <c r="DH34" s="23">
        <v>70</v>
      </c>
      <c r="DI34" s="25">
        <v>13</v>
      </c>
      <c r="DJ34" s="23">
        <v>225</v>
      </c>
      <c r="DK34" s="28">
        <v>350</v>
      </c>
      <c r="DL34" s="8">
        <v>145</v>
      </c>
      <c r="DN34" s="8">
        <v>174</v>
      </c>
      <c r="DQ34" s="8">
        <v>46</v>
      </c>
      <c r="DR34" s="52">
        <v>247</v>
      </c>
      <c r="DS34" s="6">
        <v>-23</v>
      </c>
      <c r="DT34" s="52">
        <v>155</v>
      </c>
      <c r="DU34" s="8">
        <v>107</v>
      </c>
      <c r="DV34" s="28">
        <v>411</v>
      </c>
      <c r="DW34" s="8">
        <v>-11</v>
      </c>
      <c r="DX34" s="28">
        <v>16</v>
      </c>
      <c r="DY34" s="6">
        <v>-725</v>
      </c>
      <c r="DZ34" s="52">
        <v>256</v>
      </c>
      <c r="EA34" s="23">
        <v>-878</v>
      </c>
      <c r="EB34" s="52">
        <v>615</v>
      </c>
      <c r="EC34" s="6">
        <v>8</v>
      </c>
      <c r="ED34" s="28">
        <v>3</v>
      </c>
      <c r="EE34" s="8">
        <v>27</v>
      </c>
      <c r="EF34" s="52">
        <v>349</v>
      </c>
      <c r="EG34" s="8">
        <v>-401</v>
      </c>
      <c r="EH34" s="28">
        <v>785</v>
      </c>
      <c r="EI34" s="8">
        <v>26</v>
      </c>
      <c r="EJ34" s="52">
        <v>835</v>
      </c>
      <c r="EL34" s="8">
        <v>-126</v>
      </c>
      <c r="EM34" s="28">
        <v>1</v>
      </c>
      <c r="EN34" s="8">
        <v>218</v>
      </c>
      <c r="EO34" s="28">
        <v>16</v>
      </c>
      <c r="EP34" s="6">
        <v>438</v>
      </c>
      <c r="EQ34" s="52">
        <v>477</v>
      </c>
      <c r="EX34" s="8">
        <v>627</v>
      </c>
      <c r="EY34" s="28">
        <v>337</v>
      </c>
      <c r="EZ34" s="8">
        <v>-2</v>
      </c>
      <c r="FA34" s="52">
        <v>279</v>
      </c>
      <c r="FD34" s="6">
        <v>-149</v>
      </c>
      <c r="FE34" s="28">
        <v>112</v>
      </c>
      <c r="FF34" s="8">
        <v>989</v>
      </c>
      <c r="FG34" s="28">
        <v>23</v>
      </c>
      <c r="FH34" s="8">
        <v>108</v>
      </c>
      <c r="FI34" s="28">
        <v>52</v>
      </c>
      <c r="FM34" s="8">
        <v>197</v>
      </c>
      <c r="FN34" s="52">
        <v>250</v>
      </c>
      <c r="FO34" s="8">
        <v>-100</v>
      </c>
      <c r="FP34" s="28">
        <v>8</v>
      </c>
      <c r="FQ34" s="8">
        <v>78</v>
      </c>
      <c r="FR34" s="28">
        <v>4</v>
      </c>
      <c r="FS34" s="8">
        <v>257</v>
      </c>
      <c r="FT34" s="52">
        <v>140</v>
      </c>
      <c r="FV34" s="8">
        <v>-90</v>
      </c>
      <c r="FW34" s="28">
        <v>54</v>
      </c>
      <c r="GA34" s="8">
        <v>-12</v>
      </c>
      <c r="GB34" s="52">
        <v>11</v>
      </c>
      <c r="GC34" s="8">
        <v>290</v>
      </c>
      <c r="GE34" s="8">
        <v>120</v>
      </c>
      <c r="GF34" s="28">
        <v>909</v>
      </c>
      <c r="GI34" s="8">
        <v>-72</v>
      </c>
      <c r="GJ34" s="28">
        <v>66</v>
      </c>
      <c r="GK34" s="8">
        <v>244</v>
      </c>
      <c r="GL34" s="28">
        <v>289</v>
      </c>
      <c r="GN34" s="8">
        <v>308</v>
      </c>
      <c r="GO34" s="28">
        <v>145</v>
      </c>
      <c r="GP34" s="8">
        <v>25</v>
      </c>
      <c r="GQ34" s="52">
        <v>257</v>
      </c>
      <c r="GR34" s="8">
        <v>147</v>
      </c>
      <c r="GS34" s="28">
        <v>114</v>
      </c>
      <c r="GT34" s="6">
        <v>-76</v>
      </c>
      <c r="GU34" s="52">
        <v>703</v>
      </c>
      <c r="GV34" s="6">
        <v>3</v>
      </c>
      <c r="GW34" s="28">
        <v>13</v>
      </c>
      <c r="GZ34" s="8">
        <v>-6</v>
      </c>
      <c r="HA34" s="28">
        <v>24</v>
      </c>
      <c r="HB34" s="6">
        <v>123</v>
      </c>
      <c r="HC34" s="28"/>
      <c r="HE34" s="8">
        <v>-16</v>
      </c>
      <c r="HF34" s="28">
        <v>62</v>
      </c>
      <c r="HG34" s="8">
        <v>-115</v>
      </c>
      <c r="HJ34" s="28"/>
      <c r="HO34" s="8">
        <v>-73</v>
      </c>
      <c r="HP34" s="28">
        <v>857</v>
      </c>
      <c r="HQ34" s="6">
        <v>1</v>
      </c>
      <c r="HR34" s="28">
        <v>3</v>
      </c>
      <c r="HS34" s="8">
        <v>-6</v>
      </c>
      <c r="HT34" s="52">
        <v>80</v>
      </c>
      <c r="HV34" s="8">
        <v>318</v>
      </c>
      <c r="HW34" s="28">
        <v>124</v>
      </c>
      <c r="HX34" s="8">
        <v>5</v>
      </c>
      <c r="HY34" s="28">
        <v>2</v>
      </c>
      <c r="HZ34" s="8">
        <v>-1</v>
      </c>
      <c r="IB34" s="8">
        <v>916</v>
      </c>
      <c r="IC34" s="28">
        <v>212</v>
      </c>
      <c r="ID34" s="8">
        <v>-502</v>
      </c>
      <c r="IE34" s="28">
        <v>21</v>
      </c>
      <c r="IH34" s="8">
        <v>352</v>
      </c>
      <c r="II34" s="28">
        <v>145</v>
      </c>
      <c r="IM34" s="8">
        <v>655</v>
      </c>
      <c r="IO34">
        <v>-955</v>
      </c>
      <c r="IP34" s="10">
        <v>146</v>
      </c>
      <c r="IS34" s="6">
        <v>-456</v>
      </c>
      <c r="IT34" s="28">
        <v>202</v>
      </c>
      <c r="IU34" s="8">
        <v>852</v>
      </c>
      <c r="IV34" s="28">
        <v>110</v>
      </c>
      <c r="IW34" s="8">
        <v>214</v>
      </c>
      <c r="IY34" s="8">
        <v>144</v>
      </c>
      <c r="JA34" s="8">
        <v>441</v>
      </c>
      <c r="JB34" s="12">
        <v>127</v>
      </c>
      <c r="JH34" s="8">
        <v>494</v>
      </c>
      <c r="JI34" s="28">
        <v>216</v>
      </c>
      <c r="JJ34" s="8">
        <v>49</v>
      </c>
      <c r="JK34" s="28">
        <v>56</v>
      </c>
      <c r="JL34" s="8">
        <v>194</v>
      </c>
      <c r="JM34" s="12">
        <v>104</v>
      </c>
      <c r="JN34" s="8">
        <v>485</v>
      </c>
      <c r="JO34" s="28">
        <v>261</v>
      </c>
      <c r="JP34" s="6">
        <v>82</v>
      </c>
      <c r="JQ34" s="12">
        <v>209</v>
      </c>
      <c r="JT34" s="6">
        <v>543</v>
      </c>
      <c r="JU34" s="12">
        <v>207</v>
      </c>
      <c r="JW34" s="8">
        <v>-245</v>
      </c>
      <c r="JX34" s="12">
        <v>904</v>
      </c>
      <c r="JZ34" s="28"/>
      <c r="KA34" s="8">
        <v>102</v>
      </c>
      <c r="KB34" s="28">
        <v>23</v>
      </c>
      <c r="KE34" s="6">
        <v>17</v>
      </c>
      <c r="KF34" s="12">
        <v>31</v>
      </c>
      <c r="KQ34" s="8">
        <v>18</v>
      </c>
      <c r="KR34" s="28">
        <v>9</v>
      </c>
      <c r="KT34" s="8">
        <v>-83</v>
      </c>
      <c r="KU34" s="28">
        <v>5</v>
      </c>
      <c r="KV34" s="8">
        <v>-114</v>
      </c>
      <c r="KZ34" s="8">
        <v>165</v>
      </c>
      <c r="LA34" s="12">
        <v>250</v>
      </c>
      <c r="LD34" s="8">
        <v>-105</v>
      </c>
      <c r="LE34" s="28">
        <v>262</v>
      </c>
      <c r="LF34" s="8">
        <v>14</v>
      </c>
      <c r="LG34" s="28">
        <v>6</v>
      </c>
      <c r="LH34" s="8">
        <v>942</v>
      </c>
      <c r="LJ34" s="8">
        <v>-821</v>
      </c>
      <c r="LK34" s="28">
        <v>212</v>
      </c>
      <c r="LL34" s="8">
        <v>-2</v>
      </c>
      <c r="LM34" s="28">
        <v>1</v>
      </c>
      <c r="LN34" s="8">
        <v>-245</v>
      </c>
      <c r="LO34" s="28">
        <v>141</v>
      </c>
      <c r="LS34" s="8">
        <v>89</v>
      </c>
      <c r="LU34" s="8">
        <v>70</v>
      </c>
      <c r="LV34" s="12">
        <v>150</v>
      </c>
      <c r="LW34" s="8">
        <v>-2</v>
      </c>
      <c r="LX34" s="28">
        <v>186</v>
      </c>
      <c r="LZ34" s="8">
        <v>916</v>
      </c>
      <c r="MF34" s="8">
        <v>354</v>
      </c>
      <c r="MG34" s="12">
        <v>85</v>
      </c>
      <c r="MN34" s="8">
        <v>219</v>
      </c>
      <c r="MO34" s="28">
        <v>51</v>
      </c>
      <c r="MS34" s="8">
        <v>-65</v>
      </c>
      <c r="MT34" s="12">
        <v>193</v>
      </c>
      <c r="MU34" s="8">
        <v>-24</v>
      </c>
      <c r="MV34" s="28">
        <v>20</v>
      </c>
      <c r="NC34" s="8">
        <v>171</v>
      </c>
      <c r="ND34" s="12">
        <v>129</v>
      </c>
      <c r="NE34" s="8">
        <v>-364</v>
      </c>
      <c r="NF34" s="28">
        <v>238</v>
      </c>
      <c r="NG34" s="8">
        <v>-151</v>
      </c>
      <c r="NH34" s="28">
        <v>18</v>
      </c>
      <c r="NI34" s="8">
        <v>392</v>
      </c>
      <c r="NJ34" s="28">
        <v>3</v>
      </c>
      <c r="NL34" s="8">
        <v>31</v>
      </c>
      <c r="NM34" s="28">
        <v>47</v>
      </c>
      <c r="NN34" s="8">
        <v>34</v>
      </c>
      <c r="NO34" s="28">
        <v>24</v>
      </c>
      <c r="NP34" s="8">
        <v>263</v>
      </c>
      <c r="NQ34" s="12">
        <v>742</v>
      </c>
      <c r="NR34" s="8">
        <v>565</v>
      </c>
      <c r="NS34" s="12">
        <v>31</v>
      </c>
      <c r="NU34" s="8">
        <v>101</v>
      </c>
      <c r="NV34" s="12">
        <v>142</v>
      </c>
      <c r="NW34" s="8">
        <v>130</v>
      </c>
      <c r="NX34" s="28">
        <v>448</v>
      </c>
      <c r="NY34" s="8">
        <v>-657</v>
      </c>
      <c r="NZ34" s="12">
        <v>172</v>
      </c>
      <c r="OA34" s="8">
        <v>470</v>
      </c>
      <c r="OB34" s="28">
        <v>37</v>
      </c>
      <c r="OC34" s="8">
        <v>336</v>
      </c>
      <c r="OD34" s="12">
        <v>294</v>
      </c>
      <c r="OE34" s="8">
        <v>105</v>
      </c>
      <c r="OG34" s="28">
        <v>180</v>
      </c>
      <c r="OO34" s="8">
        <v>-134</v>
      </c>
      <c r="OP34" s="28">
        <v>158</v>
      </c>
      <c r="OU34" s="12"/>
      <c r="OV34" s="8">
        <v>669</v>
      </c>
      <c r="PA34" s="8">
        <v>11</v>
      </c>
      <c r="PC34" s="8">
        <v>892</v>
      </c>
      <c r="PD34" s="28">
        <v>219</v>
      </c>
      <c r="PE34" s="8">
        <v>163</v>
      </c>
      <c r="PF34" s="12">
        <v>94</v>
      </c>
      <c r="PJ34" s="8">
        <v>5</v>
      </c>
      <c r="PK34" s="12">
        <v>215</v>
      </c>
      <c r="PL34" s="8">
        <v>965</v>
      </c>
      <c r="PM34" s="28">
        <v>277</v>
      </c>
      <c r="PP34" s="8">
        <v>187</v>
      </c>
      <c r="PQ34" s="28">
        <v>13</v>
      </c>
      <c r="PR34" s="28"/>
      <c r="PS34" s="8">
        <v>-1</v>
      </c>
      <c r="PT34" s="12">
        <v>7</v>
      </c>
      <c r="PW34" s="8">
        <v>-706</v>
      </c>
      <c r="PX34" s="28">
        <v>572</v>
      </c>
      <c r="QC34" s="8">
        <v>399</v>
      </c>
      <c r="QD34" s="12">
        <v>452</v>
      </c>
      <c r="QE34" s="8">
        <v>293</v>
      </c>
      <c r="QF34" s="12">
        <v>120</v>
      </c>
      <c r="QH34" s="8">
        <v>-18</v>
      </c>
      <c r="QI34" s="12">
        <v>814</v>
      </c>
      <c r="QJ34" s="8">
        <v>87</v>
      </c>
      <c r="QQ34" s="8">
        <v>9</v>
      </c>
      <c r="QR34" s="12">
        <v>67</v>
      </c>
      <c r="QT34" s="8">
        <v>581</v>
      </c>
      <c r="QU34" s="12">
        <v>285</v>
      </c>
      <c r="QV34" s="6">
        <v>-302</v>
      </c>
      <c r="QW34" s="12">
        <v>144</v>
      </c>
      <c r="QY34" s="8">
        <v>232</v>
      </c>
      <c r="QZ34" s="12">
        <v>291</v>
      </c>
      <c r="RA34" s="8">
        <v>-753</v>
      </c>
      <c r="RB34" s="12">
        <v>232</v>
      </c>
      <c r="RC34" s="6">
        <v>980</v>
      </c>
      <c r="RD34" s="12">
        <v>912</v>
      </c>
      <c r="RE34" s="6">
        <v>-101</v>
      </c>
      <c r="RF34" s="12">
        <v>729</v>
      </c>
      <c r="RG34" s="8">
        <v>112</v>
      </c>
      <c r="RH34" s="28">
        <v>135</v>
      </c>
      <c r="RJ34" s="8">
        <v>-122</v>
      </c>
      <c r="RK34" s="12">
        <v>234</v>
      </c>
      <c r="RL34" s="8">
        <v>-17</v>
      </c>
      <c r="RM34" s="12">
        <v>266</v>
      </c>
      <c r="RQ34" s="9"/>
      <c r="RR34" s="9"/>
      <c r="RS34" s="55">
        <v>327</v>
      </c>
      <c r="RT34" s="50">
        <v>969</v>
      </c>
      <c r="RV34" s="8">
        <v>730</v>
      </c>
      <c r="RW34" s="52">
        <v>270</v>
      </c>
      <c r="RY34" s="48" t="s">
        <v>173</v>
      </c>
      <c r="RZ34" s="49" t="s">
        <v>135</v>
      </c>
      <c r="SA34" s="8">
        <v>87</v>
      </c>
      <c r="SB34" s="28">
        <v>25</v>
      </c>
      <c r="SF34" s="8">
        <v>201</v>
      </c>
      <c r="SG34" s="12">
        <v>154</v>
      </c>
      <c r="SP34" s="8">
        <v>-385</v>
      </c>
      <c r="SQ34" s="12">
        <v>348</v>
      </c>
      <c r="SW34" s="8">
        <v>-362</v>
      </c>
      <c r="SX34" s="28">
        <v>98</v>
      </c>
      <c r="SY34" s="6">
        <v>-321</v>
      </c>
      <c r="SZ34" s="28">
        <v>425</v>
      </c>
      <c r="TA34" s="6"/>
      <c r="TB34" s="6"/>
      <c r="TC34" s="8">
        <v>93</v>
      </c>
      <c r="TD34" s="28">
        <v>12</v>
      </c>
      <c r="TH34" s="8">
        <v>127</v>
      </c>
      <c r="TI34" s="28">
        <v>164</v>
      </c>
      <c r="TM34" s="8">
        <v>2</v>
      </c>
      <c r="TN34" s="28">
        <v>39</v>
      </c>
      <c r="TP34" s="28"/>
      <c r="TQ34" s="8">
        <v>-18</v>
      </c>
      <c r="TX34" s="8">
        <v>-430</v>
      </c>
      <c r="TY34" s="28">
        <v>150</v>
      </c>
      <c r="TZ34" s="8">
        <v>621</v>
      </c>
      <c r="UA34" s="12">
        <v>521</v>
      </c>
      <c r="UE34" s="8">
        <v>785</v>
      </c>
      <c r="UG34" s="8">
        <v>-697</v>
      </c>
      <c r="UH34" s="12">
        <v>17</v>
      </c>
      <c r="UI34" s="8">
        <v>-734</v>
      </c>
      <c r="UJ34" s="12">
        <v>18</v>
      </c>
      <c r="UL34" s="8">
        <v>-105</v>
      </c>
      <c r="UN34" s="8">
        <v>670</v>
      </c>
      <c r="UO34" s="12">
        <v>307</v>
      </c>
      <c r="US34" s="8">
        <v>-329</v>
      </c>
      <c r="UT34" s="12">
        <v>171</v>
      </c>
      <c r="UU34" s="8">
        <v>173</v>
      </c>
      <c r="UV34" s="12">
        <v>49</v>
      </c>
      <c r="UZ34" s="8">
        <v>411</v>
      </c>
      <c r="VA34" s="12">
        <v>718</v>
      </c>
      <c r="VB34" s="8">
        <v>109</v>
      </c>
      <c r="VC34" s="12">
        <v>723</v>
      </c>
      <c r="VD34" s="8">
        <v>755</v>
      </c>
      <c r="VE34" s="12">
        <v>261</v>
      </c>
      <c r="VF34" s="8">
        <v>262</v>
      </c>
      <c r="VG34" s="12">
        <v>550</v>
      </c>
      <c r="VH34" s="8">
        <v>624</v>
      </c>
      <c r="VI34" s="28">
        <v>169</v>
      </c>
      <c r="VL34" s="21"/>
      <c r="VM34" s="8">
        <v>3648</v>
      </c>
      <c r="VN34" s="12">
        <v>226</v>
      </c>
      <c r="VO34" s="12"/>
      <c r="VP34" s="12"/>
      <c r="VQ34" s="6">
        <v>118</v>
      </c>
      <c r="VR34" s="28">
        <v>276</v>
      </c>
      <c r="VS34" s="12"/>
      <c r="VT34" s="12"/>
      <c r="VV34" s="8">
        <v>-551</v>
      </c>
      <c r="VX34" s="8">
        <v>60</v>
      </c>
      <c r="VY34" s="12">
        <v>293</v>
      </c>
      <c r="VZ34" s="8">
        <v>600</v>
      </c>
      <c r="WA34" s="28">
        <v>117</v>
      </c>
      <c r="WB34" s="8">
        <v>4786</v>
      </c>
      <c r="WC34" s="12">
        <v>733</v>
      </c>
      <c r="WG34" s="8">
        <v>519</v>
      </c>
      <c r="WH34" s="28">
        <v>205</v>
      </c>
      <c r="WI34" s="8">
        <v>8</v>
      </c>
      <c r="WJ34" s="28">
        <v>18</v>
      </c>
      <c r="WP34" s="2">
        <v>88</v>
      </c>
      <c r="WQ34" s="1">
        <v>37</v>
      </c>
      <c r="WR34" s="10"/>
      <c r="XB34" s="23">
        <v>80</v>
      </c>
      <c r="XC34" s="25">
        <v>19</v>
      </c>
      <c r="XE34">
        <v>395</v>
      </c>
      <c r="XF34" s="1">
        <v>85</v>
      </c>
      <c r="XG34" s="2">
        <v>7570</v>
      </c>
      <c r="XH34" s="10"/>
      <c r="XK34">
        <v>63</v>
      </c>
      <c r="XL34" s="1">
        <v>42</v>
      </c>
      <c r="XO34">
        <v>4309</v>
      </c>
      <c r="XP34" s="1">
        <v>1173</v>
      </c>
    </row>
    <row r="35" spans="3:640" x14ac:dyDescent="0.25">
      <c r="D35" s="3"/>
      <c r="G35" s="2">
        <v>-6</v>
      </c>
      <c r="I35" s="2">
        <v>23</v>
      </c>
      <c r="K35" s="2">
        <v>2324</v>
      </c>
      <c r="L35" s="1">
        <v>219</v>
      </c>
      <c r="M35">
        <v>266</v>
      </c>
      <c r="N35" s="1">
        <v>135</v>
      </c>
      <c r="O35" s="26"/>
      <c r="R35">
        <v>-109</v>
      </c>
      <c r="S35" s="12">
        <v>161</v>
      </c>
      <c r="T35">
        <v>5631</v>
      </c>
      <c r="U35" s="1">
        <v>67</v>
      </c>
      <c r="V35">
        <v>18</v>
      </c>
      <c r="W35" s="10">
        <v>202</v>
      </c>
      <c r="AB35">
        <v>5</v>
      </c>
      <c r="AC35" s="1">
        <v>67</v>
      </c>
      <c r="AD35">
        <v>38</v>
      </c>
      <c r="AE35" s="1">
        <v>7</v>
      </c>
      <c r="AF35">
        <v>-358</v>
      </c>
      <c r="AG35" s="1">
        <v>743</v>
      </c>
      <c r="AJ35" s="2">
        <v>3215</v>
      </c>
      <c r="AK35" s="10">
        <v>285</v>
      </c>
      <c r="AQ35">
        <v>2767</v>
      </c>
      <c r="AR35" s="1">
        <v>11897</v>
      </c>
      <c r="AY35">
        <v>-27</v>
      </c>
      <c r="AZ35" s="1">
        <v>4</v>
      </c>
      <c r="BA35">
        <v>218</v>
      </c>
      <c r="BB35" s="1">
        <v>558</v>
      </c>
      <c r="BD35" s="8">
        <v>67</v>
      </c>
      <c r="BE35" s="1">
        <v>131</v>
      </c>
      <c r="BF35">
        <v>1072</v>
      </c>
      <c r="BG35" s="1">
        <v>398</v>
      </c>
      <c r="BJ35">
        <v>-60</v>
      </c>
      <c r="BL35">
        <v>22</v>
      </c>
      <c r="BM35" s="1">
        <v>4</v>
      </c>
      <c r="BN35">
        <v>1</v>
      </c>
      <c r="BP35">
        <v>590</v>
      </c>
      <c r="BQ35" s="10">
        <v>1559</v>
      </c>
      <c r="BR35">
        <v>294</v>
      </c>
      <c r="BS35" s="1">
        <v>9356</v>
      </c>
      <c r="BT35">
        <f>146</f>
        <v>146</v>
      </c>
      <c r="BU35" s="1">
        <v>38</v>
      </c>
      <c r="BV35">
        <v>-49</v>
      </c>
      <c r="BW35" s="1">
        <v>19</v>
      </c>
      <c r="CA35" s="8">
        <v>210</v>
      </c>
      <c r="CB35" s="28">
        <v>317</v>
      </c>
      <c r="CE35" s="8">
        <v>81</v>
      </c>
      <c r="CF35" s="28">
        <v>14</v>
      </c>
      <c r="CG35" s="8">
        <v>289</v>
      </c>
      <c r="CI35" s="8">
        <v>392</v>
      </c>
      <c r="CJ35" s="12">
        <v>104</v>
      </c>
      <c r="CK35" s="8">
        <v>-84</v>
      </c>
      <c r="CL35" s="28">
        <v>24</v>
      </c>
      <c r="CM35" s="6">
        <v>-937</v>
      </c>
      <c r="CN35" s="28">
        <v>122</v>
      </c>
      <c r="CO35" s="6">
        <v>21</v>
      </c>
      <c r="CP35" s="28"/>
      <c r="CQ35" s="6">
        <v>172</v>
      </c>
      <c r="CR35" s="12">
        <v>395</v>
      </c>
      <c r="CS35" s="6">
        <v>-381</v>
      </c>
      <c r="CT35" s="28">
        <v>157</v>
      </c>
      <c r="CU35" s="28"/>
      <c r="CV35" s="28"/>
      <c r="CW35" s="6"/>
      <c r="CX35" s="28"/>
      <c r="CZ35" s="23">
        <v>622</v>
      </c>
      <c r="DA35" s="25">
        <v>197</v>
      </c>
      <c r="DB35" s="23">
        <v>-143</v>
      </c>
      <c r="DC35" s="25">
        <v>5</v>
      </c>
      <c r="DD35" s="23">
        <v>-14</v>
      </c>
      <c r="DE35" s="25">
        <v>11</v>
      </c>
      <c r="DF35" s="86">
        <v>112</v>
      </c>
      <c r="DG35" s="25">
        <v>528</v>
      </c>
      <c r="DH35" s="23">
        <v>-66</v>
      </c>
      <c r="DI35" s="25">
        <v>10</v>
      </c>
      <c r="DJ35" s="23">
        <v>772</v>
      </c>
      <c r="DK35" s="28">
        <v>302</v>
      </c>
      <c r="DL35" s="8">
        <v>262</v>
      </c>
      <c r="DN35" s="8">
        <v>649</v>
      </c>
      <c r="DQ35" s="8">
        <v>-87</v>
      </c>
      <c r="DR35" s="52">
        <v>554</v>
      </c>
      <c r="DS35" s="6">
        <v>42</v>
      </c>
      <c r="DT35" s="52">
        <v>249</v>
      </c>
      <c r="DU35" s="8">
        <v>251</v>
      </c>
      <c r="DV35" s="28">
        <v>303</v>
      </c>
      <c r="DW35" s="8">
        <v>124</v>
      </c>
      <c r="DX35" s="28">
        <v>206</v>
      </c>
      <c r="DY35" s="6">
        <v>901</v>
      </c>
      <c r="DZ35" s="52">
        <v>524</v>
      </c>
      <c r="EA35" s="23">
        <v>787</v>
      </c>
      <c r="EB35" s="52">
        <v>630</v>
      </c>
      <c r="EC35" s="6">
        <v>70</v>
      </c>
      <c r="ED35" s="28">
        <v>482</v>
      </c>
      <c r="EE35" s="8">
        <v>980</v>
      </c>
      <c r="EF35" s="52">
        <v>420</v>
      </c>
      <c r="EG35" s="8">
        <v>224</v>
      </c>
      <c r="EH35" s="28">
        <v>373</v>
      </c>
      <c r="EI35" s="8">
        <v>98</v>
      </c>
      <c r="EJ35" s="52">
        <v>118</v>
      </c>
      <c r="EL35" s="8">
        <v>4</v>
      </c>
      <c r="EM35" s="28">
        <v>1</v>
      </c>
      <c r="EN35" s="8">
        <v>221</v>
      </c>
      <c r="EO35" s="28">
        <v>15</v>
      </c>
      <c r="EP35" s="6">
        <v>336</v>
      </c>
      <c r="EQ35" s="52">
        <v>277</v>
      </c>
      <c r="EX35" s="8">
        <v>-778</v>
      </c>
      <c r="EY35" s="28">
        <v>742</v>
      </c>
      <c r="EZ35" s="8">
        <v>8</v>
      </c>
      <c r="FA35" s="52">
        <v>263</v>
      </c>
      <c r="FD35" s="6">
        <v>222</v>
      </c>
      <c r="FE35" s="28">
        <v>565</v>
      </c>
      <c r="FF35" s="8">
        <v>541</v>
      </c>
      <c r="FG35" s="28">
        <v>106</v>
      </c>
      <c r="FH35" s="8">
        <v>103</v>
      </c>
      <c r="FI35" s="28">
        <v>15</v>
      </c>
      <c r="FM35" s="8">
        <v>3</v>
      </c>
      <c r="FN35" s="52">
        <v>3</v>
      </c>
      <c r="FO35" s="8">
        <v>-58</v>
      </c>
      <c r="FP35" s="28">
        <v>21</v>
      </c>
      <c r="FQ35" s="8">
        <v>-57</v>
      </c>
      <c r="FR35" s="28">
        <v>2</v>
      </c>
      <c r="FS35" s="8">
        <v>-791</v>
      </c>
      <c r="FT35" s="52">
        <v>74</v>
      </c>
      <c r="FV35" s="8">
        <v>39</v>
      </c>
      <c r="FW35" s="28">
        <v>84</v>
      </c>
      <c r="GA35" s="8">
        <v>129</v>
      </c>
      <c r="GB35" s="52">
        <v>124</v>
      </c>
      <c r="GC35" s="8">
        <v>201</v>
      </c>
      <c r="GE35" s="8">
        <v>253</v>
      </c>
      <c r="GF35" s="28">
        <v>71</v>
      </c>
      <c r="GI35" s="8">
        <v>-77</v>
      </c>
      <c r="GJ35" s="28">
        <v>67</v>
      </c>
      <c r="GK35" s="8">
        <v>246</v>
      </c>
      <c r="GL35" s="28">
        <v>301</v>
      </c>
      <c r="GN35" s="8">
        <v>913</v>
      </c>
      <c r="GO35" s="28">
        <v>379</v>
      </c>
      <c r="GP35" s="8">
        <v>-19</v>
      </c>
      <c r="GQ35" s="52">
        <v>1166</v>
      </c>
      <c r="GR35" s="8">
        <v>52</v>
      </c>
      <c r="GS35" s="28">
        <v>117</v>
      </c>
      <c r="GT35" s="6">
        <v>374</v>
      </c>
      <c r="GU35" s="52">
        <v>367</v>
      </c>
      <c r="GV35" s="6">
        <v>-17</v>
      </c>
      <c r="GW35" s="28">
        <v>15</v>
      </c>
      <c r="GZ35" s="8">
        <v>-322</v>
      </c>
      <c r="HA35" s="28">
        <v>296</v>
      </c>
      <c r="HB35" s="6">
        <v>68</v>
      </c>
      <c r="HC35" s="28"/>
      <c r="HE35" s="8">
        <v>-76</v>
      </c>
      <c r="HF35" s="28">
        <v>116</v>
      </c>
      <c r="HG35" s="8">
        <v>108</v>
      </c>
      <c r="HJ35" s="28"/>
      <c r="HO35" s="8">
        <v>-45</v>
      </c>
      <c r="HP35" s="28">
        <v>928</v>
      </c>
      <c r="HQ35" s="6">
        <v>17</v>
      </c>
      <c r="HR35" s="28">
        <v>5</v>
      </c>
      <c r="HS35" s="8">
        <v>-2</v>
      </c>
      <c r="HT35" s="52">
        <v>67</v>
      </c>
      <c r="HV35" s="8">
        <v>-218</v>
      </c>
      <c r="HW35" s="28">
        <v>886</v>
      </c>
      <c r="HX35" s="8">
        <v>25</v>
      </c>
      <c r="HY35" s="28">
        <v>8</v>
      </c>
      <c r="HZ35" s="8">
        <v>6</v>
      </c>
      <c r="IB35" s="8">
        <v>-171</v>
      </c>
      <c r="IC35" s="28">
        <v>944</v>
      </c>
      <c r="ID35" s="8">
        <v>-187</v>
      </c>
      <c r="IE35" s="28">
        <v>428</v>
      </c>
      <c r="IH35" s="8">
        <v>865</v>
      </c>
      <c r="II35" s="28">
        <v>20</v>
      </c>
      <c r="IM35" s="8">
        <v>654</v>
      </c>
      <c r="IO35">
        <v>-204</v>
      </c>
      <c r="IP35" s="10">
        <v>5</v>
      </c>
      <c r="IS35" s="6">
        <v>227</v>
      </c>
      <c r="IT35" s="28">
        <v>243</v>
      </c>
      <c r="IU35" s="8">
        <v>175</v>
      </c>
      <c r="IV35" s="28">
        <v>151</v>
      </c>
      <c r="IW35" s="8">
        <v>-567</v>
      </c>
      <c r="IY35" s="8">
        <v>-810</v>
      </c>
      <c r="JA35" s="8">
        <v>160</v>
      </c>
      <c r="JB35" s="12">
        <v>801</v>
      </c>
      <c r="JH35" s="8">
        <v>355</v>
      </c>
      <c r="JI35" s="28">
        <v>147</v>
      </c>
      <c r="JJ35" s="8">
        <v>104</v>
      </c>
      <c r="JK35" s="28">
        <v>1</v>
      </c>
      <c r="JL35" s="8">
        <v>-893</v>
      </c>
      <c r="JM35" s="12">
        <v>93</v>
      </c>
      <c r="JN35" s="8">
        <v>-85</v>
      </c>
      <c r="JO35" s="28">
        <v>828</v>
      </c>
      <c r="JP35" s="6">
        <v>12</v>
      </c>
      <c r="JQ35" s="12">
        <v>348</v>
      </c>
      <c r="JT35" s="6">
        <v>574</v>
      </c>
      <c r="JU35" s="12">
        <v>835</v>
      </c>
      <c r="JW35" s="8">
        <v>-222</v>
      </c>
      <c r="JX35" s="12">
        <v>816</v>
      </c>
      <c r="JZ35" s="28"/>
      <c r="KA35" s="8">
        <v>121</v>
      </c>
      <c r="KB35" s="28">
        <v>45</v>
      </c>
      <c r="KE35" s="6">
        <v>-243</v>
      </c>
      <c r="KF35" s="12">
        <v>811</v>
      </c>
      <c r="KQ35" s="8">
        <v>30</v>
      </c>
      <c r="KR35" s="28">
        <v>7</v>
      </c>
      <c r="KT35" s="8">
        <v>16</v>
      </c>
      <c r="KU35" s="28">
        <v>9</v>
      </c>
      <c r="KV35" s="8">
        <v>-117</v>
      </c>
      <c r="KZ35" s="8">
        <v>439</v>
      </c>
      <c r="LA35" s="12">
        <v>170</v>
      </c>
      <c r="LD35" s="8">
        <v>367</v>
      </c>
      <c r="LE35" s="28">
        <v>140</v>
      </c>
      <c r="LF35" s="8">
        <v>-7</v>
      </c>
      <c r="LG35" s="28">
        <v>5</v>
      </c>
      <c r="LH35" s="8">
        <v>969</v>
      </c>
      <c r="LJ35" s="8">
        <v>261</v>
      </c>
      <c r="LK35" s="28">
        <v>200</v>
      </c>
      <c r="LL35" s="8">
        <v>5</v>
      </c>
      <c r="LM35" s="28">
        <v>9</v>
      </c>
      <c r="LN35" s="8">
        <v>-327</v>
      </c>
      <c r="LO35" s="28">
        <v>157</v>
      </c>
      <c r="LS35" s="8">
        <v>79</v>
      </c>
      <c r="LU35" s="8">
        <v>244</v>
      </c>
      <c r="LV35" s="12">
        <v>430</v>
      </c>
      <c r="LW35" s="8">
        <v>-4</v>
      </c>
      <c r="LX35" s="28">
        <v>102</v>
      </c>
      <c r="LZ35" s="8">
        <v>606</v>
      </c>
      <c r="MF35" s="8">
        <v>629</v>
      </c>
      <c r="MG35" s="12">
        <v>356</v>
      </c>
      <c r="MN35" s="8">
        <v>470</v>
      </c>
      <c r="MO35" s="28">
        <v>194</v>
      </c>
      <c r="MS35" s="8">
        <v>680</v>
      </c>
      <c r="MT35" s="12">
        <v>929</v>
      </c>
      <c r="MU35" s="8">
        <v>25</v>
      </c>
      <c r="MV35" s="28">
        <v>25</v>
      </c>
      <c r="NC35" s="8">
        <v>158</v>
      </c>
      <c r="ND35" s="12">
        <v>232</v>
      </c>
      <c r="NE35" s="8">
        <v>-245</v>
      </c>
      <c r="NF35" s="28">
        <v>123</v>
      </c>
      <c r="NG35" s="8">
        <v>202</v>
      </c>
      <c r="NH35" s="28">
        <v>22</v>
      </c>
      <c r="NI35" s="8">
        <v>129</v>
      </c>
      <c r="NJ35" s="28">
        <v>3</v>
      </c>
      <c r="NL35" s="8">
        <v>64</v>
      </c>
      <c r="NM35" s="28">
        <v>83</v>
      </c>
      <c r="NN35" s="8">
        <v>130</v>
      </c>
      <c r="NO35" s="28">
        <v>108</v>
      </c>
      <c r="NP35" s="8">
        <v>84</v>
      </c>
      <c r="NQ35" s="12">
        <v>151</v>
      </c>
      <c r="NR35" s="8">
        <v>124</v>
      </c>
      <c r="NS35" s="12">
        <v>31</v>
      </c>
      <c r="NU35" s="8">
        <v>27</v>
      </c>
      <c r="NV35" s="12">
        <v>107</v>
      </c>
      <c r="NW35" s="8">
        <v>252</v>
      </c>
      <c r="NX35" s="28">
        <v>183</v>
      </c>
      <c r="NY35" s="8">
        <v>332</v>
      </c>
      <c r="NZ35" s="12">
        <v>224</v>
      </c>
      <c r="OA35" s="8">
        <v>66</v>
      </c>
      <c r="OB35" s="28">
        <v>22</v>
      </c>
      <c r="OC35" s="8">
        <v>-423</v>
      </c>
      <c r="OD35" s="12">
        <v>833</v>
      </c>
      <c r="OE35" s="8">
        <v>160</v>
      </c>
      <c r="OG35" s="28">
        <v>516</v>
      </c>
      <c r="OO35" s="8">
        <v>71</v>
      </c>
      <c r="OP35" s="28">
        <v>94</v>
      </c>
      <c r="OU35" s="12"/>
      <c r="OV35" s="8">
        <v>774</v>
      </c>
      <c r="PA35" s="8">
        <v>91</v>
      </c>
      <c r="PC35" s="8">
        <v>-259</v>
      </c>
      <c r="PD35" s="28">
        <v>168</v>
      </c>
      <c r="PE35" s="8">
        <v>-63</v>
      </c>
      <c r="PF35" s="12">
        <v>36</v>
      </c>
      <c r="PJ35" s="8">
        <v>17</v>
      </c>
      <c r="PK35" s="12">
        <v>379</v>
      </c>
      <c r="PL35" s="8">
        <v>397</v>
      </c>
      <c r="PM35" s="28">
        <v>54</v>
      </c>
      <c r="PP35" s="8">
        <v>115</v>
      </c>
      <c r="PQ35" s="28">
        <v>11</v>
      </c>
      <c r="PR35" s="28"/>
      <c r="PS35" s="8">
        <v>2</v>
      </c>
      <c r="PT35" s="12">
        <v>107</v>
      </c>
      <c r="PW35" s="8">
        <v>69</v>
      </c>
      <c r="PX35" s="28">
        <v>124</v>
      </c>
      <c r="QC35" s="8">
        <v>104</v>
      </c>
      <c r="QD35" s="12">
        <v>603</v>
      </c>
      <c r="QE35" s="8">
        <v>258</v>
      </c>
      <c r="QF35" s="12">
        <v>312</v>
      </c>
      <c r="QH35" s="8">
        <v>-188</v>
      </c>
      <c r="QI35" s="12">
        <v>239</v>
      </c>
      <c r="QJ35" s="8">
        <v>-43</v>
      </c>
      <c r="QQ35" s="8">
        <v>59</v>
      </c>
      <c r="QR35" s="12">
        <v>725</v>
      </c>
      <c r="QT35" s="8">
        <v>446</v>
      </c>
      <c r="QU35" s="12">
        <v>452</v>
      </c>
      <c r="QV35" s="6">
        <v>-125</v>
      </c>
      <c r="QW35" s="12">
        <v>217</v>
      </c>
      <c r="QY35" s="8">
        <v>216</v>
      </c>
      <c r="QZ35" s="12">
        <v>327</v>
      </c>
      <c r="RA35" s="8">
        <v>-299</v>
      </c>
      <c r="RB35" s="12">
        <v>242</v>
      </c>
      <c r="RC35" s="6">
        <v>5</v>
      </c>
      <c r="RD35" s="12">
        <v>298</v>
      </c>
      <c r="RE35" s="6">
        <v>-522</v>
      </c>
      <c r="RF35" s="12">
        <v>148</v>
      </c>
      <c r="RG35" s="8">
        <v>359</v>
      </c>
      <c r="RH35" s="28">
        <v>225</v>
      </c>
      <c r="RJ35" s="8">
        <v>-106</v>
      </c>
      <c r="RK35" s="12">
        <v>206</v>
      </c>
      <c r="RL35" s="8">
        <v>-1</v>
      </c>
      <c r="RM35" s="12">
        <v>314</v>
      </c>
      <c r="RQ35" s="9"/>
      <c r="RR35" s="9"/>
      <c r="RS35" s="55">
        <f>126</f>
        <v>126</v>
      </c>
      <c r="RT35" s="50">
        <v>198</v>
      </c>
      <c r="RV35" s="8">
        <v>584</v>
      </c>
      <c r="RW35" s="52">
        <v>197</v>
      </c>
      <c r="RY35" s="48" t="s">
        <v>150</v>
      </c>
      <c r="RZ35" s="49" t="s">
        <v>174</v>
      </c>
      <c r="SA35" s="8">
        <v>4</v>
      </c>
      <c r="SB35" s="28">
        <v>6</v>
      </c>
      <c r="SF35" s="8">
        <v>697</v>
      </c>
      <c r="SG35" s="12">
        <v>50</v>
      </c>
      <c r="SP35" s="8">
        <v>-721</v>
      </c>
      <c r="SQ35" s="12">
        <v>252</v>
      </c>
      <c r="SW35" s="8">
        <v>-258</v>
      </c>
      <c r="SX35" s="28">
        <v>100</v>
      </c>
      <c r="SY35" s="6">
        <v>453</v>
      </c>
      <c r="SZ35" s="28">
        <v>476</v>
      </c>
      <c r="TA35" s="6"/>
      <c r="TB35" s="6"/>
      <c r="TC35" s="8">
        <v>-201</v>
      </c>
      <c r="TD35" s="28">
        <v>72</v>
      </c>
      <c r="TH35" s="8">
        <v>196</v>
      </c>
      <c r="TI35" s="28">
        <v>231</v>
      </c>
      <c r="TM35" s="8">
        <v>83</v>
      </c>
      <c r="TN35" s="28">
        <v>34</v>
      </c>
      <c r="TP35" s="28"/>
      <c r="TQ35" s="8">
        <v>-19</v>
      </c>
      <c r="TX35" s="8">
        <v>-506</v>
      </c>
      <c r="TY35" s="28">
        <v>150</v>
      </c>
      <c r="TZ35" s="8">
        <v>152</v>
      </c>
      <c r="UA35" s="12">
        <v>575</v>
      </c>
      <c r="UE35" s="8">
        <v>254</v>
      </c>
      <c r="UG35" s="8">
        <v>364</v>
      </c>
      <c r="UH35" s="12">
        <v>352</v>
      </c>
      <c r="UI35" s="8">
        <v>264</v>
      </c>
      <c r="UJ35" s="12">
        <v>59</v>
      </c>
      <c r="UL35" s="8">
        <v>-116</v>
      </c>
      <c r="UN35" s="8">
        <v>488</v>
      </c>
      <c r="UO35" s="12">
        <v>33</v>
      </c>
      <c r="US35" s="8">
        <v>920</v>
      </c>
      <c r="UT35" s="12">
        <v>170</v>
      </c>
      <c r="UU35" s="8">
        <v>79</v>
      </c>
      <c r="UV35" s="12">
        <v>160</v>
      </c>
      <c r="UZ35" s="8">
        <v>151</v>
      </c>
      <c r="VA35" s="12">
        <v>271</v>
      </c>
      <c r="VB35" s="8">
        <v>118</v>
      </c>
      <c r="VC35" s="12">
        <v>784</v>
      </c>
      <c r="VD35" s="8">
        <v>109</v>
      </c>
      <c r="VE35" s="12">
        <v>512</v>
      </c>
      <c r="VF35" s="8">
        <v>627</v>
      </c>
      <c r="VG35" s="12">
        <v>778</v>
      </c>
      <c r="VH35" s="8">
        <v>316</v>
      </c>
      <c r="VI35" s="28">
        <v>163</v>
      </c>
      <c r="VL35" s="21"/>
      <c r="VM35" s="8">
        <v>3028</v>
      </c>
      <c r="VN35" s="12">
        <v>197</v>
      </c>
      <c r="VO35" s="12"/>
      <c r="VP35" s="12"/>
      <c r="VQ35" s="6">
        <v>928</v>
      </c>
      <c r="VR35" s="28">
        <v>263</v>
      </c>
      <c r="VS35" s="12"/>
      <c r="VT35" s="12"/>
      <c r="VV35" s="8">
        <v>-929</v>
      </c>
      <c r="VX35" s="8">
        <v>52</v>
      </c>
      <c r="VY35" s="12">
        <v>241</v>
      </c>
      <c r="VZ35" s="8">
        <v>7313</v>
      </c>
      <c r="WA35" s="28">
        <v>36</v>
      </c>
      <c r="WB35" s="8">
        <v>4448</v>
      </c>
      <c r="WC35" s="12">
        <v>705</v>
      </c>
      <c r="WG35" s="8">
        <v>539</v>
      </c>
      <c r="WH35" s="28">
        <v>197</v>
      </c>
      <c r="WI35" s="8">
        <v>3</v>
      </c>
      <c r="WJ35" s="28">
        <v>18</v>
      </c>
      <c r="WP35" s="2">
        <v>28</v>
      </c>
      <c r="WQ35" s="1">
        <v>13</v>
      </c>
      <c r="WR35" s="10"/>
      <c r="XB35" s="23">
        <v>-93</v>
      </c>
      <c r="XC35" s="25">
        <v>26</v>
      </c>
      <c r="XE35">
        <v>44865</v>
      </c>
      <c r="XF35" s="1">
        <v>6790</v>
      </c>
      <c r="XG35" s="2">
        <v>-23979</v>
      </c>
      <c r="XH35" s="10"/>
      <c r="XK35">
        <v>84</v>
      </c>
      <c r="XL35" s="1">
        <v>31</v>
      </c>
      <c r="XO35">
        <v>4253</v>
      </c>
      <c r="XP35" s="1">
        <v>944</v>
      </c>
    </row>
    <row r="36" spans="3:640" x14ac:dyDescent="0.25">
      <c r="G36" s="2">
        <v>5</v>
      </c>
      <c r="I36" s="2">
        <v>-17</v>
      </c>
      <c r="K36" s="2">
        <v>2568</v>
      </c>
      <c r="L36" s="1">
        <v>214</v>
      </c>
      <c r="M36">
        <v>147</v>
      </c>
      <c r="N36" s="1">
        <v>41</v>
      </c>
      <c r="O36" s="26"/>
      <c r="R36">
        <v>-309</v>
      </c>
      <c r="S36" s="12">
        <v>518</v>
      </c>
      <c r="T36">
        <v>-3451</v>
      </c>
      <c r="U36" s="1">
        <v>696</v>
      </c>
      <c r="V36">
        <v>24</v>
      </c>
      <c r="W36" s="10">
        <v>439</v>
      </c>
      <c r="AB36">
        <v>-59</v>
      </c>
      <c r="AC36" s="1">
        <v>23</v>
      </c>
      <c r="AD36">
        <v>39</v>
      </c>
      <c r="AE36" s="1">
        <v>7</v>
      </c>
      <c r="AF36">
        <v>1625</v>
      </c>
      <c r="AG36" s="1">
        <v>366</v>
      </c>
      <c r="AJ36" s="2">
        <v>3214</v>
      </c>
      <c r="AK36" s="10">
        <v>285</v>
      </c>
      <c r="AQ36">
        <v>-81</v>
      </c>
      <c r="AR36" s="1">
        <v>13975</v>
      </c>
      <c r="AY36">
        <v>-21617</v>
      </c>
      <c r="AZ36" s="1">
        <v>1506</v>
      </c>
      <c r="BA36">
        <v>-458</v>
      </c>
      <c r="BB36" s="1">
        <v>471</v>
      </c>
      <c r="BD36" s="8">
        <v>42</v>
      </c>
      <c r="BE36" s="1">
        <v>210</v>
      </c>
      <c r="BF36">
        <v>-207</v>
      </c>
      <c r="BG36" s="1">
        <v>107</v>
      </c>
      <c r="BJ36">
        <v>-51</v>
      </c>
      <c r="BL36">
        <v>52</v>
      </c>
      <c r="BM36" s="1">
        <v>5</v>
      </c>
      <c r="BN36">
        <v>41</v>
      </c>
      <c r="BP36">
        <v>388</v>
      </c>
      <c r="BQ36" s="10">
        <v>3761</v>
      </c>
      <c r="BR36">
        <v>252</v>
      </c>
      <c r="BS36" s="1">
        <v>285</v>
      </c>
      <c r="BT36">
        <v>191</v>
      </c>
      <c r="BU36" s="1">
        <v>156</v>
      </c>
      <c r="BV36">
        <v>139</v>
      </c>
      <c r="BW36" s="1">
        <v>29</v>
      </c>
      <c r="CA36" s="8">
        <v>-477</v>
      </c>
      <c r="CB36" s="28">
        <v>48</v>
      </c>
      <c r="CE36" s="8">
        <v>147</v>
      </c>
      <c r="CF36" s="28">
        <v>10</v>
      </c>
      <c r="CG36" s="8">
        <v>-311</v>
      </c>
      <c r="CI36" s="8">
        <v>-617</v>
      </c>
      <c r="CJ36" s="12">
        <v>12</v>
      </c>
      <c r="CK36" s="8">
        <v>37</v>
      </c>
      <c r="CL36" s="28">
        <v>15</v>
      </c>
      <c r="CM36" s="6">
        <v>290</v>
      </c>
      <c r="CN36" s="28">
        <v>407</v>
      </c>
      <c r="CO36" s="6">
        <v>79</v>
      </c>
      <c r="CP36" s="28"/>
      <c r="CQ36" s="6">
        <v>170</v>
      </c>
      <c r="CR36" s="12">
        <v>405</v>
      </c>
      <c r="CS36" s="6">
        <v>463</v>
      </c>
      <c r="CT36" s="28">
        <v>320</v>
      </c>
      <c r="CU36" s="28"/>
      <c r="CV36" s="28"/>
      <c r="CW36" s="6"/>
      <c r="CX36" s="28"/>
      <c r="CZ36" s="23">
        <v>-162</v>
      </c>
      <c r="DA36" s="25">
        <v>238</v>
      </c>
      <c r="DB36" s="23">
        <v>-171</v>
      </c>
      <c r="DC36" s="25">
        <v>6</v>
      </c>
      <c r="DD36" s="23">
        <v>-8</v>
      </c>
      <c r="DE36" s="25">
        <v>17</v>
      </c>
      <c r="DF36" s="86">
        <v>106</v>
      </c>
      <c r="DG36" s="25">
        <v>284</v>
      </c>
      <c r="DH36" s="23">
        <v>-66</v>
      </c>
      <c r="DI36" s="25">
        <v>85</v>
      </c>
      <c r="DJ36" s="23">
        <v>687</v>
      </c>
      <c r="DK36" s="28">
        <v>214</v>
      </c>
      <c r="DL36" s="8">
        <v>348</v>
      </c>
      <c r="DN36" s="8">
        <v>291</v>
      </c>
      <c r="DQ36" s="8">
        <v>-1</v>
      </c>
      <c r="DR36" s="52">
        <v>16</v>
      </c>
      <c r="DS36" s="6">
        <v>42</v>
      </c>
      <c r="DT36" s="52">
        <v>259</v>
      </c>
      <c r="DU36" s="8">
        <v>293</v>
      </c>
      <c r="DV36" s="28">
        <v>196</v>
      </c>
      <c r="DW36" s="8">
        <v>-339</v>
      </c>
      <c r="DX36" s="28">
        <v>82</v>
      </c>
      <c r="DY36" s="6">
        <v>738</v>
      </c>
      <c r="DZ36" s="52">
        <v>803</v>
      </c>
      <c r="EA36" s="23">
        <v>-48</v>
      </c>
      <c r="EB36" s="52">
        <v>285</v>
      </c>
      <c r="EC36" s="6">
        <v>3</v>
      </c>
      <c r="ED36" s="28">
        <v>454</v>
      </c>
      <c r="EE36" s="8">
        <v>-9</v>
      </c>
      <c r="EF36" s="52">
        <v>170</v>
      </c>
      <c r="EG36" s="8">
        <v>9</v>
      </c>
      <c r="EH36" s="28">
        <v>124</v>
      </c>
      <c r="EI36" s="8">
        <v>1</v>
      </c>
      <c r="EJ36" s="52">
        <v>543</v>
      </c>
      <c r="EL36" s="8">
        <v>702</v>
      </c>
      <c r="EM36" s="28">
        <v>725</v>
      </c>
      <c r="EN36" s="8">
        <v>-419</v>
      </c>
      <c r="EO36" s="28">
        <v>13</v>
      </c>
      <c r="EP36" s="6">
        <v>-197</v>
      </c>
      <c r="EQ36" s="52">
        <v>170</v>
      </c>
      <c r="EX36" s="8">
        <v>-291</v>
      </c>
      <c r="EY36" s="28">
        <v>805</v>
      </c>
      <c r="FA36" s="52"/>
      <c r="FD36" s="6">
        <v>-360</v>
      </c>
      <c r="FE36" s="28">
        <v>139</v>
      </c>
      <c r="FF36" s="8">
        <v>57</v>
      </c>
      <c r="FG36" s="28">
        <v>34</v>
      </c>
      <c r="FH36" s="8">
        <v>-784</v>
      </c>
      <c r="FI36" s="28">
        <v>153</v>
      </c>
      <c r="FM36" s="8">
        <v>303</v>
      </c>
      <c r="FN36" s="52">
        <v>249</v>
      </c>
      <c r="FO36" s="8">
        <v>867</v>
      </c>
      <c r="FP36" s="28">
        <v>155</v>
      </c>
      <c r="FQ36" s="8">
        <v>15</v>
      </c>
      <c r="FR36" s="28">
        <v>2</v>
      </c>
      <c r="FS36" s="8">
        <v>-109</v>
      </c>
      <c r="FT36" s="52">
        <v>95</v>
      </c>
      <c r="FV36" s="8">
        <v>-6</v>
      </c>
      <c r="FW36" s="28">
        <v>71</v>
      </c>
      <c r="GA36" s="8">
        <v>-722</v>
      </c>
      <c r="GB36" s="52">
        <v>235</v>
      </c>
      <c r="GC36" s="8">
        <v>-132</v>
      </c>
      <c r="GE36" s="8">
        <v>-30</v>
      </c>
      <c r="GF36" s="28">
        <v>10</v>
      </c>
      <c r="GI36" s="8">
        <v>25</v>
      </c>
      <c r="GJ36" s="28">
        <v>10</v>
      </c>
      <c r="GK36" s="8">
        <v>242</v>
      </c>
      <c r="GL36" s="28">
        <v>302</v>
      </c>
      <c r="GN36" s="8">
        <v>200</v>
      </c>
      <c r="GO36" s="28">
        <v>121</v>
      </c>
      <c r="GP36" s="8">
        <v>22</v>
      </c>
      <c r="GQ36" s="52">
        <v>205</v>
      </c>
      <c r="GR36" s="8">
        <v>-471</v>
      </c>
      <c r="GS36" s="28">
        <v>176</v>
      </c>
      <c r="GT36" s="6">
        <v>155</v>
      </c>
      <c r="GU36" s="52">
        <v>261</v>
      </c>
      <c r="GV36" s="6">
        <v>348</v>
      </c>
      <c r="GW36" s="28">
        <v>114</v>
      </c>
      <c r="GZ36" s="8">
        <v>-688</v>
      </c>
      <c r="HA36" s="28">
        <v>268</v>
      </c>
      <c r="HB36" s="6">
        <v>46</v>
      </c>
      <c r="HC36" s="28"/>
      <c r="HE36" s="8">
        <v>-7</v>
      </c>
      <c r="HF36" s="28">
        <v>75</v>
      </c>
      <c r="HG36" s="8">
        <v>141</v>
      </c>
      <c r="HJ36" s="28"/>
      <c r="HO36" s="8">
        <v>-310</v>
      </c>
      <c r="HP36" s="28">
        <v>589</v>
      </c>
      <c r="HQ36" s="6">
        <v>9</v>
      </c>
      <c r="HR36" s="28">
        <v>8</v>
      </c>
      <c r="HS36" s="8">
        <v>-7</v>
      </c>
      <c r="HT36" s="52">
        <v>680</v>
      </c>
      <c r="HV36" s="8">
        <v>-655</v>
      </c>
      <c r="HW36" s="28">
        <v>197</v>
      </c>
      <c r="HX36" s="8">
        <v>30</v>
      </c>
      <c r="HY36" s="28">
        <v>6</v>
      </c>
      <c r="HZ36" s="8">
        <v>16</v>
      </c>
      <c r="IB36" s="8">
        <v>197</v>
      </c>
      <c r="IC36" s="28">
        <v>525</v>
      </c>
      <c r="ID36" s="8">
        <v>50</v>
      </c>
      <c r="IE36" s="28">
        <v>824</v>
      </c>
      <c r="IH36" s="8">
        <v>-121</v>
      </c>
      <c r="II36" s="28">
        <v>120</v>
      </c>
      <c r="IM36" s="8">
        <v>372</v>
      </c>
      <c r="IO36">
        <v>954</v>
      </c>
      <c r="IP36" s="10">
        <v>23</v>
      </c>
      <c r="IS36" s="6">
        <v>388</v>
      </c>
      <c r="IT36" s="28">
        <v>792</v>
      </c>
      <c r="IU36" s="8">
        <v>600</v>
      </c>
      <c r="IV36" s="28">
        <v>117</v>
      </c>
      <c r="IW36" s="8">
        <v>-931</v>
      </c>
      <c r="IY36" s="8">
        <v>-250</v>
      </c>
      <c r="JA36" s="8">
        <v>33</v>
      </c>
      <c r="JB36" s="12">
        <v>179</v>
      </c>
      <c r="JH36" s="8">
        <v>-205</v>
      </c>
      <c r="JI36" s="28">
        <v>239</v>
      </c>
      <c r="JJ36" s="8">
        <v>99</v>
      </c>
      <c r="JK36" s="28">
        <v>2</v>
      </c>
      <c r="JL36" s="8">
        <v>-22</v>
      </c>
      <c r="JM36" s="12">
        <v>45</v>
      </c>
      <c r="JN36" s="8">
        <v>3</v>
      </c>
      <c r="JO36" s="28">
        <v>652</v>
      </c>
      <c r="JP36" s="6">
        <v>147</v>
      </c>
      <c r="JQ36" s="12">
        <v>646</v>
      </c>
      <c r="JT36" s="6">
        <v>490</v>
      </c>
      <c r="JU36" s="12">
        <v>107</v>
      </c>
      <c r="JW36" s="8">
        <v>-125</v>
      </c>
      <c r="JX36" s="12">
        <v>403</v>
      </c>
      <c r="JZ36" s="28"/>
      <c r="KA36" s="8">
        <v>52</v>
      </c>
      <c r="KB36" s="28">
        <v>32</v>
      </c>
      <c r="KE36" s="6">
        <v>-65</v>
      </c>
      <c r="KF36" s="12">
        <v>154</v>
      </c>
      <c r="KQ36" s="8">
        <v>584</v>
      </c>
      <c r="KR36" s="28">
        <v>50</v>
      </c>
      <c r="KT36" s="8">
        <v>6</v>
      </c>
      <c r="KU36" s="28">
        <v>2</v>
      </c>
      <c r="KV36" s="8">
        <v>-397</v>
      </c>
      <c r="KZ36" s="8">
        <v>-20</v>
      </c>
      <c r="LA36" s="12">
        <v>8</v>
      </c>
      <c r="LD36" s="8">
        <v>178</v>
      </c>
      <c r="LE36" s="28">
        <v>371</v>
      </c>
      <c r="LF36" s="8">
        <v>-16</v>
      </c>
      <c r="LG36" s="28">
        <v>4</v>
      </c>
      <c r="LH36" s="8">
        <v>-334</v>
      </c>
      <c r="LJ36" s="8">
        <v>155</v>
      </c>
      <c r="LK36" s="28">
        <v>794</v>
      </c>
      <c r="LL36" s="8">
        <v>14</v>
      </c>
      <c r="LM36" s="28">
        <v>17</v>
      </c>
      <c r="LN36" s="8">
        <v>-260</v>
      </c>
      <c r="LO36" s="28">
        <v>134</v>
      </c>
      <c r="LS36" s="8">
        <v>83</v>
      </c>
      <c r="LU36" s="8">
        <v>-25</v>
      </c>
      <c r="LV36" s="12">
        <v>71</v>
      </c>
      <c r="LW36" s="8">
        <v>-516</v>
      </c>
      <c r="LX36" s="28">
        <v>181</v>
      </c>
      <c r="LZ36" s="8">
        <v>713</v>
      </c>
      <c r="MF36" s="8">
        <v>981</v>
      </c>
      <c r="MG36" s="12">
        <v>107</v>
      </c>
      <c r="MN36" s="8">
        <v>370</v>
      </c>
      <c r="MO36" s="28">
        <v>223</v>
      </c>
      <c r="MS36" s="8">
        <v>-84</v>
      </c>
      <c r="MT36" s="12">
        <v>576</v>
      </c>
      <c r="MU36" s="8">
        <v>28</v>
      </c>
      <c r="MV36" s="28">
        <v>19</v>
      </c>
      <c r="NC36" s="8">
        <v>71</v>
      </c>
      <c r="ND36" s="12">
        <v>19</v>
      </c>
      <c r="NE36" s="8">
        <v>710</v>
      </c>
      <c r="NF36" s="28">
        <v>266</v>
      </c>
      <c r="NG36" s="8">
        <v>336</v>
      </c>
      <c r="NH36" s="28">
        <v>25</v>
      </c>
      <c r="NI36" s="8">
        <v>53</v>
      </c>
      <c r="NJ36" s="28">
        <v>4</v>
      </c>
      <c r="NL36" s="8">
        <v>300</v>
      </c>
      <c r="NM36" s="28">
        <v>107</v>
      </c>
      <c r="NN36" s="8">
        <v>-589</v>
      </c>
      <c r="NO36" s="28">
        <v>329</v>
      </c>
      <c r="NP36" s="8">
        <v>348</v>
      </c>
      <c r="NQ36" s="12">
        <v>139</v>
      </c>
      <c r="NR36" s="8">
        <v>722</v>
      </c>
      <c r="NS36" s="12">
        <v>30</v>
      </c>
      <c r="NU36" s="8">
        <v>-463</v>
      </c>
      <c r="NV36" s="12">
        <v>48</v>
      </c>
      <c r="NW36" s="8">
        <v>665</v>
      </c>
      <c r="NX36" s="28">
        <v>491</v>
      </c>
      <c r="NY36" s="8">
        <v>998</v>
      </c>
      <c r="NZ36" s="12">
        <v>196</v>
      </c>
      <c r="OA36" s="8">
        <v>642</v>
      </c>
      <c r="OB36" s="28">
        <v>53</v>
      </c>
      <c r="OC36" s="8">
        <v>-472</v>
      </c>
      <c r="OD36" s="12">
        <v>353</v>
      </c>
      <c r="OE36" s="8">
        <v>-313</v>
      </c>
      <c r="OG36" s="28">
        <v>108</v>
      </c>
      <c r="OO36" s="8">
        <v>76</v>
      </c>
      <c r="OP36" s="28">
        <v>117</v>
      </c>
      <c r="OV36" s="8">
        <v>139</v>
      </c>
      <c r="PA36" s="8">
        <v>4</v>
      </c>
      <c r="PC36" s="8">
        <v>168</v>
      </c>
      <c r="PD36" s="28">
        <v>415</v>
      </c>
      <c r="PE36" s="8">
        <v>140</v>
      </c>
      <c r="PF36" s="12">
        <v>59</v>
      </c>
      <c r="PJ36" s="8">
        <v>40</v>
      </c>
      <c r="PK36" s="12">
        <v>130</v>
      </c>
      <c r="PL36" s="8">
        <v>515</v>
      </c>
      <c r="PM36" s="28">
        <v>66</v>
      </c>
      <c r="PP36" s="8">
        <v>275</v>
      </c>
      <c r="PQ36" s="28">
        <v>14</v>
      </c>
      <c r="PR36" s="28"/>
      <c r="PS36" s="8">
        <v>6</v>
      </c>
      <c r="PT36" s="12">
        <v>83</v>
      </c>
      <c r="PW36" s="8">
        <v>154</v>
      </c>
      <c r="PX36" s="28">
        <v>107</v>
      </c>
      <c r="QC36" s="8">
        <v>155</v>
      </c>
      <c r="QD36" s="12">
        <v>830</v>
      </c>
      <c r="QE36" s="8">
        <v>433</v>
      </c>
      <c r="QF36" s="12">
        <v>592</v>
      </c>
      <c r="QH36" s="8">
        <v>30</v>
      </c>
      <c r="QI36" s="12">
        <v>368</v>
      </c>
      <c r="QJ36" s="8">
        <v>-7</v>
      </c>
      <c r="QQ36" s="8">
        <v>-20</v>
      </c>
      <c r="QR36" s="12">
        <v>231</v>
      </c>
      <c r="QT36" s="8">
        <v>110</v>
      </c>
      <c r="QU36" s="12">
        <v>194</v>
      </c>
      <c r="QV36" s="6">
        <v>-508</v>
      </c>
      <c r="QW36" s="12">
        <v>130</v>
      </c>
      <c r="QY36" s="8">
        <v>235</v>
      </c>
      <c r="QZ36" s="12">
        <v>348</v>
      </c>
      <c r="RA36" s="8">
        <v>-218</v>
      </c>
      <c r="RB36" s="12">
        <v>162</v>
      </c>
      <c r="RC36" s="6">
        <v>935</v>
      </c>
      <c r="RD36" s="12">
        <v>21</v>
      </c>
      <c r="RE36" s="6">
        <v>-713</v>
      </c>
      <c r="RF36" s="12">
        <v>819</v>
      </c>
      <c r="RG36" s="8">
        <v>514</v>
      </c>
      <c r="RH36" s="28">
        <v>185</v>
      </c>
      <c r="RJ36" s="8">
        <v>-43</v>
      </c>
      <c r="RK36" s="12">
        <v>440</v>
      </c>
      <c r="RL36" s="8">
        <v>67</v>
      </c>
      <c r="RM36" s="12">
        <v>177</v>
      </c>
      <c r="RQ36" s="9"/>
      <c r="RR36" s="9"/>
      <c r="RS36" s="55">
        <v>87</v>
      </c>
      <c r="RT36" s="50">
        <v>227</v>
      </c>
      <c r="RV36" s="8">
        <v>5</v>
      </c>
      <c r="RW36" s="52">
        <v>207</v>
      </c>
      <c r="RY36" s="9">
        <v>24</v>
      </c>
      <c r="RZ36" s="50">
        <v>173</v>
      </c>
      <c r="SA36" s="8">
        <v>105</v>
      </c>
      <c r="SB36" s="28">
        <v>2</v>
      </c>
      <c r="SF36" s="8">
        <v>284</v>
      </c>
      <c r="SG36" s="12">
        <v>137</v>
      </c>
      <c r="SP36" s="8">
        <v>-198</v>
      </c>
      <c r="SQ36" s="12">
        <v>177</v>
      </c>
      <c r="SW36" s="8">
        <v>406</v>
      </c>
      <c r="SX36" s="28">
        <v>97</v>
      </c>
      <c r="SY36" s="6">
        <v>900</v>
      </c>
      <c r="SZ36" s="28">
        <v>262</v>
      </c>
      <c r="TA36" s="6"/>
      <c r="TB36" s="6"/>
      <c r="TC36" s="8">
        <v>171</v>
      </c>
      <c r="TD36" s="28">
        <v>89</v>
      </c>
      <c r="TH36" s="8">
        <v>192</v>
      </c>
      <c r="TI36" s="28">
        <v>206</v>
      </c>
      <c r="TM36" s="8">
        <v>101</v>
      </c>
      <c r="TN36" s="28">
        <v>5</v>
      </c>
      <c r="TP36" s="28"/>
      <c r="TQ36" s="8">
        <v>34</v>
      </c>
      <c r="TX36" s="8">
        <v>-474</v>
      </c>
      <c r="TY36" s="28">
        <v>115</v>
      </c>
      <c r="TZ36" s="8">
        <v>-193</v>
      </c>
      <c r="UA36" s="12">
        <v>387</v>
      </c>
      <c r="UE36" s="8">
        <v>120</v>
      </c>
      <c r="UG36" s="8">
        <v>381</v>
      </c>
      <c r="UH36" s="12">
        <v>526</v>
      </c>
      <c r="UI36" s="8">
        <v>-635</v>
      </c>
      <c r="UJ36" s="12">
        <v>187</v>
      </c>
      <c r="UL36" s="8">
        <v>-156</v>
      </c>
      <c r="UN36" s="8">
        <v>33</v>
      </c>
      <c r="UO36" s="12">
        <v>1</v>
      </c>
      <c r="US36" s="8">
        <v>178</v>
      </c>
      <c r="UT36" s="12">
        <v>527</v>
      </c>
      <c r="UU36" s="8">
        <v>79</v>
      </c>
      <c r="UV36" s="12">
        <v>160</v>
      </c>
      <c r="UZ36" s="8">
        <v>468</v>
      </c>
      <c r="VA36" s="12">
        <v>324</v>
      </c>
      <c r="VB36" s="8">
        <v>75</v>
      </c>
      <c r="VC36" s="12">
        <v>457</v>
      </c>
      <c r="VD36" s="8">
        <v>33</v>
      </c>
      <c r="VE36" s="12">
        <v>79</v>
      </c>
      <c r="VF36" s="8">
        <v>275</v>
      </c>
      <c r="VG36" s="12">
        <v>275</v>
      </c>
      <c r="VH36" s="8">
        <v>1406</v>
      </c>
      <c r="VI36" s="28">
        <v>728</v>
      </c>
      <c r="VL36" s="21"/>
      <c r="VM36" s="8">
        <v>4097</v>
      </c>
      <c r="VN36" s="12">
        <v>297</v>
      </c>
      <c r="VO36" s="12"/>
      <c r="VP36" s="12"/>
      <c r="VQ36" s="6">
        <v>107</v>
      </c>
      <c r="VR36" s="28">
        <v>267</v>
      </c>
      <c r="VS36" s="12"/>
      <c r="VT36" s="12"/>
      <c r="VV36" s="8">
        <v>7253</v>
      </c>
      <c r="VX36" s="8">
        <v>37</v>
      </c>
      <c r="VY36" s="12">
        <v>493</v>
      </c>
      <c r="VZ36" s="8">
        <v>687</v>
      </c>
      <c r="WA36" s="28">
        <v>88</v>
      </c>
      <c r="WB36" s="8">
        <v>3683</v>
      </c>
      <c r="WC36" s="12">
        <v>157</v>
      </c>
      <c r="WG36" s="8">
        <v>503</v>
      </c>
      <c r="WH36" s="28">
        <v>124</v>
      </c>
      <c r="WI36" s="8">
        <v>5879</v>
      </c>
      <c r="WJ36" s="28">
        <v>1068</v>
      </c>
      <c r="WP36" s="2">
        <v>115</v>
      </c>
      <c r="WQ36" s="1">
        <v>33</v>
      </c>
      <c r="WR36" s="10"/>
      <c r="XB36" s="23">
        <v>37</v>
      </c>
      <c r="XC36" s="25">
        <v>11</v>
      </c>
      <c r="XE36">
        <v>52999</v>
      </c>
      <c r="XF36" s="1">
        <v>17265</v>
      </c>
      <c r="XG36" s="2">
        <v>1560</v>
      </c>
      <c r="XH36" s="10"/>
      <c r="XK36">
        <v>72</v>
      </c>
      <c r="XL36" s="1">
        <v>25</v>
      </c>
      <c r="XO36">
        <v>-14</v>
      </c>
      <c r="XP36" s="1">
        <v>112</v>
      </c>
    </row>
    <row r="37" spans="3:640" x14ac:dyDescent="0.25">
      <c r="G37" s="2">
        <v>-3</v>
      </c>
      <c r="I37" s="2">
        <v>1923</v>
      </c>
      <c r="K37" s="2">
        <v>2546</v>
      </c>
      <c r="L37" s="1">
        <v>221</v>
      </c>
      <c r="M37">
        <v>297</v>
      </c>
      <c r="N37" s="1">
        <v>75</v>
      </c>
      <c r="O37" s="26"/>
      <c r="R37">
        <v>-295</v>
      </c>
      <c r="S37" s="12">
        <v>490</v>
      </c>
      <c r="T37">
        <v>-3491</v>
      </c>
      <c r="U37" s="1">
        <v>726</v>
      </c>
      <c r="V37">
        <v>-166</v>
      </c>
      <c r="W37" s="10">
        <v>229</v>
      </c>
      <c r="AB37">
        <v>-67</v>
      </c>
      <c r="AC37" s="1">
        <v>17</v>
      </c>
      <c r="AD37">
        <v>20</v>
      </c>
      <c r="AE37" s="1">
        <v>10</v>
      </c>
      <c r="AF37">
        <v>1668</v>
      </c>
      <c r="AG37" s="1">
        <v>836</v>
      </c>
      <c r="AJ37" s="2">
        <v>-13</v>
      </c>
      <c r="AK37" s="10">
        <v>136</v>
      </c>
      <c r="AQ37">
        <v>73734</v>
      </c>
      <c r="AR37" s="1">
        <v>11464</v>
      </c>
      <c r="AY37">
        <v>-2118</v>
      </c>
      <c r="AZ37" s="1">
        <v>192</v>
      </c>
      <c r="BA37">
        <v>-639</v>
      </c>
      <c r="BB37" s="1">
        <v>625</v>
      </c>
      <c r="BD37" s="8">
        <v>36</v>
      </c>
      <c r="BE37" s="1">
        <v>194</v>
      </c>
      <c r="BF37">
        <v>-4514</v>
      </c>
      <c r="BG37" s="1">
        <v>1233</v>
      </c>
      <c r="BJ37">
        <v>-41</v>
      </c>
      <c r="BL37">
        <v>2443</v>
      </c>
      <c r="BM37" s="1">
        <v>74</v>
      </c>
      <c r="BN37">
        <v>-48</v>
      </c>
      <c r="BP37">
        <v>626</v>
      </c>
      <c r="BQ37" s="10">
        <v>6727</v>
      </c>
      <c r="BR37">
        <v>265</v>
      </c>
      <c r="BS37" s="1">
        <v>343</v>
      </c>
      <c r="BT37">
        <v>-107</v>
      </c>
      <c r="BU37" s="1">
        <v>142</v>
      </c>
      <c r="BV37">
        <v>-27</v>
      </c>
      <c r="BW37" s="1">
        <v>20</v>
      </c>
      <c r="CA37" s="8">
        <v>147</v>
      </c>
      <c r="CB37" s="28">
        <v>164</v>
      </c>
      <c r="CE37" s="8">
        <v>222</v>
      </c>
      <c r="CF37" s="28">
        <v>12</v>
      </c>
      <c r="CG37" s="8">
        <v>-310</v>
      </c>
      <c r="CI37" s="8">
        <v>454</v>
      </c>
      <c r="CJ37" s="12">
        <v>4</v>
      </c>
      <c r="CK37" s="8">
        <v>40</v>
      </c>
      <c r="CL37" s="28">
        <v>17</v>
      </c>
      <c r="CM37" s="6">
        <v>298</v>
      </c>
      <c r="CN37" s="28">
        <v>135</v>
      </c>
      <c r="CO37" s="6">
        <v>149</v>
      </c>
      <c r="CP37" s="28"/>
      <c r="CQ37" s="6">
        <v>166</v>
      </c>
      <c r="CR37" s="12">
        <v>390</v>
      </c>
      <c r="CS37" s="6">
        <v>207</v>
      </c>
      <c r="CT37" s="28">
        <v>337</v>
      </c>
      <c r="CU37" s="28"/>
      <c r="CV37" s="28"/>
      <c r="CW37" s="6"/>
      <c r="CX37" s="28"/>
      <c r="CZ37" s="23">
        <v>192</v>
      </c>
      <c r="DA37" s="25">
        <v>635</v>
      </c>
      <c r="DB37" s="23">
        <v>133</v>
      </c>
      <c r="DC37" s="25">
        <v>6</v>
      </c>
      <c r="DD37" s="23">
        <v>-57</v>
      </c>
      <c r="DE37" s="25">
        <v>12</v>
      </c>
      <c r="DF37" s="86">
        <v>109</v>
      </c>
      <c r="DG37" s="25">
        <v>272</v>
      </c>
      <c r="DH37" s="14">
        <v>-201</v>
      </c>
      <c r="DI37" s="25">
        <v>93</v>
      </c>
      <c r="DJ37" s="23">
        <v>111</v>
      </c>
      <c r="DK37" s="28">
        <v>493</v>
      </c>
      <c r="DL37" s="8">
        <v>327</v>
      </c>
      <c r="DN37" s="8">
        <v>134</v>
      </c>
      <c r="DQ37" s="8">
        <v>-4</v>
      </c>
      <c r="DR37" s="52">
        <v>382</v>
      </c>
      <c r="DS37" s="6">
        <v>1</v>
      </c>
      <c r="DT37" s="52">
        <v>1</v>
      </c>
      <c r="DU37" s="8">
        <v>194</v>
      </c>
      <c r="DV37" s="28">
        <v>342</v>
      </c>
      <c r="DW37" s="8">
        <v>-14</v>
      </c>
      <c r="DX37" s="28">
        <v>1</v>
      </c>
      <c r="DY37" s="6">
        <v>-247</v>
      </c>
      <c r="DZ37" s="52">
        <v>140</v>
      </c>
      <c r="EA37" s="23">
        <v>-5</v>
      </c>
      <c r="EB37" s="52">
        <v>210</v>
      </c>
      <c r="EC37" s="6">
        <v>-183</v>
      </c>
      <c r="ED37" s="28">
        <v>435</v>
      </c>
      <c r="EE37" s="8">
        <v>88</v>
      </c>
      <c r="EF37" s="52">
        <v>69</v>
      </c>
      <c r="EG37" s="8">
        <v>-307</v>
      </c>
      <c r="EH37" s="28">
        <v>265</v>
      </c>
      <c r="EI37" s="8">
        <v>-8</v>
      </c>
      <c r="EJ37" s="52">
        <v>148</v>
      </c>
      <c r="EL37" s="8">
        <v>-253</v>
      </c>
      <c r="EM37" s="28">
        <v>713</v>
      </c>
      <c r="EN37" s="8">
        <v>85</v>
      </c>
      <c r="EO37" s="28">
        <v>3</v>
      </c>
      <c r="EP37" s="6">
        <v>151</v>
      </c>
      <c r="EQ37" s="52">
        <v>133</v>
      </c>
      <c r="EX37" s="8">
        <v>-86</v>
      </c>
      <c r="EY37" s="28">
        <v>678</v>
      </c>
      <c r="FA37" s="52"/>
      <c r="FD37" s="6">
        <v>-806</v>
      </c>
      <c r="FE37" s="28">
        <v>106</v>
      </c>
      <c r="FF37" s="8">
        <v>19</v>
      </c>
      <c r="FG37" s="28">
        <v>8</v>
      </c>
      <c r="FH37" s="8">
        <v>-185</v>
      </c>
      <c r="FI37" s="28">
        <v>341</v>
      </c>
      <c r="FM37" s="8">
        <v>-226</v>
      </c>
      <c r="FN37" s="52">
        <v>133</v>
      </c>
      <c r="FO37" s="8">
        <v>603</v>
      </c>
      <c r="FP37" s="28">
        <v>162</v>
      </c>
      <c r="FQ37" s="8">
        <v>-3</v>
      </c>
      <c r="FR37" s="28">
        <v>4</v>
      </c>
      <c r="FS37" s="8">
        <v>-111</v>
      </c>
      <c r="FT37" s="52">
        <v>100</v>
      </c>
      <c r="FV37" s="8">
        <v>53</v>
      </c>
      <c r="FW37" s="28">
        <v>52</v>
      </c>
      <c r="GA37" s="8">
        <v>452</v>
      </c>
      <c r="GB37" s="52">
        <v>517</v>
      </c>
      <c r="GC37" s="8">
        <v>-175</v>
      </c>
      <c r="GE37" s="8">
        <v>-184</v>
      </c>
      <c r="GF37" s="28">
        <v>259</v>
      </c>
      <c r="GI37" s="8">
        <v>22</v>
      </c>
      <c r="GJ37" s="28">
        <v>6</v>
      </c>
      <c r="GK37" s="8">
        <v>227</v>
      </c>
      <c r="GL37" s="28">
        <v>300</v>
      </c>
      <c r="GN37" s="8">
        <v>-650</v>
      </c>
      <c r="GO37" s="28">
        <v>140</v>
      </c>
      <c r="GP37" s="8">
        <v>46</v>
      </c>
      <c r="GQ37" s="52">
        <v>155</v>
      </c>
      <c r="GR37" s="8">
        <v>-327</v>
      </c>
      <c r="GS37" s="28">
        <v>102</v>
      </c>
      <c r="GT37" s="6">
        <v>-230</v>
      </c>
      <c r="GU37" s="52">
        <v>393</v>
      </c>
      <c r="GV37" s="6">
        <v>-984</v>
      </c>
      <c r="GW37" s="28">
        <v>619</v>
      </c>
      <c r="GZ37" s="8">
        <v>559</v>
      </c>
      <c r="HA37" s="28">
        <v>11</v>
      </c>
      <c r="HB37" s="6">
        <v>27</v>
      </c>
      <c r="HC37" s="28"/>
      <c r="HE37" s="8">
        <v>-33</v>
      </c>
      <c r="HF37" s="28">
        <v>42</v>
      </c>
      <c r="HG37" s="8">
        <v>-146</v>
      </c>
      <c r="HO37" s="8">
        <v>-834</v>
      </c>
      <c r="HP37" s="28">
        <v>317</v>
      </c>
      <c r="HQ37" s="6">
        <v>5</v>
      </c>
      <c r="HR37" s="28">
        <v>3</v>
      </c>
      <c r="HS37" s="8">
        <v>5</v>
      </c>
      <c r="HT37" s="52">
        <v>148</v>
      </c>
      <c r="HV37" s="8">
        <v>995</v>
      </c>
      <c r="HW37" s="28">
        <v>650</v>
      </c>
      <c r="HX37" s="8">
        <v>22</v>
      </c>
      <c r="HY37" s="28">
        <v>10</v>
      </c>
      <c r="HZ37" s="8">
        <v>-387</v>
      </c>
      <c r="IB37" s="8">
        <v>-116</v>
      </c>
      <c r="IC37" s="28">
        <v>149</v>
      </c>
      <c r="ID37" s="8">
        <v>-340</v>
      </c>
      <c r="IE37" s="28">
        <v>281</v>
      </c>
      <c r="IH37" s="8">
        <v>-281</v>
      </c>
      <c r="II37" s="28">
        <v>111</v>
      </c>
      <c r="IO37">
        <v>466</v>
      </c>
      <c r="IP37" s="10">
        <v>43</v>
      </c>
      <c r="IS37" s="6">
        <v>-55</v>
      </c>
      <c r="IT37" s="28">
        <v>99</v>
      </c>
      <c r="IU37" s="8">
        <v>161</v>
      </c>
      <c r="IV37" s="28">
        <v>121</v>
      </c>
      <c r="IW37" s="8">
        <v>-290</v>
      </c>
      <c r="IY37" s="8">
        <v>-500</v>
      </c>
      <c r="JA37" s="8">
        <v>58</v>
      </c>
      <c r="JB37" s="12">
        <v>150</v>
      </c>
      <c r="JH37" s="8">
        <v>74</v>
      </c>
      <c r="JI37" s="28">
        <v>176</v>
      </c>
      <c r="JJ37" s="8">
        <v>94</v>
      </c>
      <c r="JK37" s="28">
        <v>9</v>
      </c>
      <c r="JL37" s="8">
        <v>395</v>
      </c>
      <c r="JM37" s="12">
        <v>503</v>
      </c>
      <c r="JN37" s="8">
        <v>-42</v>
      </c>
      <c r="JO37" s="28">
        <v>738</v>
      </c>
      <c r="JP37" s="6">
        <v>-3</v>
      </c>
      <c r="JQ37" s="12">
        <v>519</v>
      </c>
      <c r="JT37" s="6">
        <v>133</v>
      </c>
      <c r="JU37" s="12">
        <v>450</v>
      </c>
      <c r="JW37" s="8">
        <v>-178</v>
      </c>
      <c r="JX37" s="12">
        <v>58</v>
      </c>
      <c r="JZ37" s="28"/>
      <c r="KA37" s="8">
        <v>101</v>
      </c>
      <c r="KB37" s="28">
        <v>16</v>
      </c>
      <c r="KE37" s="6">
        <v>-162</v>
      </c>
      <c r="KF37" s="12">
        <v>578</v>
      </c>
      <c r="KQ37" s="8">
        <v>595</v>
      </c>
      <c r="KR37" s="28">
        <v>53</v>
      </c>
      <c r="KT37" s="8">
        <v>-19</v>
      </c>
      <c r="KU37" s="28">
        <v>13</v>
      </c>
      <c r="KV37" s="8">
        <v>-431</v>
      </c>
      <c r="KZ37" s="8">
        <v>114</v>
      </c>
      <c r="LA37" s="12">
        <v>65</v>
      </c>
      <c r="LD37" s="8">
        <v>746</v>
      </c>
      <c r="LE37" s="28">
        <v>485</v>
      </c>
      <c r="LF37" s="8">
        <v>-2</v>
      </c>
      <c r="LG37" s="28">
        <v>5</v>
      </c>
      <c r="LH37" s="8">
        <v>735</v>
      </c>
      <c r="LJ37" s="8">
        <v>-110</v>
      </c>
      <c r="LK37" s="28">
        <v>147</v>
      </c>
      <c r="LL37" s="8">
        <v>76</v>
      </c>
      <c r="LM37" s="28">
        <v>1</v>
      </c>
      <c r="LN37" s="8">
        <v>-297</v>
      </c>
      <c r="LO37" s="28">
        <v>166</v>
      </c>
      <c r="LS37" s="8">
        <v>93</v>
      </c>
      <c r="LU37" s="8">
        <v>-50</v>
      </c>
      <c r="LV37" s="12">
        <v>88</v>
      </c>
      <c r="LW37" s="8">
        <v>125</v>
      </c>
      <c r="LX37" s="28">
        <v>223</v>
      </c>
      <c r="LZ37" s="8">
        <v>972</v>
      </c>
      <c r="MF37" s="8">
        <v>-103</v>
      </c>
      <c r="MG37" s="12">
        <v>181</v>
      </c>
      <c r="MN37" s="8">
        <v>242</v>
      </c>
      <c r="MO37" s="28">
        <v>744</v>
      </c>
      <c r="MS37" s="8">
        <v>-62</v>
      </c>
      <c r="MT37" s="12">
        <v>216</v>
      </c>
      <c r="MU37" s="8">
        <v>243</v>
      </c>
      <c r="MV37" s="28">
        <v>72</v>
      </c>
      <c r="NC37" s="8">
        <v>-669</v>
      </c>
      <c r="ND37" s="12">
        <v>201</v>
      </c>
      <c r="NE37" s="8">
        <v>329</v>
      </c>
      <c r="NF37" s="28">
        <v>299</v>
      </c>
      <c r="NG37" s="8">
        <v>447</v>
      </c>
      <c r="NH37" s="28">
        <v>33</v>
      </c>
      <c r="NI37" s="8">
        <v>164</v>
      </c>
      <c r="NJ37" s="28">
        <v>4</v>
      </c>
      <c r="NL37" s="8">
        <v>569</v>
      </c>
      <c r="NM37" s="28">
        <v>148</v>
      </c>
      <c r="NN37" s="8">
        <v>711</v>
      </c>
      <c r="NO37" s="28">
        <v>328</v>
      </c>
      <c r="NP37" s="8">
        <v>654</v>
      </c>
      <c r="NQ37" s="12">
        <v>161</v>
      </c>
      <c r="NR37" s="8">
        <v>-580</v>
      </c>
      <c r="NS37" s="12">
        <v>31</v>
      </c>
      <c r="NU37" s="8">
        <v>-482</v>
      </c>
      <c r="NV37" s="12">
        <v>200</v>
      </c>
      <c r="NW37" s="8">
        <v>475</v>
      </c>
      <c r="NX37" s="28">
        <v>510</v>
      </c>
      <c r="NY37" s="8">
        <v>-144</v>
      </c>
      <c r="NZ37" s="12">
        <v>100</v>
      </c>
      <c r="OA37" s="8">
        <v>134</v>
      </c>
      <c r="OB37" s="28">
        <v>36</v>
      </c>
      <c r="OC37" s="8">
        <v>-147</v>
      </c>
      <c r="OD37" s="12">
        <v>549</v>
      </c>
      <c r="OE37" s="8">
        <v>108</v>
      </c>
      <c r="OG37" s="28">
        <v>253</v>
      </c>
      <c r="OO37" s="8">
        <v>37</v>
      </c>
      <c r="OP37" s="28">
        <v>44</v>
      </c>
      <c r="OV37" s="8">
        <v>308</v>
      </c>
      <c r="PA37" s="8">
        <v>37</v>
      </c>
      <c r="PC37" s="8">
        <v>-540</v>
      </c>
      <c r="PD37" s="28">
        <v>194</v>
      </c>
      <c r="PE37" s="8">
        <v>36</v>
      </c>
      <c r="PF37" s="12">
        <v>25</v>
      </c>
      <c r="PJ37" s="8">
        <v>252</v>
      </c>
      <c r="PK37" s="12">
        <v>159</v>
      </c>
      <c r="PL37" s="8">
        <v>-31</v>
      </c>
      <c r="PM37" s="28">
        <v>5</v>
      </c>
      <c r="PP37" s="8">
        <v>119</v>
      </c>
      <c r="PQ37" s="28">
        <v>12</v>
      </c>
      <c r="PR37" s="28"/>
      <c r="PS37" s="8">
        <v>-13</v>
      </c>
      <c r="PT37" s="12">
        <v>198</v>
      </c>
      <c r="PW37" s="8">
        <v>276</v>
      </c>
      <c r="PX37" s="28">
        <v>55</v>
      </c>
      <c r="QE37" s="8">
        <v>329</v>
      </c>
      <c r="QF37" s="12">
        <v>830</v>
      </c>
      <c r="QH37" s="8">
        <v>169</v>
      </c>
      <c r="QI37" s="12">
        <v>386</v>
      </c>
      <c r="QJ37" s="8">
        <v>-15</v>
      </c>
      <c r="QQ37" s="8">
        <v>1</v>
      </c>
      <c r="QR37" s="12">
        <v>9</v>
      </c>
      <c r="QT37" s="8">
        <v>-105</v>
      </c>
      <c r="QU37" s="12">
        <v>255</v>
      </c>
      <c r="QV37" s="6">
        <v>-364</v>
      </c>
      <c r="QW37" s="12">
        <v>925</v>
      </c>
      <c r="QY37" s="8">
        <v>230</v>
      </c>
      <c r="QZ37" s="12">
        <v>326</v>
      </c>
      <c r="RA37" s="8">
        <v>162</v>
      </c>
      <c r="RB37" s="12">
        <v>210</v>
      </c>
      <c r="RC37" s="6">
        <v>-771</v>
      </c>
      <c r="RD37" s="12">
        <v>69</v>
      </c>
      <c r="RE37" s="6">
        <v>-69</v>
      </c>
      <c r="RF37" s="12">
        <v>514</v>
      </c>
      <c r="RG37" s="8">
        <v>-140</v>
      </c>
      <c r="RH37" s="28">
        <v>187</v>
      </c>
      <c r="RJ37" s="8">
        <v>247</v>
      </c>
      <c r="RK37" s="12">
        <v>157</v>
      </c>
      <c r="RL37" s="8">
        <v>-78</v>
      </c>
      <c r="RM37" s="12">
        <v>599</v>
      </c>
      <c r="RS37" s="6">
        <v>39</v>
      </c>
      <c r="RT37" s="50">
        <v>542</v>
      </c>
      <c r="RV37" s="8">
        <v>403</v>
      </c>
      <c r="RW37" s="52">
        <v>80</v>
      </c>
      <c r="RY37" s="8">
        <v>16</v>
      </c>
      <c r="RZ37" s="12">
        <v>126</v>
      </c>
      <c r="SA37" s="8">
        <v>97</v>
      </c>
      <c r="SB37" s="28">
        <v>1</v>
      </c>
      <c r="SF37" s="8">
        <v>502</v>
      </c>
      <c r="SG37" s="12">
        <v>447</v>
      </c>
      <c r="SP37" s="8">
        <v>14</v>
      </c>
      <c r="SQ37" s="12">
        <v>76</v>
      </c>
      <c r="SW37" s="8">
        <v>-15</v>
      </c>
      <c r="SX37" s="28">
        <v>17</v>
      </c>
      <c r="SY37" s="6">
        <v>152</v>
      </c>
      <c r="SZ37" s="28">
        <v>252</v>
      </c>
      <c r="TA37" s="6"/>
      <c r="TB37" s="6"/>
      <c r="TC37" s="8">
        <v>-398</v>
      </c>
      <c r="TD37" s="28">
        <v>98</v>
      </c>
      <c r="TH37" s="8">
        <v>216</v>
      </c>
      <c r="TI37" s="28">
        <v>240</v>
      </c>
      <c r="TM37" s="8">
        <v>64</v>
      </c>
      <c r="TN37" s="28">
        <v>9</v>
      </c>
      <c r="TP37" s="28"/>
      <c r="TQ37" s="8">
        <v>-29</v>
      </c>
      <c r="TX37" s="8">
        <v>-478</v>
      </c>
      <c r="TY37" s="28">
        <v>166</v>
      </c>
      <c r="TZ37" s="8">
        <v>-419</v>
      </c>
      <c r="UA37" s="12">
        <v>458</v>
      </c>
      <c r="UE37" s="8">
        <v>117</v>
      </c>
      <c r="UG37" s="8">
        <v>-172</v>
      </c>
      <c r="UH37" s="12">
        <v>236</v>
      </c>
      <c r="UI37" s="8">
        <v>139</v>
      </c>
      <c r="UJ37" s="12">
        <v>136</v>
      </c>
      <c r="UN37" s="8">
        <v>-549</v>
      </c>
      <c r="UO37" s="12">
        <v>184</v>
      </c>
      <c r="US37" s="8">
        <v>148</v>
      </c>
      <c r="UT37" s="12">
        <v>433</v>
      </c>
      <c r="UU37" s="8">
        <v>-35</v>
      </c>
      <c r="UV37" s="12">
        <v>38</v>
      </c>
      <c r="UZ37" s="8">
        <v>583</v>
      </c>
      <c r="VA37" s="12">
        <v>734</v>
      </c>
      <c r="VB37" s="8">
        <v>81</v>
      </c>
      <c r="VC37" s="12">
        <v>500</v>
      </c>
      <c r="VD37" s="8">
        <v>25</v>
      </c>
      <c r="VE37" s="12">
        <v>113</v>
      </c>
      <c r="VF37" s="8">
        <v>-166</v>
      </c>
      <c r="VG37" s="12">
        <v>132</v>
      </c>
      <c r="VH37" s="8">
        <v>208</v>
      </c>
      <c r="VI37" s="28">
        <v>162</v>
      </c>
      <c r="VL37" s="21"/>
      <c r="VM37" s="8">
        <v>2487</v>
      </c>
      <c r="VN37" s="12">
        <v>132</v>
      </c>
      <c r="VO37" s="12"/>
      <c r="VP37" s="12"/>
      <c r="VQ37" s="6">
        <v>773</v>
      </c>
      <c r="VR37" s="28">
        <v>421</v>
      </c>
      <c r="VS37" s="12"/>
      <c r="VT37" s="12"/>
      <c r="VV37" s="8">
        <v>-2697</v>
      </c>
      <c r="VX37" s="8">
        <v>67</v>
      </c>
      <c r="VY37" s="12">
        <v>156</v>
      </c>
      <c r="VZ37" s="8">
        <v>719</v>
      </c>
      <c r="WA37" s="28">
        <v>14</v>
      </c>
      <c r="WB37" s="8">
        <v>5206</v>
      </c>
      <c r="WC37" s="12">
        <v>986</v>
      </c>
      <c r="WG37" s="8">
        <v>1405</v>
      </c>
      <c r="WH37" s="28">
        <v>329</v>
      </c>
      <c r="WI37" s="8">
        <v>228</v>
      </c>
      <c r="WJ37" s="28">
        <v>45</v>
      </c>
      <c r="WP37" s="2">
        <v>149</v>
      </c>
      <c r="WQ37" s="1">
        <v>53</v>
      </c>
      <c r="WR37" s="10"/>
      <c r="XB37" s="23">
        <v>-7</v>
      </c>
      <c r="XC37" s="25">
        <v>21</v>
      </c>
      <c r="XE37">
        <v>-1251</v>
      </c>
      <c r="XF37" s="1">
        <v>774</v>
      </c>
      <c r="XG37" s="2">
        <v>40197</v>
      </c>
      <c r="XH37" s="10"/>
      <c r="XK37">
        <v>76</v>
      </c>
      <c r="XL37" s="1">
        <v>25</v>
      </c>
      <c r="XO37">
        <v>4</v>
      </c>
      <c r="XP37" s="1">
        <v>43</v>
      </c>
    </row>
    <row r="38" spans="3:640" x14ac:dyDescent="0.25">
      <c r="G38" s="2">
        <v>-1</v>
      </c>
      <c r="I38" s="2">
        <v>-343</v>
      </c>
      <c r="K38" s="2">
        <v>3296</v>
      </c>
      <c r="L38" s="1">
        <v>341</v>
      </c>
      <c r="M38">
        <v>559</v>
      </c>
      <c r="N38" s="1">
        <v>104</v>
      </c>
      <c r="O38" s="26"/>
      <c r="R38">
        <v>238</v>
      </c>
      <c r="S38" s="12">
        <v>672</v>
      </c>
      <c r="T38">
        <v>-3733</v>
      </c>
      <c r="U38" s="1">
        <v>67</v>
      </c>
      <c r="V38">
        <v>5</v>
      </c>
      <c r="W38" s="10">
        <v>165</v>
      </c>
      <c r="AB38">
        <v>-94</v>
      </c>
      <c r="AC38" s="1">
        <v>30</v>
      </c>
      <c r="AD38">
        <v>-3</v>
      </c>
      <c r="AE38" s="1">
        <v>9</v>
      </c>
      <c r="AF38">
        <v>1779</v>
      </c>
      <c r="AG38" s="1">
        <v>2643</v>
      </c>
      <c r="AJ38" s="2">
        <v>-11</v>
      </c>
      <c r="AK38" s="10">
        <v>117</v>
      </c>
      <c r="AQ38">
        <v>45370</v>
      </c>
      <c r="AR38" s="1">
        <v>8905</v>
      </c>
      <c r="AY38">
        <v>-24820</v>
      </c>
      <c r="AZ38" s="1">
        <v>6327</v>
      </c>
      <c r="BA38">
        <v>955</v>
      </c>
      <c r="BB38" s="1">
        <v>824</v>
      </c>
      <c r="BD38" s="8">
        <v>-252</v>
      </c>
      <c r="BE38" s="1">
        <v>225</v>
      </c>
      <c r="BF38">
        <v>112</v>
      </c>
      <c r="BG38" s="1">
        <v>154</v>
      </c>
      <c r="BJ38">
        <v>205</v>
      </c>
      <c r="BL38">
        <v>-28</v>
      </c>
      <c r="BM38" s="1">
        <v>5</v>
      </c>
      <c r="BN38">
        <v>-318</v>
      </c>
      <c r="BP38">
        <v>291</v>
      </c>
      <c r="BQ38" s="10">
        <v>1115</v>
      </c>
      <c r="BR38">
        <v>235</v>
      </c>
      <c r="BS38" s="1">
        <v>163</v>
      </c>
      <c r="BT38">
        <v>688</v>
      </c>
      <c r="BU38" s="1">
        <v>280</v>
      </c>
      <c r="BV38">
        <v>41</v>
      </c>
      <c r="BW38" s="1">
        <v>8</v>
      </c>
      <c r="CA38" s="8">
        <v>243</v>
      </c>
      <c r="CB38" s="28">
        <v>88</v>
      </c>
      <c r="CE38" s="8">
        <v>182</v>
      </c>
      <c r="CF38" s="28">
        <v>9</v>
      </c>
      <c r="CG38" s="8">
        <v>-304</v>
      </c>
      <c r="CI38" s="8">
        <v>327</v>
      </c>
      <c r="CJ38" s="12">
        <v>70</v>
      </c>
      <c r="CK38" s="8">
        <v>44</v>
      </c>
      <c r="CL38" s="28">
        <v>17</v>
      </c>
      <c r="CM38" s="6">
        <v>177</v>
      </c>
      <c r="CN38" s="28">
        <v>255</v>
      </c>
      <c r="CO38" s="6">
        <v>120</v>
      </c>
      <c r="CP38" s="28"/>
      <c r="CQ38" s="6">
        <v>680</v>
      </c>
      <c r="CR38" s="28"/>
      <c r="CS38" s="6">
        <v>336</v>
      </c>
      <c r="CT38" s="28">
        <v>532</v>
      </c>
      <c r="CU38" s="28"/>
      <c r="CV38" s="28"/>
      <c r="CW38" s="6"/>
      <c r="CX38" s="28"/>
      <c r="CZ38" s="23">
        <v>-532</v>
      </c>
      <c r="DA38" s="25">
        <v>304</v>
      </c>
      <c r="DB38" s="23">
        <v>126</v>
      </c>
      <c r="DC38" s="25">
        <v>12</v>
      </c>
      <c r="DD38" s="23">
        <v>26</v>
      </c>
      <c r="DE38" s="25">
        <v>8</v>
      </c>
      <c r="DF38" s="86">
        <v>110</v>
      </c>
      <c r="DG38" s="25">
        <v>278</v>
      </c>
      <c r="DH38" s="14">
        <v>-139</v>
      </c>
      <c r="DI38" s="25">
        <v>100</v>
      </c>
      <c r="DJ38" s="23">
        <v>22</v>
      </c>
      <c r="DK38" s="28">
        <v>216</v>
      </c>
      <c r="DL38" s="8">
        <v>210</v>
      </c>
      <c r="DN38" s="8">
        <v>310</v>
      </c>
      <c r="DQ38" s="8">
        <v>178</v>
      </c>
      <c r="DR38" s="52">
        <v>258</v>
      </c>
      <c r="DS38" s="6">
        <v>85</v>
      </c>
      <c r="DT38" s="52">
        <v>183</v>
      </c>
      <c r="DU38" s="8">
        <v>-120</v>
      </c>
      <c r="DV38" s="28">
        <v>190</v>
      </c>
      <c r="DW38" s="8">
        <v>240</v>
      </c>
      <c r="DX38" s="28">
        <v>479</v>
      </c>
      <c r="DY38" s="6">
        <v>-15</v>
      </c>
      <c r="DZ38" s="52">
        <v>88</v>
      </c>
      <c r="EA38" s="23">
        <v>-3</v>
      </c>
      <c r="EB38" s="52">
        <v>352</v>
      </c>
      <c r="EC38" s="6">
        <v>-93</v>
      </c>
      <c r="ED38" s="28">
        <v>419</v>
      </c>
      <c r="EE38" s="8">
        <v>156</v>
      </c>
      <c r="EF38" s="52">
        <v>577</v>
      </c>
      <c r="EG38" s="8">
        <v>251</v>
      </c>
      <c r="EH38" s="28">
        <v>181</v>
      </c>
      <c r="EI38" s="8">
        <v>-3</v>
      </c>
      <c r="EJ38" s="52">
        <v>160</v>
      </c>
      <c r="EL38" s="8">
        <v>413</v>
      </c>
      <c r="EM38" s="28">
        <v>663</v>
      </c>
      <c r="EN38" s="8">
        <v>115</v>
      </c>
      <c r="EO38" s="28">
        <v>17</v>
      </c>
      <c r="EP38" s="6">
        <v>-19</v>
      </c>
      <c r="EQ38" s="52">
        <v>201</v>
      </c>
      <c r="EX38" s="8">
        <v>-523</v>
      </c>
      <c r="EY38" s="28">
        <v>326</v>
      </c>
      <c r="FA38" s="52"/>
      <c r="FD38" s="6">
        <v>727</v>
      </c>
      <c r="FE38" s="28">
        <v>155</v>
      </c>
      <c r="FF38" s="8">
        <v>-564</v>
      </c>
      <c r="FG38" s="28">
        <v>273</v>
      </c>
      <c r="FH38" s="8">
        <v>-308</v>
      </c>
      <c r="FI38" s="28">
        <v>708</v>
      </c>
      <c r="FM38" s="8">
        <v>267</v>
      </c>
      <c r="FN38" s="52">
        <v>151</v>
      </c>
      <c r="FO38" s="8">
        <v>636</v>
      </c>
      <c r="FP38" s="28">
        <v>193</v>
      </c>
      <c r="FQ38" s="8">
        <v>-52</v>
      </c>
      <c r="FR38" s="28">
        <v>11</v>
      </c>
      <c r="FS38" s="8">
        <v>-786</v>
      </c>
      <c r="FT38" s="52">
        <v>73</v>
      </c>
      <c r="FV38" s="8">
        <v>2</v>
      </c>
      <c r="FW38" s="28">
        <v>97</v>
      </c>
      <c r="GA38" s="8">
        <v>653</v>
      </c>
      <c r="GB38" s="52">
        <v>119</v>
      </c>
      <c r="GC38" s="8">
        <v>-724</v>
      </c>
      <c r="GE38" s="8">
        <v>765</v>
      </c>
      <c r="GF38" s="28">
        <v>140</v>
      </c>
      <c r="GI38" s="8">
        <v>-5</v>
      </c>
      <c r="GJ38" s="28">
        <v>8</v>
      </c>
      <c r="GK38" s="8">
        <v>127</v>
      </c>
      <c r="GL38" s="28">
        <v>754</v>
      </c>
      <c r="GN38" s="8">
        <v>268</v>
      </c>
      <c r="GO38" s="28">
        <v>289</v>
      </c>
      <c r="GP38" s="8">
        <v>-32</v>
      </c>
      <c r="GQ38" s="52">
        <v>431</v>
      </c>
      <c r="GR38" s="8">
        <v>-375</v>
      </c>
      <c r="GS38" s="28">
        <v>191</v>
      </c>
      <c r="GT38" s="6">
        <v>-132</v>
      </c>
      <c r="GU38" s="52">
        <v>101</v>
      </c>
      <c r="GV38" s="6">
        <v>-466</v>
      </c>
      <c r="GW38" s="28">
        <v>305</v>
      </c>
      <c r="GZ38" s="8">
        <v>368</v>
      </c>
      <c r="HA38" s="28">
        <v>6</v>
      </c>
      <c r="HB38" s="6">
        <v>-68</v>
      </c>
      <c r="HC38" s="28"/>
      <c r="HE38" s="8">
        <v>-39</v>
      </c>
      <c r="HF38" s="28">
        <v>320</v>
      </c>
      <c r="HG38" s="8">
        <v>111</v>
      </c>
      <c r="HO38" s="8">
        <v>-173</v>
      </c>
      <c r="HP38" s="28">
        <v>741</v>
      </c>
      <c r="HQ38" s="6">
        <v>3</v>
      </c>
      <c r="HR38" s="28">
        <v>2</v>
      </c>
      <c r="HS38" s="8">
        <v>-10</v>
      </c>
      <c r="HT38" s="52">
        <v>431</v>
      </c>
      <c r="HX38" s="8">
        <v>31</v>
      </c>
      <c r="HY38" s="28">
        <v>7</v>
      </c>
      <c r="HZ38" s="8">
        <v>4</v>
      </c>
      <c r="IB38" s="8">
        <v>966</v>
      </c>
      <c r="IC38" s="28">
        <v>192</v>
      </c>
      <c r="ID38" s="8">
        <v>570</v>
      </c>
      <c r="IE38" s="28">
        <v>16</v>
      </c>
      <c r="IH38" s="8">
        <v>182</v>
      </c>
      <c r="II38" s="28">
        <v>122</v>
      </c>
      <c r="IO38">
        <v>389</v>
      </c>
      <c r="IP38" s="10">
        <v>29</v>
      </c>
      <c r="IS38" s="6">
        <v>-275</v>
      </c>
      <c r="IT38" s="28">
        <v>181</v>
      </c>
      <c r="IU38" s="8">
        <v>-472</v>
      </c>
      <c r="IV38" s="28">
        <v>121</v>
      </c>
      <c r="IW38" s="8">
        <v>437</v>
      </c>
      <c r="IY38" s="8">
        <v>305</v>
      </c>
      <c r="JA38" s="8">
        <v>33</v>
      </c>
      <c r="JB38" s="12">
        <v>101</v>
      </c>
      <c r="JH38" s="8">
        <v>-133</v>
      </c>
      <c r="JI38" s="28">
        <v>719</v>
      </c>
      <c r="JJ38" s="8">
        <v>103</v>
      </c>
      <c r="JK38" s="28">
        <v>1</v>
      </c>
      <c r="JL38" s="8">
        <v>-539</v>
      </c>
      <c r="JM38" s="12">
        <v>294</v>
      </c>
      <c r="JN38" s="8">
        <v>-111</v>
      </c>
      <c r="JO38" s="28">
        <v>111</v>
      </c>
      <c r="JP38" s="6">
        <v>-22</v>
      </c>
      <c r="JQ38" s="12">
        <v>117</v>
      </c>
      <c r="JT38" s="6">
        <v>455</v>
      </c>
      <c r="JU38" s="12">
        <v>428</v>
      </c>
      <c r="JW38" s="8">
        <v>-773</v>
      </c>
      <c r="JX38" s="12">
        <v>753</v>
      </c>
      <c r="JZ38" s="28"/>
      <c r="KA38" s="8">
        <v>254</v>
      </c>
      <c r="KB38" s="28">
        <v>25</v>
      </c>
      <c r="KE38" s="6">
        <v>57</v>
      </c>
      <c r="KF38" s="12">
        <v>250</v>
      </c>
      <c r="KQ38" s="8">
        <v>513</v>
      </c>
      <c r="KR38" s="28">
        <v>67</v>
      </c>
      <c r="KT38" s="8">
        <v>-154</v>
      </c>
      <c r="KU38" s="28">
        <v>8</v>
      </c>
      <c r="KV38" s="8">
        <v>-531</v>
      </c>
      <c r="KZ38" s="8">
        <v>-532</v>
      </c>
      <c r="LA38" s="12">
        <v>174</v>
      </c>
      <c r="LD38" s="8">
        <v>293</v>
      </c>
      <c r="LE38" s="28">
        <v>134</v>
      </c>
      <c r="LF38" s="8">
        <v>-22</v>
      </c>
      <c r="LG38" s="28">
        <v>24</v>
      </c>
      <c r="LH38" s="8">
        <v>-565</v>
      </c>
      <c r="LJ38" s="8">
        <v>530</v>
      </c>
      <c r="LK38" s="28">
        <v>274</v>
      </c>
      <c r="LL38" s="8">
        <v>-26</v>
      </c>
      <c r="LM38" s="28">
        <v>11</v>
      </c>
      <c r="LN38" s="8">
        <v>-316</v>
      </c>
      <c r="LO38" s="28">
        <v>133</v>
      </c>
      <c r="LS38" s="8">
        <v>195</v>
      </c>
      <c r="LU38" s="8">
        <v>-7</v>
      </c>
      <c r="LV38" s="12">
        <v>14</v>
      </c>
      <c r="LW38" s="8">
        <v>92</v>
      </c>
      <c r="LX38" s="28">
        <v>212</v>
      </c>
      <c r="LZ38" s="8">
        <v>890</v>
      </c>
      <c r="MF38" s="8">
        <v>-943</v>
      </c>
      <c r="MG38" s="12">
        <v>320</v>
      </c>
      <c r="MN38" s="8">
        <v>158</v>
      </c>
      <c r="MO38" s="28">
        <v>98</v>
      </c>
      <c r="MS38" s="8">
        <v>-456</v>
      </c>
      <c r="MT38" s="12">
        <v>593</v>
      </c>
      <c r="MU38" s="8">
        <v>78</v>
      </c>
      <c r="MV38" s="28">
        <v>8</v>
      </c>
      <c r="NC38" s="8">
        <v>55</v>
      </c>
      <c r="ND38" s="12">
        <v>13</v>
      </c>
      <c r="NE38" s="8">
        <v>-404</v>
      </c>
      <c r="NF38" s="28">
        <v>83</v>
      </c>
      <c r="NG38" s="8">
        <v>587</v>
      </c>
      <c r="NH38" s="28">
        <v>44</v>
      </c>
      <c r="NI38" s="8">
        <v>-44</v>
      </c>
      <c r="NJ38" s="28">
        <v>3</v>
      </c>
      <c r="NL38" s="8">
        <v>88</v>
      </c>
      <c r="NM38" s="28">
        <v>47</v>
      </c>
      <c r="NN38" s="8">
        <v>293</v>
      </c>
      <c r="NO38" s="28">
        <v>291</v>
      </c>
      <c r="NP38" s="8">
        <v>831</v>
      </c>
      <c r="NQ38" s="12">
        <v>140</v>
      </c>
      <c r="NR38" s="8">
        <v>-99</v>
      </c>
      <c r="NS38" s="12">
        <v>10</v>
      </c>
      <c r="NU38" s="8">
        <v>-28</v>
      </c>
      <c r="NV38" s="12">
        <v>18</v>
      </c>
      <c r="NW38" s="8">
        <v>111</v>
      </c>
      <c r="NX38" s="28">
        <v>727</v>
      </c>
      <c r="NY38" s="8">
        <f>-5-4</f>
        <v>-9</v>
      </c>
      <c r="NZ38" s="12">
        <v>107</v>
      </c>
      <c r="OA38" s="8">
        <v>553</v>
      </c>
      <c r="OB38" s="28">
        <v>47</v>
      </c>
      <c r="OC38" s="8">
        <v>121</v>
      </c>
      <c r="OD38" s="12">
        <v>107</v>
      </c>
      <c r="OE38" s="8">
        <v>374</v>
      </c>
      <c r="OG38" s="28">
        <v>892</v>
      </c>
      <c r="OO38" s="8">
        <v>45</v>
      </c>
      <c r="OP38" s="28">
        <v>113</v>
      </c>
      <c r="OV38" s="8">
        <v>294</v>
      </c>
      <c r="PA38" s="8">
        <v>91</v>
      </c>
      <c r="PC38" s="8">
        <v>969</v>
      </c>
      <c r="PD38" s="28">
        <v>241</v>
      </c>
      <c r="PE38" s="8">
        <v>200</v>
      </c>
      <c r="PF38" s="12">
        <v>59</v>
      </c>
      <c r="PJ38" s="8">
        <v>220</v>
      </c>
      <c r="PK38" s="12">
        <v>187</v>
      </c>
      <c r="PL38" s="8">
        <v>-698</v>
      </c>
      <c r="PM38" s="28">
        <v>104</v>
      </c>
      <c r="PP38" s="8">
        <v>-136</v>
      </c>
      <c r="PQ38" s="28">
        <v>13</v>
      </c>
      <c r="PR38" s="28"/>
      <c r="PS38" s="8">
        <v>-10</v>
      </c>
      <c r="PT38" s="12">
        <v>147</v>
      </c>
      <c r="PW38" s="8">
        <v>46</v>
      </c>
      <c r="PX38" s="28">
        <v>49</v>
      </c>
      <c r="QE38" s="8">
        <v>216</v>
      </c>
      <c r="QF38" s="12">
        <v>261</v>
      </c>
      <c r="QH38" s="8">
        <v>1</v>
      </c>
      <c r="QI38" s="12">
        <v>202</v>
      </c>
      <c r="QJ38" s="8">
        <v>41</v>
      </c>
      <c r="QQ38" s="8">
        <v>22</v>
      </c>
      <c r="QR38" s="12">
        <v>187</v>
      </c>
      <c r="QT38" s="8">
        <v>395</v>
      </c>
      <c r="QU38" s="12">
        <v>182</v>
      </c>
      <c r="QV38" s="6">
        <v>101</v>
      </c>
      <c r="QW38" s="12">
        <v>701</v>
      </c>
      <c r="QY38" s="8">
        <v>-126</v>
      </c>
      <c r="QZ38" s="12">
        <v>84</v>
      </c>
      <c r="RA38" s="8">
        <v>111</v>
      </c>
      <c r="RB38" s="12">
        <v>226</v>
      </c>
      <c r="RC38" s="6">
        <v>334</v>
      </c>
      <c r="RD38" s="12">
        <v>55</v>
      </c>
      <c r="RE38" s="6">
        <v>125</v>
      </c>
      <c r="RF38" s="12">
        <v>794</v>
      </c>
      <c r="RG38" s="8">
        <v>-97</v>
      </c>
      <c r="RH38" s="28">
        <v>92</v>
      </c>
      <c r="RJ38" s="8">
        <v>46</v>
      </c>
      <c r="RK38" s="12">
        <v>53</v>
      </c>
      <c r="RL38" s="8">
        <v>-47</v>
      </c>
      <c r="RM38" s="12">
        <v>32</v>
      </c>
      <c r="RS38" s="6">
        <v>24</v>
      </c>
      <c r="RT38" s="50">
        <v>455</v>
      </c>
      <c r="RV38" s="8">
        <v>13</v>
      </c>
      <c r="RW38" s="52">
        <v>292</v>
      </c>
      <c r="SA38" s="8">
        <v>94</v>
      </c>
      <c r="SB38" s="28">
        <v>20</v>
      </c>
      <c r="SF38" s="8">
        <v>-102</v>
      </c>
      <c r="SG38" s="12">
        <v>684</v>
      </c>
      <c r="SP38" s="8">
        <v>199</v>
      </c>
      <c r="SQ38" s="12">
        <v>121</v>
      </c>
      <c r="SW38" s="8">
        <v>60</v>
      </c>
      <c r="SX38" s="28">
        <v>33</v>
      </c>
      <c r="SY38" s="6">
        <v>483</v>
      </c>
      <c r="SZ38" s="28">
        <v>154</v>
      </c>
      <c r="TA38" s="6"/>
      <c r="TB38" s="6"/>
      <c r="TC38" s="8">
        <v>-190</v>
      </c>
      <c r="TD38" s="28">
        <v>81</v>
      </c>
      <c r="TH38" s="8">
        <v>244</v>
      </c>
      <c r="TI38" s="28">
        <v>181</v>
      </c>
      <c r="TM38" s="8">
        <v>36</v>
      </c>
      <c r="TN38" s="28">
        <v>8</v>
      </c>
      <c r="TP38" s="28"/>
      <c r="TQ38" s="8">
        <v>15</v>
      </c>
      <c r="TX38" s="8">
        <v>178</v>
      </c>
      <c r="TY38" s="28">
        <v>876</v>
      </c>
      <c r="TZ38" s="8">
        <v>-469</v>
      </c>
      <c r="UA38" s="12">
        <v>458</v>
      </c>
      <c r="UE38" s="8">
        <v>8</v>
      </c>
      <c r="UG38" s="8">
        <v>154</v>
      </c>
      <c r="UH38" s="12">
        <v>35</v>
      </c>
      <c r="UI38" s="8">
        <v>171</v>
      </c>
      <c r="UJ38" s="12">
        <v>245</v>
      </c>
      <c r="UN38" s="8">
        <v>-692</v>
      </c>
      <c r="UO38" s="12">
        <v>90</v>
      </c>
      <c r="US38" s="8">
        <v>-108</v>
      </c>
      <c r="UT38" s="12">
        <v>322</v>
      </c>
      <c r="UU38" s="8">
        <v>-231</v>
      </c>
      <c r="UV38" s="12">
        <v>17</v>
      </c>
      <c r="UZ38" s="8">
        <v>526</v>
      </c>
      <c r="VA38" s="12">
        <v>949</v>
      </c>
      <c r="VB38" s="8">
        <v>139</v>
      </c>
      <c r="VC38" s="12">
        <v>242</v>
      </c>
      <c r="VD38" s="8">
        <v>190</v>
      </c>
      <c r="VE38" s="12">
        <v>480</v>
      </c>
      <c r="VF38" s="8">
        <v>-79</v>
      </c>
      <c r="VG38" s="12">
        <v>225</v>
      </c>
      <c r="VH38" s="8">
        <v>389</v>
      </c>
      <c r="VI38" s="28">
        <v>164</v>
      </c>
      <c r="VL38" s="21"/>
      <c r="VM38" s="8">
        <v>3985</v>
      </c>
      <c r="VN38" s="12">
        <v>244</v>
      </c>
      <c r="VO38" s="12"/>
      <c r="VP38" s="12"/>
      <c r="VQ38" s="6">
        <v>150</v>
      </c>
      <c r="VR38" s="28">
        <v>369</v>
      </c>
      <c r="VS38" s="12"/>
      <c r="VT38" s="12"/>
      <c r="VV38" s="8">
        <v>-371</v>
      </c>
      <c r="VX38" s="8">
        <v>36</v>
      </c>
      <c r="VY38" s="12">
        <v>431</v>
      </c>
      <c r="VZ38" s="8">
        <v>597</v>
      </c>
      <c r="WA38" s="28">
        <v>143</v>
      </c>
      <c r="WB38" s="8">
        <v>3267</v>
      </c>
      <c r="WC38" s="12">
        <v>618</v>
      </c>
      <c r="WG38" s="8">
        <v>83</v>
      </c>
      <c r="WH38" s="28">
        <v>30</v>
      </c>
      <c r="WI38" s="8">
        <v>4839</v>
      </c>
      <c r="WJ38" s="28">
        <v>932</v>
      </c>
      <c r="WP38" s="2">
        <v>-147</v>
      </c>
      <c r="WQ38" s="1">
        <v>131</v>
      </c>
      <c r="WR38" s="10"/>
      <c r="XB38" s="23">
        <v>63</v>
      </c>
      <c r="XC38" s="25">
        <v>11</v>
      </c>
      <c r="XE38">
        <v>364</v>
      </c>
      <c r="XF38" s="1">
        <v>83</v>
      </c>
      <c r="XG38" s="2">
        <v>4335</v>
      </c>
      <c r="XH38" s="10"/>
      <c r="XK38">
        <v>83</v>
      </c>
      <c r="XL38" s="1">
        <v>55</v>
      </c>
      <c r="XO38">
        <v>669</v>
      </c>
      <c r="XP38" s="1">
        <v>191</v>
      </c>
    </row>
    <row r="39" spans="3:640" x14ac:dyDescent="0.25">
      <c r="G39" s="2">
        <v>-3</v>
      </c>
      <c r="I39" s="2">
        <v>-2</v>
      </c>
      <c r="K39" s="2">
        <v>2991</v>
      </c>
      <c r="L39" s="1">
        <v>363</v>
      </c>
      <c r="M39">
        <v>498</v>
      </c>
      <c r="N39" s="1">
        <v>87</v>
      </c>
      <c r="O39" s="26"/>
      <c r="R39">
        <v>248</v>
      </c>
      <c r="S39" s="12">
        <v>687</v>
      </c>
      <c r="T39">
        <v>-3811</v>
      </c>
      <c r="U39" s="1">
        <v>2471</v>
      </c>
      <c r="V39">
        <v>-899</v>
      </c>
      <c r="W39" s="10">
        <v>32</v>
      </c>
      <c r="AB39">
        <v>-157</v>
      </c>
      <c r="AC39" s="1">
        <v>57</v>
      </c>
      <c r="AD39">
        <v>-34</v>
      </c>
      <c r="AE39" s="1">
        <v>5</v>
      </c>
      <c r="AF39">
        <v>1848</v>
      </c>
      <c r="AG39" s="1">
        <v>2591</v>
      </c>
      <c r="AJ39" s="2">
        <v>4</v>
      </c>
      <c r="AK39" s="10">
        <v>110</v>
      </c>
      <c r="AY39">
        <v>-10</v>
      </c>
      <c r="AZ39" s="1">
        <v>5</v>
      </c>
      <c r="BA39">
        <v>152</v>
      </c>
      <c r="BB39" s="1">
        <v>801</v>
      </c>
      <c r="BD39" s="8">
        <v>-1840</v>
      </c>
      <c r="BE39" s="1">
        <v>157</v>
      </c>
      <c r="BF39">
        <v>-15</v>
      </c>
      <c r="BG39" s="1">
        <v>163</v>
      </c>
      <c r="BJ39">
        <v>103</v>
      </c>
      <c r="BL39">
        <v>7</v>
      </c>
      <c r="BM39" s="1">
        <v>2</v>
      </c>
      <c r="BN39">
        <v>10</v>
      </c>
      <c r="BP39">
        <v>482</v>
      </c>
      <c r="BQ39" s="10">
        <v>5493</v>
      </c>
      <c r="BR39">
        <v>293</v>
      </c>
      <c r="BS39" s="1">
        <v>210</v>
      </c>
      <c r="BT39">
        <v>-854</v>
      </c>
      <c r="BU39" s="1">
        <v>442</v>
      </c>
      <c r="BV39">
        <v>39</v>
      </c>
      <c r="BW39" s="1">
        <v>3</v>
      </c>
      <c r="CA39" s="8">
        <v>751</v>
      </c>
      <c r="CB39" s="28">
        <v>945</v>
      </c>
      <c r="CE39" s="8">
        <v>144</v>
      </c>
      <c r="CF39" s="28">
        <v>11</v>
      </c>
      <c r="CG39" s="8">
        <v>-2937</v>
      </c>
      <c r="CI39" s="8">
        <v>21</v>
      </c>
      <c r="CJ39" s="12">
        <v>49</v>
      </c>
      <c r="CK39" s="8">
        <v>36</v>
      </c>
      <c r="CL39" s="28">
        <v>18</v>
      </c>
      <c r="CM39" s="6">
        <v>23</v>
      </c>
      <c r="CN39" s="28">
        <v>15</v>
      </c>
      <c r="CO39" s="6">
        <v>126</v>
      </c>
      <c r="CP39" s="28"/>
      <c r="CQ39" s="6">
        <v>679</v>
      </c>
      <c r="CR39" s="28"/>
      <c r="CS39" s="6">
        <v>175</v>
      </c>
      <c r="CT39" s="28">
        <v>418</v>
      </c>
      <c r="CU39" s="28"/>
      <c r="CV39" s="28"/>
      <c r="CW39" s="28"/>
      <c r="CX39" s="28"/>
      <c r="CZ39" s="23">
        <v>297</v>
      </c>
      <c r="DA39" s="25">
        <v>284</v>
      </c>
      <c r="DB39" s="23">
        <v>-101</v>
      </c>
      <c r="DC39" s="25">
        <v>5</v>
      </c>
      <c r="DD39" s="23">
        <v>-24</v>
      </c>
      <c r="DE39" s="25">
        <v>11</v>
      </c>
      <c r="DF39" s="86">
        <v>101</v>
      </c>
      <c r="DG39" s="25">
        <v>233</v>
      </c>
      <c r="DH39" s="14">
        <v>-221</v>
      </c>
      <c r="DI39" s="25">
        <v>106</v>
      </c>
      <c r="DJ39" s="23">
        <v>-360</v>
      </c>
      <c r="DK39" s="28">
        <v>205</v>
      </c>
      <c r="DL39" s="8">
        <v>283</v>
      </c>
      <c r="DN39" s="8">
        <v>394</v>
      </c>
      <c r="DQ39" s="8">
        <v>368</v>
      </c>
      <c r="DR39" s="52">
        <v>761</v>
      </c>
      <c r="DS39" s="6">
        <v>-9</v>
      </c>
      <c r="DT39" s="52">
        <v>54</v>
      </c>
      <c r="DU39" s="8">
        <v>-291</v>
      </c>
      <c r="DV39" s="28">
        <v>264</v>
      </c>
      <c r="DW39" s="8">
        <v>-16</v>
      </c>
      <c r="DX39" s="28">
        <v>10</v>
      </c>
      <c r="DY39" s="6">
        <v>-14</v>
      </c>
      <c r="DZ39" s="52">
        <v>7</v>
      </c>
      <c r="EA39" s="23">
        <v>-170</v>
      </c>
      <c r="EB39" s="52">
        <v>251</v>
      </c>
      <c r="EC39" s="6">
        <v>-101</v>
      </c>
      <c r="ED39" s="28">
        <v>437</v>
      </c>
      <c r="EE39" s="8">
        <v>-575</v>
      </c>
      <c r="EF39" s="52">
        <v>432</v>
      </c>
      <c r="EG39" s="8">
        <v>-110</v>
      </c>
      <c r="EH39" s="28">
        <v>414</v>
      </c>
      <c r="EI39" s="8">
        <v>-105</v>
      </c>
      <c r="EJ39" s="52">
        <v>652</v>
      </c>
      <c r="EL39" s="8">
        <v>-122</v>
      </c>
      <c r="EM39" s="28">
        <v>702</v>
      </c>
      <c r="EN39" s="8">
        <v>55</v>
      </c>
      <c r="EO39" s="28">
        <v>13</v>
      </c>
      <c r="EP39" s="6">
        <v>8.07</v>
      </c>
      <c r="EQ39" s="52"/>
      <c r="EX39" s="8">
        <v>-155</v>
      </c>
      <c r="EY39" s="28">
        <v>430</v>
      </c>
      <c r="FA39" s="52"/>
      <c r="FD39" s="6">
        <v>-194</v>
      </c>
      <c r="FE39" s="28">
        <v>279</v>
      </c>
      <c r="FH39" s="8">
        <v>-11</v>
      </c>
      <c r="FI39" s="28">
        <v>1</v>
      </c>
      <c r="FM39" s="8">
        <v>970</v>
      </c>
      <c r="FN39" s="52">
        <v>538</v>
      </c>
      <c r="FO39" s="8">
        <v>2</v>
      </c>
      <c r="FP39" s="28">
        <v>152</v>
      </c>
      <c r="FQ39" s="8">
        <v>161</v>
      </c>
      <c r="FR39" s="28">
        <v>90</v>
      </c>
      <c r="FS39" s="8">
        <v>-107</v>
      </c>
      <c r="FT39" s="52">
        <v>91</v>
      </c>
      <c r="FV39" s="8">
        <v>-131</v>
      </c>
      <c r="FW39" s="28">
        <v>48</v>
      </c>
      <c r="GA39" s="8">
        <v>131</v>
      </c>
      <c r="GB39" s="52">
        <v>161</v>
      </c>
      <c r="GC39" s="8">
        <v>-149</v>
      </c>
      <c r="GE39" s="8">
        <v>663</v>
      </c>
      <c r="GF39" s="28">
        <v>138</v>
      </c>
      <c r="GI39" s="8">
        <v>15</v>
      </c>
      <c r="GJ39" s="28">
        <v>24</v>
      </c>
      <c r="GK39" s="8">
        <v>541</v>
      </c>
      <c r="GL39" s="28">
        <v>625</v>
      </c>
      <c r="GN39" s="8">
        <v>402</v>
      </c>
      <c r="GO39" s="28">
        <v>217</v>
      </c>
      <c r="GP39" s="8">
        <v>12</v>
      </c>
      <c r="GQ39" s="52">
        <v>209</v>
      </c>
      <c r="GR39" s="8">
        <v>-124</v>
      </c>
      <c r="GS39" s="28">
        <v>103</v>
      </c>
      <c r="GT39" s="6">
        <v>-64</v>
      </c>
      <c r="GU39" s="52">
        <v>310</v>
      </c>
      <c r="GV39" s="6">
        <v>-501</v>
      </c>
      <c r="GW39" s="28">
        <v>328</v>
      </c>
      <c r="GZ39" s="8">
        <v>34</v>
      </c>
      <c r="HA39" s="28">
        <v>24</v>
      </c>
      <c r="HB39" s="6">
        <v>-22</v>
      </c>
      <c r="HC39" s="28"/>
      <c r="HE39" s="8">
        <v>372</v>
      </c>
      <c r="HF39" s="28">
        <v>287</v>
      </c>
      <c r="HG39" s="8">
        <v>246</v>
      </c>
      <c r="HO39" s="8">
        <v>14</v>
      </c>
      <c r="HP39" s="28">
        <v>976</v>
      </c>
      <c r="HQ39" s="6">
        <v>-1</v>
      </c>
      <c r="HR39" s="28">
        <v>2</v>
      </c>
      <c r="HS39" s="8">
        <v>15</v>
      </c>
      <c r="HT39" s="52">
        <v>422</v>
      </c>
      <c r="HX39" s="8">
        <v>16</v>
      </c>
      <c r="HY39" s="28">
        <v>6</v>
      </c>
      <c r="HZ39" s="8">
        <v>-1</v>
      </c>
      <c r="IB39" s="8">
        <v>-366</v>
      </c>
      <c r="IC39" s="28">
        <v>125</v>
      </c>
      <c r="ID39" s="8">
        <v>-38</v>
      </c>
      <c r="IE39" s="28">
        <v>641</v>
      </c>
      <c r="IH39" s="8">
        <v>-372</v>
      </c>
      <c r="II39" s="28">
        <v>128</v>
      </c>
      <c r="IO39">
        <v>832</v>
      </c>
      <c r="IP39" s="10">
        <v>71</v>
      </c>
      <c r="IS39" s="6">
        <v>329</v>
      </c>
      <c r="IT39" s="28">
        <v>191</v>
      </c>
      <c r="IU39" s="8">
        <v>408</v>
      </c>
      <c r="IV39" s="28">
        <v>236</v>
      </c>
      <c r="IW39" s="8">
        <v>167</v>
      </c>
      <c r="IY39" s="8">
        <v>-104</v>
      </c>
      <c r="JA39" s="8">
        <v>-5</v>
      </c>
      <c r="JB39" s="12">
        <v>41</v>
      </c>
      <c r="JH39" s="8">
        <v>-584</v>
      </c>
      <c r="JI39" s="28">
        <v>244</v>
      </c>
      <c r="JJ39" s="8">
        <v>118</v>
      </c>
      <c r="JK39" s="28">
        <v>6</v>
      </c>
      <c r="JL39" s="8">
        <v>117</v>
      </c>
      <c r="JM39" s="12">
        <v>228</v>
      </c>
      <c r="JN39" s="8">
        <v>541</v>
      </c>
      <c r="JO39" s="28">
        <v>362</v>
      </c>
      <c r="JP39" s="6">
        <v>-19</v>
      </c>
      <c r="JQ39" s="12">
        <v>143</v>
      </c>
      <c r="JT39" s="6">
        <v>-179</v>
      </c>
      <c r="JU39" s="12">
        <v>105</v>
      </c>
      <c r="JW39" s="8">
        <v>-768</v>
      </c>
      <c r="JX39" s="12">
        <v>261</v>
      </c>
      <c r="JZ39" s="28"/>
      <c r="KA39" s="8">
        <v>97</v>
      </c>
      <c r="KB39" s="28">
        <v>25</v>
      </c>
      <c r="KE39" s="6">
        <v>-3</v>
      </c>
      <c r="KF39" s="12">
        <v>5</v>
      </c>
      <c r="KQ39" s="8">
        <v>158</v>
      </c>
      <c r="KR39" s="28">
        <v>47</v>
      </c>
      <c r="KT39" s="8">
        <v>36</v>
      </c>
      <c r="KU39" s="28">
        <v>15</v>
      </c>
      <c r="KV39" s="8">
        <v>-578</v>
      </c>
      <c r="KZ39" s="8">
        <v>5</v>
      </c>
      <c r="LA39" s="12">
        <v>222</v>
      </c>
      <c r="LD39" s="8">
        <v>510</v>
      </c>
      <c r="LE39" s="28">
        <v>849</v>
      </c>
      <c r="LF39" s="8">
        <v>-147</v>
      </c>
      <c r="LG39" s="28">
        <v>28</v>
      </c>
      <c r="LH39" s="8">
        <v>-499</v>
      </c>
      <c r="LJ39" s="8">
        <v>529</v>
      </c>
      <c r="LK39" s="28">
        <v>824</v>
      </c>
      <c r="LL39" s="8">
        <v>18</v>
      </c>
      <c r="LM39" s="28">
        <v>9</v>
      </c>
      <c r="LN39" s="8">
        <v>-125</v>
      </c>
      <c r="LO39" s="28">
        <v>598</v>
      </c>
      <c r="LS39" s="8">
        <v>32</v>
      </c>
      <c r="LU39" s="8">
        <v>133</v>
      </c>
      <c r="LV39" s="12">
        <v>236</v>
      </c>
      <c r="LW39" s="8">
        <v>-30</v>
      </c>
      <c r="LX39" s="28">
        <v>187</v>
      </c>
      <c r="LZ39" s="8">
        <v>551</v>
      </c>
      <c r="MF39" s="8">
        <v>-190</v>
      </c>
      <c r="MG39" s="12">
        <v>97</v>
      </c>
      <c r="MN39" s="8">
        <v>120</v>
      </c>
      <c r="MO39" s="28">
        <v>42</v>
      </c>
      <c r="MS39" s="8">
        <v>932</v>
      </c>
      <c r="MT39" s="12">
        <v>124</v>
      </c>
      <c r="MU39" s="8">
        <v>102</v>
      </c>
      <c r="MV39" s="28">
        <v>30</v>
      </c>
      <c r="NC39" s="8">
        <v>56</v>
      </c>
      <c r="ND39" s="12">
        <v>15</v>
      </c>
      <c r="NE39" s="8">
        <v>247</v>
      </c>
      <c r="NF39" s="28">
        <v>499</v>
      </c>
      <c r="NG39" s="8">
        <v>-104</v>
      </c>
      <c r="NH39" s="28">
        <v>35</v>
      </c>
      <c r="NI39" s="8">
        <v>47</v>
      </c>
      <c r="NJ39" s="28">
        <v>5</v>
      </c>
      <c r="NL39" s="8">
        <v>75</v>
      </c>
      <c r="NM39" s="28">
        <v>59</v>
      </c>
      <c r="NN39" s="8">
        <v>-102</v>
      </c>
      <c r="NO39" s="28">
        <v>323</v>
      </c>
      <c r="NP39" s="8">
        <v>45</v>
      </c>
      <c r="NQ39" s="12">
        <v>831</v>
      </c>
      <c r="NU39" s="8">
        <v>485</v>
      </c>
      <c r="NV39" s="12">
        <v>305</v>
      </c>
      <c r="NW39" s="8">
        <v>117</v>
      </c>
      <c r="NX39" s="28">
        <v>812</v>
      </c>
      <c r="NY39" s="8">
        <v>211</v>
      </c>
      <c r="NZ39" s="12">
        <v>821</v>
      </c>
      <c r="OA39" s="8">
        <v>860</v>
      </c>
      <c r="OB39" s="28">
        <v>188</v>
      </c>
      <c r="OC39" s="8">
        <v>871</v>
      </c>
      <c r="OD39" s="12">
        <v>924</v>
      </c>
      <c r="OE39" s="8">
        <v>261</v>
      </c>
      <c r="OG39" s="28">
        <v>102</v>
      </c>
      <c r="OO39" s="8">
        <v>-1</v>
      </c>
      <c r="OP39" s="28">
        <v>62</v>
      </c>
      <c r="OV39" s="8">
        <v>403</v>
      </c>
      <c r="PC39" s="8">
        <v>-335</v>
      </c>
      <c r="PD39" s="28">
        <v>979</v>
      </c>
      <c r="PE39" s="8">
        <v>83</v>
      </c>
      <c r="PF39" s="12">
        <v>35</v>
      </c>
      <c r="PJ39" s="8">
        <v>50</v>
      </c>
      <c r="PK39" s="12">
        <v>678</v>
      </c>
      <c r="PL39" s="8">
        <v>106</v>
      </c>
      <c r="PM39" s="28">
        <v>28</v>
      </c>
      <c r="PP39" s="8">
        <v>143</v>
      </c>
      <c r="PQ39" s="28">
        <v>12</v>
      </c>
      <c r="PR39" s="28"/>
      <c r="PS39" s="8">
        <v>37</v>
      </c>
      <c r="PT39" s="12">
        <v>165</v>
      </c>
      <c r="PW39" s="8">
        <v>114</v>
      </c>
      <c r="PX39" s="28">
        <v>47</v>
      </c>
      <c r="QE39" s="8">
        <v>-128</v>
      </c>
      <c r="QF39" s="12">
        <v>149</v>
      </c>
      <c r="QH39" s="8">
        <v>-23</v>
      </c>
      <c r="QI39" s="12">
        <v>456</v>
      </c>
      <c r="QJ39" s="8">
        <v>1</v>
      </c>
      <c r="QQ39" s="8">
        <v>11</v>
      </c>
      <c r="QR39" s="12">
        <v>65</v>
      </c>
      <c r="QT39" s="8">
        <v>201</v>
      </c>
      <c r="QU39" s="12">
        <v>693</v>
      </c>
      <c r="QV39" s="6">
        <v>500</v>
      </c>
      <c r="QW39" s="12">
        <v>123</v>
      </c>
      <c r="QY39" s="8">
        <v>-82</v>
      </c>
      <c r="QZ39" s="12">
        <v>80</v>
      </c>
      <c r="RA39" s="8">
        <v>-8</v>
      </c>
      <c r="RB39" s="12">
        <v>303</v>
      </c>
      <c r="RC39" s="6">
        <v>868</v>
      </c>
      <c r="RD39" s="12">
        <v>192</v>
      </c>
      <c r="RE39" s="6">
        <v>162</v>
      </c>
      <c r="RF39" s="12">
        <v>827</v>
      </c>
      <c r="RG39" s="8">
        <v>-786</v>
      </c>
      <c r="RH39" s="28">
        <v>365</v>
      </c>
      <c r="RJ39" s="8">
        <v>66</v>
      </c>
      <c r="RK39" s="12">
        <v>89</v>
      </c>
      <c r="RL39" s="8">
        <v>10</v>
      </c>
      <c r="RM39" s="12">
        <v>411</v>
      </c>
      <c r="RS39" s="6">
        <v>-120</v>
      </c>
      <c r="RT39" s="50">
        <v>377</v>
      </c>
      <c r="SF39" s="8">
        <v>-319</v>
      </c>
      <c r="SG39" s="12">
        <v>465</v>
      </c>
      <c r="SP39" s="8">
        <v>-253</v>
      </c>
      <c r="SQ39" s="12">
        <v>672</v>
      </c>
      <c r="SW39" s="8">
        <v>811</v>
      </c>
      <c r="SY39" s="6">
        <v>248</v>
      </c>
      <c r="SZ39" s="28">
        <v>626</v>
      </c>
      <c r="TA39" s="6"/>
      <c r="TB39" s="6"/>
      <c r="TC39" s="8">
        <v>-73</v>
      </c>
      <c r="TD39" s="28">
        <v>68</v>
      </c>
      <c r="TH39" s="8">
        <v>186</v>
      </c>
      <c r="TI39" s="28">
        <v>243</v>
      </c>
      <c r="TM39" s="8">
        <v>1</v>
      </c>
      <c r="TN39" s="28">
        <v>27</v>
      </c>
      <c r="TP39" s="28"/>
      <c r="TQ39" s="8">
        <v>8</v>
      </c>
      <c r="TX39" s="8">
        <v>178</v>
      </c>
      <c r="TY39" s="28">
        <v>869</v>
      </c>
      <c r="TZ39" s="8">
        <v>-439</v>
      </c>
      <c r="UA39" s="12">
        <v>464</v>
      </c>
      <c r="UE39" s="8">
        <v>117</v>
      </c>
      <c r="UG39" s="8">
        <v>302</v>
      </c>
      <c r="UH39" s="12">
        <v>14</v>
      </c>
      <c r="UI39" s="8">
        <v>144</v>
      </c>
      <c r="UJ39" s="12">
        <v>243</v>
      </c>
      <c r="UN39" s="8">
        <v>298</v>
      </c>
      <c r="UO39" s="12">
        <v>266</v>
      </c>
      <c r="US39" s="8">
        <v>841</v>
      </c>
      <c r="UT39" s="12">
        <v>147</v>
      </c>
      <c r="UU39" s="8">
        <v>149</v>
      </c>
      <c r="UV39" s="12">
        <v>51</v>
      </c>
      <c r="UZ39" s="8">
        <v>636</v>
      </c>
      <c r="VA39" s="12">
        <v>572</v>
      </c>
      <c r="VB39" s="8">
        <v>153</v>
      </c>
      <c r="VC39" s="12">
        <v>269</v>
      </c>
      <c r="VD39" s="8">
        <v>886</v>
      </c>
      <c r="VE39" s="12">
        <v>495</v>
      </c>
      <c r="VF39" s="8">
        <v>-87</v>
      </c>
      <c r="VG39" s="12">
        <v>267</v>
      </c>
      <c r="VH39" s="8">
        <v>635</v>
      </c>
      <c r="VI39" s="28">
        <v>250</v>
      </c>
      <c r="VL39" s="21"/>
      <c r="VM39" s="8">
        <v>4541</v>
      </c>
      <c r="VN39" s="12">
        <v>236</v>
      </c>
      <c r="VO39" s="12"/>
      <c r="VP39" s="12"/>
      <c r="VQ39" s="6">
        <v>-79</v>
      </c>
      <c r="VR39" s="28">
        <v>30</v>
      </c>
      <c r="VS39" s="12"/>
      <c r="VT39" s="12"/>
      <c r="VV39" s="8">
        <v>338</v>
      </c>
      <c r="VX39" s="8">
        <v>21</v>
      </c>
      <c r="VY39" s="12">
        <v>233</v>
      </c>
      <c r="VZ39" s="8">
        <v>641</v>
      </c>
      <c r="WA39" s="28">
        <v>34</v>
      </c>
      <c r="WB39" s="8">
        <v>3241</v>
      </c>
      <c r="WC39" s="12">
        <v>475</v>
      </c>
      <c r="WG39" s="8">
        <v>584</v>
      </c>
      <c r="WH39" s="28">
        <v>163</v>
      </c>
      <c r="WI39" s="8">
        <v>282</v>
      </c>
      <c r="WJ39" s="28">
        <v>52</v>
      </c>
      <c r="WP39">
        <f>40</f>
        <v>40</v>
      </c>
      <c r="WQ39" s="1">
        <v>75</v>
      </c>
      <c r="WR39" s="10"/>
      <c r="XB39" s="23">
        <v>88</v>
      </c>
      <c r="XC39" s="25">
        <v>25</v>
      </c>
      <c r="XE39">
        <v>44792</v>
      </c>
      <c r="XF39" s="1">
        <v>7152</v>
      </c>
      <c r="XG39" s="2">
        <v>59</v>
      </c>
      <c r="XH39" s="1">
        <v>16</v>
      </c>
      <c r="XK39">
        <v>95</v>
      </c>
      <c r="XL39" s="1">
        <v>24</v>
      </c>
      <c r="XO39">
        <v>3274</v>
      </c>
      <c r="XP39" s="1">
        <v>615</v>
      </c>
    </row>
    <row r="40" spans="3:640" x14ac:dyDescent="0.25">
      <c r="G40" s="2">
        <v>-5</v>
      </c>
      <c r="I40" s="2">
        <v>13</v>
      </c>
      <c r="K40" s="2">
        <v>2918</v>
      </c>
      <c r="L40" s="1">
        <v>157</v>
      </c>
      <c r="M40">
        <v>295</v>
      </c>
      <c r="N40" s="1">
        <v>64</v>
      </c>
      <c r="O40" s="26"/>
      <c r="R40">
        <v>91</v>
      </c>
      <c r="S40" s="12">
        <v>71</v>
      </c>
      <c r="T40">
        <v>1215</v>
      </c>
      <c r="U40" s="1">
        <v>1807</v>
      </c>
      <c r="V40">
        <v>-13</v>
      </c>
      <c r="W40" s="10">
        <v>806</v>
      </c>
      <c r="AB40">
        <v>-24</v>
      </c>
      <c r="AC40" s="1">
        <v>128</v>
      </c>
      <c r="AD40">
        <v>-41</v>
      </c>
      <c r="AE40" s="1">
        <v>5</v>
      </c>
      <c r="AF40">
        <v>1952</v>
      </c>
      <c r="AG40" s="1">
        <v>2551</v>
      </c>
      <c r="AJ40" s="2">
        <v>5</v>
      </c>
      <c r="AK40" s="10">
        <v>154</v>
      </c>
      <c r="AY40">
        <v>51</v>
      </c>
      <c r="AZ40" s="1">
        <v>2</v>
      </c>
      <c r="BA40">
        <v>-352</v>
      </c>
      <c r="BB40" s="1">
        <v>107</v>
      </c>
      <c r="BD40" s="8">
        <v>-5851</v>
      </c>
      <c r="BE40" s="1">
        <v>109</v>
      </c>
      <c r="BF40">
        <v>24</v>
      </c>
      <c r="BG40" s="1">
        <v>26</v>
      </c>
      <c r="BJ40">
        <v>10</v>
      </c>
      <c r="BL40">
        <v>40</v>
      </c>
      <c r="BM40" s="1">
        <v>4</v>
      </c>
      <c r="BN40">
        <v>-66</v>
      </c>
      <c r="BP40">
        <v>501</v>
      </c>
      <c r="BQ40" s="10">
        <v>3528</v>
      </c>
      <c r="BR40">
        <v>-3794</v>
      </c>
      <c r="BS40" s="1">
        <v>8340</v>
      </c>
      <c r="BT40">
        <v>836</v>
      </c>
      <c r="BU40" s="1">
        <v>381</v>
      </c>
      <c r="BV40">
        <v>39</v>
      </c>
      <c r="BW40" s="1">
        <v>3</v>
      </c>
      <c r="CA40" s="8">
        <v>-575</v>
      </c>
      <c r="CB40" s="28">
        <v>388</v>
      </c>
      <c r="CE40" s="8">
        <v>158</v>
      </c>
      <c r="CF40" s="28">
        <v>11</v>
      </c>
      <c r="CG40" s="8">
        <v>-3251</v>
      </c>
      <c r="CI40" s="8">
        <v>-125</v>
      </c>
      <c r="CJ40" s="12">
        <v>125</v>
      </c>
      <c r="CK40" s="8">
        <v>37</v>
      </c>
      <c r="CL40" s="28">
        <v>18</v>
      </c>
      <c r="CM40" s="6">
        <v>-250</v>
      </c>
      <c r="CN40" s="28">
        <v>343</v>
      </c>
      <c r="CO40" s="6">
        <v>93</v>
      </c>
      <c r="CP40" s="28"/>
      <c r="CQ40" s="6">
        <v>697</v>
      </c>
      <c r="CR40" s="28"/>
      <c r="CS40" s="6">
        <v>-385</v>
      </c>
      <c r="CT40" s="28">
        <v>719</v>
      </c>
      <c r="CU40" s="28"/>
      <c r="CV40" s="28"/>
      <c r="CW40" s="28"/>
      <c r="CX40" s="28"/>
      <c r="CZ40" s="23">
        <v>-3</v>
      </c>
      <c r="DA40" s="25">
        <v>12</v>
      </c>
      <c r="DB40" s="23">
        <v>-88</v>
      </c>
      <c r="DC40" s="25">
        <v>29</v>
      </c>
      <c r="DD40" s="23">
        <v>16</v>
      </c>
      <c r="DE40" s="25">
        <v>7</v>
      </c>
      <c r="DF40" s="86">
        <v>114</v>
      </c>
      <c r="DG40" s="25">
        <v>38</v>
      </c>
      <c r="DH40" s="14">
        <v>-167</v>
      </c>
      <c r="DI40" s="25">
        <v>101</v>
      </c>
      <c r="DJ40" s="23">
        <v>655</v>
      </c>
      <c r="DK40" s="28">
        <v>263</v>
      </c>
      <c r="DL40" s="8">
        <v>274</v>
      </c>
      <c r="DQ40" s="8">
        <v>105</v>
      </c>
      <c r="DR40" s="52">
        <v>142</v>
      </c>
      <c r="DS40" s="6">
        <v>-92</v>
      </c>
      <c r="DT40" s="52">
        <v>233</v>
      </c>
      <c r="DU40" s="8">
        <v>340</v>
      </c>
      <c r="DV40" s="28">
        <v>291</v>
      </c>
      <c r="DW40" s="8">
        <v>223</v>
      </c>
      <c r="DX40" s="28">
        <v>109</v>
      </c>
      <c r="DY40" s="6">
        <v>-375</v>
      </c>
      <c r="DZ40" s="52">
        <v>2</v>
      </c>
      <c r="EA40" s="23">
        <v>310</v>
      </c>
      <c r="EB40" s="52">
        <v>796</v>
      </c>
      <c r="EC40" s="6">
        <v>-3</v>
      </c>
      <c r="ED40" s="28">
        <v>4</v>
      </c>
      <c r="EE40" s="8">
        <v>-34</v>
      </c>
      <c r="EF40" s="52">
        <v>12</v>
      </c>
      <c r="EG40" s="8">
        <v>283</v>
      </c>
      <c r="EH40" s="28">
        <v>118</v>
      </c>
      <c r="EI40" s="8">
        <v>4</v>
      </c>
      <c r="EJ40" s="52">
        <v>180</v>
      </c>
      <c r="EL40" s="8">
        <v>-111</v>
      </c>
      <c r="EM40" s="28">
        <v>113</v>
      </c>
      <c r="EN40" s="8">
        <v>72</v>
      </c>
      <c r="EO40" s="28">
        <v>29</v>
      </c>
      <c r="EP40" s="6">
        <v>135</v>
      </c>
      <c r="EQ40" s="52"/>
      <c r="EX40" s="8">
        <v>-894</v>
      </c>
      <c r="EY40" s="28">
        <v>318</v>
      </c>
      <c r="FA40" s="52"/>
      <c r="FD40" s="6">
        <v>256</v>
      </c>
      <c r="FE40" s="28">
        <v>256</v>
      </c>
      <c r="FH40" s="8">
        <v>-56</v>
      </c>
      <c r="FI40" s="28">
        <v>278</v>
      </c>
      <c r="FM40" s="8">
        <v>134</v>
      </c>
      <c r="FN40" s="52">
        <v>90</v>
      </c>
      <c r="FO40" s="8">
        <v>332</v>
      </c>
      <c r="FP40" s="28">
        <v>363</v>
      </c>
      <c r="FQ40" s="8">
        <v>37</v>
      </c>
      <c r="FR40" s="28">
        <v>3</v>
      </c>
      <c r="FS40" s="8">
        <v>-109</v>
      </c>
      <c r="FT40" s="52">
        <v>97</v>
      </c>
      <c r="FV40" s="8">
        <v>-141</v>
      </c>
      <c r="FW40" s="28">
        <v>26</v>
      </c>
      <c r="GA40" s="8">
        <v>790</v>
      </c>
      <c r="GB40" s="52">
        <v>789</v>
      </c>
      <c r="GC40" s="8">
        <v>-230</v>
      </c>
      <c r="GE40" s="8">
        <v>699</v>
      </c>
      <c r="GF40" s="28">
        <v>939</v>
      </c>
      <c r="GI40" s="8">
        <v>20</v>
      </c>
      <c r="GJ40" s="28">
        <v>19</v>
      </c>
      <c r="GK40" s="8">
        <v>474</v>
      </c>
      <c r="GL40" s="28">
        <v>942</v>
      </c>
      <c r="GN40" s="8">
        <f>134</f>
        <v>134</v>
      </c>
      <c r="GO40" s="28">
        <v>787</v>
      </c>
      <c r="GP40" s="8">
        <v>-16</v>
      </c>
      <c r="GQ40" s="52">
        <v>214</v>
      </c>
      <c r="GR40" s="8">
        <v>-138</v>
      </c>
      <c r="GS40" s="28">
        <v>709</v>
      </c>
      <c r="GT40" s="6">
        <v>-10</v>
      </c>
      <c r="GU40" s="52">
        <v>95</v>
      </c>
      <c r="GV40" s="6">
        <v>-275</v>
      </c>
      <c r="GW40" s="28">
        <v>160</v>
      </c>
      <c r="GZ40" s="8">
        <v>50</v>
      </c>
      <c r="HA40" s="28">
        <v>52</v>
      </c>
      <c r="HB40" s="6">
        <v>-111</v>
      </c>
      <c r="HC40" s="28"/>
      <c r="HE40" s="8">
        <v>261</v>
      </c>
      <c r="HF40" s="28">
        <v>63</v>
      </c>
      <c r="HG40" s="8">
        <v>55</v>
      </c>
      <c r="HO40" s="8">
        <v>-211</v>
      </c>
      <c r="HP40" s="28">
        <v>689</v>
      </c>
      <c r="HQ40" s="6">
        <v>-1</v>
      </c>
      <c r="HR40" s="28">
        <v>2</v>
      </c>
      <c r="HS40" s="8">
        <v>33</v>
      </c>
      <c r="HT40" s="52">
        <v>684</v>
      </c>
      <c r="HX40" s="8">
        <v>107</v>
      </c>
      <c r="HY40" s="28">
        <v>128</v>
      </c>
      <c r="HZ40" s="8">
        <v>4</v>
      </c>
      <c r="IB40" s="8">
        <v>-618</v>
      </c>
      <c r="IC40" s="28">
        <v>132</v>
      </c>
      <c r="ID40" s="8">
        <v>126</v>
      </c>
      <c r="IE40" s="28">
        <v>7</v>
      </c>
      <c r="IH40" s="8">
        <v>94</v>
      </c>
      <c r="II40" s="28">
        <v>11</v>
      </c>
      <c r="IO40">
        <v>-273</v>
      </c>
      <c r="IP40" s="10">
        <v>5</v>
      </c>
      <c r="IS40" s="6">
        <v>519</v>
      </c>
      <c r="IT40" s="28">
        <v>668</v>
      </c>
      <c r="IU40" s="8">
        <v>-146</v>
      </c>
      <c r="IV40" s="28">
        <v>322</v>
      </c>
      <c r="IW40" s="8">
        <v>435</v>
      </c>
      <c r="IY40" s="8">
        <v>-841</v>
      </c>
      <c r="JA40" s="8">
        <v>-102</v>
      </c>
      <c r="JB40" s="12">
        <v>145</v>
      </c>
      <c r="JH40" s="8">
        <v>7</v>
      </c>
      <c r="JI40" s="28">
        <v>5</v>
      </c>
      <c r="JJ40" s="8">
        <v>99</v>
      </c>
      <c r="JK40" s="28">
        <v>1</v>
      </c>
      <c r="JL40" s="8">
        <v>399</v>
      </c>
      <c r="JM40" s="12">
        <v>267</v>
      </c>
      <c r="JN40" s="8">
        <v>-35</v>
      </c>
      <c r="JO40" s="28">
        <v>19</v>
      </c>
      <c r="JP40" s="6">
        <v>-26</v>
      </c>
      <c r="JQ40" s="12">
        <v>974</v>
      </c>
      <c r="JT40" s="6">
        <v>-331</v>
      </c>
      <c r="JU40" s="12">
        <v>976</v>
      </c>
      <c r="JW40" s="8">
        <v>-757</v>
      </c>
      <c r="JX40" s="12">
        <v>318</v>
      </c>
      <c r="JZ40" s="28"/>
      <c r="KA40" s="8">
        <v>-74</v>
      </c>
      <c r="KB40" s="28">
        <v>166</v>
      </c>
      <c r="KE40" s="6">
        <v>54</v>
      </c>
      <c r="KF40" s="12">
        <v>133</v>
      </c>
      <c r="KQ40" s="8">
        <v>240</v>
      </c>
      <c r="KR40" s="28">
        <v>75</v>
      </c>
      <c r="KT40" s="8">
        <v>-1</v>
      </c>
      <c r="KU40" s="28">
        <v>2</v>
      </c>
      <c r="KV40" s="8">
        <v>976</v>
      </c>
      <c r="KZ40" s="8">
        <v>-71</v>
      </c>
      <c r="LA40" s="12">
        <v>383</v>
      </c>
      <c r="LD40" s="8">
        <v>793</v>
      </c>
      <c r="LE40" s="28">
        <v>269</v>
      </c>
      <c r="LF40" s="8">
        <v>-156</v>
      </c>
      <c r="LG40" s="28">
        <v>19</v>
      </c>
      <c r="LH40" s="8">
        <v>710</v>
      </c>
      <c r="LJ40" s="8">
        <v>-152</v>
      </c>
      <c r="LK40" s="28">
        <v>215</v>
      </c>
      <c r="LL40" s="8">
        <v>21</v>
      </c>
      <c r="LM40" s="28">
        <v>13</v>
      </c>
      <c r="LN40" s="8">
        <v>-584</v>
      </c>
      <c r="LO40" s="28">
        <v>509</v>
      </c>
      <c r="LS40" s="8">
        <v>27</v>
      </c>
      <c r="LU40" s="8">
        <v>173</v>
      </c>
      <c r="LV40" s="12">
        <v>428</v>
      </c>
      <c r="LW40" s="8">
        <v>-778</v>
      </c>
      <c r="LX40" s="28">
        <v>298</v>
      </c>
      <c r="LZ40" s="8">
        <v>650</v>
      </c>
      <c r="MF40" s="8">
        <v>-924</v>
      </c>
      <c r="MG40" s="12">
        <v>119</v>
      </c>
      <c r="MN40" s="8">
        <v>699</v>
      </c>
      <c r="MO40" s="28">
        <v>56</v>
      </c>
      <c r="MS40" s="8">
        <v>-37</v>
      </c>
      <c r="MT40" s="12">
        <v>224</v>
      </c>
      <c r="MU40" s="8">
        <v>1</v>
      </c>
      <c r="MV40" s="28">
        <v>9</v>
      </c>
      <c r="NC40" s="8">
        <v>-59</v>
      </c>
      <c r="ND40" s="12">
        <v>161</v>
      </c>
      <c r="NE40" s="8">
        <v>119</v>
      </c>
      <c r="NF40" s="28">
        <v>130</v>
      </c>
      <c r="NG40" s="8">
        <v>-92</v>
      </c>
      <c r="NH40" s="28">
        <v>29</v>
      </c>
      <c r="NI40" s="8">
        <v>87</v>
      </c>
      <c r="NJ40" s="28">
        <v>15</v>
      </c>
      <c r="NL40" s="8">
        <v>-37</v>
      </c>
      <c r="NM40" s="28">
        <v>104</v>
      </c>
      <c r="NN40" s="8">
        <v>176</v>
      </c>
      <c r="NO40" s="28">
        <v>247</v>
      </c>
      <c r="NP40" s="8">
        <v>-1</v>
      </c>
      <c r="NQ40" s="12">
        <v>729</v>
      </c>
      <c r="NU40" s="8">
        <v>-123</v>
      </c>
      <c r="NV40" s="12">
        <v>152</v>
      </c>
      <c r="NW40" s="8">
        <v>117</v>
      </c>
      <c r="NX40" s="28">
        <v>894</v>
      </c>
      <c r="NY40" s="8">
        <v>-332</v>
      </c>
      <c r="NZ40" s="12">
        <v>197</v>
      </c>
      <c r="OA40" s="8">
        <v>-252</v>
      </c>
      <c r="OB40" s="28">
        <v>756</v>
      </c>
      <c r="OC40" s="8">
        <v>-396</v>
      </c>
      <c r="OD40" s="12">
        <v>346</v>
      </c>
      <c r="OE40" s="8">
        <v>-232</v>
      </c>
      <c r="OG40" s="28">
        <v>371</v>
      </c>
      <c r="OO40" s="8">
        <v>11</v>
      </c>
      <c r="OP40" s="28">
        <v>76</v>
      </c>
      <c r="OV40" s="8">
        <v>993</v>
      </c>
      <c r="PC40" s="8">
        <v>159</v>
      </c>
      <c r="PD40" s="28">
        <v>21</v>
      </c>
      <c r="PE40" s="8">
        <v>24</v>
      </c>
      <c r="PF40" s="12">
        <v>18</v>
      </c>
      <c r="PJ40" s="8">
        <v>33</v>
      </c>
      <c r="PK40" s="12">
        <v>936</v>
      </c>
      <c r="PL40" s="8">
        <v>24</v>
      </c>
      <c r="PM40" s="28">
        <v>3</v>
      </c>
      <c r="PP40" s="8">
        <v>287</v>
      </c>
      <c r="PQ40" s="28">
        <v>14</v>
      </c>
      <c r="PR40" s="28"/>
      <c r="PS40" s="8">
        <v>101</v>
      </c>
      <c r="PT40" s="12">
        <v>71</v>
      </c>
      <c r="PW40" s="8">
        <v>40</v>
      </c>
      <c r="PX40" s="28">
        <v>39</v>
      </c>
      <c r="QE40" s="8">
        <v>-2</v>
      </c>
      <c r="QF40" s="12">
        <v>1</v>
      </c>
      <c r="QH40" s="8">
        <v>-2</v>
      </c>
      <c r="QI40" s="12">
        <v>303</v>
      </c>
      <c r="QJ40" s="8">
        <v>14</v>
      </c>
      <c r="QQ40" s="8">
        <v>60</v>
      </c>
      <c r="QR40" s="12">
        <v>717</v>
      </c>
      <c r="QT40" s="8">
        <v>212</v>
      </c>
      <c r="QU40" s="12">
        <v>128</v>
      </c>
      <c r="QV40" s="6">
        <v>525</v>
      </c>
      <c r="QW40" s="12">
        <v>240</v>
      </c>
      <c r="QY40" s="8">
        <v>-54</v>
      </c>
      <c r="QZ40" s="12">
        <v>70</v>
      </c>
      <c r="RA40" s="8">
        <v>-5</v>
      </c>
      <c r="RB40" s="12">
        <v>228</v>
      </c>
      <c r="RC40" s="6">
        <v>-301</v>
      </c>
      <c r="RD40" s="12">
        <v>253</v>
      </c>
      <c r="RE40" s="6">
        <v>164</v>
      </c>
      <c r="RF40" s="12">
        <v>787</v>
      </c>
      <c r="RG40" s="8">
        <v>79</v>
      </c>
      <c r="RH40" s="28">
        <v>123</v>
      </c>
      <c r="RJ40" s="8">
        <v>-1</v>
      </c>
      <c r="RK40" s="12">
        <v>61</v>
      </c>
      <c r="RL40" s="8">
        <v>-806</v>
      </c>
      <c r="RM40" s="12">
        <v>186</v>
      </c>
      <c r="RS40" s="6">
        <v>96</v>
      </c>
      <c r="RT40" s="50">
        <v>162</v>
      </c>
      <c r="SF40" s="8">
        <v>-329</v>
      </c>
      <c r="SG40" s="12">
        <v>452</v>
      </c>
      <c r="SP40" s="8">
        <v>880</v>
      </c>
      <c r="SQ40" s="12">
        <v>209</v>
      </c>
      <c r="SW40" s="8">
        <v>-606</v>
      </c>
      <c r="SY40" s="6">
        <v>282</v>
      </c>
      <c r="SZ40" s="28">
        <v>68</v>
      </c>
      <c r="TA40" s="6"/>
      <c r="TB40" s="6"/>
      <c r="TH40" s="8">
        <v>119</v>
      </c>
      <c r="TI40" s="28">
        <v>24</v>
      </c>
      <c r="TM40" s="8">
        <v>-135</v>
      </c>
      <c r="TN40" s="28">
        <v>126</v>
      </c>
      <c r="TP40" s="28"/>
      <c r="TX40" s="8">
        <v>177</v>
      </c>
      <c r="TY40" s="28">
        <v>803</v>
      </c>
      <c r="TZ40" s="8">
        <v>-284</v>
      </c>
      <c r="UA40" s="12">
        <v>467</v>
      </c>
      <c r="UE40" s="8">
        <v>849</v>
      </c>
      <c r="UG40" s="8">
        <v>747</v>
      </c>
      <c r="UH40" s="12">
        <v>309</v>
      </c>
      <c r="UI40" s="8">
        <v>962</v>
      </c>
      <c r="UJ40" s="12">
        <v>95</v>
      </c>
      <c r="UN40" s="8">
        <v>-248</v>
      </c>
      <c r="UO40" s="12">
        <v>86</v>
      </c>
      <c r="US40" s="8">
        <v>920</v>
      </c>
      <c r="UT40" s="12">
        <v>170</v>
      </c>
      <c r="UU40" s="8">
        <v>72</v>
      </c>
      <c r="UV40" s="12">
        <v>44</v>
      </c>
      <c r="UZ40" s="8">
        <v>412</v>
      </c>
      <c r="VA40" s="12">
        <v>437</v>
      </c>
      <c r="VB40" s="8">
        <v>-75</v>
      </c>
      <c r="VC40" s="12">
        <v>45</v>
      </c>
      <c r="VD40" s="8">
        <v>110</v>
      </c>
      <c r="VE40" s="12">
        <v>544</v>
      </c>
      <c r="VF40" s="8">
        <v>559</v>
      </c>
      <c r="VG40" s="12">
        <v>107</v>
      </c>
      <c r="VH40" s="8">
        <v>-3</v>
      </c>
      <c r="VI40" s="28">
        <v>22</v>
      </c>
      <c r="VL40" s="21"/>
      <c r="VM40" s="8">
        <v>816</v>
      </c>
      <c r="VN40" s="12">
        <v>498</v>
      </c>
      <c r="VO40" s="12"/>
      <c r="VP40" s="12"/>
      <c r="VQ40" s="6">
        <v>-25</v>
      </c>
      <c r="VR40" s="28">
        <v>58</v>
      </c>
      <c r="VS40" s="12"/>
      <c r="VT40" s="12"/>
      <c r="VV40" s="8">
        <v>-115</v>
      </c>
      <c r="VX40" s="8">
        <v>82</v>
      </c>
      <c r="VY40" s="12">
        <v>118</v>
      </c>
      <c r="VZ40" s="8">
        <v>503</v>
      </c>
      <c r="WA40" s="28">
        <v>145</v>
      </c>
      <c r="WB40" s="8">
        <v>4058</v>
      </c>
      <c r="WC40" s="12">
        <v>583</v>
      </c>
      <c r="WG40" s="8">
        <v>216</v>
      </c>
      <c r="WH40" s="28">
        <v>61</v>
      </c>
      <c r="WI40" s="8">
        <v>7688</v>
      </c>
      <c r="WJ40" s="28">
        <v>1523</v>
      </c>
      <c r="WP40" s="2">
        <v>108</v>
      </c>
      <c r="WQ40" s="1">
        <v>56</v>
      </c>
      <c r="WR40" s="10"/>
      <c r="XB40" s="23">
        <v>-17</v>
      </c>
      <c r="XC40" s="25">
        <v>22</v>
      </c>
      <c r="XE40">
        <v>44917</v>
      </c>
      <c r="XF40" s="1">
        <v>17679</v>
      </c>
      <c r="XG40" s="2">
        <v>-46</v>
      </c>
      <c r="XH40" s="1">
        <v>18</v>
      </c>
      <c r="XK40">
        <v>110</v>
      </c>
      <c r="XL40" s="1">
        <v>20</v>
      </c>
      <c r="XO40">
        <v>42596</v>
      </c>
      <c r="XP40" s="1">
        <v>8866</v>
      </c>
    </row>
    <row r="41" spans="3:640" x14ac:dyDescent="0.25">
      <c r="G41" s="2">
        <v>-2</v>
      </c>
      <c r="I41" s="2">
        <v>-1</v>
      </c>
      <c r="K41" s="2">
        <v>2895</v>
      </c>
      <c r="L41" s="1">
        <v>183</v>
      </c>
      <c r="M41">
        <v>198</v>
      </c>
      <c r="N41" s="1">
        <v>61</v>
      </c>
      <c r="O41" s="26"/>
      <c r="R41">
        <v>104</v>
      </c>
      <c r="S41" s="12">
        <v>81</v>
      </c>
      <c r="T41">
        <v>3699</v>
      </c>
      <c r="U41" s="1">
        <v>1756</v>
      </c>
      <c r="V41">
        <v>-4</v>
      </c>
      <c r="W41" s="10">
        <v>371</v>
      </c>
      <c r="AB41">
        <v>-6</v>
      </c>
      <c r="AC41" s="1">
        <v>35</v>
      </c>
      <c r="AD41">
        <v>-29</v>
      </c>
      <c r="AE41" s="1">
        <v>7</v>
      </c>
      <c r="AF41">
        <v>-663</v>
      </c>
      <c r="AG41" s="1">
        <v>209</v>
      </c>
      <c r="AJ41" s="2">
        <v>1</v>
      </c>
      <c r="AK41" s="10">
        <v>128</v>
      </c>
      <c r="AY41">
        <v>-2</v>
      </c>
      <c r="AZ41" s="1">
        <v>1</v>
      </c>
      <c r="BA41">
        <v>230</v>
      </c>
      <c r="BB41" s="1">
        <v>625</v>
      </c>
      <c r="BD41" s="8">
        <v>1786</v>
      </c>
      <c r="BE41" s="1">
        <v>27</v>
      </c>
      <c r="BF41">
        <v>51</v>
      </c>
      <c r="BG41" s="1">
        <v>27</v>
      </c>
      <c r="BJ41">
        <v>34</v>
      </c>
      <c r="BL41">
        <v>2631</v>
      </c>
      <c r="BM41" s="1">
        <v>59</v>
      </c>
      <c r="BN41">
        <v>-62</v>
      </c>
      <c r="BP41">
        <v>231</v>
      </c>
      <c r="BQ41" s="10">
        <v>8664</v>
      </c>
      <c r="BR41">
        <v>-8656</v>
      </c>
      <c r="BS41" s="1">
        <v>108</v>
      </c>
      <c r="BT41">
        <v>-203</v>
      </c>
      <c r="BU41" s="1">
        <v>614</v>
      </c>
      <c r="BV41">
        <v>35</v>
      </c>
      <c r="BW41" s="1">
        <v>3</v>
      </c>
      <c r="CA41" s="8">
        <v>-502</v>
      </c>
      <c r="CB41" s="28">
        <v>357</v>
      </c>
      <c r="CE41" s="8">
        <v>139</v>
      </c>
      <c r="CF41" s="28">
        <v>17</v>
      </c>
      <c r="CG41" s="8">
        <v>971</v>
      </c>
      <c r="CI41" s="8">
        <v>813</v>
      </c>
      <c r="CJ41" s="12">
        <v>216</v>
      </c>
      <c r="CK41" s="8">
        <v>37</v>
      </c>
      <c r="CL41" s="28">
        <v>18</v>
      </c>
      <c r="CM41" s="6">
        <v>-208</v>
      </c>
      <c r="CN41" s="28">
        <v>125</v>
      </c>
      <c r="CO41" s="6">
        <v>143</v>
      </c>
      <c r="CP41" s="28"/>
      <c r="CQ41" s="6">
        <v>690</v>
      </c>
      <c r="CR41" s="28"/>
      <c r="CS41" s="6">
        <v>-176</v>
      </c>
      <c r="CT41" s="28">
        <v>332</v>
      </c>
      <c r="CU41" s="28"/>
      <c r="CV41" s="28"/>
      <c r="CW41" s="28"/>
      <c r="CX41" s="28"/>
      <c r="CZ41" s="23">
        <v>-132</v>
      </c>
      <c r="DA41" s="25">
        <v>219</v>
      </c>
      <c r="DB41" s="23">
        <v>-6</v>
      </c>
      <c r="DC41" s="25">
        <v>12</v>
      </c>
      <c r="DE41" s="25"/>
      <c r="DF41" s="86">
        <v>112</v>
      </c>
      <c r="DG41" s="25">
        <v>284</v>
      </c>
      <c r="DH41" s="14">
        <v>-123</v>
      </c>
      <c r="DI41" s="25">
        <v>102</v>
      </c>
      <c r="DJ41" s="23">
        <v>177</v>
      </c>
      <c r="DK41" s="28">
        <v>156</v>
      </c>
      <c r="DL41" s="8">
        <v>564</v>
      </c>
      <c r="DQ41" s="8">
        <v>135</v>
      </c>
      <c r="DR41" s="52">
        <v>149</v>
      </c>
      <c r="DS41" s="6">
        <v>-19</v>
      </c>
      <c r="DT41" s="52">
        <v>182</v>
      </c>
      <c r="DU41" s="8">
        <v>292</v>
      </c>
      <c r="DV41" s="28">
        <v>300</v>
      </c>
      <c r="DW41" s="8">
        <v>-549</v>
      </c>
      <c r="DX41" s="28">
        <v>300</v>
      </c>
      <c r="DY41" s="6">
        <v>-242</v>
      </c>
      <c r="DZ41" s="52">
        <v>80</v>
      </c>
      <c r="EA41" s="23">
        <v>-770</v>
      </c>
      <c r="EB41" s="52">
        <v>573</v>
      </c>
      <c r="EC41" s="6">
        <v>1</v>
      </c>
      <c r="ED41" s="28">
        <v>4</v>
      </c>
      <c r="EE41" s="8">
        <v>305</v>
      </c>
      <c r="EF41" s="52">
        <v>29</v>
      </c>
      <c r="EG41" s="8">
        <v>5</v>
      </c>
      <c r="EH41" s="28">
        <v>126</v>
      </c>
      <c r="EI41" s="8">
        <v>-23</v>
      </c>
      <c r="EJ41" s="52">
        <v>425</v>
      </c>
      <c r="EL41" s="8">
        <v>644</v>
      </c>
      <c r="EM41" s="28">
        <v>345</v>
      </c>
      <c r="EN41" s="8">
        <v>73</v>
      </c>
      <c r="EO41" s="28">
        <v>329</v>
      </c>
      <c r="EP41" s="6">
        <v>-463</v>
      </c>
      <c r="EQ41" s="52"/>
      <c r="EX41" s="8">
        <v>426</v>
      </c>
      <c r="EY41" s="28">
        <v>13</v>
      </c>
      <c r="FA41" s="52"/>
      <c r="FD41" s="6">
        <v>787</v>
      </c>
      <c r="FE41" s="28">
        <v>599</v>
      </c>
      <c r="FH41" s="8">
        <v>-1</v>
      </c>
      <c r="FI41" s="28">
        <v>1</v>
      </c>
      <c r="FM41" s="8">
        <v>-27</v>
      </c>
      <c r="FN41" s="52">
        <v>23</v>
      </c>
      <c r="FO41" s="8">
        <v>5</v>
      </c>
      <c r="FP41" s="28">
        <v>207</v>
      </c>
      <c r="FQ41" s="8">
        <v>73</v>
      </c>
      <c r="FR41" s="28">
        <v>4</v>
      </c>
      <c r="FS41" s="8">
        <v>-382</v>
      </c>
      <c r="FT41" s="52">
        <v>49</v>
      </c>
      <c r="FV41" s="8">
        <v>-177</v>
      </c>
      <c r="FW41" s="28">
        <v>51</v>
      </c>
      <c r="GA41" s="8">
        <v>765</v>
      </c>
      <c r="GB41" s="52">
        <v>134</v>
      </c>
      <c r="GC41" s="8">
        <v>1</v>
      </c>
      <c r="GE41" s="8">
        <v>110</v>
      </c>
      <c r="GF41" s="28">
        <v>706</v>
      </c>
      <c r="GI41" s="8">
        <v>-37</v>
      </c>
      <c r="GJ41" s="28">
        <v>32</v>
      </c>
      <c r="GK41" s="8">
        <v>-440</v>
      </c>
      <c r="GL41" s="28">
        <v>678</v>
      </c>
      <c r="GN41" s="8">
        <v>179</v>
      </c>
      <c r="GO41" s="28">
        <v>162</v>
      </c>
      <c r="GP41" s="8">
        <v>-96</v>
      </c>
      <c r="GQ41" s="52">
        <v>392</v>
      </c>
      <c r="GR41" s="8">
        <v>-822</v>
      </c>
      <c r="GS41" s="28">
        <v>157</v>
      </c>
      <c r="GT41" s="6">
        <v>105</v>
      </c>
      <c r="GU41" s="52">
        <v>683</v>
      </c>
      <c r="GV41" s="6">
        <v>-384</v>
      </c>
      <c r="GW41" s="28">
        <v>328</v>
      </c>
      <c r="GZ41" s="8">
        <v>10</v>
      </c>
      <c r="HA41" s="28">
        <v>28</v>
      </c>
      <c r="HB41" s="6">
        <v>-36</v>
      </c>
      <c r="HC41" s="28"/>
      <c r="HE41" s="8">
        <v>102</v>
      </c>
      <c r="HF41" s="28">
        <v>76</v>
      </c>
      <c r="HG41" s="8">
        <v>-40</v>
      </c>
      <c r="HO41" s="8">
        <v>-60</v>
      </c>
      <c r="HP41" s="28">
        <v>92</v>
      </c>
      <c r="HQ41" s="6">
        <v>-4</v>
      </c>
      <c r="HR41" s="28">
        <v>2</v>
      </c>
      <c r="HS41" s="8">
        <v>2</v>
      </c>
      <c r="HT41" s="52">
        <v>236</v>
      </c>
      <c r="HX41" s="8">
        <v>6</v>
      </c>
      <c r="HY41" s="28">
        <v>18</v>
      </c>
      <c r="HZ41" s="8">
        <v>9</v>
      </c>
      <c r="IB41" s="8">
        <v>-125</v>
      </c>
      <c r="IC41" s="28">
        <v>188</v>
      </c>
      <c r="ID41" s="8">
        <v>-38</v>
      </c>
      <c r="IE41" s="28">
        <v>745</v>
      </c>
      <c r="IH41" s="8">
        <v>-419</v>
      </c>
      <c r="II41" s="28">
        <v>779</v>
      </c>
      <c r="IO41">
        <v>-751</v>
      </c>
      <c r="IP41" s="10">
        <v>31</v>
      </c>
      <c r="IS41" s="6">
        <v>-389</v>
      </c>
      <c r="IT41" s="28">
        <v>158</v>
      </c>
      <c r="IU41" s="8">
        <v>-112</v>
      </c>
      <c r="IV41" s="28">
        <v>753</v>
      </c>
      <c r="IW41" s="8">
        <v>174</v>
      </c>
      <c r="IY41" s="8">
        <v>60</v>
      </c>
      <c r="JA41" s="8">
        <v>231</v>
      </c>
      <c r="JB41" s="12">
        <v>615</v>
      </c>
      <c r="JH41" s="8">
        <v>-4</v>
      </c>
      <c r="JI41" s="28">
        <v>2</v>
      </c>
      <c r="JJ41" s="8">
        <v>97</v>
      </c>
      <c r="JK41" s="28">
        <v>1</v>
      </c>
      <c r="JL41" s="8">
        <v>465</v>
      </c>
      <c r="JM41" s="12">
        <v>333</v>
      </c>
      <c r="JN41" s="8">
        <v>-216</v>
      </c>
      <c r="JO41" s="28">
        <v>26</v>
      </c>
      <c r="JP41" s="6">
        <v>-19</v>
      </c>
      <c r="JQ41" s="12">
        <v>144</v>
      </c>
      <c r="JT41" s="6">
        <v>-293</v>
      </c>
      <c r="JU41" s="12">
        <v>898</v>
      </c>
      <c r="JW41" s="8">
        <v>-391</v>
      </c>
      <c r="JX41" s="12">
        <v>710</v>
      </c>
      <c r="JZ41" s="28"/>
      <c r="KA41" s="8">
        <v>-19</v>
      </c>
      <c r="KB41" s="28">
        <v>17</v>
      </c>
      <c r="KE41" s="6">
        <v>33</v>
      </c>
      <c r="KF41" s="12">
        <v>39</v>
      </c>
      <c r="KQ41" s="8">
        <v>-52</v>
      </c>
      <c r="KR41" s="28">
        <v>96</v>
      </c>
      <c r="KT41" s="8">
        <v>-7</v>
      </c>
      <c r="KU41" s="28">
        <v>14</v>
      </c>
      <c r="KV41" s="8">
        <v>929</v>
      </c>
      <c r="KZ41" s="8">
        <v>-116</v>
      </c>
      <c r="LA41" s="12">
        <v>602</v>
      </c>
      <c r="LD41" s="8">
        <v>429</v>
      </c>
      <c r="LE41" s="28">
        <v>129</v>
      </c>
      <c r="LF41" s="8">
        <v>-42</v>
      </c>
      <c r="LG41" s="28">
        <v>23</v>
      </c>
      <c r="LH41" s="8">
        <v>-974</v>
      </c>
      <c r="LJ41" s="8">
        <v>370</v>
      </c>
      <c r="LK41" s="28">
        <v>187</v>
      </c>
      <c r="LL41" s="8">
        <v>-7</v>
      </c>
      <c r="LM41" s="28">
        <v>4</v>
      </c>
      <c r="LN41" s="8">
        <v>-158</v>
      </c>
      <c r="LO41" s="28">
        <v>725</v>
      </c>
      <c r="LS41" s="8">
        <v>137</v>
      </c>
      <c r="LU41" s="8">
        <v>-114</v>
      </c>
      <c r="LV41" s="12">
        <v>268</v>
      </c>
      <c r="LW41" s="8">
        <v>-649</v>
      </c>
      <c r="LX41" s="28">
        <v>215</v>
      </c>
      <c r="LZ41" s="8">
        <v>658</v>
      </c>
      <c r="MF41" s="8">
        <v>-110</v>
      </c>
      <c r="MG41" s="12">
        <v>167</v>
      </c>
      <c r="MN41" s="8">
        <v>219</v>
      </c>
      <c r="MO41" s="28">
        <v>61</v>
      </c>
      <c r="MS41" s="8">
        <v>-94</v>
      </c>
      <c r="MT41" s="12">
        <v>345</v>
      </c>
      <c r="MU41" s="8">
        <v>37</v>
      </c>
      <c r="MV41" s="28">
        <v>11</v>
      </c>
      <c r="NC41" s="8">
        <v>7</v>
      </c>
      <c r="ND41" s="12">
        <v>156</v>
      </c>
      <c r="NE41" s="8">
        <v>209</v>
      </c>
      <c r="NF41" s="28">
        <v>525</v>
      </c>
      <c r="NG41" s="8">
        <v>-152</v>
      </c>
      <c r="NH41" s="28">
        <v>40</v>
      </c>
      <c r="NI41" s="8">
        <v>155</v>
      </c>
      <c r="NJ41" s="28">
        <v>194</v>
      </c>
      <c r="NL41" s="8">
        <v>156</v>
      </c>
      <c r="NM41" s="28">
        <v>91</v>
      </c>
      <c r="NN41" s="8">
        <v>873</v>
      </c>
      <c r="NO41" s="28">
        <v>322</v>
      </c>
      <c r="NP41" s="8">
        <v>-12</v>
      </c>
      <c r="NQ41" s="12">
        <v>14</v>
      </c>
      <c r="NU41" s="8">
        <v>924</v>
      </c>
      <c r="NV41" s="12">
        <v>127</v>
      </c>
      <c r="NW41" s="8">
        <v>910</v>
      </c>
      <c r="NX41" s="28">
        <v>102</v>
      </c>
      <c r="NY41" s="8">
        <v>174</v>
      </c>
      <c r="NZ41" s="12">
        <v>376</v>
      </c>
      <c r="OA41" s="8">
        <v>-151</v>
      </c>
      <c r="OB41" s="28">
        <v>707</v>
      </c>
      <c r="OC41" s="8">
        <v>-264</v>
      </c>
      <c r="OD41" s="12">
        <v>260</v>
      </c>
      <c r="OE41" s="8">
        <v>-926</v>
      </c>
      <c r="OG41" s="28">
        <v>583</v>
      </c>
      <c r="OO41" s="8">
        <v>-102</v>
      </c>
      <c r="OP41" s="28">
        <v>90</v>
      </c>
      <c r="OV41" s="8">
        <v>113</v>
      </c>
      <c r="PC41" s="8">
        <v>920</v>
      </c>
      <c r="PD41" s="28">
        <v>53</v>
      </c>
      <c r="PE41" s="8">
        <v>53</v>
      </c>
      <c r="PF41" s="12">
        <v>45</v>
      </c>
      <c r="PJ41" s="8">
        <v>-89</v>
      </c>
      <c r="PK41" s="12">
        <v>158</v>
      </c>
      <c r="PL41" s="8">
        <v>52</v>
      </c>
      <c r="PM41" s="28">
        <v>6</v>
      </c>
      <c r="PP41" s="8">
        <v>243</v>
      </c>
      <c r="PQ41" s="28">
        <v>15</v>
      </c>
      <c r="PR41" s="28"/>
      <c r="PS41" s="8">
        <v>-843</v>
      </c>
      <c r="PT41" s="12">
        <v>59</v>
      </c>
      <c r="PW41" s="8">
        <v>-7</v>
      </c>
      <c r="PX41" s="28">
        <v>6</v>
      </c>
      <c r="QE41" s="8">
        <v>889</v>
      </c>
      <c r="QF41" s="12">
        <v>628</v>
      </c>
      <c r="QH41" s="8">
        <v>-1</v>
      </c>
      <c r="QI41" s="12">
        <v>225</v>
      </c>
      <c r="QQ41" s="8">
        <v>-1</v>
      </c>
      <c r="QR41" s="12">
        <v>95</v>
      </c>
      <c r="QT41" s="8">
        <v>-102</v>
      </c>
      <c r="QU41" s="12">
        <v>98</v>
      </c>
      <c r="QV41" s="6">
        <v>-417</v>
      </c>
      <c r="QW41" s="12">
        <v>220</v>
      </c>
      <c r="QY41" s="8">
        <v>-87</v>
      </c>
      <c r="QZ41" s="12">
        <v>101</v>
      </c>
      <c r="RA41" s="8">
        <v>5</v>
      </c>
      <c r="RB41" s="12">
        <v>301</v>
      </c>
      <c r="RC41" s="6">
        <v>-983</v>
      </c>
      <c r="RD41" s="12">
        <v>97</v>
      </c>
      <c r="RE41" s="6">
        <v>115</v>
      </c>
      <c r="RF41" s="12">
        <v>661</v>
      </c>
      <c r="RG41" s="8">
        <v>175</v>
      </c>
      <c r="RH41" s="28">
        <v>205</v>
      </c>
      <c r="RJ41" s="8">
        <v>-79</v>
      </c>
      <c r="RK41" s="12">
        <v>159</v>
      </c>
      <c r="RL41" s="8">
        <v>-33</v>
      </c>
      <c r="RM41" s="12">
        <v>367</v>
      </c>
      <c r="RS41" s="6">
        <v>102</v>
      </c>
      <c r="RT41" s="50">
        <v>230</v>
      </c>
      <c r="SF41" s="8">
        <v>21</v>
      </c>
      <c r="SG41" s="12">
        <v>148</v>
      </c>
      <c r="SP41" s="8">
        <v>121</v>
      </c>
      <c r="SQ41" s="12">
        <v>688</v>
      </c>
      <c r="SW41" s="8">
        <v>165</v>
      </c>
      <c r="SY41" s="6">
        <v>175</v>
      </c>
      <c r="SZ41" s="28">
        <v>128</v>
      </c>
      <c r="TA41" s="6"/>
      <c r="TB41" s="6"/>
      <c r="TH41" s="8">
        <v>144</v>
      </c>
      <c r="TI41" s="28">
        <v>19</v>
      </c>
      <c r="TM41" s="8">
        <v>414</v>
      </c>
      <c r="TN41" s="28">
        <v>101</v>
      </c>
      <c r="TP41" s="28"/>
      <c r="TX41" s="8">
        <v>264</v>
      </c>
      <c r="TY41" s="28">
        <v>937</v>
      </c>
      <c r="TZ41" s="8">
        <v>321</v>
      </c>
      <c r="UA41" s="12">
        <v>104</v>
      </c>
      <c r="UE41" s="8">
        <v>369</v>
      </c>
      <c r="UG41" s="8">
        <v>-101</v>
      </c>
      <c r="UH41" s="12">
        <v>28</v>
      </c>
      <c r="UI41" s="8">
        <v>509</v>
      </c>
      <c r="UJ41" s="12">
        <v>49</v>
      </c>
      <c r="UN41" s="8">
        <v>105</v>
      </c>
      <c r="UO41" s="12">
        <v>251</v>
      </c>
      <c r="US41" s="8">
        <v>114</v>
      </c>
      <c r="UT41" s="12">
        <v>630</v>
      </c>
      <c r="UU41" s="8">
        <v>158</v>
      </c>
      <c r="UV41" s="12">
        <v>57</v>
      </c>
      <c r="UZ41" s="8">
        <v>-141</v>
      </c>
      <c r="VA41" s="12">
        <v>63</v>
      </c>
      <c r="VB41" s="8">
        <v>-83</v>
      </c>
      <c r="VC41" s="12">
        <v>48</v>
      </c>
      <c r="VD41" s="8">
        <v>139</v>
      </c>
      <c r="VE41" s="12">
        <v>937</v>
      </c>
      <c r="VF41" s="8">
        <v>985</v>
      </c>
      <c r="VG41" s="12">
        <v>989</v>
      </c>
      <c r="VH41" s="8">
        <v>288</v>
      </c>
      <c r="VI41" s="28">
        <v>22</v>
      </c>
      <c r="VL41" s="21"/>
      <c r="VM41" s="8">
        <v>911</v>
      </c>
      <c r="VN41" s="12">
        <v>560</v>
      </c>
      <c r="VO41" s="12"/>
      <c r="VP41" s="12"/>
      <c r="VQ41" s="6">
        <v>-19</v>
      </c>
      <c r="VR41" s="28">
        <v>42</v>
      </c>
      <c r="VS41" s="12"/>
      <c r="VT41" s="12"/>
      <c r="VV41" s="8">
        <v>-3007</v>
      </c>
      <c r="VX41" s="8">
        <v>26</v>
      </c>
      <c r="VY41" s="12">
        <v>260</v>
      </c>
      <c r="VZ41" s="8">
        <v>690</v>
      </c>
      <c r="WA41" s="28">
        <v>70</v>
      </c>
      <c r="WB41" s="8">
        <v>3473</v>
      </c>
      <c r="WC41" s="12">
        <v>630</v>
      </c>
      <c r="WG41" s="8">
        <v>392</v>
      </c>
      <c r="WH41" s="28">
        <v>137</v>
      </c>
      <c r="WI41" s="8">
        <v>133</v>
      </c>
      <c r="WJ41" s="28">
        <v>51</v>
      </c>
      <c r="WP41" s="2">
        <v>158</v>
      </c>
      <c r="WQ41" s="1">
        <v>48</v>
      </c>
      <c r="WR41" s="10"/>
      <c r="XB41" s="23">
        <v>90</v>
      </c>
      <c r="XC41" s="25">
        <v>10</v>
      </c>
      <c r="XE41">
        <v>360</v>
      </c>
      <c r="XF41" s="1">
        <v>87</v>
      </c>
      <c r="XG41" s="2">
        <v>43</v>
      </c>
      <c r="XH41" s="1">
        <v>324</v>
      </c>
      <c r="XK41">
        <v>96</v>
      </c>
      <c r="XL41" s="1">
        <v>26</v>
      </c>
      <c r="XO41">
        <v>211</v>
      </c>
      <c r="XP41" s="1">
        <v>61</v>
      </c>
    </row>
    <row r="42" spans="3:640" x14ac:dyDescent="0.25">
      <c r="G42" s="2">
        <v>-2</v>
      </c>
      <c r="I42" s="2">
        <v>-2</v>
      </c>
      <c r="K42" s="2">
        <v>2850</v>
      </c>
      <c r="L42" s="1">
        <v>184</v>
      </c>
      <c r="M42">
        <v>125</v>
      </c>
      <c r="N42" s="1">
        <v>45</v>
      </c>
      <c r="O42" s="26"/>
      <c r="R42">
        <v>41</v>
      </c>
      <c r="S42" s="12">
        <v>334</v>
      </c>
      <c r="T42">
        <v>6549</v>
      </c>
      <c r="U42" s="1">
        <v>1496</v>
      </c>
      <c r="V42">
        <v>-1</v>
      </c>
      <c r="W42" s="10">
        <v>42</v>
      </c>
      <c r="AB42">
        <v>-53</v>
      </c>
      <c r="AC42" s="1">
        <v>26</v>
      </c>
      <c r="AD42">
        <v>-6</v>
      </c>
      <c r="AE42" s="1">
        <v>6</v>
      </c>
      <c r="AF42">
        <v>-644</v>
      </c>
      <c r="AG42" s="1">
        <v>193</v>
      </c>
      <c r="AJ42" s="2">
        <v>1</v>
      </c>
      <c r="AK42" s="10">
        <v>131</v>
      </c>
      <c r="AY42">
        <v>14</v>
      </c>
      <c r="AZ42" s="1">
        <v>6</v>
      </c>
      <c r="BA42">
        <v>137</v>
      </c>
      <c r="BB42" s="1">
        <v>630</v>
      </c>
      <c r="BD42" s="8">
        <v>263</v>
      </c>
      <c r="BE42" s="1">
        <v>77</v>
      </c>
      <c r="BF42">
        <v>2054</v>
      </c>
      <c r="BG42" s="1">
        <v>718</v>
      </c>
      <c r="BJ42">
        <v>133</v>
      </c>
      <c r="BL42">
        <v>-55</v>
      </c>
      <c r="BM42" s="1">
        <v>9</v>
      </c>
      <c r="BN42">
        <v>-30</v>
      </c>
      <c r="BP42">
        <v>220</v>
      </c>
      <c r="BQ42" s="10">
        <v>3011</v>
      </c>
      <c r="BR42">
        <v>-4845</v>
      </c>
      <c r="BS42" s="1">
        <v>6704</v>
      </c>
      <c r="BT42">
        <v>1028</v>
      </c>
      <c r="BU42" s="1">
        <v>106</v>
      </c>
      <c r="BV42">
        <v>104</v>
      </c>
      <c r="BW42" s="1">
        <v>405</v>
      </c>
      <c r="CA42" s="8">
        <v>128</v>
      </c>
      <c r="CB42" s="28">
        <v>691</v>
      </c>
      <c r="CE42" s="8">
        <v>147</v>
      </c>
      <c r="CF42" s="28">
        <v>9</v>
      </c>
      <c r="CG42" s="8">
        <v>1129</v>
      </c>
      <c r="CI42" s="8">
        <v>71</v>
      </c>
      <c r="CJ42" s="12">
        <v>346</v>
      </c>
      <c r="CK42" s="8">
        <v>79</v>
      </c>
      <c r="CL42" s="28">
        <v>31</v>
      </c>
      <c r="CM42" s="6">
        <v>-113</v>
      </c>
      <c r="CN42" s="28">
        <v>849</v>
      </c>
      <c r="CO42" s="6">
        <v>124</v>
      </c>
      <c r="CP42" s="28"/>
      <c r="CQ42" s="6">
        <v>653</v>
      </c>
      <c r="CR42" s="28"/>
      <c r="CS42" s="6">
        <v>-208</v>
      </c>
      <c r="CT42" s="28">
        <v>322</v>
      </c>
      <c r="CU42" s="28"/>
      <c r="CV42" s="28"/>
      <c r="CW42" s="28"/>
      <c r="CX42" s="28"/>
      <c r="CZ42" s="23">
        <v>322</v>
      </c>
      <c r="DA42" s="25">
        <v>201</v>
      </c>
      <c r="DB42" s="23">
        <v>97</v>
      </c>
      <c r="DC42" s="25">
        <v>5</v>
      </c>
      <c r="DE42" s="25"/>
      <c r="DF42" s="86">
        <v>100</v>
      </c>
      <c r="DG42" s="25">
        <v>326</v>
      </c>
      <c r="DH42" s="14">
        <v>-210</v>
      </c>
      <c r="DI42" s="25">
        <v>108</v>
      </c>
      <c r="DJ42" s="23">
        <v>-255</v>
      </c>
      <c r="DK42" s="28">
        <v>118</v>
      </c>
      <c r="DL42" s="8">
        <v>305</v>
      </c>
      <c r="DQ42" s="8">
        <v>195</v>
      </c>
      <c r="DR42" s="52">
        <v>123</v>
      </c>
      <c r="DS42" s="6">
        <v>-33</v>
      </c>
      <c r="DT42" s="52">
        <v>118</v>
      </c>
      <c r="DU42" s="8">
        <v>613</v>
      </c>
      <c r="DV42" s="28">
        <v>406</v>
      </c>
      <c r="DW42" s="8">
        <v>-522</v>
      </c>
      <c r="DX42" s="28">
        <v>301</v>
      </c>
      <c r="DY42" s="6">
        <v>-288</v>
      </c>
      <c r="DZ42" s="52">
        <v>94</v>
      </c>
      <c r="EA42" s="23">
        <v>484</v>
      </c>
      <c r="EB42" s="52">
        <v>376</v>
      </c>
      <c r="EC42" s="6">
        <v>2</v>
      </c>
      <c r="ED42" s="28">
        <v>3</v>
      </c>
      <c r="EE42" s="8">
        <v>-44</v>
      </c>
      <c r="EF42" s="52">
        <v>375</v>
      </c>
      <c r="EG42" s="8">
        <v>-199</v>
      </c>
      <c r="EH42" s="28">
        <v>894</v>
      </c>
      <c r="EI42" s="8">
        <v>19</v>
      </c>
      <c r="EJ42" s="52">
        <v>729</v>
      </c>
      <c r="EL42" s="8">
        <v>-565</v>
      </c>
      <c r="EM42" s="28">
        <v>338</v>
      </c>
      <c r="EN42" s="8">
        <v>143</v>
      </c>
      <c r="EO42" s="28">
        <v>33</v>
      </c>
      <c r="EP42" s="6"/>
      <c r="EQ42" s="52"/>
      <c r="EX42" s="8">
        <v>-44</v>
      </c>
      <c r="EY42" s="28">
        <v>2</v>
      </c>
      <c r="FD42" s="6">
        <v>-255</v>
      </c>
      <c r="FE42" s="28">
        <v>928</v>
      </c>
      <c r="FH42" s="8">
        <v>-6</v>
      </c>
      <c r="FI42" s="28">
        <v>1</v>
      </c>
      <c r="FM42" s="8">
        <v>290</v>
      </c>
      <c r="FN42" s="52">
        <v>233</v>
      </c>
      <c r="FO42" s="8">
        <v>95</v>
      </c>
      <c r="FP42" s="28">
        <v>205</v>
      </c>
      <c r="FQ42" s="8">
        <v>-48</v>
      </c>
      <c r="FR42" s="28">
        <v>4</v>
      </c>
      <c r="FS42" s="8">
        <v>-505</v>
      </c>
      <c r="FT42" s="52">
        <v>66</v>
      </c>
      <c r="FV42" s="8">
        <v>-189</v>
      </c>
      <c r="FW42" s="28">
        <v>120</v>
      </c>
      <c r="GA42" s="8">
        <v>140</v>
      </c>
      <c r="GB42" s="52">
        <v>566</v>
      </c>
      <c r="GC42" s="8">
        <v>538</v>
      </c>
      <c r="GE42" s="8">
        <v>-26</v>
      </c>
      <c r="GF42" s="28">
        <v>14</v>
      </c>
      <c r="GI42" s="8">
        <v>-57</v>
      </c>
      <c r="GJ42" s="28">
        <v>46</v>
      </c>
      <c r="GK42" s="8">
        <v>-455</v>
      </c>
      <c r="GL42" s="28">
        <v>708</v>
      </c>
      <c r="GN42" s="8">
        <v>342</v>
      </c>
      <c r="GO42" s="28">
        <v>345</v>
      </c>
      <c r="GP42" s="8">
        <v>-33</v>
      </c>
      <c r="GQ42" s="52">
        <v>368</v>
      </c>
      <c r="GR42" s="8">
        <v>-282</v>
      </c>
      <c r="GS42" s="28">
        <v>908</v>
      </c>
      <c r="GT42" s="6">
        <v>-15</v>
      </c>
      <c r="GU42" s="52">
        <v>234</v>
      </c>
      <c r="GV42" s="6">
        <v>121</v>
      </c>
      <c r="GW42" s="28">
        <v>185</v>
      </c>
      <c r="GZ42" s="8">
        <v>864</v>
      </c>
      <c r="HA42" s="28">
        <v>332</v>
      </c>
      <c r="HB42" s="6">
        <v>-56</v>
      </c>
      <c r="HC42" s="28"/>
      <c r="HE42" s="8">
        <v>254</v>
      </c>
      <c r="HF42" s="28">
        <v>95</v>
      </c>
      <c r="HG42" s="8">
        <v>-147</v>
      </c>
      <c r="HO42" s="8">
        <v>-73</v>
      </c>
      <c r="HP42" s="28">
        <v>897</v>
      </c>
      <c r="HQ42" s="6">
        <v>2</v>
      </c>
      <c r="HR42" s="28">
        <v>2</v>
      </c>
      <c r="HS42" s="8">
        <v>-1</v>
      </c>
      <c r="HT42" s="52">
        <v>-101</v>
      </c>
      <c r="HX42" s="8">
        <v>190</v>
      </c>
      <c r="HY42" s="28">
        <v>193</v>
      </c>
      <c r="HZ42" s="8">
        <v>59</v>
      </c>
      <c r="IB42" s="8">
        <v>-183</v>
      </c>
      <c r="IC42" s="28">
        <v>154</v>
      </c>
      <c r="ID42" s="8">
        <v>-176</v>
      </c>
      <c r="IE42" s="28">
        <v>31</v>
      </c>
      <c r="IH42" s="8">
        <v>485</v>
      </c>
      <c r="II42" s="28">
        <v>154</v>
      </c>
      <c r="IO42">
        <v>-924</v>
      </c>
      <c r="IP42" s="10">
        <v>40</v>
      </c>
      <c r="IS42" s="6">
        <v>771</v>
      </c>
      <c r="IT42" s="28">
        <v>196</v>
      </c>
      <c r="IU42" s="8">
        <v>286</v>
      </c>
      <c r="IV42" s="28">
        <v>398</v>
      </c>
      <c r="IW42" s="8">
        <v>118</v>
      </c>
      <c r="IY42" s="8">
        <v>-130</v>
      </c>
      <c r="JA42" s="8">
        <v>572</v>
      </c>
      <c r="JB42" s="12">
        <v>155</v>
      </c>
      <c r="JH42" s="8">
        <v>-4</v>
      </c>
      <c r="JI42" s="28">
        <v>7</v>
      </c>
      <c r="JJ42" s="8">
        <v>103</v>
      </c>
      <c r="JK42" s="28">
        <v>1</v>
      </c>
      <c r="JL42" s="8">
        <v>167</v>
      </c>
      <c r="JM42" s="12">
        <v>265</v>
      </c>
      <c r="JN42" s="8">
        <v>-445</v>
      </c>
      <c r="JO42" s="28">
        <v>19</v>
      </c>
      <c r="JP42" s="6">
        <v>106</v>
      </c>
      <c r="JQ42" s="12">
        <v>534</v>
      </c>
      <c r="JT42" s="6">
        <v>-5</v>
      </c>
      <c r="JU42" s="12">
        <v>5</v>
      </c>
      <c r="JW42" s="8">
        <v>-305</v>
      </c>
      <c r="JX42" s="12">
        <v>73</v>
      </c>
      <c r="JZ42" s="28"/>
      <c r="KA42" s="8">
        <v>26</v>
      </c>
      <c r="KB42" s="28">
        <v>5</v>
      </c>
      <c r="KE42" s="6">
        <v>59</v>
      </c>
      <c r="KF42" s="12">
        <v>102</v>
      </c>
      <c r="KQ42" s="8">
        <v>140</v>
      </c>
      <c r="KR42" s="28">
        <v>44</v>
      </c>
      <c r="KT42" s="8">
        <v>-191</v>
      </c>
      <c r="KU42" s="28">
        <v>9</v>
      </c>
      <c r="KV42" s="8">
        <v>102</v>
      </c>
      <c r="KZ42" s="8">
        <v>-877</v>
      </c>
      <c r="LA42" s="12">
        <v>750</v>
      </c>
      <c r="LD42" s="8">
        <v>-307</v>
      </c>
      <c r="LE42" s="28">
        <v>100</v>
      </c>
      <c r="LF42" s="8">
        <v>-34</v>
      </c>
      <c r="LG42" s="28">
        <v>22</v>
      </c>
      <c r="LH42" s="8">
        <v>14</v>
      </c>
      <c r="LJ42" s="8">
        <v>172</v>
      </c>
      <c r="LK42" s="28">
        <v>187</v>
      </c>
      <c r="LL42" s="8">
        <v>-2</v>
      </c>
      <c r="LM42" s="28">
        <v>6</v>
      </c>
      <c r="LN42" s="8">
        <v>-875</v>
      </c>
      <c r="LO42" s="28">
        <v>592</v>
      </c>
      <c r="LS42" s="8">
        <v>151</v>
      </c>
      <c r="LU42" s="8">
        <v>-8</v>
      </c>
      <c r="LV42" s="12">
        <v>115</v>
      </c>
      <c r="LW42" s="8">
        <v>-336</v>
      </c>
      <c r="LX42" s="28">
        <v>189</v>
      </c>
      <c r="LZ42" s="8">
        <v>470</v>
      </c>
      <c r="MF42" s="8">
        <v>-149</v>
      </c>
      <c r="MG42" s="12">
        <v>185</v>
      </c>
      <c r="MN42" s="8">
        <v>459</v>
      </c>
      <c r="MO42" s="28">
        <v>311</v>
      </c>
      <c r="MS42" s="8">
        <v>-436</v>
      </c>
      <c r="MT42" s="12">
        <v>634</v>
      </c>
      <c r="MU42" s="8">
        <v>5</v>
      </c>
      <c r="MV42" s="28">
        <v>9</v>
      </c>
      <c r="NC42" s="8">
        <v>-124</v>
      </c>
      <c r="ND42" s="12">
        <v>399</v>
      </c>
      <c r="NE42" s="8">
        <v>273</v>
      </c>
      <c r="NF42" s="28">
        <v>191</v>
      </c>
      <c r="NG42" s="8">
        <v>41</v>
      </c>
      <c r="NH42" s="28">
        <v>2</v>
      </c>
      <c r="NI42" s="8">
        <v>181</v>
      </c>
      <c r="NJ42" s="28">
        <v>36</v>
      </c>
      <c r="NL42" s="8">
        <v>37</v>
      </c>
      <c r="NM42" s="28">
        <v>44</v>
      </c>
      <c r="NN42" s="8">
        <v>434</v>
      </c>
      <c r="NO42" s="28">
        <v>348</v>
      </c>
      <c r="NP42" s="8">
        <v>26</v>
      </c>
      <c r="NQ42" s="12">
        <v>32</v>
      </c>
      <c r="NU42" s="8">
        <v>26</v>
      </c>
      <c r="NV42" s="12">
        <v>111</v>
      </c>
      <c r="NW42" s="8">
        <v>455</v>
      </c>
      <c r="NX42" s="28">
        <v>133</v>
      </c>
      <c r="NY42" s="8">
        <v>81</v>
      </c>
      <c r="NZ42" s="12">
        <v>188</v>
      </c>
      <c r="OA42" s="8">
        <v>792</v>
      </c>
      <c r="OB42" s="28">
        <v>627</v>
      </c>
      <c r="OC42" s="8">
        <v>425</v>
      </c>
      <c r="OD42" s="12">
        <v>245</v>
      </c>
      <c r="OE42" s="8">
        <v>370</v>
      </c>
      <c r="OG42" s="28">
        <v>839</v>
      </c>
      <c r="OO42" s="8">
        <v>59</v>
      </c>
      <c r="OP42" s="28">
        <v>68</v>
      </c>
      <c r="OV42" s="8">
        <v>196</v>
      </c>
      <c r="PC42" s="8">
        <v>-197</v>
      </c>
      <c r="PD42" s="28">
        <v>75</v>
      </c>
      <c r="PE42" s="8">
        <v>-90</v>
      </c>
      <c r="PF42" s="12">
        <v>39</v>
      </c>
      <c r="PJ42" s="8">
        <v>412</v>
      </c>
      <c r="PK42" s="12">
        <v>225</v>
      </c>
      <c r="PP42" s="8">
        <v>877</v>
      </c>
      <c r="PQ42" s="28">
        <v>15</v>
      </c>
      <c r="PR42" s="28"/>
      <c r="PS42" s="8">
        <v>143</v>
      </c>
      <c r="PT42" s="12">
        <v>63</v>
      </c>
      <c r="PW42" s="8">
        <v>-131</v>
      </c>
      <c r="PX42" s="28">
        <v>100</v>
      </c>
      <c r="QE42" s="8">
        <v>-360</v>
      </c>
      <c r="QF42" s="12">
        <v>313</v>
      </c>
      <c r="QH42" s="8">
        <v>6</v>
      </c>
      <c r="QI42" s="12">
        <v>513</v>
      </c>
      <c r="QQ42" s="8">
        <v>-21</v>
      </c>
      <c r="QR42" s="12">
        <v>243</v>
      </c>
      <c r="QT42" s="8">
        <v>602</v>
      </c>
      <c r="QU42" s="12">
        <v>131</v>
      </c>
      <c r="QV42" s="6">
        <v>899</v>
      </c>
      <c r="QW42" s="12">
        <v>619</v>
      </c>
      <c r="QY42" s="8">
        <v>-145</v>
      </c>
      <c r="QZ42" s="12">
        <v>112</v>
      </c>
      <c r="RA42" s="8">
        <v>-495</v>
      </c>
      <c r="RC42" s="6">
        <v>-251</v>
      </c>
      <c r="RD42" s="12">
        <v>248</v>
      </c>
      <c r="RE42" s="6">
        <f>100</f>
        <v>100</v>
      </c>
      <c r="RF42" s="12">
        <v>464</v>
      </c>
      <c r="RG42" s="8">
        <v>-37</v>
      </c>
      <c r="RH42" s="28">
        <v>88</v>
      </c>
      <c r="RJ42" s="8">
        <v>98</v>
      </c>
      <c r="RK42" s="12">
        <v>266</v>
      </c>
      <c r="RL42" s="8">
        <v>-3</v>
      </c>
      <c r="RM42" s="12">
        <v>451</v>
      </c>
      <c r="RS42" s="6">
        <v>33</v>
      </c>
      <c r="RT42" s="50">
        <v>122</v>
      </c>
      <c r="SF42" s="8">
        <v>164</v>
      </c>
      <c r="SG42" s="12">
        <v>295</v>
      </c>
      <c r="SP42" s="8">
        <v>17</v>
      </c>
      <c r="SQ42" s="12">
        <v>322</v>
      </c>
      <c r="SW42" s="8">
        <v>354</v>
      </c>
      <c r="SY42" s="6">
        <v>226</v>
      </c>
      <c r="SZ42" s="28">
        <v>101</v>
      </c>
      <c r="TA42" s="6"/>
      <c r="TB42" s="6"/>
      <c r="TH42" s="8">
        <v>190</v>
      </c>
      <c r="TI42" s="28">
        <v>24</v>
      </c>
      <c r="TM42" s="8">
        <v>99</v>
      </c>
      <c r="TN42" s="28">
        <v>4</v>
      </c>
      <c r="TP42" s="28"/>
      <c r="TX42" s="8">
        <v>342</v>
      </c>
      <c r="TY42" s="28">
        <v>857</v>
      </c>
      <c r="TZ42" s="8">
        <v>339</v>
      </c>
      <c r="UA42" s="12">
        <v>249</v>
      </c>
      <c r="UE42" s="8">
        <v>114</v>
      </c>
      <c r="UG42" s="8">
        <v>301</v>
      </c>
      <c r="UH42" s="12">
        <v>307</v>
      </c>
      <c r="UI42" s="8">
        <v>222</v>
      </c>
      <c r="UJ42" s="12">
        <v>25</v>
      </c>
      <c r="UN42" s="8">
        <v>789</v>
      </c>
      <c r="UO42" s="12">
        <v>373</v>
      </c>
      <c r="US42" s="8">
        <v>115</v>
      </c>
      <c r="UT42" s="12">
        <v>667</v>
      </c>
      <c r="UU42" s="8">
        <v>100</v>
      </c>
      <c r="UV42" s="12">
        <v>29</v>
      </c>
      <c r="UZ42" s="8">
        <v>499</v>
      </c>
      <c r="VA42" s="12">
        <v>698</v>
      </c>
      <c r="VB42" s="8">
        <v>-75</v>
      </c>
      <c r="VC42" s="12">
        <v>57</v>
      </c>
      <c r="VD42" s="8">
        <v>145</v>
      </c>
      <c r="VE42" s="12">
        <v>460</v>
      </c>
      <c r="VF42" s="8">
        <v>459</v>
      </c>
      <c r="VG42" s="12">
        <v>360</v>
      </c>
      <c r="VH42" s="8">
        <v>244</v>
      </c>
      <c r="VI42" s="28">
        <v>157</v>
      </c>
      <c r="VL42" s="21"/>
      <c r="VM42" s="8">
        <v>892</v>
      </c>
      <c r="VN42" s="12">
        <v>535</v>
      </c>
      <c r="VO42" s="12"/>
      <c r="VP42" s="12"/>
      <c r="VQ42" s="6">
        <v>61</v>
      </c>
      <c r="VR42" s="28">
        <v>47</v>
      </c>
      <c r="VS42" s="12"/>
      <c r="VT42" s="12"/>
      <c r="VV42" s="8">
        <v>-575</v>
      </c>
      <c r="VX42" s="8">
        <v>94</v>
      </c>
      <c r="VY42" s="12">
        <v>492</v>
      </c>
      <c r="VZ42" s="8">
        <v>604</v>
      </c>
      <c r="WA42" s="28">
        <v>150</v>
      </c>
      <c r="WB42" s="8">
        <v>9532</v>
      </c>
      <c r="WC42" s="12">
        <v>261</v>
      </c>
      <c r="WI42" s="8">
        <v>5659</v>
      </c>
      <c r="WJ42" s="28">
        <v>1231</v>
      </c>
      <c r="WP42" s="2">
        <v>-168</v>
      </c>
      <c r="WQ42" s="1">
        <v>120</v>
      </c>
      <c r="WR42" s="10"/>
      <c r="XB42" s="23">
        <v>-3</v>
      </c>
      <c r="XC42" s="25">
        <v>7</v>
      </c>
      <c r="XE42">
        <v>45676</v>
      </c>
      <c r="XF42" s="1">
        <v>6905</v>
      </c>
      <c r="XG42" s="2">
        <v>26</v>
      </c>
      <c r="XH42" s="1">
        <v>5</v>
      </c>
      <c r="XK42">
        <v>151</v>
      </c>
      <c r="XL42" s="1">
        <v>97</v>
      </c>
      <c r="XO42">
        <v>143</v>
      </c>
      <c r="XP42" s="1">
        <v>22</v>
      </c>
    </row>
    <row r="43" spans="3:640" x14ac:dyDescent="0.25">
      <c r="G43" s="2">
        <v>-2</v>
      </c>
      <c r="I43" s="2">
        <v>-1</v>
      </c>
      <c r="K43" s="2">
        <v>2730</v>
      </c>
      <c r="L43" s="1">
        <v>209</v>
      </c>
      <c r="M43">
        <v>119</v>
      </c>
      <c r="N43" s="1">
        <v>46</v>
      </c>
      <c r="O43" s="26"/>
      <c r="R43">
        <v>13</v>
      </c>
      <c r="S43" s="12">
        <v>89</v>
      </c>
      <c r="T43">
        <v>-1624</v>
      </c>
      <c r="U43" s="1">
        <v>53</v>
      </c>
      <c r="V43">
        <v>-5</v>
      </c>
      <c r="W43" s="10">
        <v>246</v>
      </c>
      <c r="AB43">
        <v>-21</v>
      </c>
      <c r="AC43" s="1">
        <v>48</v>
      </c>
      <c r="AD43">
        <v>49</v>
      </c>
      <c r="AE43" s="1">
        <v>3</v>
      </c>
      <c r="AF43">
        <v>-693</v>
      </c>
      <c r="AG43" s="1">
        <v>210</v>
      </c>
      <c r="AJ43" s="2">
        <v>-4</v>
      </c>
      <c r="AK43" s="10">
        <v>216</v>
      </c>
      <c r="AY43">
        <v>101</v>
      </c>
      <c r="AZ43" s="1">
        <v>130</v>
      </c>
      <c r="BA43">
        <v>515</v>
      </c>
      <c r="BB43" s="1">
        <v>929</v>
      </c>
      <c r="BD43" s="8">
        <v>85</v>
      </c>
      <c r="BE43" s="1">
        <v>31</v>
      </c>
      <c r="BF43">
        <v>1151</v>
      </c>
      <c r="BG43" s="1">
        <v>498</v>
      </c>
      <c r="BJ43">
        <v>1096</v>
      </c>
      <c r="BL43">
        <v>26</v>
      </c>
      <c r="BM43" s="1">
        <v>4</v>
      </c>
      <c r="BN43">
        <v>-173</v>
      </c>
      <c r="BP43">
        <v>-149</v>
      </c>
      <c r="BQ43" s="10">
        <v>1929</v>
      </c>
      <c r="BR43">
        <v>-1191</v>
      </c>
      <c r="BS43" s="1">
        <v>9058</v>
      </c>
      <c r="BT43">
        <v>1038</v>
      </c>
      <c r="BU43" s="1">
        <v>510</v>
      </c>
      <c r="BV43">
        <v>922</v>
      </c>
      <c r="BW43" s="1">
        <v>142</v>
      </c>
      <c r="CA43" s="8">
        <v>198</v>
      </c>
      <c r="CB43" s="28">
        <v>916</v>
      </c>
      <c r="CE43" s="8">
        <v>109</v>
      </c>
      <c r="CF43" s="28">
        <v>12</v>
      </c>
      <c r="CG43" s="8">
        <v>1427</v>
      </c>
      <c r="CI43" s="8">
        <v>249</v>
      </c>
      <c r="CJ43" s="12">
        <v>5</v>
      </c>
      <c r="CK43" s="8">
        <v>71</v>
      </c>
      <c r="CL43" s="28">
        <v>32</v>
      </c>
      <c r="CM43" s="6">
        <v>-393</v>
      </c>
      <c r="CN43" s="28">
        <v>686</v>
      </c>
      <c r="CO43" s="6">
        <v>57</v>
      </c>
      <c r="CP43" s="28"/>
      <c r="CQ43" s="6">
        <v>712</v>
      </c>
      <c r="CR43" s="28"/>
      <c r="CS43" s="6">
        <v>252</v>
      </c>
      <c r="CT43" s="28">
        <v>569</v>
      </c>
      <c r="CU43" s="28"/>
      <c r="CV43" s="28"/>
      <c r="CW43" s="28"/>
      <c r="CX43" s="28"/>
      <c r="CZ43" s="23">
        <v>146</v>
      </c>
      <c r="DA43" s="25">
        <v>331</v>
      </c>
      <c r="DB43" s="23">
        <v>-79</v>
      </c>
      <c r="DC43" s="25">
        <v>1</v>
      </c>
      <c r="DE43" s="25"/>
      <c r="DF43" s="86">
        <v>112</v>
      </c>
      <c r="DG43" s="25">
        <v>189</v>
      </c>
      <c r="DH43" s="14">
        <v>-199</v>
      </c>
      <c r="DI43" s="25">
        <v>111</v>
      </c>
      <c r="DJ43" s="23">
        <v>-376</v>
      </c>
      <c r="DK43" s="28">
        <v>136</v>
      </c>
      <c r="DL43" s="8">
        <v>243</v>
      </c>
      <c r="DQ43" s="8">
        <v>494</v>
      </c>
      <c r="DR43" s="52">
        <v>103</v>
      </c>
      <c r="DS43" s="6">
        <v>53</v>
      </c>
      <c r="DT43" s="52">
        <v>118</v>
      </c>
      <c r="DU43" s="8">
        <v>-122</v>
      </c>
      <c r="DV43" s="28">
        <v>290</v>
      </c>
      <c r="DW43" s="8">
        <v>-244</v>
      </c>
      <c r="DX43" s="28">
        <v>152</v>
      </c>
      <c r="DY43" s="6">
        <v>47</v>
      </c>
      <c r="DZ43" s="52">
        <v>154</v>
      </c>
      <c r="EA43" s="23">
        <v>-184</v>
      </c>
      <c r="EB43" s="52">
        <v>108</v>
      </c>
      <c r="EC43" s="6">
        <v>2</v>
      </c>
      <c r="ED43" s="28">
        <v>3</v>
      </c>
      <c r="EE43" s="8">
        <v>151</v>
      </c>
      <c r="EF43" s="52">
        <v>72</v>
      </c>
      <c r="EG43" s="8">
        <v>-38</v>
      </c>
      <c r="EH43" s="28">
        <v>13</v>
      </c>
      <c r="EI43" s="8">
        <v>32</v>
      </c>
      <c r="EJ43" s="52">
        <v>702</v>
      </c>
      <c r="EL43" s="8">
        <v>-664</v>
      </c>
      <c r="EM43" s="28">
        <v>603</v>
      </c>
      <c r="EN43" s="8">
        <v>180</v>
      </c>
      <c r="EO43" s="28">
        <v>19</v>
      </c>
      <c r="EP43" s="6"/>
      <c r="EQ43" s="52"/>
      <c r="EX43" s="8">
        <v>-161</v>
      </c>
      <c r="EY43" s="28">
        <v>444</v>
      </c>
      <c r="FD43" s="6">
        <v>747</v>
      </c>
      <c r="FE43" s="28">
        <v>167</v>
      </c>
      <c r="FH43" s="8">
        <v>-271</v>
      </c>
      <c r="FI43" s="28">
        <v>86</v>
      </c>
      <c r="FM43" s="8">
        <v>-164</v>
      </c>
      <c r="FN43" s="52">
        <v>102</v>
      </c>
      <c r="FO43" s="8">
        <v>253</v>
      </c>
      <c r="FP43" s="28">
        <v>250</v>
      </c>
      <c r="FQ43" s="8">
        <v>22</v>
      </c>
      <c r="FR43" s="28">
        <v>2</v>
      </c>
      <c r="FS43" s="8">
        <v>-551</v>
      </c>
      <c r="FT43" s="52">
        <v>71</v>
      </c>
      <c r="FV43" s="8">
        <v>-970</v>
      </c>
      <c r="FW43" s="28">
        <v>118</v>
      </c>
      <c r="GA43" s="8">
        <v>150</v>
      </c>
      <c r="GB43" s="52">
        <v>111</v>
      </c>
      <c r="GC43" s="8">
        <v>12</v>
      </c>
      <c r="GE43" s="8">
        <v>-130</v>
      </c>
      <c r="GF43" s="28">
        <v>155</v>
      </c>
      <c r="GI43" s="8">
        <v>25</v>
      </c>
      <c r="GJ43" s="28">
        <v>15</v>
      </c>
      <c r="GK43" s="8">
        <v>-545</v>
      </c>
      <c r="GL43" s="28">
        <v>681</v>
      </c>
      <c r="GN43" s="8">
        <v>-238</v>
      </c>
      <c r="GO43" s="28">
        <v>222</v>
      </c>
      <c r="GP43" s="8">
        <v>21</v>
      </c>
      <c r="GQ43" s="52">
        <v>102</v>
      </c>
      <c r="GR43" s="8">
        <v>-64</v>
      </c>
      <c r="GS43" s="28">
        <v>115</v>
      </c>
      <c r="GT43" s="6">
        <v>-48</v>
      </c>
      <c r="GU43" s="52">
        <v>722</v>
      </c>
      <c r="GV43" s="6">
        <v>417</v>
      </c>
      <c r="GW43" s="28">
        <v>616</v>
      </c>
      <c r="GZ43" s="8">
        <v>146</v>
      </c>
      <c r="HA43" s="28">
        <v>324</v>
      </c>
      <c r="HB43" s="6">
        <v>-24</v>
      </c>
      <c r="HC43" s="28"/>
      <c r="HE43" s="8">
        <v>-28</v>
      </c>
      <c r="HF43" s="28">
        <v>89</v>
      </c>
      <c r="HG43" s="8">
        <v>-140</v>
      </c>
      <c r="HO43" s="8">
        <v>-565</v>
      </c>
      <c r="HP43" s="28">
        <v>358</v>
      </c>
      <c r="HQ43" s="6">
        <v>-192</v>
      </c>
      <c r="HR43" s="28">
        <v>95</v>
      </c>
      <c r="HS43" s="8">
        <v>1</v>
      </c>
      <c r="HT43" s="52">
        <v>167</v>
      </c>
      <c r="HX43" s="8">
        <v>-16</v>
      </c>
      <c r="HY43" s="28">
        <v>40</v>
      </c>
      <c r="HZ43" s="8">
        <v>-1</v>
      </c>
      <c r="IB43" s="8">
        <v>391</v>
      </c>
      <c r="IC43" s="28">
        <v>133</v>
      </c>
      <c r="ID43" s="8">
        <v>169</v>
      </c>
      <c r="IE43" s="28">
        <v>460</v>
      </c>
      <c r="IH43" s="8">
        <v>410</v>
      </c>
      <c r="II43" s="28">
        <v>209</v>
      </c>
      <c r="IO43">
        <v>-146</v>
      </c>
      <c r="IP43" s="10">
        <v>5</v>
      </c>
      <c r="IS43" s="6">
        <v>366</v>
      </c>
      <c r="IT43" s="28">
        <v>615</v>
      </c>
      <c r="IU43" s="8">
        <v>-628</v>
      </c>
      <c r="IV43" s="28">
        <v>101</v>
      </c>
      <c r="IW43" s="8">
        <v>118</v>
      </c>
      <c r="IY43" s="8">
        <v>-311</v>
      </c>
      <c r="JA43" s="8">
        <v>433</v>
      </c>
      <c r="JB43" s="12">
        <v>109</v>
      </c>
      <c r="JH43" s="8">
        <v>204</v>
      </c>
      <c r="JI43" s="28">
        <v>109</v>
      </c>
      <c r="JJ43" s="8">
        <v>102</v>
      </c>
      <c r="JK43" s="28">
        <v>1</v>
      </c>
      <c r="JL43" s="8">
        <v>233</v>
      </c>
      <c r="JM43" s="12">
        <v>120</v>
      </c>
      <c r="JN43" s="8">
        <v>-702</v>
      </c>
      <c r="JO43" s="28">
        <v>164</v>
      </c>
      <c r="JP43" s="6">
        <v>-3</v>
      </c>
      <c r="JQ43" s="12">
        <v>476</v>
      </c>
      <c r="JT43" s="6">
        <v>-41</v>
      </c>
      <c r="JU43" s="12">
        <v>146</v>
      </c>
      <c r="JW43" s="8">
        <v>-438</v>
      </c>
      <c r="JX43" s="12">
        <v>337</v>
      </c>
      <c r="JZ43" s="28"/>
      <c r="KA43" s="8">
        <v>-28</v>
      </c>
      <c r="KB43" s="28">
        <v>7</v>
      </c>
      <c r="KE43" s="6">
        <v>-266</v>
      </c>
      <c r="KF43" s="12">
        <v>554</v>
      </c>
      <c r="KQ43" s="8">
        <v>88</v>
      </c>
      <c r="KR43" s="28">
        <v>55</v>
      </c>
      <c r="KT43" s="8">
        <v>41</v>
      </c>
      <c r="KU43" s="28">
        <v>15</v>
      </c>
      <c r="KV43" s="8">
        <v>109</v>
      </c>
      <c r="KZ43" s="8">
        <v>-99</v>
      </c>
      <c r="LA43" s="12">
        <v>489</v>
      </c>
      <c r="LD43" s="8">
        <v>754</v>
      </c>
      <c r="LE43" s="28">
        <v>639</v>
      </c>
      <c r="LF43" s="8">
        <v>-151</v>
      </c>
      <c r="LG43" s="28">
        <v>27</v>
      </c>
      <c r="LH43" s="8">
        <v>-543</v>
      </c>
      <c r="LJ43" s="8">
        <v>-160</v>
      </c>
      <c r="LK43" s="28">
        <v>311</v>
      </c>
      <c r="LL43" s="8">
        <v>4</v>
      </c>
      <c r="LM43" s="28">
        <v>1</v>
      </c>
      <c r="LN43" s="8">
        <v>-231</v>
      </c>
      <c r="LO43" s="28">
        <v>110</v>
      </c>
      <c r="LS43" s="8">
        <v>9</v>
      </c>
      <c r="LU43" s="8">
        <v>-1</v>
      </c>
      <c r="LV43" s="12">
        <v>103</v>
      </c>
      <c r="LW43" s="8">
        <v>-139</v>
      </c>
      <c r="LX43" s="28">
        <v>159</v>
      </c>
      <c r="LZ43" s="8">
        <v>928</v>
      </c>
      <c r="MF43" s="8">
        <v>-147</v>
      </c>
      <c r="MG43" s="12">
        <v>210</v>
      </c>
      <c r="MS43" s="8">
        <v>-515</v>
      </c>
      <c r="MT43" s="12">
        <v>131</v>
      </c>
      <c r="MU43" s="8">
        <v>50</v>
      </c>
      <c r="MV43" s="28">
        <v>33</v>
      </c>
      <c r="NC43" s="8">
        <v>-401</v>
      </c>
      <c r="ND43" s="12">
        <v>284</v>
      </c>
      <c r="NE43" s="8">
        <v>-729</v>
      </c>
      <c r="NF43" s="28">
        <v>140</v>
      </c>
      <c r="NG43" s="8">
        <v>-74</v>
      </c>
      <c r="NH43" s="28">
        <v>4</v>
      </c>
      <c r="NI43" s="8">
        <v>354</v>
      </c>
      <c r="NJ43" s="28">
        <v>3</v>
      </c>
      <c r="NL43" s="8">
        <v>93</v>
      </c>
      <c r="NM43" s="28">
        <v>72</v>
      </c>
      <c r="NP43" s="8">
        <v>180</v>
      </c>
      <c r="NQ43" s="12">
        <v>232</v>
      </c>
      <c r="NU43" s="8">
        <v>-895</v>
      </c>
      <c r="NV43" s="12">
        <v>103</v>
      </c>
      <c r="NW43" s="8">
        <v>579</v>
      </c>
      <c r="NX43" s="28">
        <v>209</v>
      </c>
      <c r="NY43" s="8">
        <v>259</v>
      </c>
      <c r="NZ43" s="12">
        <v>911</v>
      </c>
      <c r="OA43" s="8">
        <v>149</v>
      </c>
      <c r="OB43" s="28">
        <v>217</v>
      </c>
      <c r="OC43" s="8">
        <v>-396</v>
      </c>
      <c r="OD43" s="12">
        <v>204</v>
      </c>
      <c r="OE43" s="8">
        <v>63</v>
      </c>
      <c r="OG43" s="28">
        <v>24</v>
      </c>
      <c r="OO43" s="8">
        <v>-100</v>
      </c>
      <c r="OP43" s="28">
        <v>258</v>
      </c>
      <c r="OV43" s="8">
        <v>289</v>
      </c>
      <c r="PC43" s="8">
        <v>703</v>
      </c>
      <c r="PD43" s="28">
        <v>718</v>
      </c>
      <c r="PE43" s="8">
        <v>-70</v>
      </c>
      <c r="PF43" s="12">
        <v>28</v>
      </c>
      <c r="PJ43" s="8">
        <v>-916</v>
      </c>
      <c r="PK43" s="12">
        <v>129</v>
      </c>
      <c r="PP43" s="8">
        <v>189</v>
      </c>
      <c r="PQ43" s="28">
        <v>21</v>
      </c>
      <c r="PR43" s="28"/>
      <c r="PS43" s="8">
        <v>-669</v>
      </c>
      <c r="PT43" s="12">
        <v>319</v>
      </c>
      <c r="PW43" s="8">
        <v>484</v>
      </c>
      <c r="PX43" s="28">
        <v>187</v>
      </c>
      <c r="QE43" s="8">
        <v>141</v>
      </c>
      <c r="QF43" s="12">
        <v>547</v>
      </c>
      <c r="QH43" s="8">
        <v>-63</v>
      </c>
      <c r="QI43" s="12">
        <v>580</v>
      </c>
      <c r="QQ43" s="8">
        <v>6</v>
      </c>
      <c r="QR43" s="12">
        <v>22</v>
      </c>
      <c r="QT43" s="8">
        <v>203</v>
      </c>
      <c r="QU43" s="12">
        <v>73</v>
      </c>
      <c r="QV43" s="6">
        <v>412</v>
      </c>
      <c r="QW43" s="12">
        <v>243</v>
      </c>
      <c r="QY43" s="8">
        <v>24</v>
      </c>
      <c r="QZ43" s="12">
        <v>91</v>
      </c>
      <c r="RA43" s="8">
        <v>247</v>
      </c>
      <c r="RC43" s="6">
        <v>-1</v>
      </c>
      <c r="RD43" s="12">
        <v>3</v>
      </c>
      <c r="RE43" s="6">
        <f>21</f>
        <v>21</v>
      </c>
      <c r="RF43" s="12">
        <v>30</v>
      </c>
      <c r="RG43" s="8">
        <v>-197</v>
      </c>
      <c r="RH43" s="28">
        <v>71</v>
      </c>
      <c r="RJ43" s="8">
        <v>197</v>
      </c>
      <c r="RK43" s="12">
        <v>332</v>
      </c>
      <c r="RL43" s="8">
        <v>67</v>
      </c>
      <c r="RM43" s="12">
        <v>236</v>
      </c>
      <c r="RS43" s="6">
        <v>-135</v>
      </c>
      <c r="RT43" s="50">
        <v>270</v>
      </c>
      <c r="SF43" s="8">
        <v>267</v>
      </c>
      <c r="SG43" s="12">
        <v>164</v>
      </c>
      <c r="SP43" s="8">
        <v>227</v>
      </c>
      <c r="SQ43" s="12">
        <v>233</v>
      </c>
      <c r="SW43" s="8">
        <v>173</v>
      </c>
      <c r="SY43" s="6">
        <v>-102</v>
      </c>
      <c r="SZ43" s="28">
        <v>50</v>
      </c>
      <c r="TA43" s="6"/>
      <c r="TB43" s="6"/>
      <c r="TH43" s="8">
        <v>167</v>
      </c>
      <c r="TI43" s="28">
        <v>22</v>
      </c>
      <c r="TM43" s="8">
        <v>61</v>
      </c>
      <c r="TN43" s="28">
        <v>9</v>
      </c>
      <c r="TP43" s="28"/>
      <c r="TX43" s="8">
        <v>313</v>
      </c>
      <c r="TY43" s="28">
        <v>859</v>
      </c>
      <c r="TZ43" s="8">
        <v>277</v>
      </c>
      <c r="UA43" s="12">
        <v>375</v>
      </c>
      <c r="UE43" s="8">
        <v>313</v>
      </c>
      <c r="UG43" s="8">
        <v>-178</v>
      </c>
      <c r="UH43" s="12">
        <v>55</v>
      </c>
      <c r="UI43" s="8">
        <v>124</v>
      </c>
      <c r="UJ43" s="12">
        <v>10</v>
      </c>
      <c r="UN43" s="8">
        <v>185</v>
      </c>
      <c r="UO43" s="12">
        <v>13</v>
      </c>
      <c r="US43" s="8">
        <v>116</v>
      </c>
      <c r="UT43" s="12">
        <v>500</v>
      </c>
      <c r="UU43" s="8">
        <v>79</v>
      </c>
      <c r="UV43" s="12">
        <v>160</v>
      </c>
      <c r="UZ43" s="8">
        <v>-669</v>
      </c>
      <c r="VA43" s="12">
        <v>107</v>
      </c>
      <c r="VB43" s="8">
        <v>-59</v>
      </c>
      <c r="VC43" s="12">
        <v>48</v>
      </c>
      <c r="VD43" s="8">
        <v>84</v>
      </c>
      <c r="VE43" s="12">
        <v>256</v>
      </c>
      <c r="VF43" s="8">
        <v>614</v>
      </c>
      <c r="VG43" s="12">
        <v>547</v>
      </c>
      <c r="VH43" s="8">
        <v>224</v>
      </c>
      <c r="VI43" s="28">
        <v>588</v>
      </c>
      <c r="VL43" s="21"/>
      <c r="VM43" s="8">
        <v>808</v>
      </c>
      <c r="VN43" s="12">
        <v>531</v>
      </c>
      <c r="VO43" s="12"/>
      <c r="VP43" s="12"/>
      <c r="VQ43" s="6">
        <v>-12</v>
      </c>
      <c r="VR43" s="28">
        <v>40</v>
      </c>
      <c r="VS43" s="12"/>
      <c r="VT43" s="12"/>
      <c r="VV43" s="8">
        <v>533</v>
      </c>
      <c r="VX43" s="8">
        <v>74</v>
      </c>
      <c r="VY43" s="12">
        <v>134</v>
      </c>
      <c r="VZ43" s="8">
        <v>784</v>
      </c>
      <c r="WA43" s="28">
        <v>23</v>
      </c>
      <c r="WB43" s="8">
        <v>9617</v>
      </c>
      <c r="WC43" s="12">
        <v>169</v>
      </c>
      <c r="WI43" s="8">
        <v>238</v>
      </c>
      <c r="WJ43" s="28">
        <v>56</v>
      </c>
      <c r="WP43" s="2">
        <v>111</v>
      </c>
      <c r="WQ43" s="1">
        <v>53</v>
      </c>
      <c r="WR43" s="10"/>
      <c r="XB43" s="23">
        <v>79</v>
      </c>
      <c r="XC43" s="25">
        <v>7</v>
      </c>
      <c r="XE43">
        <v>48554</v>
      </c>
      <c r="XF43" s="1">
        <v>17173</v>
      </c>
      <c r="XG43" s="2">
        <v>-26</v>
      </c>
      <c r="XH43" s="1">
        <v>5</v>
      </c>
      <c r="XK43">
        <v>178</v>
      </c>
      <c r="XL43" s="1">
        <v>72</v>
      </c>
      <c r="XO43">
        <v>-14</v>
      </c>
      <c r="XP43" s="1">
        <v>292</v>
      </c>
    </row>
    <row r="44" spans="3:640" x14ac:dyDescent="0.25">
      <c r="G44" s="2">
        <v>-5</v>
      </c>
      <c r="I44" s="2">
        <v>72</v>
      </c>
      <c r="K44" s="2">
        <v>2875</v>
      </c>
      <c r="L44" s="1">
        <v>155</v>
      </c>
      <c r="M44">
        <v>98</v>
      </c>
      <c r="N44" s="1">
        <v>34</v>
      </c>
      <c r="O44" s="26"/>
      <c r="R44">
        <v>249</v>
      </c>
      <c r="S44" s="12">
        <v>128</v>
      </c>
      <c r="T44">
        <v>-4563</v>
      </c>
      <c r="U44" s="1">
        <v>1547</v>
      </c>
      <c r="V44">
        <v>-5</v>
      </c>
      <c r="W44" s="10">
        <v>202</v>
      </c>
      <c r="AB44">
        <v>8</v>
      </c>
      <c r="AC44" s="1">
        <v>33</v>
      </c>
      <c r="AD44">
        <v>67</v>
      </c>
      <c r="AE44" s="1">
        <v>3</v>
      </c>
      <c r="AF44">
        <v>-726</v>
      </c>
      <c r="AG44" s="1">
        <v>181</v>
      </c>
      <c r="AJ44" s="2">
        <v>-4</v>
      </c>
      <c r="AK44" s="10">
        <v>190</v>
      </c>
      <c r="AY44">
        <v>-2</v>
      </c>
      <c r="AZ44" s="1">
        <v>3</v>
      </c>
      <c r="BA44">
        <v>-959</v>
      </c>
      <c r="BB44" s="1">
        <v>127</v>
      </c>
      <c r="BD44" s="8">
        <v>66</v>
      </c>
      <c r="BE44" s="1">
        <v>130</v>
      </c>
      <c r="BF44">
        <v>836</v>
      </c>
      <c r="BG44" s="1">
        <v>264</v>
      </c>
      <c r="BJ44">
        <v>-123</v>
      </c>
      <c r="BL44">
        <v>58</v>
      </c>
      <c r="BM44" s="1">
        <v>6</v>
      </c>
      <c r="BN44">
        <v>1165</v>
      </c>
      <c r="BP44">
        <v>250</v>
      </c>
      <c r="BQ44" s="10">
        <v>2954</v>
      </c>
      <c r="BR44">
        <v>-992</v>
      </c>
      <c r="BS44" s="1">
        <v>186</v>
      </c>
      <c r="BT44">
        <v>-10</v>
      </c>
      <c r="BU44" s="1">
        <v>52</v>
      </c>
      <c r="BV44">
        <v>901</v>
      </c>
      <c r="BW44" s="1">
        <v>143</v>
      </c>
      <c r="CA44" s="8">
        <v>-133</v>
      </c>
      <c r="CB44" s="28">
        <v>26</v>
      </c>
      <c r="CE44" s="8">
        <v>155</v>
      </c>
      <c r="CF44" s="28">
        <v>11</v>
      </c>
      <c r="CG44" s="8">
        <v>1337</v>
      </c>
      <c r="CI44" s="8">
        <v>27</v>
      </c>
      <c r="CJ44" s="12">
        <v>135</v>
      </c>
      <c r="CK44" s="8">
        <v>77</v>
      </c>
      <c r="CL44" s="28">
        <v>31</v>
      </c>
      <c r="CM44" s="6">
        <v>-596</v>
      </c>
      <c r="CN44" s="28">
        <v>244</v>
      </c>
      <c r="CO44" s="6">
        <v>23</v>
      </c>
      <c r="CP44" s="28"/>
      <c r="CQ44" s="6">
        <v>696</v>
      </c>
      <c r="CR44" s="28"/>
      <c r="CS44" s="6">
        <v>205</v>
      </c>
      <c r="CT44" s="28">
        <v>334</v>
      </c>
      <c r="CU44" s="28"/>
      <c r="CV44" s="28"/>
      <c r="CW44" s="28"/>
      <c r="CX44" s="28"/>
      <c r="CZ44" s="23">
        <v>280</v>
      </c>
      <c r="DA44" s="25">
        <v>943</v>
      </c>
      <c r="DB44" s="23">
        <v>32</v>
      </c>
      <c r="DC44" s="25">
        <v>4</v>
      </c>
      <c r="DE44" s="25"/>
      <c r="DF44" s="86">
        <v>112</v>
      </c>
      <c r="DG44" s="25">
        <v>252</v>
      </c>
      <c r="DH44" s="14">
        <v>127</v>
      </c>
      <c r="DI44" s="25">
        <v>114</v>
      </c>
      <c r="DJ44" s="23">
        <v>-484</v>
      </c>
      <c r="DK44" s="28">
        <v>139</v>
      </c>
      <c r="DL44" s="8">
        <v>299</v>
      </c>
      <c r="DQ44" s="8">
        <v>546</v>
      </c>
      <c r="DR44" s="52">
        <v>565</v>
      </c>
      <c r="DS44" s="6">
        <v>36</v>
      </c>
      <c r="DT44" s="52">
        <v>182</v>
      </c>
      <c r="DU44" s="8">
        <v>133</v>
      </c>
      <c r="DV44" s="28">
        <v>204</v>
      </c>
      <c r="DW44" s="8">
        <v>-391</v>
      </c>
      <c r="DX44" s="28">
        <v>299</v>
      </c>
      <c r="DY44" s="6">
        <v>-348</v>
      </c>
      <c r="DZ44" s="52">
        <v>205</v>
      </c>
      <c r="EA44" s="23">
        <v>-623</v>
      </c>
      <c r="EB44" s="52">
        <v>256</v>
      </c>
      <c r="EC44" s="6">
        <v>-1</v>
      </c>
      <c r="ED44" s="28">
        <v>4</v>
      </c>
      <c r="EE44" s="8">
        <v>15</v>
      </c>
      <c r="EF44" s="52">
        <v>383</v>
      </c>
      <c r="EG44" s="8">
        <v>-114</v>
      </c>
      <c r="EH44" s="28">
        <v>115</v>
      </c>
      <c r="EI44" s="8">
        <v>84</v>
      </c>
      <c r="EJ44" s="52">
        <v>632</v>
      </c>
      <c r="EL44" s="8">
        <v>-659</v>
      </c>
      <c r="EM44" s="28">
        <v>138</v>
      </c>
      <c r="EN44" s="8">
        <v>462</v>
      </c>
      <c r="EO44" s="28">
        <v>23</v>
      </c>
      <c r="EP44" s="6"/>
      <c r="EQ44" s="52"/>
      <c r="EX44" s="8">
        <v>-324</v>
      </c>
      <c r="EY44" s="28">
        <v>435</v>
      </c>
      <c r="FD44" s="6">
        <v>-199</v>
      </c>
      <c r="FE44" s="28">
        <v>279</v>
      </c>
      <c r="FH44" s="8">
        <v>158</v>
      </c>
      <c r="FI44" s="28">
        <v>81</v>
      </c>
      <c r="FM44" s="8">
        <v>-379</v>
      </c>
      <c r="FN44" s="52">
        <v>324</v>
      </c>
      <c r="FO44" s="8">
        <v>-220</v>
      </c>
      <c r="FP44" s="28">
        <v>255</v>
      </c>
      <c r="FQ44" s="8">
        <v>-4</v>
      </c>
      <c r="FR44" s="28">
        <v>4</v>
      </c>
      <c r="FS44" s="8">
        <v>16</v>
      </c>
      <c r="FT44" s="52">
        <v>44</v>
      </c>
      <c r="FV44" s="8">
        <v>235</v>
      </c>
      <c r="FW44" s="28">
        <v>40</v>
      </c>
      <c r="GC44" s="8">
        <v>144</v>
      </c>
      <c r="GE44" s="8">
        <v>694</v>
      </c>
      <c r="GF44" s="28">
        <v>795</v>
      </c>
      <c r="GI44" s="8">
        <v>3</v>
      </c>
      <c r="GJ44" s="28">
        <v>4</v>
      </c>
      <c r="GK44" s="8">
        <v>-742</v>
      </c>
      <c r="GL44" s="28">
        <v>698</v>
      </c>
      <c r="GN44" s="8">
        <v>721</v>
      </c>
      <c r="GO44" s="28">
        <v>889</v>
      </c>
      <c r="GP44" s="8">
        <v>-29</v>
      </c>
      <c r="GQ44" s="52">
        <v>568</v>
      </c>
      <c r="GR44" s="8">
        <v>-411</v>
      </c>
      <c r="GS44" s="28">
        <v>107</v>
      </c>
      <c r="GT44" s="6">
        <v>-24</v>
      </c>
      <c r="GU44" s="52">
        <v>195</v>
      </c>
      <c r="GV44" s="6">
        <v>-136</v>
      </c>
      <c r="GW44" s="28">
        <v>830</v>
      </c>
      <c r="GZ44" s="8">
        <v>511</v>
      </c>
      <c r="HA44" s="28">
        <v>14</v>
      </c>
      <c r="HB44" s="6">
        <v>501</v>
      </c>
      <c r="HC44" s="28"/>
      <c r="HE44" s="8">
        <v>185</v>
      </c>
      <c r="HF44" s="28">
        <v>35</v>
      </c>
      <c r="HG44" s="8">
        <v>107</v>
      </c>
      <c r="HO44" s="8">
        <v>-276</v>
      </c>
      <c r="HP44" s="28">
        <v>29</v>
      </c>
      <c r="HQ44" s="6">
        <v>-1</v>
      </c>
      <c r="HR44" s="28">
        <v>2</v>
      </c>
      <c r="HS44" s="8">
        <v>30</v>
      </c>
      <c r="HT44" s="52">
        <v>779</v>
      </c>
      <c r="HX44" s="8">
        <v>5</v>
      </c>
      <c r="HY44" s="28">
        <v>2</v>
      </c>
      <c r="HZ44" s="8">
        <v>11</v>
      </c>
      <c r="IB44" s="8">
        <v>697</v>
      </c>
      <c r="IC44" s="28">
        <v>497</v>
      </c>
      <c r="ID44" s="8">
        <v>71</v>
      </c>
      <c r="IE44" s="28">
        <v>395</v>
      </c>
      <c r="IH44" s="8">
        <v>-225</v>
      </c>
      <c r="II44" s="28">
        <v>195</v>
      </c>
      <c r="IO44">
        <v>141</v>
      </c>
      <c r="IP44" s="10">
        <v>49</v>
      </c>
      <c r="IS44" s="6">
        <v>-52</v>
      </c>
      <c r="IT44" s="28">
        <v>77</v>
      </c>
      <c r="IU44" s="8">
        <v>-176</v>
      </c>
      <c r="IV44" s="28">
        <v>103</v>
      </c>
      <c r="IW44" s="8">
        <v>-347</v>
      </c>
      <c r="IY44" s="8">
        <v>-649</v>
      </c>
      <c r="JA44" s="8">
        <v>47</v>
      </c>
      <c r="JB44" s="12">
        <v>178</v>
      </c>
      <c r="JH44" s="8">
        <v>-25</v>
      </c>
      <c r="JI44" s="28">
        <v>13</v>
      </c>
      <c r="JJ44" s="8">
        <v>92</v>
      </c>
      <c r="JK44" s="28">
        <v>4</v>
      </c>
      <c r="JL44" s="8">
        <v>140</v>
      </c>
      <c r="JM44" s="12">
        <v>143</v>
      </c>
      <c r="JN44" s="8">
        <v>723</v>
      </c>
      <c r="JO44" s="28">
        <v>309</v>
      </c>
      <c r="JP44" s="6">
        <v>152</v>
      </c>
      <c r="JQ44" s="12">
        <v>549</v>
      </c>
      <c r="JT44" s="6">
        <v>447</v>
      </c>
      <c r="JU44" s="12">
        <v>609</v>
      </c>
      <c r="JW44" s="8">
        <v>-341</v>
      </c>
      <c r="JX44" s="12">
        <v>34</v>
      </c>
      <c r="JZ44" s="28"/>
      <c r="KA44" s="8">
        <v>43</v>
      </c>
      <c r="KB44" s="28">
        <v>14</v>
      </c>
      <c r="KE44" s="6">
        <v>-88</v>
      </c>
      <c r="KF44" s="12">
        <v>175</v>
      </c>
      <c r="KQ44" s="8">
        <v>176</v>
      </c>
      <c r="KR44" s="28">
        <v>57</v>
      </c>
      <c r="KT44" s="8">
        <v>4</v>
      </c>
      <c r="KU44" s="28">
        <v>1</v>
      </c>
      <c r="KZ44" s="8">
        <v>-41</v>
      </c>
      <c r="LA44" s="12">
        <v>118</v>
      </c>
      <c r="LD44" s="8">
        <v>499</v>
      </c>
      <c r="LE44" s="28">
        <v>398</v>
      </c>
      <c r="LF44" s="8">
        <v>-137</v>
      </c>
      <c r="LG44" s="28">
        <v>19</v>
      </c>
      <c r="LH44" s="8">
        <v>-424</v>
      </c>
      <c r="LJ44" s="8">
        <v>925</v>
      </c>
      <c r="LK44" s="28">
        <v>169</v>
      </c>
      <c r="LL44" s="8">
        <v>77</v>
      </c>
      <c r="LM44" s="28">
        <v>1</v>
      </c>
      <c r="LN44" s="8">
        <v>-181</v>
      </c>
      <c r="LO44" s="28">
        <v>852</v>
      </c>
      <c r="LS44" s="8">
        <v>130</v>
      </c>
      <c r="LU44" s="8">
        <v>106</v>
      </c>
      <c r="LV44" s="12">
        <v>120</v>
      </c>
      <c r="LW44" s="8">
        <v>-290</v>
      </c>
      <c r="LX44" s="28">
        <v>186</v>
      </c>
      <c r="LZ44" s="8">
        <v>370</v>
      </c>
      <c r="MF44" s="8">
        <v>-165</v>
      </c>
      <c r="MG44" s="12">
        <v>224</v>
      </c>
      <c r="MS44" s="8">
        <v>-141</v>
      </c>
      <c r="MT44" s="12">
        <v>318</v>
      </c>
      <c r="MU44" s="8">
        <v>-2</v>
      </c>
      <c r="MV44" s="28">
        <v>4</v>
      </c>
      <c r="NC44" s="8">
        <v>-111</v>
      </c>
      <c r="ND44" s="12">
        <v>67</v>
      </c>
      <c r="NE44" s="8">
        <v>194</v>
      </c>
      <c r="NF44" s="28">
        <v>180</v>
      </c>
      <c r="NG44" s="8">
        <v>183</v>
      </c>
      <c r="NH44" s="28">
        <v>16</v>
      </c>
      <c r="NI44" s="8">
        <v>394</v>
      </c>
      <c r="NJ44" s="28">
        <v>3</v>
      </c>
      <c r="NL44" s="8">
        <v>326</v>
      </c>
      <c r="NM44" s="28">
        <v>104</v>
      </c>
      <c r="NP44" s="8">
        <v>307</v>
      </c>
      <c r="NQ44" s="12">
        <v>394</v>
      </c>
      <c r="NU44" s="8">
        <v>-501</v>
      </c>
      <c r="NV44" s="12">
        <v>210</v>
      </c>
      <c r="NW44" s="8">
        <v>167</v>
      </c>
      <c r="NX44" s="28">
        <v>315</v>
      </c>
      <c r="NY44" s="8">
        <v>773</v>
      </c>
      <c r="NZ44" s="12">
        <v>288</v>
      </c>
      <c r="OA44" s="8">
        <v>644</v>
      </c>
      <c r="OB44" s="28">
        <v>680</v>
      </c>
      <c r="OC44" s="8">
        <v>201</v>
      </c>
      <c r="OD44" s="12">
        <v>166</v>
      </c>
      <c r="OE44" s="8">
        <v>-225</v>
      </c>
      <c r="OG44" s="28">
        <v>149</v>
      </c>
      <c r="OO44" s="8">
        <v>8</v>
      </c>
      <c r="OP44" s="28">
        <v>50</v>
      </c>
      <c r="OV44" s="8">
        <v>272</v>
      </c>
      <c r="PC44" s="8">
        <v>632</v>
      </c>
      <c r="PD44" s="28">
        <v>311</v>
      </c>
      <c r="PE44" s="8">
        <v>-260</v>
      </c>
      <c r="PF44" s="12">
        <v>67</v>
      </c>
      <c r="PJ44" s="8">
        <v>119</v>
      </c>
      <c r="PK44" s="12">
        <v>230</v>
      </c>
      <c r="PP44" s="8">
        <v>250</v>
      </c>
      <c r="PQ44" s="28">
        <v>17</v>
      </c>
      <c r="PR44" s="28"/>
      <c r="PS44" s="8">
        <v>-381</v>
      </c>
      <c r="PT44" s="12">
        <v>350</v>
      </c>
      <c r="PW44" s="8">
        <v>412</v>
      </c>
      <c r="PX44" s="28">
        <v>186</v>
      </c>
      <c r="QE44" s="8">
        <v>193</v>
      </c>
      <c r="QF44" s="12">
        <v>256</v>
      </c>
      <c r="QH44" s="8">
        <v>4</v>
      </c>
      <c r="QI44" s="12">
        <v>328</v>
      </c>
      <c r="QQ44" s="8">
        <v>-2</v>
      </c>
      <c r="QR44" s="12">
        <v>23</v>
      </c>
      <c r="QT44" s="8">
        <v>-6</v>
      </c>
      <c r="QU44" s="12">
        <v>6</v>
      </c>
      <c r="QV44" s="6">
        <v>-429</v>
      </c>
      <c r="QW44" s="12">
        <v>198</v>
      </c>
      <c r="QY44" s="8">
        <v>-112</v>
      </c>
      <c r="QZ44" s="12">
        <v>87</v>
      </c>
      <c r="RA44" s="8">
        <v>9</v>
      </c>
      <c r="RC44" s="6">
        <v>351</v>
      </c>
      <c r="RD44" s="12">
        <v>410</v>
      </c>
      <c r="RE44" s="6">
        <v>-162</v>
      </c>
      <c r="RF44" s="12">
        <v>133</v>
      </c>
      <c r="RG44" s="8">
        <v>298</v>
      </c>
      <c r="RH44" s="28">
        <v>110</v>
      </c>
      <c r="RJ44" s="8">
        <v>-9</v>
      </c>
      <c r="RK44" s="12">
        <v>13</v>
      </c>
      <c r="RL44" s="8">
        <f>97</f>
        <v>97</v>
      </c>
      <c r="RM44" s="12">
        <v>146</v>
      </c>
      <c r="RS44" s="6">
        <v>98</v>
      </c>
      <c r="RT44" s="50">
        <v>359</v>
      </c>
      <c r="SF44" s="8">
        <v>295</v>
      </c>
      <c r="SG44" s="12">
        <v>193</v>
      </c>
      <c r="SP44" s="8">
        <v>-139</v>
      </c>
      <c r="SQ44" s="12">
        <v>107</v>
      </c>
      <c r="SW44" s="8">
        <v>262</v>
      </c>
      <c r="SY44" s="6">
        <v>530</v>
      </c>
      <c r="SZ44" s="28">
        <v>935</v>
      </c>
      <c r="TA44" s="6"/>
      <c r="TB44" s="6"/>
      <c r="TH44" s="8">
        <v>147</v>
      </c>
      <c r="TI44" s="28">
        <v>21</v>
      </c>
      <c r="TM44" s="8">
        <v>39</v>
      </c>
      <c r="TN44" s="28">
        <v>8</v>
      </c>
      <c r="TP44" s="28"/>
      <c r="TX44" s="8">
        <v>347</v>
      </c>
      <c r="TY44" s="28">
        <v>731</v>
      </c>
      <c r="TZ44" s="8">
        <v>239</v>
      </c>
      <c r="UA44" s="12">
        <v>584</v>
      </c>
      <c r="UG44" s="8">
        <v>-395</v>
      </c>
      <c r="UH44" s="12">
        <v>16</v>
      </c>
      <c r="UI44" s="8">
        <v>119</v>
      </c>
      <c r="UJ44" s="12">
        <v>8</v>
      </c>
      <c r="UN44" s="8">
        <v>-286</v>
      </c>
      <c r="UO44" s="12">
        <v>12</v>
      </c>
      <c r="US44" s="8">
        <v>178</v>
      </c>
      <c r="UT44" s="12">
        <v>527</v>
      </c>
      <c r="UZ44" s="8">
        <v>401</v>
      </c>
      <c r="VA44" s="12">
        <v>206</v>
      </c>
      <c r="VB44" s="8">
        <v>-38</v>
      </c>
      <c r="VC44" s="12">
        <v>15</v>
      </c>
      <c r="VD44" s="8">
        <v>45</v>
      </c>
      <c r="VE44" s="12">
        <v>515</v>
      </c>
      <c r="VF44" s="8">
        <v>901</v>
      </c>
      <c r="VG44" s="12">
        <v>128</v>
      </c>
      <c r="VH44" s="8">
        <v>495</v>
      </c>
      <c r="VI44" s="28">
        <v>131</v>
      </c>
      <c r="VL44" s="21"/>
      <c r="VM44" s="8">
        <v>798</v>
      </c>
      <c r="VN44" s="12">
        <v>668</v>
      </c>
      <c r="VO44" s="12"/>
      <c r="VP44" s="12"/>
      <c r="VQ44" s="6">
        <v>-40</v>
      </c>
      <c r="VR44" s="28">
        <v>35</v>
      </c>
      <c r="VS44" s="12"/>
      <c r="VT44" s="12"/>
      <c r="VV44" s="8">
        <v>-1176</v>
      </c>
      <c r="VX44" s="8">
        <v>12</v>
      </c>
      <c r="VY44" s="12">
        <v>208</v>
      </c>
      <c r="VZ44" s="8">
        <v>180</v>
      </c>
      <c r="WA44" s="28">
        <v>139</v>
      </c>
      <c r="WB44" s="8">
        <v>9562</v>
      </c>
      <c r="WC44" s="12">
        <v>256</v>
      </c>
      <c r="WI44" s="8">
        <v>7026</v>
      </c>
      <c r="WJ44" s="28">
        <v>1329</v>
      </c>
      <c r="WP44" s="2">
        <v>112</v>
      </c>
      <c r="WQ44" s="1">
        <v>37</v>
      </c>
      <c r="WR44" s="10"/>
      <c r="XB44" s="23">
        <v>59</v>
      </c>
      <c r="XC44" s="25">
        <v>27</v>
      </c>
      <c r="XE44">
        <v>329</v>
      </c>
      <c r="XF44" s="1">
        <v>86</v>
      </c>
      <c r="XG44" s="2">
        <v>476</v>
      </c>
      <c r="XH44" s="1">
        <v>177</v>
      </c>
      <c r="XK44">
        <v>239</v>
      </c>
      <c r="XL44" s="1">
        <v>88</v>
      </c>
      <c r="XO44">
        <v>150</v>
      </c>
      <c r="XP44" s="1">
        <v>104</v>
      </c>
    </row>
    <row r="45" spans="3:640" x14ac:dyDescent="0.25">
      <c r="G45" s="2">
        <v>1</v>
      </c>
      <c r="I45" s="2">
        <v>2</v>
      </c>
      <c r="K45" s="2">
        <v>2870</v>
      </c>
      <c r="L45" s="1">
        <v>181</v>
      </c>
      <c r="M45">
        <v>89</v>
      </c>
      <c r="N45" s="1">
        <v>21</v>
      </c>
      <c r="O45" s="26"/>
      <c r="R45">
        <v>48</v>
      </c>
      <c r="S45" s="12">
        <v>21</v>
      </c>
      <c r="T45">
        <v>-5802</v>
      </c>
      <c r="U45" s="1">
        <v>1931</v>
      </c>
      <c r="V45">
        <v>-1</v>
      </c>
      <c r="W45" s="10">
        <v>45</v>
      </c>
      <c r="AB45">
        <v>-21</v>
      </c>
      <c r="AC45" s="1">
        <v>65</v>
      </c>
      <c r="AD45">
        <v>152</v>
      </c>
      <c r="AE45" s="1">
        <v>8</v>
      </c>
      <c r="AF45">
        <v>-555</v>
      </c>
      <c r="AG45" s="1">
        <v>267</v>
      </c>
      <c r="AJ45" s="2">
        <v>-3</v>
      </c>
      <c r="AK45" s="10">
        <v>227</v>
      </c>
      <c r="AY45">
        <v>3</v>
      </c>
      <c r="AZ45" s="1">
        <v>1</v>
      </c>
      <c r="BA45">
        <v>436</v>
      </c>
      <c r="BB45" s="1">
        <v>983</v>
      </c>
      <c r="BD45" s="8">
        <v>45</v>
      </c>
      <c r="BE45" s="1">
        <v>187</v>
      </c>
      <c r="BF45">
        <v>-325</v>
      </c>
      <c r="BG45" s="1">
        <v>155</v>
      </c>
      <c r="BJ45">
        <v>-5</v>
      </c>
      <c r="BL45">
        <v>2361</v>
      </c>
      <c r="BM45" s="1">
        <v>79</v>
      </c>
      <c r="BN45">
        <v>-11</v>
      </c>
      <c r="BP45">
        <v>-79</v>
      </c>
      <c r="BQ45" s="10">
        <v>448</v>
      </c>
      <c r="BR45">
        <v>-153</v>
      </c>
      <c r="BS45" s="1">
        <v>255</v>
      </c>
      <c r="BT45">
        <v>-23</v>
      </c>
      <c r="BU45" s="1">
        <v>941</v>
      </c>
      <c r="BV45">
        <v>820</v>
      </c>
      <c r="BW45" s="1">
        <v>142</v>
      </c>
      <c r="CA45" s="8">
        <v>-35</v>
      </c>
      <c r="CB45" s="28">
        <v>69</v>
      </c>
      <c r="CE45" s="8">
        <v>167</v>
      </c>
      <c r="CF45" s="28">
        <v>10</v>
      </c>
      <c r="CG45" s="8">
        <v>-3175</v>
      </c>
      <c r="CI45" s="8">
        <v>861</v>
      </c>
      <c r="CJ45" s="12">
        <v>280</v>
      </c>
      <c r="CK45" s="8">
        <v>73</v>
      </c>
      <c r="CL45" s="28">
        <v>32</v>
      </c>
      <c r="CM45" s="6">
        <v>951</v>
      </c>
      <c r="CN45" s="28">
        <v>889</v>
      </c>
      <c r="CO45" s="6">
        <v>44</v>
      </c>
      <c r="CP45" s="28"/>
      <c r="CQ45" s="6">
        <v>716</v>
      </c>
      <c r="CR45" s="28"/>
      <c r="CS45" s="6">
        <v>830</v>
      </c>
      <c r="CT45" s="28">
        <v>140</v>
      </c>
      <c r="CU45" s="28"/>
      <c r="CV45" s="28"/>
      <c r="CW45" s="28"/>
      <c r="CX45" s="28"/>
      <c r="CZ45" s="23">
        <v>-123</v>
      </c>
      <c r="DA45" s="25">
        <v>539</v>
      </c>
      <c r="DB45" s="23">
        <v>-35</v>
      </c>
      <c r="DC45" s="25">
        <v>11</v>
      </c>
      <c r="DE45" s="25"/>
      <c r="DF45" s="86">
        <v>110</v>
      </c>
      <c r="DG45" s="25">
        <v>235</v>
      </c>
      <c r="DH45" s="23">
        <v>14</v>
      </c>
      <c r="DI45" s="25">
        <v>14</v>
      </c>
      <c r="DJ45" s="23">
        <v>253</v>
      </c>
      <c r="DK45" s="28">
        <v>294</v>
      </c>
      <c r="DL45" s="8">
        <v>328</v>
      </c>
      <c r="DQ45" s="8">
        <v>-270</v>
      </c>
      <c r="DR45" s="52">
        <v>311</v>
      </c>
      <c r="DS45" s="6">
        <v>-18</v>
      </c>
      <c r="DT45" s="52">
        <v>177</v>
      </c>
      <c r="DU45" s="8">
        <v>328</v>
      </c>
      <c r="DV45" s="28">
        <v>340</v>
      </c>
      <c r="DW45" s="8">
        <v>-311</v>
      </c>
      <c r="DX45" s="28">
        <v>148</v>
      </c>
      <c r="DY45" s="6">
        <v>-614</v>
      </c>
      <c r="DZ45" s="52">
        <v>206</v>
      </c>
      <c r="EA45" s="23">
        <v>248</v>
      </c>
      <c r="EB45" s="52">
        <v>213</v>
      </c>
      <c r="EC45" s="6">
        <v>12</v>
      </c>
      <c r="ED45" s="28">
        <v>6</v>
      </c>
      <c r="EE45" s="8">
        <v>752</v>
      </c>
      <c r="EF45" s="52">
        <v>588</v>
      </c>
      <c r="EG45" s="8">
        <v>21</v>
      </c>
      <c r="EH45" s="28">
        <v>35</v>
      </c>
      <c r="EI45" s="8">
        <v>1</v>
      </c>
      <c r="EJ45" s="52">
        <v>376</v>
      </c>
      <c r="EL45" s="8">
        <v>-149</v>
      </c>
      <c r="EM45" s="28">
        <v>719</v>
      </c>
      <c r="EN45" s="8">
        <v>583</v>
      </c>
      <c r="EO45" s="28">
        <v>28</v>
      </c>
      <c r="EP45" s="6"/>
      <c r="EQ45" s="52"/>
      <c r="EX45" s="8">
        <v>709</v>
      </c>
      <c r="EY45" s="28">
        <v>129</v>
      </c>
      <c r="FD45" s="6">
        <v>644</v>
      </c>
      <c r="FE45" s="28">
        <v>454</v>
      </c>
      <c r="FH45" s="8">
        <v>821</v>
      </c>
      <c r="FI45" s="28">
        <v>277</v>
      </c>
      <c r="FM45" s="8">
        <v>149</v>
      </c>
      <c r="FN45" s="52">
        <v>214</v>
      </c>
      <c r="FO45" s="8">
        <v>134</v>
      </c>
      <c r="FP45" s="28">
        <v>106</v>
      </c>
      <c r="FQ45" s="8">
        <v>-31</v>
      </c>
      <c r="FR45" s="28">
        <v>8</v>
      </c>
      <c r="FS45" s="8">
        <v>17</v>
      </c>
      <c r="FT45" s="52">
        <v>46</v>
      </c>
      <c r="FV45" s="8">
        <v>414</v>
      </c>
      <c r="FW45" s="28">
        <v>51</v>
      </c>
      <c r="GC45" s="8">
        <v>310</v>
      </c>
      <c r="GE45" s="8">
        <v>572</v>
      </c>
      <c r="GF45" s="28">
        <v>762</v>
      </c>
      <c r="GI45" s="8">
        <v>-23</v>
      </c>
      <c r="GJ45" s="28">
        <v>74</v>
      </c>
      <c r="GK45" s="8">
        <v>-574</v>
      </c>
      <c r="GL45" s="28">
        <v>692</v>
      </c>
      <c r="GN45" s="8">
        <v>98</v>
      </c>
      <c r="GO45" s="28">
        <v>199</v>
      </c>
      <c r="GP45" s="8">
        <v>-11</v>
      </c>
      <c r="GQ45" s="52">
        <v>199</v>
      </c>
      <c r="GR45" s="8">
        <v>-508</v>
      </c>
      <c r="GS45" s="28">
        <v>102</v>
      </c>
      <c r="GT45" s="6">
        <v>44</v>
      </c>
      <c r="GU45" s="52">
        <v>353</v>
      </c>
      <c r="GV45" s="6">
        <v>141</v>
      </c>
      <c r="GW45" s="28">
        <v>831</v>
      </c>
      <c r="GZ45" s="8">
        <v>332</v>
      </c>
      <c r="HA45" s="28">
        <v>7</v>
      </c>
      <c r="HB45" s="6">
        <v>82</v>
      </c>
      <c r="HC45" s="28"/>
      <c r="HE45" s="8">
        <v>200</v>
      </c>
      <c r="HF45" s="28">
        <v>68</v>
      </c>
      <c r="HG45" s="8">
        <v>215</v>
      </c>
      <c r="HO45" s="8">
        <v>249</v>
      </c>
      <c r="HP45" s="28">
        <v>424</v>
      </c>
      <c r="HQ45" s="6">
        <v>28</v>
      </c>
      <c r="HR45" s="28">
        <v>8</v>
      </c>
      <c r="HS45" s="8">
        <v>-1</v>
      </c>
      <c r="HT45" s="52">
        <v>206</v>
      </c>
      <c r="HX45" s="8">
        <v>33</v>
      </c>
      <c r="HY45" s="28">
        <v>10</v>
      </c>
      <c r="HZ45" s="8">
        <v>12</v>
      </c>
      <c r="IB45" s="8">
        <v>414</v>
      </c>
      <c r="IC45" s="28">
        <v>727</v>
      </c>
      <c r="ID45" s="8">
        <v>-202</v>
      </c>
      <c r="IE45" s="28">
        <v>97</v>
      </c>
      <c r="IH45" s="8">
        <v>116</v>
      </c>
      <c r="II45" s="28">
        <v>206</v>
      </c>
      <c r="IO45">
        <v>-11</v>
      </c>
      <c r="IP45" s="10">
        <v>124</v>
      </c>
      <c r="IS45" s="6">
        <v>-180</v>
      </c>
      <c r="IT45" s="28">
        <v>212</v>
      </c>
      <c r="IU45" s="8">
        <v>323</v>
      </c>
      <c r="IV45" s="28">
        <v>479</v>
      </c>
      <c r="IW45" s="8">
        <v>-685</v>
      </c>
      <c r="IY45" s="8">
        <v>536</v>
      </c>
      <c r="JA45" s="8">
        <v>-3</v>
      </c>
      <c r="JB45" s="12">
        <v>527</v>
      </c>
      <c r="JH45" s="8">
        <v>161</v>
      </c>
      <c r="JI45" s="28">
        <v>66</v>
      </c>
      <c r="JJ45" s="8">
        <v>99</v>
      </c>
      <c r="JK45" s="28">
        <v>54</v>
      </c>
      <c r="JL45" s="8">
        <v>-110</v>
      </c>
      <c r="JM45" s="12">
        <v>57</v>
      </c>
      <c r="JN45" s="8">
        <v>688</v>
      </c>
      <c r="JO45" s="28">
        <v>132</v>
      </c>
      <c r="JP45" s="6">
        <v>-4</v>
      </c>
      <c r="JQ45" s="12">
        <v>478</v>
      </c>
      <c r="JT45" s="6">
        <v>64</v>
      </c>
      <c r="JU45" s="12">
        <v>132</v>
      </c>
      <c r="JW45" s="8">
        <v>-119</v>
      </c>
      <c r="JX45" s="12">
        <v>375</v>
      </c>
      <c r="JZ45" s="28"/>
      <c r="KA45" s="8">
        <v>75</v>
      </c>
      <c r="KB45" s="28">
        <v>23</v>
      </c>
      <c r="KE45" s="6">
        <v>-44</v>
      </c>
      <c r="KF45" s="12">
        <v>115</v>
      </c>
      <c r="KQ45" s="8">
        <v>576</v>
      </c>
      <c r="KR45" s="28">
        <v>55</v>
      </c>
      <c r="KT45" s="8">
        <v>24</v>
      </c>
      <c r="KU45" s="28">
        <v>9</v>
      </c>
      <c r="KZ45" s="8">
        <v>-24</v>
      </c>
      <c r="LA45" s="12">
        <v>388</v>
      </c>
      <c r="LD45" s="8">
        <v>764</v>
      </c>
      <c r="LE45" s="28">
        <v>149</v>
      </c>
      <c r="LF45" s="8">
        <v>-43</v>
      </c>
      <c r="LG45" s="28">
        <v>23</v>
      </c>
      <c r="LH45" s="8">
        <v>125</v>
      </c>
      <c r="LJ45" s="8">
        <v>325</v>
      </c>
      <c r="LK45" s="28">
        <v>266</v>
      </c>
      <c r="LL45" s="8">
        <v>127</v>
      </c>
      <c r="LM45" s="28">
        <v>6</v>
      </c>
      <c r="LN45" s="8">
        <v>150</v>
      </c>
      <c r="LO45" s="28">
        <v>108</v>
      </c>
      <c r="LS45" s="8">
        <v>75</v>
      </c>
      <c r="LU45" s="8">
        <v>-45</v>
      </c>
      <c r="LV45" s="12">
        <v>42</v>
      </c>
      <c r="LW45" s="8">
        <v>2</v>
      </c>
      <c r="LX45" s="28">
        <v>245</v>
      </c>
      <c r="LZ45" s="8">
        <v>876</v>
      </c>
      <c r="MF45" s="8">
        <v>114</v>
      </c>
      <c r="MG45" s="12">
        <v>111</v>
      </c>
      <c r="MS45" s="8">
        <v>-239</v>
      </c>
      <c r="MT45" s="12">
        <v>490</v>
      </c>
      <c r="MU45" s="8">
        <v>-31</v>
      </c>
      <c r="MV45" s="28">
        <v>14</v>
      </c>
      <c r="NC45" s="8">
        <v>484</v>
      </c>
      <c r="ND45" s="12">
        <v>216</v>
      </c>
      <c r="NE45" s="8">
        <v>263</v>
      </c>
      <c r="NF45" s="28">
        <v>196</v>
      </c>
      <c r="NG45" s="8">
        <v>252</v>
      </c>
      <c r="NH45" s="28">
        <v>12</v>
      </c>
      <c r="NI45" s="8">
        <v>128</v>
      </c>
      <c r="NJ45" s="28">
        <v>3</v>
      </c>
      <c r="NL45" s="8">
        <v>576</v>
      </c>
      <c r="NM45" s="28">
        <v>144</v>
      </c>
      <c r="NP45" s="8">
        <v>316</v>
      </c>
      <c r="NQ45" s="12">
        <v>400</v>
      </c>
      <c r="NU45" s="8">
        <v>-361</v>
      </c>
      <c r="NV45" s="12">
        <v>123</v>
      </c>
      <c r="NW45" s="8">
        <v>773</v>
      </c>
      <c r="NX45" s="28">
        <v>101</v>
      </c>
      <c r="NY45" s="8">
        <v>121</v>
      </c>
      <c r="NZ45" s="12">
        <v>389</v>
      </c>
      <c r="OC45" s="8">
        <v>-143</v>
      </c>
      <c r="OD45" s="12">
        <v>275</v>
      </c>
      <c r="OO45" s="8">
        <v>-232</v>
      </c>
      <c r="OP45" s="28">
        <v>235</v>
      </c>
      <c r="OV45" s="8">
        <v>305</v>
      </c>
      <c r="PC45" s="8">
        <v>208</v>
      </c>
      <c r="PD45" s="28">
        <v>34</v>
      </c>
      <c r="PE45" s="8">
        <v>-108</v>
      </c>
      <c r="PF45" s="12">
        <v>72</v>
      </c>
      <c r="PJ45" s="8">
        <v>155</v>
      </c>
      <c r="PK45" s="12">
        <v>290</v>
      </c>
      <c r="PP45" s="8">
        <v>140</v>
      </c>
      <c r="PQ45" s="28">
        <v>22</v>
      </c>
      <c r="PR45" s="28"/>
      <c r="PS45" s="8">
        <v>-145</v>
      </c>
      <c r="PT45" s="12">
        <v>155</v>
      </c>
      <c r="PW45" s="8">
        <v>-13</v>
      </c>
      <c r="PX45" s="28">
        <v>7</v>
      </c>
      <c r="QE45" s="8">
        <v>-435</v>
      </c>
      <c r="QF45" s="12">
        <v>211</v>
      </c>
      <c r="QH45" s="8">
        <v>2</v>
      </c>
      <c r="QI45" s="12">
        <v>291</v>
      </c>
      <c r="QQ45" s="8">
        <v>27</v>
      </c>
      <c r="QR45" s="12">
        <v>321</v>
      </c>
      <c r="QT45" s="8">
        <v>57</v>
      </c>
      <c r="QU45" s="12">
        <v>134</v>
      </c>
      <c r="QV45" s="6">
        <v>480</v>
      </c>
      <c r="QW45" s="12">
        <v>767</v>
      </c>
      <c r="QY45" s="8">
        <v>-92</v>
      </c>
      <c r="QZ45" s="12">
        <v>82</v>
      </c>
      <c r="RA45" s="8">
        <v>-371</v>
      </c>
      <c r="RC45" s="6">
        <v>-198</v>
      </c>
      <c r="RD45" s="12">
        <v>223</v>
      </c>
      <c r="RE45" s="6">
        <v>-21</v>
      </c>
      <c r="RF45" s="12">
        <v>17</v>
      </c>
      <c r="RG45" s="8">
        <v>826</v>
      </c>
      <c r="RH45" s="28">
        <v>102</v>
      </c>
      <c r="RJ45" s="8">
        <v>2</v>
      </c>
      <c r="RK45" s="12">
        <v>224</v>
      </c>
      <c r="RL45" s="8">
        <v>18</v>
      </c>
      <c r="RM45" s="12">
        <v>735</v>
      </c>
      <c r="RS45" s="6">
        <v>-612</v>
      </c>
      <c r="RT45" s="50">
        <v>365</v>
      </c>
      <c r="SF45" s="8">
        <v>310</v>
      </c>
      <c r="SG45" s="12">
        <v>217</v>
      </c>
      <c r="SP45" s="8">
        <v>-135</v>
      </c>
      <c r="SQ45" s="12">
        <v>216</v>
      </c>
      <c r="SW45" s="8">
        <v>781</v>
      </c>
      <c r="SY45" s="6">
        <v>156</v>
      </c>
      <c r="SZ45" s="28">
        <v>445</v>
      </c>
      <c r="TA45" s="6"/>
      <c r="TB45" s="6"/>
      <c r="TH45" s="8">
        <v>162</v>
      </c>
      <c r="TI45" s="28">
        <v>15</v>
      </c>
      <c r="TM45" s="8">
        <v>86</v>
      </c>
      <c r="TN45" s="28">
        <v>21</v>
      </c>
      <c r="TP45" s="28"/>
      <c r="TX45" s="8">
        <v>153</v>
      </c>
      <c r="TY45" s="28">
        <v>496</v>
      </c>
      <c r="TZ45" s="8">
        <v>191</v>
      </c>
      <c r="UA45" s="12">
        <v>449</v>
      </c>
      <c r="UG45" s="8">
        <v>-697</v>
      </c>
      <c r="UH45" s="12">
        <v>27</v>
      </c>
      <c r="UI45" s="8">
        <v>-454</v>
      </c>
      <c r="UJ45" s="12">
        <v>392</v>
      </c>
      <c r="UN45" s="8">
        <v>-447</v>
      </c>
      <c r="UO45" s="12">
        <v>154</v>
      </c>
      <c r="US45" s="8">
        <v>719</v>
      </c>
      <c r="UT45" s="12">
        <v>79</v>
      </c>
      <c r="UZ45" s="8">
        <v>-156</v>
      </c>
      <c r="VA45" s="12">
        <v>193</v>
      </c>
      <c r="VB45" s="8">
        <v>-17</v>
      </c>
      <c r="VC45" s="12">
        <v>3</v>
      </c>
      <c r="VD45" s="8">
        <v>126</v>
      </c>
      <c r="VE45" s="12">
        <v>223</v>
      </c>
      <c r="VF45" s="8">
        <v>-801</v>
      </c>
      <c r="VG45" s="12">
        <v>273</v>
      </c>
      <c r="VH45" s="8">
        <v>-769</v>
      </c>
      <c r="VI45" s="28">
        <v>294</v>
      </c>
      <c r="VL45" s="21"/>
      <c r="VM45" s="8">
        <v>870</v>
      </c>
      <c r="VN45" s="12">
        <v>485</v>
      </c>
      <c r="VO45" s="12"/>
      <c r="VP45" s="12"/>
      <c r="VQ45" s="6">
        <v>-66</v>
      </c>
      <c r="VR45" s="28">
        <v>31</v>
      </c>
      <c r="VS45" s="12"/>
      <c r="VT45" s="12"/>
      <c r="VV45" s="8">
        <v>-1335</v>
      </c>
      <c r="VX45" s="8">
        <v>33</v>
      </c>
      <c r="VY45" s="12">
        <v>275</v>
      </c>
      <c r="VZ45" s="8">
        <v>537</v>
      </c>
      <c r="WA45" s="28">
        <v>213</v>
      </c>
      <c r="WB45" s="8">
        <v>9590</v>
      </c>
      <c r="WC45" s="12">
        <v>212</v>
      </c>
      <c r="WI45" s="8">
        <v>7009</v>
      </c>
      <c r="WJ45" s="28">
        <v>1311</v>
      </c>
      <c r="WP45" s="2">
        <v>125</v>
      </c>
      <c r="WQ45" s="1">
        <v>55</v>
      </c>
      <c r="WR45" s="10"/>
      <c r="XB45" s="23">
        <v>17</v>
      </c>
      <c r="XC45" s="25">
        <v>9</v>
      </c>
      <c r="XE45">
        <v>-1197</v>
      </c>
      <c r="XF45" s="1">
        <v>778</v>
      </c>
      <c r="XG45" s="2">
        <v>23</v>
      </c>
      <c r="XH45" s="1">
        <v>12</v>
      </c>
      <c r="XK45">
        <v>192</v>
      </c>
      <c r="XL45" s="1">
        <v>81</v>
      </c>
      <c r="XO45">
        <v>14</v>
      </c>
      <c r="XP45" s="1">
        <v>22</v>
      </c>
    </row>
    <row r="46" spans="3:640" x14ac:dyDescent="0.25">
      <c r="G46" s="2">
        <v>4</v>
      </c>
      <c r="I46" s="2">
        <v>1313</v>
      </c>
      <c r="K46" s="2">
        <v>5372</v>
      </c>
      <c r="L46" s="1">
        <v>27</v>
      </c>
      <c r="M46">
        <v>-597</v>
      </c>
      <c r="N46" s="1">
        <v>40</v>
      </c>
      <c r="O46" s="26"/>
      <c r="R46">
        <v>-18</v>
      </c>
      <c r="S46" s="12">
        <v>115</v>
      </c>
      <c r="T46">
        <v>922</v>
      </c>
      <c r="U46" s="1">
        <v>1366</v>
      </c>
      <c r="V46">
        <v>-9</v>
      </c>
      <c r="W46" s="10">
        <v>209</v>
      </c>
      <c r="AB46">
        <v>-92</v>
      </c>
      <c r="AC46" s="1">
        <v>42</v>
      </c>
      <c r="AD46">
        <v>138</v>
      </c>
      <c r="AE46" s="1">
        <v>9</v>
      </c>
      <c r="AF46">
        <v>-531</v>
      </c>
      <c r="AG46" s="1">
        <v>246</v>
      </c>
      <c r="AJ46" s="2">
        <v>-3</v>
      </c>
      <c r="AK46" s="10">
        <v>210</v>
      </c>
      <c r="AY46">
        <v>-408</v>
      </c>
      <c r="AZ46" s="1">
        <v>29</v>
      </c>
      <c r="BA46">
        <v>147</v>
      </c>
      <c r="BB46" s="1">
        <v>580</v>
      </c>
      <c r="BD46" s="8">
        <v>37</v>
      </c>
      <c r="BE46" s="1">
        <v>218</v>
      </c>
      <c r="BF46">
        <v>-181</v>
      </c>
      <c r="BG46" s="1">
        <v>181</v>
      </c>
      <c r="BJ46">
        <v>30</v>
      </c>
      <c r="BL46">
        <v>-56</v>
      </c>
      <c r="BM46" s="1">
        <v>7</v>
      </c>
      <c r="BN46">
        <v>28</v>
      </c>
      <c r="BP46">
        <v>5</v>
      </c>
      <c r="BQ46" s="10">
        <v>100</v>
      </c>
      <c r="BR46">
        <v>-112</v>
      </c>
      <c r="BS46" s="1">
        <v>466</v>
      </c>
      <c r="BT46">
        <v>-161</v>
      </c>
      <c r="BU46" s="1">
        <v>29</v>
      </c>
      <c r="BV46">
        <v>-91</v>
      </c>
      <c r="BW46" s="1">
        <v>83</v>
      </c>
      <c r="CA46" s="8">
        <v>-333</v>
      </c>
      <c r="CB46" s="28">
        <v>719</v>
      </c>
      <c r="CE46" s="8">
        <v>129</v>
      </c>
      <c r="CF46" s="28">
        <v>15</v>
      </c>
      <c r="CG46" s="8">
        <v>1348</v>
      </c>
      <c r="CI46" s="8">
        <v>-532</v>
      </c>
      <c r="CJ46" s="12">
        <v>113</v>
      </c>
      <c r="CK46" s="8">
        <v>79</v>
      </c>
      <c r="CL46" s="28">
        <v>36</v>
      </c>
      <c r="CM46" s="6">
        <v>128</v>
      </c>
      <c r="CN46" s="28">
        <v>239</v>
      </c>
      <c r="CO46" s="6">
        <v>-281</v>
      </c>
      <c r="CP46" s="28"/>
      <c r="CQ46" s="6">
        <v>695</v>
      </c>
      <c r="CR46" s="28"/>
      <c r="CS46" s="6">
        <v>136</v>
      </c>
      <c r="CT46" s="28">
        <v>208</v>
      </c>
      <c r="CU46" s="28"/>
      <c r="CV46" s="28"/>
      <c r="CW46" s="28"/>
      <c r="CX46" s="28"/>
      <c r="CZ46" s="23">
        <v>222</v>
      </c>
      <c r="DA46" s="25">
        <v>256</v>
      </c>
      <c r="DB46" s="23">
        <v>3</v>
      </c>
      <c r="DC46" s="25">
        <v>4</v>
      </c>
      <c r="DE46" s="25"/>
      <c r="DF46" s="86">
        <v>638</v>
      </c>
      <c r="DG46" s="25">
        <v>899</v>
      </c>
      <c r="DH46" s="23">
        <v>19</v>
      </c>
      <c r="DI46" s="25">
        <v>18</v>
      </c>
      <c r="DJ46" s="23">
        <v>749</v>
      </c>
      <c r="DK46" s="28">
        <v>292</v>
      </c>
      <c r="DL46" s="8">
        <v>611</v>
      </c>
      <c r="DQ46" s="8">
        <v>336</v>
      </c>
      <c r="DR46" s="52">
        <v>361</v>
      </c>
      <c r="DS46" s="6">
        <v>-31</v>
      </c>
      <c r="DT46" s="52">
        <v>105</v>
      </c>
      <c r="DU46" s="8">
        <v>-150</v>
      </c>
      <c r="DV46" s="28">
        <v>250</v>
      </c>
      <c r="DW46" s="8">
        <v>485</v>
      </c>
      <c r="DX46" s="28">
        <v>216</v>
      </c>
      <c r="DY46" s="6">
        <v>948</v>
      </c>
      <c r="DZ46" s="52">
        <v>390</v>
      </c>
      <c r="EA46" s="23">
        <v>-13</v>
      </c>
      <c r="EB46" s="52">
        <v>116</v>
      </c>
      <c r="EC46" s="6">
        <v>24</v>
      </c>
      <c r="ED46" s="28">
        <v>8</v>
      </c>
      <c r="EE46" s="8">
        <v>-14</v>
      </c>
      <c r="EF46" s="52">
        <v>350</v>
      </c>
      <c r="EG46" s="8">
        <v>-154</v>
      </c>
      <c r="EH46" s="28">
        <v>428</v>
      </c>
      <c r="EI46" s="8">
        <v>-7</v>
      </c>
      <c r="EJ46" s="52">
        <v>101</v>
      </c>
      <c r="EL46" s="8">
        <v>-664</v>
      </c>
      <c r="EM46" s="28">
        <v>134</v>
      </c>
      <c r="EN46" s="8">
        <v>-14</v>
      </c>
      <c r="EO46" s="28">
        <v>19</v>
      </c>
      <c r="EP46" s="6"/>
      <c r="EQ46" s="52"/>
      <c r="EX46" s="8">
        <v>-824</v>
      </c>
      <c r="EY46" s="28">
        <v>136</v>
      </c>
      <c r="FD46" s="6">
        <v>132</v>
      </c>
      <c r="FE46" s="28">
        <v>460</v>
      </c>
      <c r="FH46" s="8">
        <v>547</v>
      </c>
      <c r="FI46" s="28">
        <v>281</v>
      </c>
      <c r="FM46" s="8">
        <v>140</v>
      </c>
      <c r="FN46" s="52">
        <v>170</v>
      </c>
      <c r="FO46" s="8">
        <v>-4</v>
      </c>
      <c r="FP46" s="28">
        <v>114</v>
      </c>
      <c r="FQ46" s="8">
        <v>146</v>
      </c>
      <c r="FR46" s="28">
        <v>109</v>
      </c>
      <c r="FS46" s="8">
        <v>-92</v>
      </c>
      <c r="FT46" s="52">
        <v>71</v>
      </c>
      <c r="FV46" s="8">
        <v>-126</v>
      </c>
      <c r="FW46" s="28">
        <v>75</v>
      </c>
      <c r="GC46" s="8">
        <v>391</v>
      </c>
      <c r="GE46" s="8">
        <v>252</v>
      </c>
      <c r="GF46" s="28">
        <v>727</v>
      </c>
      <c r="GI46" s="8">
        <v>-65</v>
      </c>
      <c r="GJ46" s="28">
        <v>73</v>
      </c>
      <c r="GK46" s="8">
        <v>-580</v>
      </c>
      <c r="GL46" s="28">
        <v>37</v>
      </c>
      <c r="GO46" s="28"/>
      <c r="GP46" s="8">
        <v>154</v>
      </c>
      <c r="GQ46" s="52">
        <v>499</v>
      </c>
      <c r="GR46" s="8">
        <v>-45</v>
      </c>
      <c r="GS46" s="28">
        <v>199</v>
      </c>
      <c r="GT46" s="6">
        <v>-191</v>
      </c>
      <c r="GU46" s="52">
        <v>914</v>
      </c>
      <c r="GV46" s="6">
        <v>-32</v>
      </c>
      <c r="GW46" s="28">
        <v>15</v>
      </c>
      <c r="GZ46" s="8">
        <v>-77</v>
      </c>
      <c r="HA46" s="28">
        <v>29</v>
      </c>
      <c r="HB46" s="6">
        <v>179</v>
      </c>
      <c r="HC46" s="28"/>
      <c r="HE46" s="8">
        <v>949</v>
      </c>
      <c r="HF46" s="28">
        <v>30</v>
      </c>
      <c r="HG46" s="8">
        <v>-162</v>
      </c>
      <c r="HO46" s="8">
        <v>16</v>
      </c>
      <c r="HP46" s="28">
        <v>92</v>
      </c>
      <c r="HQ46" s="6">
        <v>19</v>
      </c>
      <c r="HR46" s="28">
        <v>12</v>
      </c>
      <c r="HS46" s="8">
        <v>6</v>
      </c>
      <c r="HT46" s="52">
        <v>324</v>
      </c>
      <c r="HX46" s="8">
        <v>31</v>
      </c>
      <c r="HY46" s="28">
        <v>7</v>
      </c>
      <c r="HZ46" s="8">
        <v>-2</v>
      </c>
      <c r="IB46" s="8">
        <v>553</v>
      </c>
      <c r="IC46" s="28">
        <v>724</v>
      </c>
      <c r="ID46" s="8">
        <v>-100</v>
      </c>
      <c r="IE46" s="28">
        <v>448</v>
      </c>
      <c r="IH46" s="8">
        <v>947</v>
      </c>
      <c r="II46" s="28">
        <v>196</v>
      </c>
      <c r="IO46">
        <v>17</v>
      </c>
      <c r="IP46" s="10">
        <v>909</v>
      </c>
      <c r="IU46" s="8">
        <v>869</v>
      </c>
      <c r="IV46" s="28">
        <v>638</v>
      </c>
      <c r="IW46" s="8">
        <v>-302</v>
      </c>
      <c r="IY46" s="8">
        <v>471</v>
      </c>
      <c r="JA46" s="8">
        <v>-52</v>
      </c>
      <c r="JB46" s="12">
        <v>115</v>
      </c>
      <c r="JH46" s="8">
        <v>-4</v>
      </c>
      <c r="JI46" s="28">
        <v>2</v>
      </c>
      <c r="JJ46" s="8">
        <v>93</v>
      </c>
      <c r="JK46" s="28">
        <v>21</v>
      </c>
      <c r="JL46" s="8">
        <v>166</v>
      </c>
      <c r="JM46" s="12">
        <v>250</v>
      </c>
      <c r="JN46" s="8">
        <v>153</v>
      </c>
      <c r="JO46" s="28">
        <v>370</v>
      </c>
      <c r="JP46" s="6">
        <v>119</v>
      </c>
      <c r="JQ46" s="12">
        <v>441</v>
      </c>
      <c r="JT46" s="6">
        <v>82</v>
      </c>
      <c r="JU46" s="12">
        <v>260</v>
      </c>
      <c r="JW46" s="8">
        <v>-860</v>
      </c>
      <c r="JX46" s="12">
        <v>272</v>
      </c>
      <c r="KA46" s="8">
        <v>126</v>
      </c>
      <c r="KB46" s="28">
        <v>25</v>
      </c>
      <c r="KE46" s="6">
        <v>116</v>
      </c>
      <c r="KF46" s="12">
        <v>344</v>
      </c>
      <c r="KQ46" s="8">
        <v>399</v>
      </c>
      <c r="KR46" s="28">
        <v>109</v>
      </c>
      <c r="KT46" s="8">
        <v>-44</v>
      </c>
      <c r="KU46" s="28">
        <v>6</v>
      </c>
      <c r="KZ46" s="8">
        <v>-8</v>
      </c>
      <c r="LA46" s="12">
        <v>130</v>
      </c>
      <c r="LD46" s="8">
        <v>-257</v>
      </c>
      <c r="LE46" s="28">
        <v>397</v>
      </c>
      <c r="LF46" s="8">
        <v>-16</v>
      </c>
      <c r="LG46" s="28">
        <v>11</v>
      </c>
      <c r="LH46" s="8">
        <v>-313</v>
      </c>
      <c r="LJ46" s="8">
        <v>-157</v>
      </c>
      <c r="LK46" s="28">
        <v>683</v>
      </c>
      <c r="LL46" s="8">
        <v>-305</v>
      </c>
      <c r="LM46" s="28">
        <v>74</v>
      </c>
      <c r="LN46" s="8">
        <v>172</v>
      </c>
      <c r="LO46" s="28">
        <v>106</v>
      </c>
      <c r="LS46" s="8">
        <v>9</v>
      </c>
      <c r="LU46" s="8">
        <v>163</v>
      </c>
      <c r="LV46" s="12">
        <v>240</v>
      </c>
      <c r="LW46" s="8">
        <v>163</v>
      </c>
      <c r="LX46" s="28">
        <v>194</v>
      </c>
      <c r="LZ46" s="8">
        <v>630</v>
      </c>
      <c r="MF46" s="8">
        <v>-166</v>
      </c>
      <c r="MG46" s="12">
        <v>129</v>
      </c>
      <c r="MS46" s="8">
        <v>867</v>
      </c>
      <c r="MT46" s="12">
        <v>127</v>
      </c>
      <c r="MU46" s="8">
        <v>5</v>
      </c>
      <c r="MV46" s="28">
        <v>4</v>
      </c>
      <c r="NC46" s="8">
        <v>935</v>
      </c>
      <c r="ND46" s="12">
        <v>278</v>
      </c>
      <c r="NE46" s="8">
        <v>-968</v>
      </c>
      <c r="NF46" s="28">
        <v>183</v>
      </c>
      <c r="NG46" s="8">
        <v>565</v>
      </c>
      <c r="NH46" s="28">
        <v>25</v>
      </c>
      <c r="NI46" s="8">
        <v>58</v>
      </c>
      <c r="NJ46" s="28">
        <v>4</v>
      </c>
      <c r="NL46" s="8">
        <v>-19</v>
      </c>
      <c r="NM46" s="28">
        <v>100</v>
      </c>
      <c r="NP46" s="8">
        <v>343</v>
      </c>
      <c r="NQ46" s="12">
        <v>433</v>
      </c>
      <c r="NU46" s="8">
        <v>-883</v>
      </c>
      <c r="NV46" s="12">
        <v>231</v>
      </c>
      <c r="NW46" s="8">
        <v>780</v>
      </c>
      <c r="NX46" s="28">
        <v>77</v>
      </c>
      <c r="NY46" s="8">
        <v>-319</v>
      </c>
      <c r="NZ46" s="12">
        <v>138</v>
      </c>
      <c r="OC46" s="8">
        <v>-359</v>
      </c>
      <c r="OD46" s="12">
        <v>267</v>
      </c>
      <c r="OO46" s="8">
        <v>-33</v>
      </c>
      <c r="OP46" s="28">
        <v>120</v>
      </c>
      <c r="OV46" s="8">
        <v>705</v>
      </c>
      <c r="PC46" s="8">
        <v>791</v>
      </c>
      <c r="PD46" s="28">
        <v>245</v>
      </c>
      <c r="PE46" s="8">
        <v>-38</v>
      </c>
      <c r="PF46" s="12">
        <v>11</v>
      </c>
      <c r="PJ46" s="8">
        <v>326</v>
      </c>
      <c r="PK46" s="12">
        <v>126</v>
      </c>
      <c r="PP46" s="8">
        <v>10</v>
      </c>
      <c r="PQ46" s="28">
        <v>27</v>
      </c>
      <c r="PR46" s="28"/>
      <c r="PS46" s="8">
        <v>113</v>
      </c>
      <c r="PT46" s="12">
        <v>150</v>
      </c>
      <c r="PW46" s="8">
        <v>-98</v>
      </c>
      <c r="PX46" s="28">
        <v>117</v>
      </c>
      <c r="QE46" s="8">
        <v>-472</v>
      </c>
      <c r="QF46" s="12">
        <v>114</v>
      </c>
      <c r="QH46" s="8">
        <v>-3</v>
      </c>
      <c r="QI46" s="12">
        <v>250</v>
      </c>
      <c r="QQ46" s="8">
        <v>61</v>
      </c>
      <c r="QR46" s="12">
        <v>771</v>
      </c>
      <c r="QT46" s="8">
        <v>5</v>
      </c>
      <c r="QU46" s="12">
        <v>7</v>
      </c>
      <c r="QV46" s="6">
        <v>126</v>
      </c>
      <c r="QW46" s="12">
        <v>868</v>
      </c>
      <c r="QY46" s="8">
        <v>82</v>
      </c>
      <c r="QZ46" s="12">
        <v>112</v>
      </c>
      <c r="RC46" s="6">
        <v>15</v>
      </c>
      <c r="RD46" s="12">
        <v>23</v>
      </c>
      <c r="RE46" s="6">
        <v>979</v>
      </c>
      <c r="RF46" s="12">
        <v>728</v>
      </c>
      <c r="RG46" s="8">
        <v>211</v>
      </c>
      <c r="RH46" s="28">
        <v>82</v>
      </c>
      <c r="RJ46" s="8">
        <v>-169</v>
      </c>
      <c r="RK46" s="12">
        <v>219</v>
      </c>
      <c r="RL46" s="8">
        <v>-30</v>
      </c>
      <c r="RM46" s="12">
        <v>955</v>
      </c>
      <c r="RS46" s="6">
        <v>504</v>
      </c>
      <c r="RT46" s="50">
        <v>164</v>
      </c>
      <c r="SF46" s="8">
        <v>201</v>
      </c>
      <c r="SG46" s="12">
        <v>154</v>
      </c>
      <c r="SP46" s="8">
        <v>-180</v>
      </c>
      <c r="SQ46" s="12">
        <v>109</v>
      </c>
      <c r="SW46" s="8">
        <v>-400</v>
      </c>
      <c r="SY46" s="6">
        <v>856</v>
      </c>
      <c r="SZ46" s="28">
        <v>155</v>
      </c>
      <c r="TA46" s="6"/>
      <c r="TB46" s="6"/>
      <c r="TH46" s="8">
        <v>155</v>
      </c>
      <c r="TI46" s="28">
        <v>18</v>
      </c>
      <c r="TM46" s="8">
        <v>-274</v>
      </c>
      <c r="TN46" s="28">
        <v>113</v>
      </c>
      <c r="TP46" s="28"/>
      <c r="TX46" s="8">
        <v>172</v>
      </c>
      <c r="TY46" s="28">
        <v>500</v>
      </c>
      <c r="TZ46" s="8">
        <v>148</v>
      </c>
      <c r="UA46" s="12">
        <v>259</v>
      </c>
      <c r="UG46" s="8">
        <v>755</v>
      </c>
      <c r="UH46" s="12">
        <v>958</v>
      </c>
      <c r="UI46" s="8">
        <v>-332</v>
      </c>
      <c r="UJ46" s="12">
        <v>217</v>
      </c>
      <c r="UN46" s="8">
        <v>105</v>
      </c>
      <c r="UO46" s="12">
        <v>284</v>
      </c>
      <c r="US46" s="8">
        <v>160</v>
      </c>
      <c r="UT46" s="12">
        <v>375</v>
      </c>
      <c r="UZ46" s="8">
        <v>970</v>
      </c>
      <c r="VA46" s="12">
        <v>536</v>
      </c>
      <c r="VB46" s="8">
        <v>116</v>
      </c>
      <c r="VC46" s="12">
        <v>311</v>
      </c>
      <c r="VD46" s="8">
        <v>22</v>
      </c>
      <c r="VE46" s="12">
        <v>120</v>
      </c>
      <c r="VF46" s="8">
        <v>-119</v>
      </c>
      <c r="VG46" s="12">
        <v>263</v>
      </c>
      <c r="VH46" s="8">
        <v>-342</v>
      </c>
      <c r="VI46" s="28">
        <v>803</v>
      </c>
      <c r="VL46" s="21"/>
      <c r="VM46" s="8">
        <v>765</v>
      </c>
      <c r="VN46" s="12">
        <v>487</v>
      </c>
      <c r="VO46" s="12"/>
      <c r="VP46" s="12"/>
      <c r="VQ46" s="6">
        <v>63</v>
      </c>
      <c r="VR46" s="28">
        <v>36</v>
      </c>
      <c r="VS46" s="12"/>
      <c r="VT46" s="12"/>
      <c r="VX46" s="8">
        <v>-66</v>
      </c>
      <c r="VY46" s="12">
        <v>214</v>
      </c>
      <c r="VZ46" s="8">
        <v>556</v>
      </c>
      <c r="WA46" s="28">
        <v>75</v>
      </c>
      <c r="WB46" s="8">
        <v>9462</v>
      </c>
      <c r="WC46" s="12">
        <v>273</v>
      </c>
      <c r="WI46" s="8">
        <v>6299</v>
      </c>
      <c r="WJ46" s="28">
        <v>1167</v>
      </c>
      <c r="WP46" s="2">
        <v>119</v>
      </c>
      <c r="WQ46" s="1">
        <v>118</v>
      </c>
      <c r="WR46" s="10"/>
      <c r="XB46" s="23">
        <v>69</v>
      </c>
      <c r="XC46" s="25">
        <v>10</v>
      </c>
      <c r="XE46">
        <v>43494</v>
      </c>
      <c r="XF46" s="1">
        <v>7681</v>
      </c>
      <c r="XG46" s="2">
        <v>-23</v>
      </c>
      <c r="XH46" s="1">
        <v>14</v>
      </c>
      <c r="XK46">
        <v>123</v>
      </c>
      <c r="XL46" s="1">
        <v>47</v>
      </c>
      <c r="XO46">
        <v>-4</v>
      </c>
      <c r="XP46" s="1">
        <v>3</v>
      </c>
    </row>
    <row r="47" spans="3:640" x14ac:dyDescent="0.25">
      <c r="G47" s="2">
        <v>-1</v>
      </c>
      <c r="I47" s="2">
        <v>-55</v>
      </c>
      <c r="K47" s="2">
        <v>1823</v>
      </c>
      <c r="L47" s="1">
        <v>12</v>
      </c>
      <c r="M47">
        <v>-59</v>
      </c>
      <c r="N47" s="1">
        <v>50</v>
      </c>
      <c r="O47" s="26"/>
      <c r="R47">
        <v>-32</v>
      </c>
      <c r="S47" s="12">
        <v>171</v>
      </c>
      <c r="T47">
        <v>-2438</v>
      </c>
      <c r="U47" s="1">
        <v>1869</v>
      </c>
      <c r="V47">
        <v>-5</v>
      </c>
      <c r="W47" s="10">
        <v>198</v>
      </c>
      <c r="AB47">
        <v>-92</v>
      </c>
      <c r="AC47" s="1">
        <v>35</v>
      </c>
      <c r="AD47">
        <v>-127</v>
      </c>
      <c r="AE47" s="1">
        <v>8</v>
      </c>
      <c r="AF47">
        <v>-542</v>
      </c>
      <c r="AG47" s="1">
        <v>280</v>
      </c>
      <c r="AJ47" s="2">
        <v>-667</v>
      </c>
      <c r="AK47" s="10">
        <v>202</v>
      </c>
      <c r="AY47">
        <v>49</v>
      </c>
      <c r="AZ47" s="1">
        <v>4</v>
      </c>
      <c r="BA47">
        <v>-367</v>
      </c>
      <c r="BB47" s="1">
        <v>114</v>
      </c>
      <c r="BD47" s="8">
        <v>-262</v>
      </c>
      <c r="BE47" s="1">
        <v>140</v>
      </c>
      <c r="BF47">
        <v>319</v>
      </c>
      <c r="BG47" s="1">
        <v>109</v>
      </c>
      <c r="BJ47">
        <v>-73</v>
      </c>
      <c r="BL47">
        <v>23</v>
      </c>
      <c r="BM47" s="1">
        <v>2</v>
      </c>
      <c r="BN47">
        <v>74</v>
      </c>
      <c r="BP47">
        <v>2773</v>
      </c>
      <c r="BQ47" s="10">
        <v>1889</v>
      </c>
      <c r="BR47">
        <v>-169</v>
      </c>
      <c r="BS47" s="1">
        <v>872</v>
      </c>
      <c r="BT47">
        <v>-9</v>
      </c>
      <c r="BU47" s="1">
        <v>3</v>
      </c>
      <c r="BV47">
        <v>-85</v>
      </c>
      <c r="BW47" s="1">
        <v>22</v>
      </c>
      <c r="CE47" s="8">
        <v>189</v>
      </c>
      <c r="CF47" s="28">
        <v>11</v>
      </c>
      <c r="CG47" s="8">
        <v>1996</v>
      </c>
      <c r="CI47" s="8">
        <v>833</v>
      </c>
      <c r="CJ47" s="12">
        <v>22</v>
      </c>
      <c r="CK47" s="8">
        <v>77</v>
      </c>
      <c r="CL47" s="28">
        <v>36</v>
      </c>
      <c r="CM47" s="6">
        <v>354</v>
      </c>
      <c r="CN47" s="28">
        <v>290</v>
      </c>
      <c r="CO47" s="6">
        <v>-141</v>
      </c>
      <c r="CP47" s="28"/>
      <c r="CQ47" s="6">
        <v>714</v>
      </c>
      <c r="CR47" s="28"/>
      <c r="CS47" s="6">
        <v>167</v>
      </c>
      <c r="CT47" s="28">
        <v>337</v>
      </c>
      <c r="CU47" s="28"/>
      <c r="CV47" s="28"/>
      <c r="CW47" s="28"/>
      <c r="CX47" s="28"/>
      <c r="CZ47" s="23">
        <v>277</v>
      </c>
      <c r="DA47" s="25">
        <v>307</v>
      </c>
      <c r="DB47" s="23">
        <v>-7</v>
      </c>
      <c r="DC47" s="25">
        <v>6</v>
      </c>
      <c r="DE47" s="25"/>
      <c r="DF47" s="86">
        <v>106</v>
      </c>
      <c r="DG47" s="25">
        <v>329</v>
      </c>
      <c r="DH47" s="23">
        <v>-64</v>
      </c>
      <c r="DI47" s="25">
        <v>86</v>
      </c>
      <c r="DJ47" s="23">
        <v>687</v>
      </c>
      <c r="DK47" s="28">
        <v>208</v>
      </c>
      <c r="DL47" s="8">
        <v>246</v>
      </c>
      <c r="DQ47" s="8">
        <v>137</v>
      </c>
      <c r="DR47" s="52">
        <v>206</v>
      </c>
      <c r="DS47" s="6">
        <v>49</v>
      </c>
      <c r="DT47" s="52">
        <v>107</v>
      </c>
      <c r="DU47" s="8">
        <v>-202</v>
      </c>
      <c r="DV47" s="28">
        <v>326</v>
      </c>
      <c r="DW47" s="8">
        <v>-385</v>
      </c>
      <c r="DX47" s="28">
        <v>304</v>
      </c>
      <c r="DY47" s="6">
        <v>701</v>
      </c>
      <c r="DZ47" s="52">
        <v>728</v>
      </c>
      <c r="EA47" s="23">
        <v>201</v>
      </c>
      <c r="EB47" s="52">
        <v>172</v>
      </c>
      <c r="EC47" s="6">
        <v>1</v>
      </c>
      <c r="ED47" s="28">
        <v>6</v>
      </c>
      <c r="EE47" s="8">
        <v>218</v>
      </c>
      <c r="EF47" s="52">
        <v>105</v>
      </c>
      <c r="EG47" s="8">
        <v>-10</v>
      </c>
      <c r="EH47" s="28">
        <v>41</v>
      </c>
      <c r="EI47" s="8">
        <v>-4</v>
      </c>
      <c r="EJ47" s="52">
        <v>154</v>
      </c>
      <c r="EL47" s="8">
        <v>124</v>
      </c>
      <c r="EM47" s="28">
        <v>441</v>
      </c>
      <c r="EN47" s="8">
        <v>-53</v>
      </c>
      <c r="EO47" s="28">
        <v>249</v>
      </c>
      <c r="EP47" s="6"/>
      <c r="EQ47" s="52"/>
      <c r="EX47" s="8">
        <v>679</v>
      </c>
      <c r="EY47" s="28">
        <v>125</v>
      </c>
      <c r="FD47" s="6">
        <v>401</v>
      </c>
      <c r="FE47" s="28">
        <v>645</v>
      </c>
      <c r="FH47" s="8">
        <v>164</v>
      </c>
      <c r="FI47" s="28">
        <v>489</v>
      </c>
      <c r="FM47" s="8">
        <v>-422</v>
      </c>
      <c r="FN47" s="52">
        <v>329</v>
      </c>
      <c r="FO47" s="8">
        <v>53</v>
      </c>
      <c r="FP47" s="28">
        <v>117</v>
      </c>
      <c r="FQ47" s="8">
        <v>35</v>
      </c>
      <c r="FR47" s="28">
        <v>5</v>
      </c>
      <c r="FS47" s="8">
        <v>-72</v>
      </c>
      <c r="FT47" s="52">
        <v>53</v>
      </c>
      <c r="FV47" s="8">
        <v>193</v>
      </c>
      <c r="FW47" s="28">
        <v>104</v>
      </c>
      <c r="GC47" s="8">
        <v>430</v>
      </c>
      <c r="GE47" s="8">
        <v>685</v>
      </c>
      <c r="GF47" s="28">
        <v>74</v>
      </c>
      <c r="GI47" s="8">
        <v>-74</v>
      </c>
      <c r="GJ47" s="28">
        <v>61</v>
      </c>
      <c r="GK47" s="8">
        <v>-645</v>
      </c>
      <c r="GL47" s="28">
        <v>370</v>
      </c>
      <c r="GO47" s="28"/>
      <c r="GP47" s="8">
        <v>-153</v>
      </c>
      <c r="GQ47" s="52">
        <v>272</v>
      </c>
      <c r="GR47" s="8">
        <v>-35</v>
      </c>
      <c r="GS47" s="28">
        <v>192</v>
      </c>
      <c r="GT47" s="6">
        <v>440</v>
      </c>
      <c r="GU47" s="52">
        <v>224</v>
      </c>
      <c r="GV47" s="6">
        <v>-35</v>
      </c>
      <c r="GW47" s="28">
        <v>15</v>
      </c>
      <c r="GZ47" s="8">
        <v>79</v>
      </c>
      <c r="HA47" s="28">
        <v>38</v>
      </c>
      <c r="HB47" s="6">
        <v>-76</v>
      </c>
      <c r="HC47" s="28"/>
      <c r="HE47" s="8">
        <v>-59</v>
      </c>
      <c r="HF47" s="28">
        <v>98</v>
      </c>
      <c r="HG47" s="8">
        <v>114</v>
      </c>
      <c r="HO47" s="8">
        <v>-115</v>
      </c>
      <c r="HP47" s="28">
        <v>857</v>
      </c>
      <c r="HQ47" s="6">
        <v>6</v>
      </c>
      <c r="HR47" s="28">
        <v>3</v>
      </c>
      <c r="HS47" s="8">
        <v>-3</v>
      </c>
      <c r="HT47" s="52">
        <v>183</v>
      </c>
      <c r="HX47" s="8">
        <v>24</v>
      </c>
      <c r="HY47" s="28">
        <v>12</v>
      </c>
      <c r="HZ47" s="8">
        <v>-45</v>
      </c>
      <c r="IB47" s="8">
        <v>546</v>
      </c>
      <c r="IC47" s="28">
        <v>954</v>
      </c>
      <c r="ID47" s="8">
        <v>35</v>
      </c>
      <c r="IE47" s="28">
        <v>781</v>
      </c>
      <c r="IH47" s="8">
        <v>7</v>
      </c>
      <c r="II47" s="28">
        <v>1</v>
      </c>
      <c r="IO47">
        <v>645</v>
      </c>
      <c r="IP47" s="10">
        <v>43</v>
      </c>
      <c r="IU47" s="8">
        <v>210</v>
      </c>
      <c r="IV47" s="28">
        <v>114</v>
      </c>
      <c r="IW47" s="8">
        <v>-362</v>
      </c>
      <c r="IY47" s="8">
        <v>-123</v>
      </c>
      <c r="JA47" s="8">
        <v>-41</v>
      </c>
      <c r="JB47" s="12">
        <v>120</v>
      </c>
      <c r="JH47" s="8">
        <v>234</v>
      </c>
      <c r="JI47" s="28">
        <v>106</v>
      </c>
      <c r="JJ47" s="8">
        <v>84</v>
      </c>
      <c r="JK47" s="28">
        <v>7</v>
      </c>
      <c r="JL47" s="8">
        <v>-295</v>
      </c>
      <c r="JM47" s="12">
        <v>234</v>
      </c>
      <c r="JN47" s="8">
        <v>170</v>
      </c>
      <c r="JO47" s="28">
        <v>532</v>
      </c>
      <c r="JP47" s="6">
        <v>-3</v>
      </c>
      <c r="JQ47" s="12">
        <v>383</v>
      </c>
      <c r="JT47" s="6">
        <v>403</v>
      </c>
      <c r="JU47" s="12">
        <v>356</v>
      </c>
      <c r="JW47" s="8">
        <v>-404</v>
      </c>
      <c r="JX47" s="12">
        <v>127</v>
      </c>
      <c r="KA47" s="8">
        <v>115</v>
      </c>
      <c r="KB47" s="28">
        <v>27</v>
      </c>
      <c r="KE47" s="6">
        <v>-49</v>
      </c>
      <c r="KF47" s="12">
        <v>45</v>
      </c>
      <c r="KQ47" s="8">
        <v>156</v>
      </c>
      <c r="KR47" s="28">
        <v>36</v>
      </c>
      <c r="KT47" s="8">
        <v>-26</v>
      </c>
      <c r="KU47" s="28">
        <v>12</v>
      </c>
      <c r="KZ47" s="8">
        <v>3</v>
      </c>
      <c r="LA47" s="12">
        <v>79</v>
      </c>
      <c r="LD47" s="8">
        <v>757</v>
      </c>
      <c r="LE47" s="28">
        <v>329</v>
      </c>
      <c r="LF47" s="8">
        <v>12</v>
      </c>
      <c r="LG47" s="28">
        <v>10</v>
      </c>
      <c r="LH47" s="8">
        <v>-4</v>
      </c>
      <c r="LJ47" s="8">
        <v>-684</v>
      </c>
      <c r="LK47" s="28">
        <v>162</v>
      </c>
      <c r="LL47" s="8">
        <v>90</v>
      </c>
      <c r="LM47" s="28">
        <v>68</v>
      </c>
      <c r="LN47" s="8">
        <v>202</v>
      </c>
      <c r="LO47" s="28">
        <v>108</v>
      </c>
      <c r="LS47" s="8">
        <v>80</v>
      </c>
      <c r="LU47" s="8">
        <v>70</v>
      </c>
      <c r="LV47" s="12">
        <v>65</v>
      </c>
      <c r="LW47" s="8">
        <v>-107</v>
      </c>
      <c r="LX47" s="28">
        <v>243</v>
      </c>
      <c r="LZ47" s="8">
        <v>576</v>
      </c>
      <c r="MF47" s="8">
        <v>318</v>
      </c>
      <c r="MG47" s="12">
        <v>858</v>
      </c>
      <c r="MS47" s="8">
        <v>-27</v>
      </c>
      <c r="MT47" s="12">
        <v>155</v>
      </c>
      <c r="MU47" s="8">
        <v>-10</v>
      </c>
      <c r="MV47" s="28">
        <v>13</v>
      </c>
      <c r="NC47" s="8">
        <v>498</v>
      </c>
      <c r="ND47" s="12">
        <v>133</v>
      </c>
      <c r="NE47" s="8">
        <v>210</v>
      </c>
      <c r="NF47" s="28">
        <v>131</v>
      </c>
      <c r="NG47" s="8">
        <v>659</v>
      </c>
      <c r="NH47" s="28">
        <v>29</v>
      </c>
      <c r="NI47" s="8">
        <v>246</v>
      </c>
      <c r="NJ47" s="28">
        <v>10</v>
      </c>
      <c r="NL47" s="8">
        <v>584</v>
      </c>
      <c r="NM47" s="28">
        <v>244</v>
      </c>
      <c r="NP47" s="8">
        <v>388</v>
      </c>
      <c r="NQ47" s="12">
        <v>491</v>
      </c>
      <c r="NU47" s="8">
        <v>-513</v>
      </c>
      <c r="NV47" s="12">
        <v>192</v>
      </c>
      <c r="NW47" s="8">
        <v>780</v>
      </c>
      <c r="NX47" s="28">
        <v>83</v>
      </c>
      <c r="NY47" s="8">
        <v>66</v>
      </c>
      <c r="NZ47" s="12">
        <v>297</v>
      </c>
      <c r="OC47" s="8">
        <v>-196</v>
      </c>
      <c r="OD47" s="12">
        <v>622</v>
      </c>
      <c r="OO47" s="8">
        <v>-19</v>
      </c>
      <c r="OP47" s="28">
        <v>51</v>
      </c>
      <c r="OV47" s="8">
        <v>923</v>
      </c>
      <c r="PC47" s="8">
        <v>-165</v>
      </c>
      <c r="PD47" s="28">
        <v>184</v>
      </c>
      <c r="PE47" s="8">
        <v>-148</v>
      </c>
      <c r="PF47" s="12">
        <v>39</v>
      </c>
      <c r="PJ47" s="8">
        <v>310</v>
      </c>
      <c r="PK47" s="12">
        <v>254</v>
      </c>
      <c r="PP47" s="8">
        <v>27</v>
      </c>
      <c r="PQ47" s="28">
        <v>50</v>
      </c>
      <c r="PR47" s="28"/>
      <c r="PS47" s="8">
        <v>310</v>
      </c>
      <c r="PT47" s="12">
        <v>328</v>
      </c>
      <c r="PW47" s="8">
        <v>-489</v>
      </c>
      <c r="PX47" s="28">
        <v>68</v>
      </c>
      <c r="QE47" s="8">
        <v>375</v>
      </c>
      <c r="QF47" s="12">
        <v>264</v>
      </c>
      <c r="QH47" s="8">
        <v>-7</v>
      </c>
      <c r="QI47" s="12">
        <v>242</v>
      </c>
      <c r="QQ47" s="8">
        <v>-9</v>
      </c>
      <c r="QR47" s="12">
        <v>78</v>
      </c>
      <c r="QT47" s="8">
        <v>374</v>
      </c>
      <c r="QU47" s="12">
        <v>273</v>
      </c>
      <c r="QV47" s="6">
        <v>-818</v>
      </c>
      <c r="QW47" s="12">
        <v>200</v>
      </c>
      <c r="QY47" s="8">
        <v>126</v>
      </c>
      <c r="QZ47" s="12">
        <v>103</v>
      </c>
      <c r="RC47" s="6">
        <v>-359</v>
      </c>
      <c r="RD47" s="12">
        <v>104</v>
      </c>
      <c r="RE47" s="6">
        <v>138</v>
      </c>
      <c r="RF47" s="12">
        <v>963</v>
      </c>
      <c r="RG47" s="8">
        <v>215</v>
      </c>
      <c r="RH47" s="28">
        <v>127</v>
      </c>
      <c r="RJ47" s="8">
        <v>-55</v>
      </c>
      <c r="RK47" s="12">
        <v>250</v>
      </c>
      <c r="RL47" s="8">
        <v>-3</v>
      </c>
      <c r="RM47" s="12">
        <v>467</v>
      </c>
      <c r="RS47" s="6">
        <v>-683</v>
      </c>
      <c r="RT47" s="50">
        <v>284</v>
      </c>
      <c r="SF47" s="8">
        <v>500</v>
      </c>
      <c r="SP47" s="8">
        <v>4</v>
      </c>
      <c r="SQ47" s="12">
        <v>73</v>
      </c>
      <c r="SY47" s="6">
        <v>53</v>
      </c>
      <c r="TA47" s="6"/>
      <c r="TB47" s="6"/>
      <c r="TH47" s="8">
        <v>159</v>
      </c>
      <c r="TI47" s="28">
        <v>15</v>
      </c>
      <c r="TM47" s="8">
        <v>413</v>
      </c>
      <c r="TN47" s="28">
        <v>108</v>
      </c>
      <c r="TP47" s="28"/>
      <c r="TX47" s="8">
        <v>100</v>
      </c>
      <c r="TY47" s="28">
        <v>593</v>
      </c>
      <c r="TZ47" s="8">
        <v>105</v>
      </c>
      <c r="UA47" s="12">
        <v>169</v>
      </c>
      <c r="UG47" s="8">
        <v>-471</v>
      </c>
      <c r="UH47" s="12">
        <v>517</v>
      </c>
      <c r="UI47" s="8">
        <v>-272</v>
      </c>
      <c r="UJ47" s="12">
        <v>230</v>
      </c>
      <c r="UN47" s="8">
        <v>546</v>
      </c>
      <c r="UO47" s="12">
        <v>152</v>
      </c>
      <c r="US47" s="8">
        <v>111</v>
      </c>
      <c r="UT47" s="12">
        <v>550</v>
      </c>
      <c r="UZ47" s="8">
        <v>-250</v>
      </c>
      <c r="VA47" s="12">
        <v>398</v>
      </c>
      <c r="VB47" s="8">
        <v>127</v>
      </c>
      <c r="VC47" s="12">
        <v>320</v>
      </c>
      <c r="VD47" s="8">
        <v>-829</v>
      </c>
      <c r="VE47" s="12">
        <v>733</v>
      </c>
      <c r="VF47" s="8">
        <v>-76</v>
      </c>
      <c r="VG47" s="12">
        <v>195</v>
      </c>
      <c r="VH47" s="8">
        <v>143</v>
      </c>
      <c r="VI47" s="28">
        <v>119</v>
      </c>
      <c r="VL47" s="21"/>
      <c r="VM47" s="8">
        <v>841</v>
      </c>
      <c r="VN47" s="12">
        <v>393</v>
      </c>
      <c r="VO47" s="12"/>
      <c r="VP47" s="12"/>
      <c r="VQ47" s="6">
        <v>36</v>
      </c>
      <c r="VR47" s="28">
        <v>38</v>
      </c>
      <c r="VS47" s="12"/>
      <c r="VT47" s="12"/>
      <c r="VX47" s="8">
        <v>19</v>
      </c>
      <c r="VY47" s="12">
        <v>270</v>
      </c>
      <c r="VZ47" s="8">
        <v>192</v>
      </c>
      <c r="WA47" s="28">
        <v>163</v>
      </c>
      <c r="WB47" s="8">
        <v>9476</v>
      </c>
      <c r="WC47" s="12">
        <v>298</v>
      </c>
      <c r="WI47" s="8">
        <v>6323</v>
      </c>
      <c r="WJ47" s="28">
        <v>1163</v>
      </c>
      <c r="WP47" s="2">
        <v>80</v>
      </c>
      <c r="WQ47" s="1">
        <v>194</v>
      </c>
      <c r="WR47" s="10"/>
      <c r="XB47" s="23">
        <v>106</v>
      </c>
      <c r="XC47" s="25">
        <v>24</v>
      </c>
      <c r="XE47">
        <v>43654</v>
      </c>
      <c r="XF47" s="1">
        <v>8014</v>
      </c>
      <c r="XG47" s="2">
        <v>616</v>
      </c>
      <c r="XH47" s="1">
        <v>289</v>
      </c>
      <c r="XK47">
        <v>114</v>
      </c>
      <c r="XL47" s="1">
        <v>40</v>
      </c>
      <c r="XO47">
        <v>-8</v>
      </c>
      <c r="XP47" s="1">
        <v>23</v>
      </c>
    </row>
    <row r="48" spans="3:640" x14ac:dyDescent="0.25">
      <c r="G48" s="2">
        <v>-5</v>
      </c>
      <c r="I48" s="2">
        <v>689</v>
      </c>
      <c r="K48" s="2">
        <v>1002</v>
      </c>
      <c r="L48" s="1">
        <v>23</v>
      </c>
      <c r="M48">
        <v>-331</v>
      </c>
      <c r="N48" s="1">
        <v>24</v>
      </c>
      <c r="O48" s="26"/>
      <c r="R48">
        <v>-5</v>
      </c>
      <c r="S48" s="12">
        <v>207</v>
      </c>
      <c r="T48">
        <v>-2513</v>
      </c>
      <c r="U48" s="1">
        <v>1918</v>
      </c>
      <c r="V48">
        <v>1</v>
      </c>
      <c r="W48" s="10">
        <v>46</v>
      </c>
      <c r="AB48">
        <v>-21</v>
      </c>
      <c r="AC48" s="1">
        <v>44</v>
      </c>
      <c r="AD48">
        <v>-147</v>
      </c>
      <c r="AE48" s="1">
        <v>6</v>
      </c>
      <c r="AF48">
        <v>-450</v>
      </c>
      <c r="AG48" s="1">
        <v>287</v>
      </c>
      <c r="AJ48" s="2">
        <v>-609</v>
      </c>
      <c r="AK48" s="10">
        <v>183</v>
      </c>
      <c r="AY48">
        <v>-21668</v>
      </c>
      <c r="AZ48" s="1">
        <v>1824</v>
      </c>
      <c r="BA48">
        <v>240</v>
      </c>
      <c r="BB48" s="1">
        <v>723</v>
      </c>
      <c r="BD48" s="8">
        <v>-1920</v>
      </c>
      <c r="BE48" s="1">
        <v>186</v>
      </c>
      <c r="BF48">
        <v>657</v>
      </c>
      <c r="BG48" s="1">
        <v>179</v>
      </c>
      <c r="BJ48">
        <v>-21</v>
      </c>
      <c r="BL48">
        <v>58</v>
      </c>
      <c r="BM48" s="1">
        <v>2</v>
      </c>
      <c r="BN48">
        <v>139</v>
      </c>
      <c r="BP48">
        <v>-744</v>
      </c>
      <c r="BQ48" s="10">
        <v>4513</v>
      </c>
      <c r="BR48">
        <v>-522</v>
      </c>
      <c r="BS48" s="1">
        <v>268</v>
      </c>
      <c r="BT48">
        <v>-73</v>
      </c>
      <c r="BU48" s="1">
        <v>6</v>
      </c>
      <c r="BV48">
        <v>-82</v>
      </c>
      <c r="BW48" s="1">
        <v>23</v>
      </c>
      <c r="CE48" s="8">
        <v>116</v>
      </c>
      <c r="CF48" s="8">
        <v>11</v>
      </c>
      <c r="CG48" s="8">
        <v>76</v>
      </c>
      <c r="CI48" s="8">
        <v>49</v>
      </c>
      <c r="CJ48" s="12">
        <v>74</v>
      </c>
      <c r="CK48" s="8">
        <v>64</v>
      </c>
      <c r="CL48" s="28">
        <v>41</v>
      </c>
      <c r="CM48" s="6">
        <v>106</v>
      </c>
      <c r="CN48" s="28">
        <v>43</v>
      </c>
      <c r="CO48" s="6">
        <v>-314</v>
      </c>
      <c r="CP48" s="28"/>
      <c r="CQ48" s="6">
        <v>687</v>
      </c>
      <c r="CR48" s="28"/>
      <c r="CS48" s="6">
        <v>-310</v>
      </c>
      <c r="CT48" s="28">
        <v>396</v>
      </c>
      <c r="CU48" s="28"/>
      <c r="CV48" s="28"/>
      <c r="CW48" s="28"/>
      <c r="CX48" s="28"/>
      <c r="CZ48" s="23">
        <v>-107</v>
      </c>
      <c r="DA48" s="25">
        <v>29</v>
      </c>
      <c r="DB48" s="23">
        <v>265</v>
      </c>
      <c r="DC48" s="25">
        <v>1</v>
      </c>
      <c r="DE48" s="25"/>
      <c r="DF48" s="86">
        <v>126</v>
      </c>
      <c r="DG48" s="25">
        <v>673</v>
      </c>
      <c r="DH48" s="23">
        <v>-139</v>
      </c>
      <c r="DI48" s="25">
        <v>93</v>
      </c>
      <c r="DJ48" s="23">
        <v>562</v>
      </c>
      <c r="DK48" s="28">
        <v>361</v>
      </c>
      <c r="DL48" s="8">
        <v>357</v>
      </c>
      <c r="DQ48" s="8">
        <v>-191</v>
      </c>
      <c r="DR48" s="52">
        <v>358</v>
      </c>
      <c r="DS48" s="6">
        <v>134</v>
      </c>
      <c r="DT48" s="52">
        <v>166</v>
      </c>
      <c r="DU48" s="8">
        <v>794</v>
      </c>
      <c r="DV48" s="28">
        <v>253</v>
      </c>
      <c r="DW48" s="8">
        <v>-326</v>
      </c>
      <c r="DX48" s="28">
        <v>180</v>
      </c>
      <c r="DY48" s="6">
        <v>-211</v>
      </c>
      <c r="DZ48" s="52">
        <v>118</v>
      </c>
      <c r="EA48" s="23">
        <v>-25</v>
      </c>
      <c r="EB48" s="52">
        <v>217</v>
      </c>
      <c r="EC48" s="6">
        <v>-8</v>
      </c>
      <c r="ED48" s="28">
        <v>6</v>
      </c>
      <c r="EE48" s="8">
        <v>-966</v>
      </c>
      <c r="EF48" s="52">
        <v>651</v>
      </c>
      <c r="EG48" s="8">
        <v>6</v>
      </c>
      <c r="EH48" s="28">
        <v>170</v>
      </c>
      <c r="EI48" s="8">
        <v>-70</v>
      </c>
      <c r="EJ48" s="52">
        <v>451</v>
      </c>
      <c r="EL48" s="8">
        <v>-458</v>
      </c>
      <c r="EM48" s="28">
        <v>573</v>
      </c>
      <c r="EN48" s="8">
        <v>-129</v>
      </c>
      <c r="EO48" s="28">
        <v>20</v>
      </c>
      <c r="EP48" s="6"/>
      <c r="EQ48" s="52"/>
      <c r="EX48" s="8">
        <v>201</v>
      </c>
      <c r="EY48" s="28">
        <v>120</v>
      </c>
      <c r="FD48" s="6">
        <v>-114</v>
      </c>
      <c r="FE48" s="28">
        <v>722</v>
      </c>
      <c r="FH48" s="8">
        <v>905</v>
      </c>
      <c r="FI48" s="28">
        <v>304</v>
      </c>
      <c r="FM48" s="8">
        <v>-415</v>
      </c>
      <c r="FN48" s="52">
        <v>123</v>
      </c>
      <c r="FO48" s="8">
        <v>733</v>
      </c>
      <c r="FP48" s="28">
        <v>184</v>
      </c>
      <c r="FQ48" s="8">
        <v>75</v>
      </c>
      <c r="FR48" s="28">
        <v>6</v>
      </c>
      <c r="FS48" s="8">
        <v>32</v>
      </c>
      <c r="FT48" s="52">
        <v>77</v>
      </c>
      <c r="FV48" s="8">
        <v>-339</v>
      </c>
      <c r="FW48" s="28">
        <v>86</v>
      </c>
      <c r="GC48" s="8">
        <v>133</v>
      </c>
      <c r="GE48" s="8">
        <v>-17</v>
      </c>
      <c r="GF48" s="28">
        <v>17</v>
      </c>
      <c r="GI48" s="8">
        <v>-2</v>
      </c>
      <c r="GJ48" s="28">
        <v>45</v>
      </c>
      <c r="GK48" s="8">
        <v>-828</v>
      </c>
      <c r="GL48" s="28">
        <v>234</v>
      </c>
      <c r="GO48" s="28"/>
      <c r="GP48" s="8">
        <v>-115</v>
      </c>
      <c r="GQ48" s="52">
        <v>386</v>
      </c>
      <c r="GR48" s="8">
        <v>31</v>
      </c>
      <c r="GS48" s="28">
        <v>223</v>
      </c>
      <c r="GT48" s="6">
        <v>425</v>
      </c>
      <c r="GU48" s="52">
        <v>370</v>
      </c>
      <c r="GV48" s="6">
        <v>-28</v>
      </c>
      <c r="GW48" s="28">
        <v>16</v>
      </c>
      <c r="GZ48" s="8">
        <v>143</v>
      </c>
      <c r="HA48" s="28">
        <v>316</v>
      </c>
      <c r="HB48" s="6">
        <v>-48</v>
      </c>
      <c r="HC48" s="28"/>
      <c r="HE48" s="8">
        <v>310</v>
      </c>
      <c r="HF48" s="28">
        <v>32</v>
      </c>
      <c r="HG48" s="8">
        <v>250</v>
      </c>
      <c r="HO48" s="8">
        <v>-71</v>
      </c>
      <c r="HP48" s="28">
        <v>928</v>
      </c>
      <c r="HQ48" s="6">
        <v>3</v>
      </c>
      <c r="HR48" s="28">
        <v>2</v>
      </c>
      <c r="HS48" s="8">
        <v>29</v>
      </c>
      <c r="HT48" s="52">
        <v>804</v>
      </c>
      <c r="HX48" s="8">
        <v>27</v>
      </c>
      <c r="HY48" s="28">
        <v>8</v>
      </c>
      <c r="HZ48" s="8">
        <v>15</v>
      </c>
      <c r="IB48" s="8">
        <v>200</v>
      </c>
      <c r="IC48" s="28">
        <v>472</v>
      </c>
      <c r="ID48" s="8">
        <v>-128</v>
      </c>
      <c r="IE48" s="28">
        <v>339</v>
      </c>
      <c r="IH48" s="8">
        <v>492</v>
      </c>
      <c r="II48" s="28">
        <v>151</v>
      </c>
      <c r="IO48">
        <v>-130</v>
      </c>
      <c r="IP48" s="10">
        <v>100</v>
      </c>
      <c r="IU48" s="8">
        <v>145</v>
      </c>
      <c r="IV48" s="28">
        <v>422</v>
      </c>
      <c r="IW48" s="8">
        <v>-384</v>
      </c>
      <c r="IY48" s="8">
        <v>-80</v>
      </c>
      <c r="JA48" s="8">
        <v>-52</v>
      </c>
      <c r="JB48" s="12">
        <v>154</v>
      </c>
      <c r="JH48" s="8">
        <v>-30</v>
      </c>
      <c r="JI48" s="28">
        <v>11</v>
      </c>
      <c r="JJ48" s="8">
        <v>103</v>
      </c>
      <c r="JK48" s="28">
        <v>5</v>
      </c>
      <c r="JL48" s="8">
        <v>-155</v>
      </c>
      <c r="JM48" s="12">
        <v>143</v>
      </c>
      <c r="JN48" s="8">
        <v>163</v>
      </c>
      <c r="JO48" s="28">
        <v>740</v>
      </c>
      <c r="JP48" s="6">
        <v>11</v>
      </c>
      <c r="JQ48" s="12">
        <v>234</v>
      </c>
      <c r="JT48" s="6">
        <v>-111</v>
      </c>
      <c r="JU48" s="12">
        <v>613</v>
      </c>
      <c r="JW48" s="8">
        <v>-567</v>
      </c>
      <c r="JX48" s="12">
        <v>178</v>
      </c>
      <c r="KA48" s="8">
        <v>-14</v>
      </c>
      <c r="KB48" s="28">
        <v>34</v>
      </c>
      <c r="KE48" s="6">
        <v>-92</v>
      </c>
      <c r="KF48" s="12">
        <v>149</v>
      </c>
      <c r="KQ48" s="8">
        <v>179</v>
      </c>
      <c r="KR48" s="28">
        <v>46</v>
      </c>
      <c r="KT48" s="8">
        <v>-4</v>
      </c>
      <c r="KU48" s="28">
        <v>2</v>
      </c>
      <c r="KZ48" s="8">
        <v>-4</v>
      </c>
      <c r="LA48" s="12">
        <v>125</v>
      </c>
      <c r="LD48" s="8">
        <v>176</v>
      </c>
      <c r="LE48" s="28">
        <v>265</v>
      </c>
      <c r="LF48" s="8">
        <v>50</v>
      </c>
      <c r="LG48" s="28">
        <v>8</v>
      </c>
      <c r="LH48" s="8">
        <v>-282</v>
      </c>
      <c r="LJ48" s="8">
        <v>183</v>
      </c>
      <c r="LK48" s="28">
        <v>287</v>
      </c>
      <c r="LL48" s="8">
        <v>-12</v>
      </c>
      <c r="LM48" s="28">
        <v>27</v>
      </c>
      <c r="LN48" s="8">
        <v>227</v>
      </c>
      <c r="LO48" s="28">
        <v>106</v>
      </c>
      <c r="LS48" s="8">
        <v>66</v>
      </c>
      <c r="LU48" s="8">
        <v>-48</v>
      </c>
      <c r="LV48" s="12">
        <v>53</v>
      </c>
      <c r="LW48" s="8">
        <v>-209</v>
      </c>
      <c r="LX48" s="28">
        <v>134</v>
      </c>
      <c r="LZ48" s="8">
        <v>640</v>
      </c>
      <c r="MF48" s="8">
        <v>496</v>
      </c>
      <c r="MG48" s="12">
        <v>447</v>
      </c>
      <c r="MS48" s="8">
        <v>-440</v>
      </c>
      <c r="MT48" s="12">
        <v>600</v>
      </c>
      <c r="MU48" s="8">
        <v>-19</v>
      </c>
      <c r="MV48" s="28">
        <v>16</v>
      </c>
      <c r="NC48" s="8">
        <v>-112</v>
      </c>
      <c r="ND48" s="12">
        <v>271</v>
      </c>
      <c r="NE48" s="8">
        <v>132</v>
      </c>
      <c r="NF48" s="28">
        <v>243</v>
      </c>
      <c r="NG48" s="8">
        <v>-81</v>
      </c>
      <c r="NH48" s="28">
        <v>15</v>
      </c>
      <c r="NI48" s="8">
        <v>-44</v>
      </c>
      <c r="NJ48" s="28">
        <v>3</v>
      </c>
      <c r="NL48" s="8">
        <v>286</v>
      </c>
      <c r="NM48" s="28">
        <v>109</v>
      </c>
      <c r="NP48" s="8">
        <v>470</v>
      </c>
      <c r="NQ48" s="12">
        <v>591</v>
      </c>
      <c r="NU48" s="8">
        <v>-832</v>
      </c>
      <c r="NV48" s="12">
        <v>225</v>
      </c>
      <c r="NW48" s="8">
        <v>107</v>
      </c>
      <c r="NX48" s="28">
        <v>79</v>
      </c>
      <c r="NY48" s="8">
        <v>58</v>
      </c>
      <c r="NZ48" s="12">
        <v>264</v>
      </c>
      <c r="OC48" s="8">
        <v>123</v>
      </c>
      <c r="OD48" s="12">
        <v>114</v>
      </c>
      <c r="OO48" s="8">
        <v>-114</v>
      </c>
      <c r="OP48" s="28">
        <v>79</v>
      </c>
      <c r="OV48" s="8">
        <v>224</v>
      </c>
      <c r="PC48" s="8">
        <v>107</v>
      </c>
      <c r="PD48" s="28">
        <v>604</v>
      </c>
      <c r="PE48" s="8">
        <v>-135</v>
      </c>
      <c r="PF48" s="12">
        <v>70</v>
      </c>
      <c r="PJ48" s="8">
        <v>-559</v>
      </c>
      <c r="PK48" s="12">
        <v>317</v>
      </c>
      <c r="PP48" s="8">
        <v>64</v>
      </c>
      <c r="PQ48" s="28">
        <v>38</v>
      </c>
      <c r="PR48" s="28"/>
      <c r="PS48" s="8">
        <v>206</v>
      </c>
      <c r="PT48" s="12">
        <v>382</v>
      </c>
      <c r="PW48" s="8">
        <v>313</v>
      </c>
      <c r="PX48" s="28">
        <v>127</v>
      </c>
      <c r="QE48" s="8">
        <v>750</v>
      </c>
      <c r="QF48" s="12">
        <v>426</v>
      </c>
      <c r="QH48" s="8">
        <v>12</v>
      </c>
      <c r="QI48" s="12">
        <v>240</v>
      </c>
      <c r="QQ48" s="8">
        <v>-21</v>
      </c>
      <c r="QR48" s="12">
        <v>239</v>
      </c>
      <c r="QT48" s="8">
        <v>-797</v>
      </c>
      <c r="QU48" s="12">
        <v>159</v>
      </c>
      <c r="QV48" s="6">
        <v>-347</v>
      </c>
      <c r="QW48" s="12">
        <v>824</v>
      </c>
      <c r="QY48" s="8">
        <v>82</v>
      </c>
      <c r="QZ48" s="12">
        <v>97</v>
      </c>
      <c r="RC48" s="6">
        <v>219</v>
      </c>
      <c r="RD48" s="12">
        <v>63</v>
      </c>
      <c r="RE48" s="6">
        <v>140</v>
      </c>
      <c r="RF48" s="12">
        <v>101</v>
      </c>
      <c r="RG48" s="8">
        <v>33</v>
      </c>
      <c r="RH48" s="28">
        <v>85</v>
      </c>
      <c r="RJ48" s="8">
        <v>-158</v>
      </c>
      <c r="RK48" s="12">
        <v>308</v>
      </c>
      <c r="RL48" s="8">
        <v>72</v>
      </c>
      <c r="RM48" s="12">
        <v>294</v>
      </c>
      <c r="RS48" s="6">
        <v>128</v>
      </c>
      <c r="RT48" s="50">
        <v>886</v>
      </c>
      <c r="SF48" s="8">
        <v>-740</v>
      </c>
      <c r="SP48" s="8">
        <v>708</v>
      </c>
      <c r="SQ48" s="12">
        <v>537</v>
      </c>
      <c r="SY48" s="6">
        <v>-69</v>
      </c>
      <c r="TA48" s="6"/>
      <c r="TB48" s="6"/>
      <c r="TH48" s="8">
        <v>159</v>
      </c>
      <c r="TI48" s="28">
        <v>23</v>
      </c>
      <c r="TX48" s="8">
        <v>138</v>
      </c>
      <c r="TY48" s="28">
        <v>581</v>
      </c>
      <c r="TZ48" s="8">
        <v>67</v>
      </c>
      <c r="UA48" s="12">
        <v>121</v>
      </c>
      <c r="UG48" s="8">
        <v>152</v>
      </c>
      <c r="UH48" s="12">
        <v>190</v>
      </c>
      <c r="UI48" s="8">
        <v>470</v>
      </c>
      <c r="UJ48" s="12">
        <v>126</v>
      </c>
      <c r="UN48" s="8">
        <v>-35</v>
      </c>
      <c r="UO48" s="12">
        <v>60</v>
      </c>
      <c r="US48" s="8">
        <v>148</v>
      </c>
      <c r="UT48" s="12">
        <v>433</v>
      </c>
      <c r="UZ48" s="8">
        <v>577</v>
      </c>
      <c r="VA48" s="12">
        <v>364</v>
      </c>
      <c r="VB48" s="8">
        <v>117</v>
      </c>
      <c r="VC48" s="12">
        <v>351</v>
      </c>
      <c r="VD48" s="8">
        <v>121</v>
      </c>
      <c r="VF48" s="8">
        <v>-647</v>
      </c>
      <c r="VG48" s="12">
        <v>169</v>
      </c>
      <c r="VH48" s="8">
        <v>291</v>
      </c>
      <c r="VI48" s="28">
        <v>225</v>
      </c>
      <c r="VL48" s="21"/>
      <c r="VM48" s="8">
        <v>4179</v>
      </c>
      <c r="VN48" s="12">
        <v>394</v>
      </c>
      <c r="VO48" s="12"/>
      <c r="VP48" s="12"/>
      <c r="VQ48" s="6">
        <v>-25</v>
      </c>
      <c r="VR48" s="28">
        <v>48</v>
      </c>
      <c r="VS48" s="12"/>
      <c r="VT48" s="12"/>
      <c r="VX48" s="8">
        <v>91</v>
      </c>
      <c r="VY48" s="12">
        <v>335</v>
      </c>
      <c r="VZ48" s="8">
        <v>53</v>
      </c>
      <c r="WA48" s="28">
        <v>143</v>
      </c>
      <c r="WB48" s="8">
        <v>9562</v>
      </c>
      <c r="WC48" s="12">
        <v>225</v>
      </c>
      <c r="WI48" s="8">
        <v>227</v>
      </c>
      <c r="WJ48" s="28">
        <v>45</v>
      </c>
      <c r="WP48" s="2">
        <v>220</v>
      </c>
      <c r="WQ48" s="1">
        <v>102</v>
      </c>
      <c r="WR48" s="10"/>
      <c r="XB48" s="23">
        <v>-51</v>
      </c>
      <c r="XC48" s="25">
        <v>54</v>
      </c>
      <c r="XE48">
        <v>44609</v>
      </c>
      <c r="XF48" s="1">
        <v>7363</v>
      </c>
      <c r="XG48" s="2">
        <v>50</v>
      </c>
      <c r="XH48" s="1">
        <v>16</v>
      </c>
      <c r="XK48">
        <v>94</v>
      </c>
      <c r="XL48" s="1">
        <v>60</v>
      </c>
      <c r="XO48">
        <v>-9</v>
      </c>
      <c r="XP48" s="1">
        <v>2</v>
      </c>
    </row>
    <row r="49" spans="7:636" x14ac:dyDescent="0.25">
      <c r="G49" s="2">
        <v>-1889</v>
      </c>
      <c r="I49" s="2">
        <v>933</v>
      </c>
      <c r="K49" s="2">
        <v>2293</v>
      </c>
      <c r="L49" s="1">
        <v>15</v>
      </c>
      <c r="M49">
        <v>-147</v>
      </c>
      <c r="N49" s="1">
        <v>24</v>
      </c>
      <c r="O49" s="26"/>
      <c r="R49">
        <v>-6</v>
      </c>
      <c r="S49" s="12">
        <v>227</v>
      </c>
      <c r="T49">
        <v>-1359</v>
      </c>
      <c r="U49" s="1">
        <v>1931</v>
      </c>
      <c r="V49">
        <v>-4</v>
      </c>
      <c r="W49" s="10">
        <v>68</v>
      </c>
      <c r="AB49">
        <v>-21</v>
      </c>
      <c r="AC49" s="1">
        <v>49</v>
      </c>
      <c r="AD49">
        <v>-177</v>
      </c>
      <c r="AE49" s="1">
        <v>6</v>
      </c>
      <c r="AF49">
        <v>-1313</v>
      </c>
      <c r="AG49" s="1">
        <v>294</v>
      </c>
      <c r="AJ49" s="2">
        <v>66</v>
      </c>
      <c r="AK49" s="10">
        <v>154</v>
      </c>
      <c r="AY49">
        <v>-3655</v>
      </c>
      <c r="AZ49" s="1">
        <v>227</v>
      </c>
      <c r="BA49">
        <v>143</v>
      </c>
      <c r="BB49" s="1">
        <v>679</v>
      </c>
      <c r="BD49" s="8">
        <v>-6390</v>
      </c>
      <c r="BE49" s="1">
        <v>25</v>
      </c>
      <c r="BF49">
        <v>-306</v>
      </c>
      <c r="BG49" s="1">
        <v>301</v>
      </c>
      <c r="BJ49">
        <v>-38</v>
      </c>
      <c r="BL49">
        <v>2108</v>
      </c>
      <c r="BM49" s="1">
        <v>30</v>
      </c>
      <c r="BN49">
        <v>13</v>
      </c>
      <c r="BP49">
        <v>1239</v>
      </c>
      <c r="BQ49" s="10">
        <v>7046</v>
      </c>
      <c r="BR49">
        <v>-469</v>
      </c>
      <c r="BS49" s="1">
        <v>359</v>
      </c>
      <c r="BT49">
        <v>-371</v>
      </c>
      <c r="BU49" s="1">
        <v>224</v>
      </c>
      <c r="BV49">
        <v>-84</v>
      </c>
      <c r="BW49" s="1">
        <v>23</v>
      </c>
      <c r="CE49" s="8">
        <v>70</v>
      </c>
      <c r="CF49" s="28">
        <v>8</v>
      </c>
      <c r="CG49" s="8">
        <v>75</v>
      </c>
      <c r="CI49" s="8">
        <v>945</v>
      </c>
      <c r="CJ49" s="12">
        <v>72</v>
      </c>
      <c r="CK49" s="8">
        <v>71</v>
      </c>
      <c r="CL49" s="28">
        <v>40</v>
      </c>
      <c r="CM49" s="6">
        <v>232</v>
      </c>
      <c r="CN49" s="28">
        <v>397</v>
      </c>
      <c r="CO49" s="6">
        <v>-353</v>
      </c>
      <c r="CP49" s="28"/>
      <c r="CQ49" s="6">
        <v>691</v>
      </c>
      <c r="CR49" s="28"/>
      <c r="CS49" s="6">
        <v>533</v>
      </c>
      <c r="CT49" s="28">
        <v>308</v>
      </c>
      <c r="CU49" s="28"/>
      <c r="CV49" s="28"/>
      <c r="CW49" s="28"/>
      <c r="CX49" s="28"/>
      <c r="CZ49" s="23">
        <v>97</v>
      </c>
      <c r="DA49" s="25">
        <v>24</v>
      </c>
      <c r="DB49" s="23">
        <v>9</v>
      </c>
      <c r="DC49" s="25">
        <v>9</v>
      </c>
      <c r="DE49" s="25"/>
      <c r="DF49" s="86">
        <v>106</v>
      </c>
      <c r="DG49" s="25">
        <v>267</v>
      </c>
      <c r="DH49" s="23">
        <v>-49</v>
      </c>
      <c r="DI49" s="84" t="s">
        <v>428</v>
      </c>
      <c r="DJ49" s="23">
        <v>-243</v>
      </c>
      <c r="DK49" s="28">
        <v>146</v>
      </c>
      <c r="DL49" s="8">
        <v>514</v>
      </c>
      <c r="DQ49" s="8">
        <v>126</v>
      </c>
      <c r="DR49" s="52">
        <v>248</v>
      </c>
      <c r="DS49" s="6">
        <v>22</v>
      </c>
      <c r="DT49" s="52">
        <v>51</v>
      </c>
      <c r="DU49" s="8">
        <v>684</v>
      </c>
      <c r="DV49" s="28">
        <v>705</v>
      </c>
      <c r="DW49" s="8">
        <v>494</v>
      </c>
      <c r="DX49" s="28">
        <v>249</v>
      </c>
      <c r="DY49" s="6">
        <v>545</v>
      </c>
      <c r="DZ49" s="52">
        <v>34</v>
      </c>
      <c r="EA49" s="23">
        <v>46</v>
      </c>
      <c r="EB49" s="52">
        <v>227</v>
      </c>
      <c r="EC49" s="6">
        <v>13</v>
      </c>
      <c r="ED49" s="28">
        <v>5</v>
      </c>
      <c r="EE49" s="8">
        <v>-733</v>
      </c>
      <c r="EF49" s="52">
        <v>56</v>
      </c>
      <c r="EG49" s="8">
        <v>-123</v>
      </c>
      <c r="EH49" s="28">
        <v>153</v>
      </c>
      <c r="EI49" s="8">
        <v>7</v>
      </c>
      <c r="EJ49" s="52">
        <v>401</v>
      </c>
      <c r="EL49" s="8">
        <v>-192</v>
      </c>
      <c r="EM49" s="28">
        <v>956</v>
      </c>
      <c r="EN49" s="8">
        <v>-194</v>
      </c>
      <c r="EO49" s="28">
        <v>95</v>
      </c>
      <c r="EQ49" s="52"/>
      <c r="EX49" s="8">
        <v>-139</v>
      </c>
      <c r="EY49" s="28">
        <v>126</v>
      </c>
      <c r="FD49" s="6">
        <v>863</v>
      </c>
      <c r="FE49" s="28">
        <v>291</v>
      </c>
      <c r="FH49" s="8">
        <v>268</v>
      </c>
      <c r="FI49" s="28">
        <v>307</v>
      </c>
      <c r="FM49" s="8">
        <v>-427</v>
      </c>
      <c r="FN49" s="52">
        <v>304</v>
      </c>
      <c r="FO49" s="8">
        <v>430</v>
      </c>
      <c r="FP49" s="28">
        <v>241</v>
      </c>
      <c r="FQ49" s="8">
        <v>-51</v>
      </c>
      <c r="FR49" s="28">
        <v>3</v>
      </c>
      <c r="FS49" s="8">
        <v>30</v>
      </c>
      <c r="FT49" s="52">
        <v>74</v>
      </c>
      <c r="FV49" s="8">
        <v>399</v>
      </c>
      <c r="FW49" s="28">
        <v>73</v>
      </c>
      <c r="GC49" s="8">
        <v>-692</v>
      </c>
      <c r="GE49" s="8">
        <v>-454</v>
      </c>
      <c r="GF49" s="28">
        <v>229</v>
      </c>
      <c r="GI49" s="8">
        <v>25</v>
      </c>
      <c r="GJ49" s="28">
        <v>75</v>
      </c>
      <c r="GK49" s="8">
        <v>444</v>
      </c>
      <c r="GL49" s="28">
        <v>140</v>
      </c>
      <c r="GO49" s="28"/>
      <c r="GP49" s="8">
        <v>409</v>
      </c>
      <c r="GQ49" s="52">
        <v>304</v>
      </c>
      <c r="GR49" s="8">
        <v>71</v>
      </c>
      <c r="GS49" s="28">
        <v>244</v>
      </c>
      <c r="GT49" s="6">
        <v>-150</v>
      </c>
      <c r="GU49" s="52">
        <v>133</v>
      </c>
      <c r="GV49" s="6">
        <v>-4</v>
      </c>
      <c r="GW49" s="28">
        <v>38</v>
      </c>
      <c r="GZ49" s="8">
        <v>-100</v>
      </c>
      <c r="HA49" s="28">
        <v>441</v>
      </c>
      <c r="HB49" s="6">
        <v>-11</v>
      </c>
      <c r="HC49" s="28"/>
      <c r="HE49" s="8">
        <v>-84</v>
      </c>
      <c r="HF49" s="28">
        <v>59</v>
      </c>
      <c r="HG49" s="8">
        <v>55</v>
      </c>
      <c r="HO49" s="8">
        <v>-408</v>
      </c>
      <c r="HP49" s="28">
        <v>503</v>
      </c>
      <c r="HQ49" s="6">
        <v>4</v>
      </c>
      <c r="HR49" s="28">
        <v>2</v>
      </c>
      <c r="HS49" s="8">
        <v>123</v>
      </c>
      <c r="HT49" s="52">
        <v>177</v>
      </c>
      <c r="HX49" s="8">
        <v>33</v>
      </c>
      <c r="HY49" s="28">
        <v>8</v>
      </c>
      <c r="HZ49" s="8">
        <v>-249</v>
      </c>
      <c r="IB49" s="8">
        <v>-103</v>
      </c>
      <c r="IC49" s="28">
        <v>612</v>
      </c>
      <c r="ID49" s="8">
        <v>315</v>
      </c>
      <c r="IE49" s="28">
        <v>16</v>
      </c>
      <c r="IH49" s="8">
        <v>502</v>
      </c>
      <c r="II49" s="28">
        <v>208</v>
      </c>
      <c r="IO49">
        <v>297</v>
      </c>
      <c r="IP49" s="10">
        <v>201</v>
      </c>
      <c r="IU49" s="8">
        <v>215</v>
      </c>
      <c r="IV49" s="28">
        <v>700</v>
      </c>
      <c r="IW49" s="8">
        <v>-445</v>
      </c>
      <c r="IY49" s="8">
        <v>-145</v>
      </c>
      <c r="JA49" s="8">
        <v>438</v>
      </c>
      <c r="JB49" s="12">
        <v>163</v>
      </c>
      <c r="JH49" s="8">
        <v>165</v>
      </c>
      <c r="JI49" s="28">
        <v>67</v>
      </c>
      <c r="JJ49" s="8">
        <v>102</v>
      </c>
      <c r="JK49" s="28">
        <v>1</v>
      </c>
      <c r="JL49" s="8">
        <v>-365</v>
      </c>
      <c r="JM49" s="12">
        <v>121</v>
      </c>
      <c r="JN49" s="8">
        <v>816</v>
      </c>
      <c r="JO49" s="28">
        <v>122</v>
      </c>
      <c r="JP49" s="6">
        <v>55</v>
      </c>
      <c r="JQ49" s="12">
        <v>132</v>
      </c>
      <c r="JT49" s="6">
        <v>-242</v>
      </c>
      <c r="JU49" s="12">
        <v>669</v>
      </c>
      <c r="JW49" s="8">
        <v>-123</v>
      </c>
      <c r="JX49" s="12">
        <v>389</v>
      </c>
      <c r="KA49" s="8">
        <v>118</v>
      </c>
      <c r="KB49" s="28">
        <v>15</v>
      </c>
      <c r="KE49" s="6">
        <v>-175</v>
      </c>
      <c r="KF49" s="12">
        <v>125</v>
      </c>
      <c r="KQ49" s="8">
        <v>29</v>
      </c>
      <c r="KR49" s="28">
        <v>8</v>
      </c>
      <c r="KT49" s="8">
        <v>12</v>
      </c>
      <c r="KU49" s="28">
        <v>9</v>
      </c>
      <c r="KZ49" s="8">
        <v>-20</v>
      </c>
      <c r="LA49" s="12">
        <v>437</v>
      </c>
      <c r="LD49" s="8">
        <v>-128</v>
      </c>
      <c r="LE49" s="28">
        <v>112</v>
      </c>
      <c r="LF49" s="8">
        <v>24</v>
      </c>
      <c r="LG49" s="28">
        <v>8</v>
      </c>
      <c r="LH49" s="8">
        <v>-538</v>
      </c>
      <c r="LJ49" s="8">
        <v>-924</v>
      </c>
      <c r="LK49" s="28">
        <v>716</v>
      </c>
      <c r="LL49" s="8">
        <v>12</v>
      </c>
      <c r="LM49" s="28">
        <v>8</v>
      </c>
      <c r="LN49" s="8">
        <v>51</v>
      </c>
      <c r="LO49" s="28">
        <v>65</v>
      </c>
      <c r="LS49" s="8">
        <v>82</v>
      </c>
      <c r="LU49" s="8">
        <v>342</v>
      </c>
      <c r="LV49" s="12">
        <v>318</v>
      </c>
      <c r="LW49" s="8">
        <f>470</f>
        <v>470</v>
      </c>
      <c r="LX49" s="28">
        <v>256</v>
      </c>
      <c r="LZ49" s="8">
        <v>501</v>
      </c>
      <c r="MF49" s="8">
        <v>649</v>
      </c>
      <c r="MG49" s="12">
        <v>563</v>
      </c>
      <c r="MS49" s="8">
        <v>-814</v>
      </c>
      <c r="MT49" s="12">
        <v>199</v>
      </c>
      <c r="MU49" s="8">
        <v>32</v>
      </c>
      <c r="MV49" s="28">
        <v>12</v>
      </c>
      <c r="NC49" s="8">
        <v>208</v>
      </c>
      <c r="ND49" s="12">
        <v>138</v>
      </c>
      <c r="NE49" s="8">
        <v>454</v>
      </c>
      <c r="NF49" s="28">
        <v>321</v>
      </c>
      <c r="NG49" s="8">
        <v>-120</v>
      </c>
      <c r="NH49" s="28">
        <v>27</v>
      </c>
      <c r="NI49" s="8">
        <v>57</v>
      </c>
      <c r="NJ49" s="28">
        <v>18</v>
      </c>
      <c r="NL49" s="8">
        <v>701</v>
      </c>
      <c r="NM49" s="28">
        <v>307</v>
      </c>
      <c r="NP49" s="8">
        <v>564</v>
      </c>
      <c r="NQ49" s="12">
        <v>689</v>
      </c>
      <c r="NU49" s="8">
        <v>-129</v>
      </c>
      <c r="NV49" s="12">
        <v>227</v>
      </c>
      <c r="NW49" s="8">
        <v>121</v>
      </c>
      <c r="NX49" s="28">
        <v>79</v>
      </c>
      <c r="NY49" s="8">
        <v>-711</v>
      </c>
      <c r="NZ49" s="12">
        <v>429</v>
      </c>
      <c r="OC49" s="8">
        <v>857</v>
      </c>
      <c r="OD49" s="12">
        <v>891</v>
      </c>
      <c r="OO49" s="8">
        <v>13</v>
      </c>
      <c r="OP49" s="28">
        <v>43</v>
      </c>
      <c r="OV49" s="8">
        <v>355</v>
      </c>
      <c r="PC49" s="8">
        <v>-409</v>
      </c>
      <c r="PD49" s="28">
        <v>291</v>
      </c>
      <c r="PE49" s="8">
        <v>-261</v>
      </c>
      <c r="PF49" s="12">
        <v>92</v>
      </c>
      <c r="PJ49" s="8">
        <v>-242</v>
      </c>
      <c r="PK49" s="12">
        <v>193</v>
      </c>
      <c r="PP49" s="8">
        <v>-286</v>
      </c>
      <c r="PQ49" s="28">
        <v>26</v>
      </c>
      <c r="PR49" s="28"/>
      <c r="PS49" s="8">
        <v>-14</v>
      </c>
      <c r="PT49" s="12">
        <v>55</v>
      </c>
      <c r="PW49" s="8">
        <v>-293</v>
      </c>
      <c r="PX49" s="28">
        <v>226</v>
      </c>
      <c r="QE49" s="8">
        <v>-770</v>
      </c>
      <c r="QF49" s="12">
        <v>114</v>
      </c>
      <c r="QH49" s="8">
        <v>898</v>
      </c>
      <c r="QI49" s="12">
        <v>619</v>
      </c>
      <c r="QQ49" s="8">
        <v>15</v>
      </c>
      <c r="QR49" s="12">
        <v>69</v>
      </c>
      <c r="QT49" s="8">
        <v>136</v>
      </c>
      <c r="QU49" s="12">
        <v>629</v>
      </c>
      <c r="QV49" s="6">
        <v>312</v>
      </c>
      <c r="QW49" s="12">
        <v>313</v>
      </c>
      <c r="QY49" s="8">
        <v>92</v>
      </c>
      <c r="QZ49" s="12">
        <v>109</v>
      </c>
      <c r="RC49" s="6">
        <v>356</v>
      </c>
      <c r="RD49" s="12">
        <v>105</v>
      </c>
      <c r="RE49" s="6">
        <v>811</v>
      </c>
      <c r="RF49" s="12">
        <v>579</v>
      </c>
      <c r="RG49" s="8">
        <v>-151</v>
      </c>
      <c r="RH49" s="28">
        <v>76</v>
      </c>
      <c r="RJ49" s="8">
        <v>-43</v>
      </c>
      <c r="RK49" s="12">
        <v>456</v>
      </c>
      <c r="RL49" s="8">
        <v>-59</v>
      </c>
      <c r="RM49" s="12">
        <v>126</v>
      </c>
      <c r="RS49" s="6">
        <v>-601</v>
      </c>
      <c r="RT49" s="50">
        <v>222</v>
      </c>
      <c r="SF49" s="8">
        <v>430</v>
      </c>
      <c r="SP49" s="8">
        <v>-17</v>
      </c>
      <c r="SQ49" s="12">
        <v>3</v>
      </c>
      <c r="SY49" s="6">
        <v>396</v>
      </c>
      <c r="TA49" s="6"/>
      <c r="TB49" s="6"/>
      <c r="TH49" s="8">
        <v>177</v>
      </c>
      <c r="TI49" s="28">
        <v>23</v>
      </c>
      <c r="TX49" s="8">
        <v>179</v>
      </c>
      <c r="TY49" s="28">
        <v>475</v>
      </c>
      <c r="TZ49" s="8">
        <v>32</v>
      </c>
      <c r="UA49" s="12">
        <v>928</v>
      </c>
      <c r="UG49" s="8">
        <v>122</v>
      </c>
      <c r="UH49" s="12">
        <v>42</v>
      </c>
      <c r="UI49" s="8">
        <v>-927</v>
      </c>
      <c r="UJ49" s="12">
        <v>22</v>
      </c>
      <c r="UN49" s="8">
        <v>539</v>
      </c>
      <c r="UO49" s="12">
        <v>378</v>
      </c>
      <c r="US49" s="8">
        <v>547</v>
      </c>
      <c r="UT49" s="12">
        <v>312</v>
      </c>
      <c r="UZ49" s="8">
        <v>112</v>
      </c>
      <c r="VA49" s="12">
        <v>277</v>
      </c>
      <c r="VB49" s="8">
        <v>92</v>
      </c>
      <c r="VC49" s="12">
        <v>345</v>
      </c>
      <c r="VD49" s="8">
        <v>523</v>
      </c>
      <c r="VF49" s="8">
        <v>372</v>
      </c>
      <c r="VG49" s="12">
        <v>343</v>
      </c>
      <c r="VH49" s="8">
        <v>140</v>
      </c>
      <c r="VI49" s="28">
        <v>731</v>
      </c>
      <c r="VL49" s="21"/>
      <c r="VM49" s="8">
        <v>1452</v>
      </c>
      <c r="VN49" s="12">
        <v>153</v>
      </c>
      <c r="VO49" s="12"/>
      <c r="VP49" s="12"/>
      <c r="VQ49" s="6">
        <v>-15</v>
      </c>
      <c r="VR49" s="28">
        <v>44</v>
      </c>
      <c r="VS49" s="12"/>
      <c r="VT49" s="12"/>
      <c r="VX49" s="8">
        <v>246</v>
      </c>
      <c r="VY49" s="12">
        <v>463</v>
      </c>
      <c r="VZ49" s="8">
        <v>78</v>
      </c>
      <c r="WA49" s="28">
        <v>246</v>
      </c>
      <c r="WB49" s="8">
        <v>9474</v>
      </c>
      <c r="WC49" s="12">
        <v>294</v>
      </c>
      <c r="WI49" s="8">
        <v>283</v>
      </c>
      <c r="WJ49" s="28">
        <v>52</v>
      </c>
      <c r="WP49" s="2">
        <v>66</v>
      </c>
      <c r="WQ49" s="1">
        <v>81</v>
      </c>
      <c r="WR49" s="10"/>
      <c r="XE49">
        <v>46193</v>
      </c>
      <c r="XF49" s="1">
        <v>7416</v>
      </c>
      <c r="XG49" s="2">
        <v>-40</v>
      </c>
      <c r="XH49" s="1">
        <v>18</v>
      </c>
      <c r="XK49">
        <v>125</v>
      </c>
      <c r="XL49" s="1">
        <v>53</v>
      </c>
    </row>
    <row r="50" spans="7:636" x14ac:dyDescent="0.25">
      <c r="G50" s="2">
        <v>-2774</v>
      </c>
      <c r="I50" s="2">
        <v>125</v>
      </c>
      <c r="K50" s="2">
        <v>1961</v>
      </c>
      <c r="L50" s="1">
        <v>16</v>
      </c>
      <c r="M50">
        <v>50</v>
      </c>
      <c r="N50" s="1">
        <v>5</v>
      </c>
      <c r="O50" s="26"/>
      <c r="R50">
        <v>4</v>
      </c>
      <c r="S50" s="12">
        <v>1397</v>
      </c>
      <c r="T50">
        <v>-4763</v>
      </c>
      <c r="U50" s="1">
        <v>1983</v>
      </c>
      <c r="V50">
        <v>2</v>
      </c>
      <c r="W50" s="10">
        <v>54</v>
      </c>
      <c r="AB50">
        <v>-32</v>
      </c>
      <c r="AC50" s="1">
        <v>130</v>
      </c>
      <c r="AD50">
        <v>-193</v>
      </c>
      <c r="AE50" s="1">
        <v>9</v>
      </c>
      <c r="AF50">
        <v>-1217</v>
      </c>
      <c r="AG50" s="1">
        <v>287</v>
      </c>
      <c r="AJ50" s="2">
        <v>74</v>
      </c>
      <c r="AK50" s="10">
        <v>173</v>
      </c>
      <c r="AY50">
        <v>-26271</v>
      </c>
      <c r="AZ50" s="1">
        <v>6539</v>
      </c>
      <c r="BA50">
        <v>536</v>
      </c>
      <c r="BB50" s="1">
        <v>110</v>
      </c>
      <c r="BD50" s="8">
        <v>-930</v>
      </c>
      <c r="BE50" s="1">
        <v>209</v>
      </c>
      <c r="BF50">
        <v>489</v>
      </c>
      <c r="BG50" s="1">
        <v>309</v>
      </c>
      <c r="BJ50">
        <v>-51</v>
      </c>
      <c r="BL50">
        <v>-72</v>
      </c>
      <c r="BM50" s="1">
        <v>5</v>
      </c>
      <c r="BN50">
        <f>-50-78</f>
        <v>-128</v>
      </c>
      <c r="BP50">
        <v>-264</v>
      </c>
      <c r="BQ50" s="10">
        <v>568</v>
      </c>
      <c r="BR50">
        <v>-531</v>
      </c>
      <c r="BS50" s="1">
        <v>197</v>
      </c>
      <c r="BT50">
        <v>-324</v>
      </c>
      <c r="BU50" s="1">
        <v>209</v>
      </c>
      <c r="BV50">
        <v>61</v>
      </c>
      <c r="BW50" s="1">
        <v>4</v>
      </c>
      <c r="CE50" s="8">
        <v>92</v>
      </c>
      <c r="CF50" s="28">
        <v>11</v>
      </c>
      <c r="CG50" s="8">
        <v>73</v>
      </c>
      <c r="CI50" s="8">
        <v>369</v>
      </c>
      <c r="CJ50" s="12">
        <v>49</v>
      </c>
      <c r="CK50" s="8">
        <v>71</v>
      </c>
      <c r="CL50" s="28">
        <v>42</v>
      </c>
      <c r="CM50" s="6">
        <v>-372</v>
      </c>
      <c r="CN50" s="28">
        <v>160</v>
      </c>
      <c r="CO50" s="6">
        <v>-326</v>
      </c>
      <c r="CP50" s="28"/>
      <c r="CQ50" s="6">
        <v>680</v>
      </c>
      <c r="CR50" s="28"/>
      <c r="CS50" s="6">
        <f>364</f>
        <v>364</v>
      </c>
      <c r="CT50" s="28">
        <v>474</v>
      </c>
      <c r="CU50" s="28"/>
      <c r="CV50" s="28"/>
      <c r="CW50" s="28"/>
      <c r="CX50" s="28"/>
      <c r="CZ50" s="23">
        <v>27</v>
      </c>
      <c r="DA50" s="25">
        <v>11</v>
      </c>
      <c r="DB50" s="23">
        <v>6</v>
      </c>
      <c r="DC50" s="25">
        <v>6</v>
      </c>
      <c r="DE50" s="25"/>
      <c r="DF50" s="86">
        <v>112</v>
      </c>
      <c r="DG50" s="25">
        <v>230</v>
      </c>
      <c r="DH50" s="23">
        <v>-26</v>
      </c>
      <c r="DI50" s="25">
        <v>113</v>
      </c>
      <c r="DJ50" s="23">
        <v>-481</v>
      </c>
      <c r="DK50" s="28">
        <v>140</v>
      </c>
      <c r="DL50" s="8">
        <v>203</v>
      </c>
      <c r="DQ50" s="8">
        <v>125</v>
      </c>
      <c r="DR50" s="52">
        <v>61</v>
      </c>
      <c r="DS50" s="6">
        <v>92</v>
      </c>
      <c r="DT50" s="52">
        <v>219</v>
      </c>
      <c r="DU50" s="8">
        <v>152</v>
      </c>
      <c r="DV50" s="28">
        <v>857</v>
      </c>
      <c r="DW50" s="8">
        <v>-54</v>
      </c>
      <c r="DX50" s="28">
        <v>293</v>
      </c>
      <c r="DY50" s="6">
        <v>351</v>
      </c>
      <c r="DZ50" s="52">
        <v>14</v>
      </c>
      <c r="EA50" s="23">
        <v>1</v>
      </c>
      <c r="EB50" s="52">
        <v>150</v>
      </c>
      <c r="EC50" s="6">
        <v>19</v>
      </c>
      <c r="ED50" s="28">
        <v>17</v>
      </c>
      <c r="EE50" s="8">
        <v>-76</v>
      </c>
      <c r="EF50" s="52">
        <v>25</v>
      </c>
      <c r="EG50" s="8">
        <v>494</v>
      </c>
      <c r="EH50" s="28">
        <v>868</v>
      </c>
      <c r="EI50" s="8">
        <v>-16</v>
      </c>
      <c r="EJ50" s="52">
        <v>341</v>
      </c>
      <c r="EL50" s="8">
        <v>-621</v>
      </c>
      <c r="EM50" s="28">
        <v>170</v>
      </c>
      <c r="EN50" s="8">
        <v>122</v>
      </c>
      <c r="EO50" s="28">
        <v>9</v>
      </c>
      <c r="EQ50" s="28"/>
      <c r="EX50" s="8">
        <v>257</v>
      </c>
      <c r="EY50" s="28">
        <v>119</v>
      </c>
      <c r="FD50" s="6">
        <v>695</v>
      </c>
      <c r="FE50" s="28">
        <v>638</v>
      </c>
      <c r="FH50" s="8">
        <v>116</v>
      </c>
      <c r="FI50" s="28">
        <v>8</v>
      </c>
      <c r="FM50" s="8">
        <v>-134</v>
      </c>
      <c r="FN50" s="52">
        <v>94</v>
      </c>
      <c r="FO50" s="8">
        <v>319</v>
      </c>
      <c r="FP50" s="28">
        <v>293</v>
      </c>
      <c r="FQ50" s="8">
        <v>15</v>
      </c>
      <c r="FR50" s="28">
        <v>2</v>
      </c>
      <c r="FS50" s="8">
        <v>-329</v>
      </c>
      <c r="FT50" s="52">
        <v>130</v>
      </c>
      <c r="FV50" s="8">
        <v>481</v>
      </c>
      <c r="FW50" s="28">
        <v>102</v>
      </c>
      <c r="GC50" s="8">
        <v>167</v>
      </c>
      <c r="GE50" s="8">
        <v>802</v>
      </c>
      <c r="GF50" s="28">
        <v>120</v>
      </c>
      <c r="GI50" s="8">
        <v>-17</v>
      </c>
      <c r="GJ50" s="28">
        <v>59</v>
      </c>
      <c r="GK50" s="8">
        <v>559</v>
      </c>
      <c r="GL50" s="28">
        <v>155</v>
      </c>
      <c r="GO50" s="28"/>
      <c r="GP50" s="8">
        <v>-260</v>
      </c>
      <c r="GQ50" s="52">
        <v>223</v>
      </c>
      <c r="GR50" s="8">
        <v>4</v>
      </c>
      <c r="GS50" s="28">
        <v>122</v>
      </c>
      <c r="GT50" s="6">
        <v>-29</v>
      </c>
      <c r="GU50" s="52">
        <v>117</v>
      </c>
      <c r="GV50" s="6">
        <v>-14</v>
      </c>
      <c r="GW50" s="28">
        <v>8</v>
      </c>
      <c r="GZ50" s="8">
        <v>502</v>
      </c>
      <c r="HA50" s="28">
        <v>19</v>
      </c>
      <c r="HB50" s="6">
        <v>45</v>
      </c>
      <c r="HC50" s="28"/>
      <c r="HE50" s="8">
        <v>-40</v>
      </c>
      <c r="HF50" s="28">
        <v>67</v>
      </c>
      <c r="HG50" s="8">
        <v>-46</v>
      </c>
      <c r="HO50" s="8">
        <v>-824</v>
      </c>
      <c r="HP50" s="28">
        <v>124</v>
      </c>
      <c r="HQ50" s="6">
        <v>-4</v>
      </c>
      <c r="HR50" s="28">
        <v>2</v>
      </c>
      <c r="HS50" s="8">
        <v>-12</v>
      </c>
      <c r="HT50" s="52">
        <v>231</v>
      </c>
      <c r="HX50" s="8">
        <v>12</v>
      </c>
      <c r="HY50" s="28">
        <v>7</v>
      </c>
      <c r="HZ50" s="8">
        <v>5</v>
      </c>
      <c r="IB50" s="8">
        <v>-158</v>
      </c>
      <c r="IC50" s="28">
        <v>108</v>
      </c>
      <c r="ID50" s="8">
        <v>-30</v>
      </c>
      <c r="IE50" s="28">
        <v>458</v>
      </c>
      <c r="IH50" s="8">
        <v>-542</v>
      </c>
      <c r="II50" s="28">
        <v>192</v>
      </c>
      <c r="IO50">
        <v>356</v>
      </c>
      <c r="IP50" s="10">
        <v>500</v>
      </c>
      <c r="IU50" s="8">
        <v>634</v>
      </c>
      <c r="IV50" s="28">
        <v>207</v>
      </c>
      <c r="IW50" s="8">
        <v>-176</v>
      </c>
      <c r="IY50" s="8">
        <v>632</v>
      </c>
      <c r="JA50" s="8">
        <v>697</v>
      </c>
      <c r="JB50" s="12">
        <v>120</v>
      </c>
      <c r="JH50" s="8">
        <v>679</v>
      </c>
      <c r="JI50" s="28">
        <v>63</v>
      </c>
      <c r="JJ50" s="8">
        <v>103</v>
      </c>
      <c r="JK50" s="28">
        <v>1</v>
      </c>
      <c r="JL50" s="8">
        <v>634</v>
      </c>
      <c r="JM50" s="12">
        <v>88</v>
      </c>
      <c r="JN50" s="8">
        <v>128</v>
      </c>
      <c r="JO50" s="28">
        <v>915</v>
      </c>
      <c r="JP50" s="6">
        <v>53</v>
      </c>
      <c r="JQ50" s="12">
        <v>131</v>
      </c>
      <c r="JT50" s="6">
        <v>-363</v>
      </c>
      <c r="JU50" s="12">
        <v>104</v>
      </c>
      <c r="JW50" s="8">
        <v>-820</v>
      </c>
      <c r="JX50" s="12">
        <v>261</v>
      </c>
      <c r="KA50" s="8">
        <v>283</v>
      </c>
      <c r="KB50" s="28">
        <v>20</v>
      </c>
      <c r="KE50" s="6">
        <v>-49</v>
      </c>
      <c r="KF50" s="12">
        <v>56</v>
      </c>
      <c r="KQ50" s="8">
        <v>18</v>
      </c>
      <c r="KR50" s="28">
        <v>10</v>
      </c>
      <c r="KT50" s="8">
        <v>-3</v>
      </c>
      <c r="KU50" s="28">
        <v>11</v>
      </c>
      <c r="KZ50" s="8">
        <v>-20</v>
      </c>
      <c r="LA50" s="12">
        <v>202</v>
      </c>
      <c r="LD50" s="8">
        <v>123</v>
      </c>
      <c r="LE50" s="28">
        <v>668</v>
      </c>
      <c r="LF50" s="8">
        <v>3</v>
      </c>
      <c r="LG50" s="28">
        <v>6</v>
      </c>
      <c r="LH50" s="8">
        <v>320</v>
      </c>
      <c r="LJ50" s="8">
        <v>-912</v>
      </c>
      <c r="LK50" s="28">
        <v>253</v>
      </c>
      <c r="LL50" s="8">
        <v>25</v>
      </c>
      <c r="LM50" s="28">
        <v>17</v>
      </c>
      <c r="LN50" s="8">
        <v>49</v>
      </c>
      <c r="LO50" s="28">
        <v>47</v>
      </c>
      <c r="LS50" s="8">
        <v>97</v>
      </c>
      <c r="LU50" s="8">
        <v>203</v>
      </c>
      <c r="LV50" s="12">
        <v>265</v>
      </c>
      <c r="LW50" s="8">
        <v>196</v>
      </c>
      <c r="LX50" s="28">
        <v>84</v>
      </c>
      <c r="LZ50" s="8">
        <v>810</v>
      </c>
      <c r="MF50" s="8">
        <v>429</v>
      </c>
      <c r="MG50" s="12">
        <v>212</v>
      </c>
      <c r="MS50" s="8">
        <v>-134</v>
      </c>
      <c r="MT50" s="12">
        <v>282</v>
      </c>
      <c r="MU50" s="8">
        <v>-31</v>
      </c>
      <c r="MV50" s="28">
        <v>47</v>
      </c>
      <c r="NC50" s="8">
        <v>271</v>
      </c>
      <c r="ND50" s="12">
        <v>72</v>
      </c>
      <c r="NE50" s="8">
        <v>132</v>
      </c>
      <c r="NF50" s="28">
        <v>216</v>
      </c>
      <c r="NG50" s="8">
        <v>-80</v>
      </c>
      <c r="NH50" s="28">
        <v>34</v>
      </c>
      <c r="NI50" s="8">
        <v>114</v>
      </c>
      <c r="NJ50" s="28">
        <v>310</v>
      </c>
      <c r="NL50" s="8">
        <v>-162</v>
      </c>
      <c r="NM50" s="28">
        <v>73</v>
      </c>
      <c r="NP50" s="8">
        <v>548</v>
      </c>
      <c r="NQ50" s="12">
        <v>620</v>
      </c>
      <c r="NU50" s="8">
        <v>-960</v>
      </c>
      <c r="NV50" s="12">
        <v>252</v>
      </c>
      <c r="NW50" s="8">
        <v>117</v>
      </c>
      <c r="NX50" s="28">
        <v>79</v>
      </c>
      <c r="NY50" s="8">
        <v>180</v>
      </c>
      <c r="NZ50" s="12">
        <v>123</v>
      </c>
      <c r="OC50" s="8">
        <v>-403</v>
      </c>
      <c r="OD50" s="12">
        <v>367</v>
      </c>
      <c r="OO50" s="8">
        <v>-38</v>
      </c>
      <c r="OP50" s="28">
        <v>61</v>
      </c>
      <c r="OV50" s="8">
        <v>383</v>
      </c>
      <c r="PC50" s="8">
        <v>623</v>
      </c>
      <c r="PD50" s="28">
        <v>360</v>
      </c>
      <c r="PE50" s="8">
        <v>-84</v>
      </c>
      <c r="PF50" s="12">
        <v>22</v>
      </c>
      <c r="PJ50" s="8">
        <v>77</v>
      </c>
      <c r="PK50" s="12">
        <v>702</v>
      </c>
      <c r="PP50" s="8">
        <v>883</v>
      </c>
      <c r="PQ50" s="28">
        <v>19</v>
      </c>
      <c r="PR50" s="28"/>
      <c r="PS50" s="8">
        <v>-20</v>
      </c>
      <c r="PT50" s="12">
        <v>84</v>
      </c>
      <c r="PW50" s="8">
        <v>-254</v>
      </c>
      <c r="PX50" s="28">
        <v>207</v>
      </c>
      <c r="QE50" s="8">
        <v>-217</v>
      </c>
      <c r="QF50" s="12">
        <v>153</v>
      </c>
      <c r="QH50" s="8">
        <v>57</v>
      </c>
      <c r="QI50" s="12">
        <v>104</v>
      </c>
      <c r="QQ50" s="8">
        <v>-4</v>
      </c>
      <c r="QR50" s="12">
        <v>73</v>
      </c>
      <c r="QT50" s="8">
        <v>412</v>
      </c>
      <c r="QU50" s="12">
        <v>324</v>
      </c>
      <c r="QV50" s="6">
        <v>-129</v>
      </c>
      <c r="QW50" s="12">
        <v>840</v>
      </c>
      <c r="QY50" s="8">
        <v>142</v>
      </c>
      <c r="QZ50" s="12">
        <v>293</v>
      </c>
      <c r="RC50" s="6">
        <v>-69</v>
      </c>
      <c r="RD50" s="12">
        <v>2</v>
      </c>
      <c r="RE50" s="6">
        <v>-706</v>
      </c>
      <c r="RF50" s="12">
        <v>334</v>
      </c>
      <c r="RG50" s="8">
        <v>286</v>
      </c>
      <c r="RH50" s="28">
        <v>112</v>
      </c>
      <c r="RJ50" s="8">
        <v>98</v>
      </c>
      <c r="RL50" s="8">
        <v>-139</v>
      </c>
      <c r="RM50" s="12">
        <v>177</v>
      </c>
      <c r="RS50" s="6">
        <v>-163</v>
      </c>
      <c r="RT50" s="50">
        <v>288</v>
      </c>
      <c r="SF50" s="8">
        <v>358</v>
      </c>
      <c r="SP50" s="8">
        <v>-582</v>
      </c>
      <c r="SQ50" s="12">
        <v>94</v>
      </c>
      <c r="SY50" s="6">
        <v>982</v>
      </c>
      <c r="TA50" s="6"/>
      <c r="TB50" s="6"/>
      <c r="TH50" s="8">
        <v>117</v>
      </c>
      <c r="TI50" s="28">
        <v>36</v>
      </c>
      <c r="TX50" s="8">
        <v>135</v>
      </c>
      <c r="TY50" s="28">
        <v>763</v>
      </c>
      <c r="TZ50" s="8">
        <v>139</v>
      </c>
      <c r="UA50" s="12">
        <v>402</v>
      </c>
      <c r="UG50" s="8">
        <v>126</v>
      </c>
      <c r="UH50" s="12">
        <v>77</v>
      </c>
      <c r="UI50" s="8">
        <v>210</v>
      </c>
      <c r="UJ50" s="12">
        <v>49</v>
      </c>
      <c r="UN50" s="8">
        <v>-191</v>
      </c>
      <c r="UO50" s="12">
        <v>234</v>
      </c>
      <c r="US50" s="8">
        <v>124</v>
      </c>
      <c r="UT50" s="12">
        <v>310</v>
      </c>
      <c r="UZ50" s="8">
        <v>163</v>
      </c>
      <c r="VA50" s="12">
        <v>126</v>
      </c>
      <c r="VB50" s="8">
        <v>60</v>
      </c>
      <c r="VC50" s="12">
        <v>138</v>
      </c>
      <c r="VD50" s="8">
        <v>935</v>
      </c>
      <c r="VF50" s="8">
        <v>431</v>
      </c>
      <c r="VG50" s="12">
        <v>323</v>
      </c>
      <c r="VH50" s="8">
        <v>626</v>
      </c>
      <c r="VI50" s="28">
        <v>170</v>
      </c>
      <c r="VL50" s="21"/>
      <c r="VM50" s="8">
        <v>4359</v>
      </c>
      <c r="VN50" s="12">
        <v>418</v>
      </c>
      <c r="VO50" s="12"/>
      <c r="VP50" s="12"/>
      <c r="VQ50" s="6">
        <v>-8</v>
      </c>
      <c r="VR50" s="28">
        <v>47</v>
      </c>
      <c r="VS50" s="12"/>
      <c r="VT50" s="12"/>
      <c r="VX50" s="8">
        <v>47</v>
      </c>
      <c r="VY50" s="12">
        <v>215</v>
      </c>
      <c r="VZ50" s="8">
        <v>270</v>
      </c>
      <c r="WA50" s="28">
        <v>187</v>
      </c>
      <c r="WB50" s="8">
        <v>9556</v>
      </c>
      <c r="WC50" s="12">
        <v>269</v>
      </c>
      <c r="WI50" s="8">
        <v>6766</v>
      </c>
      <c r="WJ50" s="28">
        <v>1308</v>
      </c>
      <c r="WP50" s="2">
        <v>156</v>
      </c>
      <c r="WQ50" s="1">
        <v>73</v>
      </c>
      <c r="WR50" s="10"/>
      <c r="XE50">
        <v>44865</v>
      </c>
      <c r="XF50" s="1">
        <v>6790</v>
      </c>
      <c r="XG50" s="2">
        <v>507</v>
      </c>
      <c r="XH50" s="1">
        <v>261</v>
      </c>
      <c r="XK50">
        <v>88</v>
      </c>
      <c r="XL50" s="1">
        <v>38</v>
      </c>
    </row>
    <row r="51" spans="7:636" x14ac:dyDescent="0.25">
      <c r="G51" s="2">
        <v>-5453</v>
      </c>
      <c r="I51" s="2">
        <v>1</v>
      </c>
      <c r="K51" s="2">
        <v>4200</v>
      </c>
      <c r="L51" s="1">
        <v>16</v>
      </c>
      <c r="M51">
        <v>36</v>
      </c>
      <c r="N51" s="1">
        <v>6</v>
      </c>
      <c r="O51" s="26"/>
      <c r="R51">
        <v>175</v>
      </c>
      <c r="S51" s="12">
        <v>415</v>
      </c>
      <c r="T51">
        <v>-4054</v>
      </c>
      <c r="U51" s="1">
        <v>1953</v>
      </c>
      <c r="V51">
        <v>-1</v>
      </c>
      <c r="W51" s="10">
        <v>205</v>
      </c>
      <c r="AB51">
        <v>-32</v>
      </c>
      <c r="AC51" s="1">
        <v>107</v>
      </c>
      <c r="AD51">
        <v>17</v>
      </c>
      <c r="AE51" s="1">
        <v>3</v>
      </c>
      <c r="AF51">
        <v>-1154</v>
      </c>
      <c r="AG51" s="1">
        <v>303</v>
      </c>
      <c r="AJ51" s="2">
        <v>9</v>
      </c>
      <c r="AK51" s="10">
        <v>63</v>
      </c>
      <c r="AY51">
        <v>-26</v>
      </c>
      <c r="AZ51" s="1">
        <v>4</v>
      </c>
      <c r="BA51">
        <v>229</v>
      </c>
      <c r="BB51" s="1">
        <v>253</v>
      </c>
      <c r="BD51" s="8">
        <v>428</v>
      </c>
      <c r="BE51" s="1">
        <v>356</v>
      </c>
      <c r="BF51">
        <v>746</v>
      </c>
      <c r="BG51" s="1">
        <v>526</v>
      </c>
      <c r="BJ51">
        <v>-19</v>
      </c>
      <c r="BL51">
        <v>66</v>
      </c>
      <c r="BM51" s="1">
        <v>2</v>
      </c>
      <c r="BN51">
        <v>-32</v>
      </c>
      <c r="BP51">
        <v>-491</v>
      </c>
      <c r="BQ51" s="10">
        <v>1144</v>
      </c>
      <c r="BR51">
        <v>-514</v>
      </c>
      <c r="BS51" s="1">
        <v>272</v>
      </c>
      <c r="BT51">
        <v>27</v>
      </c>
      <c r="BU51" s="1">
        <v>8</v>
      </c>
      <c r="BV51">
        <v>60</v>
      </c>
      <c r="BW51" s="1">
        <v>4</v>
      </c>
      <c r="CE51" s="8">
        <v>220</v>
      </c>
      <c r="CF51" s="28">
        <v>14</v>
      </c>
      <c r="CG51" s="8">
        <v>1660</v>
      </c>
      <c r="CI51" s="8">
        <v>414</v>
      </c>
      <c r="CJ51" s="12">
        <v>59</v>
      </c>
      <c r="CK51" s="8">
        <v>67</v>
      </c>
      <c r="CL51" s="28">
        <v>41</v>
      </c>
      <c r="CM51" s="6">
        <v>205</v>
      </c>
      <c r="CN51" s="28">
        <v>105</v>
      </c>
      <c r="CO51" s="6">
        <v>-284</v>
      </c>
      <c r="CP51" s="28"/>
      <c r="CQ51" s="6">
        <v>690</v>
      </c>
      <c r="CR51" s="28"/>
      <c r="CS51" s="6">
        <v>133</v>
      </c>
      <c r="CT51" s="28">
        <v>271</v>
      </c>
      <c r="CU51" s="28"/>
      <c r="CV51" s="28"/>
      <c r="CW51" s="28"/>
      <c r="CX51" s="28"/>
      <c r="CZ51" s="23">
        <v>23</v>
      </c>
      <c r="DA51" s="25">
        <v>8</v>
      </c>
      <c r="DB51" s="23">
        <v>-8</v>
      </c>
      <c r="DC51" s="25">
        <v>4</v>
      </c>
      <c r="DE51" s="25"/>
      <c r="DF51" s="86">
        <v>120</v>
      </c>
      <c r="DG51" s="25">
        <v>488</v>
      </c>
      <c r="DH51" s="23">
        <v>197</v>
      </c>
      <c r="DI51" s="25">
        <v>110</v>
      </c>
      <c r="DJ51" s="23">
        <v>-218</v>
      </c>
      <c r="DK51" s="28">
        <v>139</v>
      </c>
      <c r="DL51" s="8">
        <v>106</v>
      </c>
      <c r="DQ51" s="8">
        <f>629</f>
        <v>629</v>
      </c>
      <c r="DR51" s="52">
        <v>226</v>
      </c>
      <c r="DS51" s="6">
        <v>193</v>
      </c>
      <c r="DT51" s="52">
        <v>128</v>
      </c>
      <c r="DU51" s="8">
        <v>133</v>
      </c>
      <c r="DV51" s="28">
        <v>142</v>
      </c>
      <c r="DW51" s="8">
        <v>-227</v>
      </c>
      <c r="DX51" s="28">
        <v>238</v>
      </c>
      <c r="DY51" s="6">
        <v>276</v>
      </c>
      <c r="DZ51" s="52">
        <v>16</v>
      </c>
      <c r="EA51" s="23">
        <v>626</v>
      </c>
      <c r="EB51" s="52">
        <v>484</v>
      </c>
      <c r="EC51" s="6">
        <v>1</v>
      </c>
      <c r="ED51" s="28">
        <v>4</v>
      </c>
      <c r="EE51" s="8">
        <v>-9</v>
      </c>
      <c r="EF51" s="52">
        <v>9</v>
      </c>
      <c r="EG51" s="8">
        <v>830</v>
      </c>
      <c r="EH51" s="28">
        <v>407</v>
      </c>
      <c r="EI51" s="8">
        <v>14</v>
      </c>
      <c r="EJ51" s="52">
        <v>649</v>
      </c>
      <c r="EL51" s="8">
        <v>103</v>
      </c>
      <c r="EM51" s="28">
        <v>436</v>
      </c>
      <c r="EN51" s="8">
        <v>-137</v>
      </c>
      <c r="EO51" s="28">
        <v>7</v>
      </c>
      <c r="EQ51" s="28"/>
      <c r="EX51" s="8">
        <v>-27</v>
      </c>
      <c r="EY51" s="28">
        <v>1</v>
      </c>
      <c r="FD51" s="6">
        <v>-259</v>
      </c>
      <c r="FE51" s="28">
        <v>941</v>
      </c>
      <c r="FH51" s="8">
        <v>225</v>
      </c>
      <c r="FI51" s="28">
        <v>32</v>
      </c>
      <c r="FM51" s="8">
        <v>359</v>
      </c>
      <c r="FN51" s="52">
        <v>312</v>
      </c>
      <c r="FO51" s="8">
        <v>-122</v>
      </c>
      <c r="FP51" s="28">
        <v>510</v>
      </c>
      <c r="FQ51" s="8">
        <v>-3</v>
      </c>
      <c r="FR51" s="28">
        <v>4</v>
      </c>
      <c r="FS51" s="8">
        <v>-334</v>
      </c>
      <c r="FT51" s="52">
        <v>125</v>
      </c>
      <c r="FV51" s="8">
        <v>-642</v>
      </c>
      <c r="FW51" s="28">
        <v>57</v>
      </c>
      <c r="GC51" s="8">
        <v>412</v>
      </c>
      <c r="GE51" s="8">
        <v>-314</v>
      </c>
      <c r="GF51" s="28">
        <v>106</v>
      </c>
      <c r="GI51" s="8">
        <v>168</v>
      </c>
      <c r="GJ51" s="28">
        <v>73</v>
      </c>
      <c r="GK51" s="8">
        <v>201</v>
      </c>
      <c r="GL51" s="28">
        <v>149</v>
      </c>
      <c r="GO51" s="28"/>
      <c r="GP51" s="8">
        <v>752</v>
      </c>
      <c r="GQ51" s="52">
        <v>343</v>
      </c>
      <c r="GR51" s="8">
        <v>-909</v>
      </c>
      <c r="GS51" s="28">
        <v>332</v>
      </c>
      <c r="GT51" s="6">
        <v>-134</v>
      </c>
      <c r="GU51" s="52">
        <v>337</v>
      </c>
      <c r="GV51" s="6">
        <v>2</v>
      </c>
      <c r="GW51" s="28">
        <v>4</v>
      </c>
      <c r="GZ51" s="8">
        <v>327</v>
      </c>
      <c r="HA51" s="28">
        <v>9</v>
      </c>
      <c r="HB51" s="6">
        <v>-38</v>
      </c>
      <c r="HC51" s="28"/>
      <c r="HE51" s="8">
        <v>-181</v>
      </c>
      <c r="HF51" s="28">
        <v>172</v>
      </c>
      <c r="HG51" s="8">
        <v>-208</v>
      </c>
      <c r="HO51" s="8">
        <v>-246</v>
      </c>
      <c r="HP51" s="28">
        <v>711</v>
      </c>
      <c r="HQ51" s="6">
        <v>-3</v>
      </c>
      <c r="HR51" s="28">
        <v>3</v>
      </c>
      <c r="HS51" s="8">
        <v>6</v>
      </c>
      <c r="HT51" s="52">
        <v>79</v>
      </c>
      <c r="HX51" s="8">
        <v>-58</v>
      </c>
      <c r="HY51" s="28">
        <v>149</v>
      </c>
      <c r="HZ51" s="8">
        <v>-3</v>
      </c>
      <c r="IB51" s="8">
        <v>102</v>
      </c>
      <c r="IC51" s="28">
        <v>190</v>
      </c>
      <c r="ID51" s="8">
        <v>126</v>
      </c>
      <c r="IE51" s="28">
        <v>8</v>
      </c>
      <c r="IH51" s="8">
        <v>819</v>
      </c>
      <c r="II51" s="28">
        <v>210</v>
      </c>
      <c r="IO51">
        <v>-394</v>
      </c>
      <c r="IP51" s="10">
        <v>112</v>
      </c>
      <c r="IU51" s="8">
        <v>-88</v>
      </c>
      <c r="IV51" s="28">
        <v>107</v>
      </c>
      <c r="IW51" s="8">
        <v>-200</v>
      </c>
      <c r="IY51" s="8">
        <v>-222</v>
      </c>
      <c r="JA51" s="8">
        <v>441</v>
      </c>
      <c r="JB51" s="12">
        <v>127</v>
      </c>
      <c r="JH51" s="8">
        <v>-2</v>
      </c>
      <c r="JI51" s="28">
        <v>1</v>
      </c>
      <c r="JJ51" s="8">
        <v>100</v>
      </c>
      <c r="JK51" s="28">
        <v>3</v>
      </c>
      <c r="JL51" s="8">
        <v>-405</v>
      </c>
      <c r="JM51" s="12">
        <v>116</v>
      </c>
      <c r="JN51" s="8">
        <v>-6</v>
      </c>
      <c r="JO51" s="28">
        <v>7</v>
      </c>
      <c r="JP51" s="6">
        <v>47</v>
      </c>
      <c r="JQ51" s="12">
        <v>118</v>
      </c>
      <c r="JT51" s="6">
        <v>108</v>
      </c>
      <c r="JU51" s="12">
        <v>276</v>
      </c>
      <c r="JW51" s="8">
        <v>-619</v>
      </c>
      <c r="JX51" s="12">
        <v>197</v>
      </c>
      <c r="KA51" s="8">
        <v>104</v>
      </c>
      <c r="KB51" s="28">
        <v>32</v>
      </c>
      <c r="KE51" s="6">
        <v>-164</v>
      </c>
      <c r="KF51" s="12">
        <v>226</v>
      </c>
      <c r="KQ51" s="8">
        <v>588</v>
      </c>
      <c r="KR51" s="28">
        <v>53</v>
      </c>
      <c r="KT51" s="8">
        <v>25</v>
      </c>
      <c r="KU51" s="28">
        <v>12</v>
      </c>
      <c r="KZ51" s="8">
        <v>-37</v>
      </c>
      <c r="LA51" s="12">
        <v>118</v>
      </c>
      <c r="LD51" s="8">
        <v>-876</v>
      </c>
      <c r="LE51" s="28">
        <v>738</v>
      </c>
      <c r="LF51" s="8">
        <v>35</v>
      </c>
      <c r="LG51" s="28">
        <v>6</v>
      </c>
      <c r="LH51" s="8">
        <v>369</v>
      </c>
      <c r="LJ51" s="8">
        <v>300</v>
      </c>
      <c r="LK51" s="28">
        <v>488</v>
      </c>
      <c r="LL51" s="8">
        <v>113</v>
      </c>
      <c r="LM51" s="28">
        <v>11</v>
      </c>
      <c r="LN51" s="8">
        <v>54</v>
      </c>
      <c r="LO51" s="28">
        <v>65</v>
      </c>
      <c r="LS51" s="8">
        <v>93</v>
      </c>
      <c r="LU51" s="8">
        <v>-53</v>
      </c>
      <c r="LV51" s="12">
        <v>65</v>
      </c>
      <c r="LW51" s="8">
        <v>-53</v>
      </c>
      <c r="LX51" s="28">
        <v>77</v>
      </c>
      <c r="LZ51" s="8">
        <v>562</v>
      </c>
      <c r="MF51" s="8">
        <v>111</v>
      </c>
      <c r="MG51" s="12">
        <v>289</v>
      </c>
      <c r="MS51" s="8">
        <v>-212</v>
      </c>
      <c r="MT51" s="12">
        <v>415</v>
      </c>
      <c r="MU51" s="8">
        <v>3</v>
      </c>
      <c r="MV51" s="28">
        <v>5</v>
      </c>
      <c r="NC51" s="8">
        <v>165</v>
      </c>
      <c r="ND51" s="12">
        <v>131</v>
      </c>
      <c r="NE51" s="8">
        <v>-545</v>
      </c>
      <c r="NF51" s="28">
        <v>197</v>
      </c>
      <c r="NG51" s="8">
        <v>-88</v>
      </c>
      <c r="NH51" s="28">
        <v>31</v>
      </c>
      <c r="NI51" s="8">
        <v>81</v>
      </c>
      <c r="NJ51" s="28">
        <v>53</v>
      </c>
      <c r="NL51" s="8">
        <v>-404</v>
      </c>
      <c r="NM51" s="28">
        <v>84</v>
      </c>
      <c r="NP51" s="8">
        <v>641</v>
      </c>
      <c r="NQ51" s="12">
        <v>691</v>
      </c>
      <c r="NU51" s="8">
        <v>-212</v>
      </c>
      <c r="NV51" s="12">
        <v>14</v>
      </c>
      <c r="NW51" s="8">
        <v>130</v>
      </c>
      <c r="NX51" s="28">
        <v>94</v>
      </c>
      <c r="NY51" s="8">
        <v>113</v>
      </c>
      <c r="NZ51" s="12">
        <v>665</v>
      </c>
      <c r="OC51" s="8">
        <v>-128</v>
      </c>
      <c r="OD51" s="12">
        <v>126</v>
      </c>
      <c r="OO51" s="8">
        <v>6</v>
      </c>
      <c r="OP51" s="28">
        <v>85</v>
      </c>
      <c r="OV51" s="8">
        <v>438</v>
      </c>
      <c r="PC51" s="8">
        <v>-265</v>
      </c>
      <c r="PD51" s="28">
        <v>175</v>
      </c>
      <c r="PE51" s="8">
        <v>590</v>
      </c>
      <c r="PF51" s="12">
        <v>69</v>
      </c>
      <c r="PJ51" s="8">
        <v>8</v>
      </c>
      <c r="PK51" s="12">
        <v>347</v>
      </c>
      <c r="PP51" s="8">
        <v>909</v>
      </c>
      <c r="PQ51" s="28">
        <v>18</v>
      </c>
      <c r="PR51" s="28"/>
      <c r="PS51" s="8">
        <v>-2</v>
      </c>
      <c r="PT51" s="12">
        <v>7</v>
      </c>
      <c r="PW51" s="8">
        <v>23</v>
      </c>
      <c r="PX51" s="28">
        <v>129</v>
      </c>
      <c r="QE51" s="8">
        <v>456</v>
      </c>
      <c r="QF51" s="12">
        <v>331</v>
      </c>
      <c r="QH51" s="8">
        <v>-151</v>
      </c>
      <c r="QI51" s="12">
        <v>250</v>
      </c>
      <c r="QQ51" s="8">
        <v>-38</v>
      </c>
      <c r="QR51" s="12">
        <v>439</v>
      </c>
      <c r="QT51" s="8">
        <v>176</v>
      </c>
      <c r="QU51" s="12">
        <v>630</v>
      </c>
      <c r="QV51" s="6">
        <v>-220</v>
      </c>
      <c r="QW51" s="12">
        <v>985</v>
      </c>
      <c r="QY51" s="8">
        <v>139</v>
      </c>
      <c r="QZ51" s="12">
        <v>310</v>
      </c>
      <c r="RC51" s="6">
        <v>-1</v>
      </c>
      <c r="RD51" s="12">
        <v>13</v>
      </c>
      <c r="RE51" s="6">
        <v>-463</v>
      </c>
      <c r="RF51" s="12">
        <v>960</v>
      </c>
      <c r="RG51" s="8">
        <v>131</v>
      </c>
      <c r="RH51" s="28">
        <v>159</v>
      </c>
      <c r="RJ51" s="8">
        <v>-3</v>
      </c>
      <c r="RL51" s="8">
        <v>9</v>
      </c>
      <c r="RM51" s="12">
        <v>595</v>
      </c>
      <c r="RS51" s="6">
        <v>-338</v>
      </c>
      <c r="RT51" s="50">
        <v>992</v>
      </c>
      <c r="SF51" s="8">
        <v>203</v>
      </c>
      <c r="SP51" s="8">
        <v>876</v>
      </c>
      <c r="SQ51" s="12">
        <v>273</v>
      </c>
      <c r="SY51" s="6">
        <v>124</v>
      </c>
      <c r="TA51" s="6"/>
      <c r="TB51" s="6"/>
      <c r="TH51" s="8">
        <v>186</v>
      </c>
      <c r="TI51" s="28">
        <v>29</v>
      </c>
      <c r="TX51" s="8">
        <v>131</v>
      </c>
      <c r="TY51" s="28">
        <v>603</v>
      </c>
      <c r="TZ51" s="8">
        <v>374</v>
      </c>
      <c r="UA51" s="12">
        <v>461</v>
      </c>
      <c r="UG51" s="8">
        <v>-468</v>
      </c>
      <c r="UH51" s="12">
        <v>522</v>
      </c>
      <c r="UI51" s="8">
        <v>-686</v>
      </c>
      <c r="UJ51" s="12">
        <v>193</v>
      </c>
      <c r="UN51" s="8">
        <v>113</v>
      </c>
      <c r="UO51" s="12">
        <v>354</v>
      </c>
      <c r="US51" s="8">
        <v>-108</v>
      </c>
      <c r="UT51" s="12">
        <v>322</v>
      </c>
      <c r="UZ51" s="8">
        <v>570</v>
      </c>
      <c r="VA51" s="12">
        <v>176</v>
      </c>
      <c r="VB51" s="8">
        <v>27</v>
      </c>
      <c r="VC51" s="12">
        <v>32</v>
      </c>
      <c r="VD51" s="8">
        <v>129</v>
      </c>
      <c r="VF51" s="8">
        <v>380</v>
      </c>
      <c r="VG51" s="12">
        <v>642</v>
      </c>
      <c r="VH51" s="8">
        <v>-480</v>
      </c>
      <c r="VI51" s="28">
        <v>246</v>
      </c>
      <c r="VL51" s="21"/>
      <c r="VM51" s="8">
        <v>4890</v>
      </c>
      <c r="VN51" s="12">
        <v>515</v>
      </c>
      <c r="VO51" s="12"/>
      <c r="VP51" s="12"/>
      <c r="VQ51" s="6">
        <v>-28</v>
      </c>
      <c r="VR51" s="28">
        <v>43</v>
      </c>
      <c r="VS51" s="12"/>
      <c r="VT51" s="12"/>
      <c r="VX51" s="8">
        <v>37</v>
      </c>
      <c r="VY51" s="12">
        <v>498</v>
      </c>
      <c r="VZ51" s="8">
        <v>248</v>
      </c>
      <c r="WA51" s="28">
        <v>203</v>
      </c>
      <c r="WB51" s="8">
        <v>9325</v>
      </c>
      <c r="WC51" s="12">
        <v>392</v>
      </c>
      <c r="WI51" s="8">
        <v>138</v>
      </c>
      <c r="WJ51" s="28">
        <v>50</v>
      </c>
      <c r="WP51" s="2">
        <v>227</v>
      </c>
      <c r="WQ51" s="1">
        <v>96</v>
      </c>
      <c r="WR51" s="10"/>
      <c r="XE51">
        <v>45707</v>
      </c>
      <c r="XF51" s="1">
        <v>7469</v>
      </c>
      <c r="XG51" s="2">
        <v>6</v>
      </c>
      <c r="XH51" s="1">
        <v>2</v>
      </c>
      <c r="XK51">
        <v>102</v>
      </c>
      <c r="XL51" s="1">
        <v>33</v>
      </c>
    </row>
    <row r="52" spans="7:636" x14ac:dyDescent="0.25">
      <c r="G52" s="2">
        <v>578</v>
      </c>
      <c r="I52" s="2">
        <v>19</v>
      </c>
      <c r="K52" s="2">
        <v>3428</v>
      </c>
      <c r="L52" s="1">
        <v>24</v>
      </c>
      <c r="M52">
        <v>39</v>
      </c>
      <c r="N52" s="1">
        <v>3</v>
      </c>
      <c r="O52" s="26"/>
      <c r="R52">
        <v>-148</v>
      </c>
      <c r="S52" s="12">
        <v>450</v>
      </c>
      <c r="T52">
        <v>-5532</v>
      </c>
      <c r="U52" s="1">
        <v>1999</v>
      </c>
      <c r="V52">
        <v>-13</v>
      </c>
      <c r="W52" s="10">
        <v>43</v>
      </c>
      <c r="AB52">
        <v>-70</v>
      </c>
      <c r="AC52" s="1">
        <v>120</v>
      </c>
      <c r="AD52">
        <v>40</v>
      </c>
      <c r="AE52" s="1">
        <v>5</v>
      </c>
      <c r="AF52">
        <v>773</v>
      </c>
      <c r="AG52" s="1">
        <v>354</v>
      </c>
      <c r="AJ52" s="2">
        <v>-6</v>
      </c>
      <c r="AK52" s="10">
        <v>48</v>
      </c>
      <c r="AY52">
        <v>109</v>
      </c>
      <c r="AZ52" s="1">
        <v>2</v>
      </c>
      <c r="BA52">
        <v>661</v>
      </c>
      <c r="BB52" s="1">
        <v>110</v>
      </c>
      <c r="BD52" s="8">
        <v>16</v>
      </c>
      <c r="BE52" s="1">
        <v>10</v>
      </c>
      <c r="BF52">
        <v>-206</v>
      </c>
      <c r="BG52" s="1">
        <v>106</v>
      </c>
      <c r="BJ52">
        <v>-22</v>
      </c>
      <c r="BL52">
        <v>102</v>
      </c>
      <c r="BM52" s="1">
        <v>4</v>
      </c>
      <c r="BN52">
        <v>-116</v>
      </c>
      <c r="BP52">
        <v>1950</v>
      </c>
      <c r="BQ52" s="10">
        <v>3583</v>
      </c>
      <c r="BT52">
        <v>-212</v>
      </c>
      <c r="BU52" s="1">
        <v>29</v>
      </c>
      <c r="BV52">
        <f>91</f>
        <v>91</v>
      </c>
      <c r="BW52" s="1">
        <v>7</v>
      </c>
      <c r="CE52" s="8">
        <v>87</v>
      </c>
      <c r="CF52" s="28">
        <v>10</v>
      </c>
      <c r="CG52" s="8">
        <v>1565</v>
      </c>
      <c r="CI52" s="8">
        <v>121</v>
      </c>
      <c r="CJ52" s="12">
        <v>72</v>
      </c>
      <c r="CK52" s="8">
        <v>65</v>
      </c>
      <c r="CL52" s="28">
        <v>41</v>
      </c>
      <c r="CM52" s="6">
        <v>-804</v>
      </c>
      <c r="CN52" s="28">
        <v>781</v>
      </c>
      <c r="CO52" s="6">
        <v>-865</v>
      </c>
      <c r="CP52" s="28"/>
      <c r="CQ52" s="6">
        <v>685</v>
      </c>
      <c r="CR52" s="28"/>
      <c r="CS52" s="6">
        <v>-104</v>
      </c>
      <c r="CT52" s="28">
        <v>294</v>
      </c>
      <c r="CU52" s="28"/>
      <c r="CV52" s="28"/>
      <c r="CW52" s="28"/>
      <c r="CX52" s="28"/>
      <c r="CZ52" s="23">
        <v>440</v>
      </c>
      <c r="DA52" s="25">
        <v>247</v>
      </c>
      <c r="DB52" s="23">
        <v>-112</v>
      </c>
      <c r="DC52" s="25">
        <v>7</v>
      </c>
      <c r="DE52" s="25"/>
      <c r="DF52" s="86">
        <v>114</v>
      </c>
      <c r="DG52" s="25">
        <v>166</v>
      </c>
      <c r="DH52" s="23">
        <v>64</v>
      </c>
      <c r="DI52" s="25">
        <v>115</v>
      </c>
      <c r="DJ52" s="23">
        <v>-162</v>
      </c>
      <c r="DK52" s="28">
        <v>101</v>
      </c>
      <c r="DL52" s="8">
        <v>167</v>
      </c>
      <c r="DQ52" s="8">
        <v>203</v>
      </c>
      <c r="DR52" s="52">
        <v>112</v>
      </c>
      <c r="DS52" s="6">
        <v>219</v>
      </c>
      <c r="DT52" s="52">
        <v>151</v>
      </c>
      <c r="DU52" s="8">
        <v>361</v>
      </c>
      <c r="DV52" s="28">
        <v>490</v>
      </c>
      <c r="DW52" s="8">
        <v>200</v>
      </c>
      <c r="DX52" s="28">
        <v>242</v>
      </c>
      <c r="DY52" s="6">
        <v>761</v>
      </c>
      <c r="DZ52" s="52">
        <v>24</v>
      </c>
      <c r="EA52" s="23">
        <v>-344</v>
      </c>
      <c r="EB52" s="52">
        <v>339</v>
      </c>
      <c r="EC52" s="6">
        <v>13</v>
      </c>
      <c r="ED52" s="28">
        <v>7</v>
      </c>
      <c r="EE52" s="8">
        <v>-15</v>
      </c>
      <c r="EF52" s="52">
        <v>15</v>
      </c>
      <c r="EG52" s="8">
        <v>390</v>
      </c>
      <c r="EH52" s="28">
        <v>334</v>
      </c>
      <c r="EI52" s="8">
        <v>25</v>
      </c>
      <c r="EJ52" s="52">
        <v>524</v>
      </c>
      <c r="EL52" s="8">
        <v>624</v>
      </c>
      <c r="EM52" s="28">
        <v>220</v>
      </c>
      <c r="EN52" s="8">
        <v>33</v>
      </c>
      <c r="EO52" s="28">
        <v>1</v>
      </c>
      <c r="EP52" s="6"/>
      <c r="EQ52" s="28"/>
      <c r="EX52" s="8">
        <v>131</v>
      </c>
      <c r="EY52" s="28">
        <v>182</v>
      </c>
      <c r="FD52" s="6">
        <v>636</v>
      </c>
      <c r="FE52" s="28">
        <v>151</v>
      </c>
      <c r="FH52" s="8">
        <v>104</v>
      </c>
      <c r="FI52" s="28">
        <v>103</v>
      </c>
      <c r="FM52" s="8">
        <v>177</v>
      </c>
      <c r="FN52" s="52">
        <v>132</v>
      </c>
      <c r="FO52" s="8">
        <v>225</v>
      </c>
      <c r="FP52" s="28">
        <v>169</v>
      </c>
      <c r="FQ52" s="8">
        <v>-42</v>
      </c>
      <c r="FR52" s="28">
        <v>13</v>
      </c>
      <c r="FS52" s="8">
        <v>-163</v>
      </c>
      <c r="FT52" s="52">
        <v>163</v>
      </c>
      <c r="FV52" s="8">
        <v>-91</v>
      </c>
      <c r="FW52" s="28">
        <v>58</v>
      </c>
      <c r="GC52" s="8">
        <v>616</v>
      </c>
      <c r="GE52" s="8">
        <v>466</v>
      </c>
      <c r="GF52" s="28">
        <v>164</v>
      </c>
      <c r="GI52" s="8">
        <v>-120</v>
      </c>
      <c r="GJ52" s="28">
        <v>66</v>
      </c>
      <c r="GK52" s="8">
        <v>441</v>
      </c>
      <c r="GL52" s="28">
        <v>147</v>
      </c>
      <c r="GO52" s="28"/>
      <c r="GP52" s="8">
        <v>457</v>
      </c>
      <c r="GQ52" s="52">
        <v>99</v>
      </c>
      <c r="GR52" s="8">
        <v>45</v>
      </c>
      <c r="GS52" s="28">
        <v>152</v>
      </c>
      <c r="GT52" s="6">
        <v>-114</v>
      </c>
      <c r="GU52" s="52">
        <v>548</v>
      </c>
      <c r="GV52" s="6">
        <v>19</v>
      </c>
      <c r="GW52" s="28">
        <v>15</v>
      </c>
      <c r="GZ52" s="8">
        <v>-128</v>
      </c>
      <c r="HA52" s="28">
        <v>34</v>
      </c>
      <c r="HB52" s="6">
        <v>-87</v>
      </c>
      <c r="HC52" s="28"/>
      <c r="HE52" s="8">
        <v>129</v>
      </c>
      <c r="HF52" s="28">
        <v>69</v>
      </c>
      <c r="HG52" s="8">
        <v>-102</v>
      </c>
      <c r="HO52" s="8">
        <v>22</v>
      </c>
      <c r="HP52" s="28">
        <v>976</v>
      </c>
      <c r="HQ52" s="6">
        <v>-1</v>
      </c>
      <c r="HR52" s="28">
        <v>2</v>
      </c>
      <c r="HS52" s="8">
        <v>-4</v>
      </c>
      <c r="HT52" s="52">
        <v>363</v>
      </c>
      <c r="HX52" s="8">
        <v>-36</v>
      </c>
      <c r="HY52" s="28">
        <v>25</v>
      </c>
      <c r="HZ52" s="8">
        <v>5</v>
      </c>
      <c r="IB52" s="8">
        <v>393</v>
      </c>
      <c r="IC52" s="28">
        <v>213</v>
      </c>
      <c r="ID52" s="8">
        <v>-44</v>
      </c>
      <c r="IE52" s="28">
        <v>704</v>
      </c>
      <c r="IH52" s="8">
        <v>604</v>
      </c>
      <c r="II52" s="28">
        <v>201</v>
      </c>
      <c r="IO52">
        <v>-530</v>
      </c>
      <c r="IP52" s="10">
        <v>153</v>
      </c>
      <c r="IU52" s="8">
        <v>142</v>
      </c>
      <c r="IV52" s="28">
        <v>746</v>
      </c>
      <c r="IW52" s="8">
        <v>-160</v>
      </c>
      <c r="IY52" s="8">
        <v>-477</v>
      </c>
      <c r="JA52" s="8">
        <v>160</v>
      </c>
      <c r="JB52" s="12">
        <v>801</v>
      </c>
      <c r="JH52" s="8">
        <v>112</v>
      </c>
      <c r="JI52" s="28">
        <v>64</v>
      </c>
      <c r="JJ52" s="8">
        <v>101</v>
      </c>
      <c r="JK52" s="28">
        <v>4</v>
      </c>
      <c r="JL52" s="8">
        <v>182</v>
      </c>
      <c r="JM52" s="12">
        <v>35</v>
      </c>
      <c r="JN52" s="8">
        <v>-7</v>
      </c>
      <c r="JO52" s="28">
        <v>7</v>
      </c>
      <c r="JP52" s="6">
        <v>37</v>
      </c>
      <c r="JQ52" s="12">
        <v>895</v>
      </c>
      <c r="JT52" s="6">
        <v>-2</v>
      </c>
      <c r="JU52" s="12">
        <v>17</v>
      </c>
      <c r="JW52" s="8">
        <v>-661</v>
      </c>
      <c r="JX52" s="12">
        <v>21</v>
      </c>
      <c r="KA52" s="8">
        <v>157</v>
      </c>
      <c r="KB52" s="28">
        <v>40</v>
      </c>
      <c r="KE52" s="6">
        <v>61</v>
      </c>
      <c r="KF52" s="12">
        <v>82</v>
      </c>
      <c r="KQ52" s="8">
        <v>427</v>
      </c>
      <c r="KR52" s="28">
        <v>119</v>
      </c>
      <c r="KT52" s="8">
        <v>7</v>
      </c>
      <c r="KU52" s="28">
        <v>2</v>
      </c>
      <c r="KZ52" s="8">
        <v>-19</v>
      </c>
      <c r="LA52" s="12">
        <v>537</v>
      </c>
      <c r="LD52" s="8">
        <v>-79</v>
      </c>
      <c r="LE52" s="28">
        <v>200</v>
      </c>
      <c r="LF52" s="8">
        <v>51</v>
      </c>
      <c r="LG52" s="28">
        <v>5</v>
      </c>
      <c r="LH52" s="8">
        <v>466</v>
      </c>
      <c r="LJ52" s="8">
        <v>-650</v>
      </c>
      <c r="LK52" s="28">
        <v>675</v>
      </c>
      <c r="LL52" s="8">
        <v>14</v>
      </c>
      <c r="LM52" s="28">
        <v>119</v>
      </c>
      <c r="LN52" s="8">
        <v>53</v>
      </c>
      <c r="LO52" s="28">
        <v>47</v>
      </c>
      <c r="LS52" s="8">
        <v>75</v>
      </c>
      <c r="LU52" s="8">
        <v>13</v>
      </c>
      <c r="LV52" s="12">
        <v>215</v>
      </c>
      <c r="LW52" s="8">
        <v>-363</v>
      </c>
      <c r="LX52" s="28">
        <v>183</v>
      </c>
      <c r="LZ52" s="8">
        <v>530</v>
      </c>
      <c r="MF52" s="8">
        <v>751</v>
      </c>
      <c r="MG52" s="12">
        <v>519</v>
      </c>
      <c r="MS52" s="8">
        <v>781</v>
      </c>
      <c r="MT52" s="12">
        <v>116</v>
      </c>
      <c r="MU52" s="8">
        <v>54</v>
      </c>
      <c r="MV52" s="28">
        <v>20</v>
      </c>
      <c r="NC52" s="8">
        <v>148</v>
      </c>
      <c r="ND52" s="12">
        <v>232</v>
      </c>
      <c r="NE52" s="8">
        <v>197</v>
      </c>
      <c r="NF52" s="28">
        <v>262</v>
      </c>
      <c r="NG52" s="8">
        <v>-164</v>
      </c>
      <c r="NH52" s="28">
        <v>49</v>
      </c>
      <c r="NI52" s="8">
        <v>461</v>
      </c>
      <c r="NJ52" s="28">
        <v>5</v>
      </c>
      <c r="NL52" s="8">
        <v>-586</v>
      </c>
      <c r="NM52" s="28">
        <v>171</v>
      </c>
      <c r="NP52" s="8">
        <v>644</v>
      </c>
      <c r="NQ52" s="12">
        <v>576</v>
      </c>
      <c r="NU52" s="8">
        <v>225</v>
      </c>
      <c r="NV52" s="12">
        <v>14</v>
      </c>
      <c r="NW52" s="8">
        <v>247</v>
      </c>
      <c r="NX52" s="28">
        <v>75</v>
      </c>
      <c r="NY52" s="8">
        <v>109</v>
      </c>
      <c r="NZ52" s="12">
        <v>159</v>
      </c>
      <c r="OC52" s="8">
        <v>221</v>
      </c>
      <c r="OD52" s="12">
        <v>127</v>
      </c>
      <c r="OO52" s="8">
        <v>-28</v>
      </c>
      <c r="OP52" s="28">
        <v>85</v>
      </c>
      <c r="OV52" s="8">
        <v>101</v>
      </c>
      <c r="PC52" s="8">
        <v>164</v>
      </c>
      <c r="PD52" s="28">
        <v>25</v>
      </c>
      <c r="PE52" s="8">
        <v>180</v>
      </c>
      <c r="PF52" s="12">
        <v>23</v>
      </c>
      <c r="PJ52" s="8">
        <v>15</v>
      </c>
      <c r="PK52" s="12">
        <v>339</v>
      </c>
      <c r="PP52" s="8">
        <v>784</v>
      </c>
      <c r="PQ52" s="28">
        <v>13</v>
      </c>
      <c r="PR52" s="28"/>
      <c r="PS52" s="8">
        <v>-62</v>
      </c>
      <c r="PT52" s="12">
        <v>180</v>
      </c>
      <c r="PW52" s="8">
        <v>-100</v>
      </c>
      <c r="PX52" s="28">
        <v>88</v>
      </c>
      <c r="QE52" s="8">
        <v>16</v>
      </c>
      <c r="QF52" s="12">
        <v>451</v>
      </c>
      <c r="QH52" s="8">
        <v>-52</v>
      </c>
      <c r="QI52" s="12">
        <v>224</v>
      </c>
      <c r="QQ52" s="8">
        <v>57</v>
      </c>
      <c r="QR52" s="12">
        <v>344</v>
      </c>
      <c r="QT52" s="8">
        <v>-292</v>
      </c>
      <c r="QU52" s="12">
        <v>521</v>
      </c>
      <c r="QV52" s="6">
        <v>320</v>
      </c>
      <c r="QW52" s="12">
        <v>314</v>
      </c>
      <c r="QY52" s="8">
        <v>45</v>
      </c>
      <c r="QZ52" s="12">
        <v>326</v>
      </c>
      <c r="RC52" s="6">
        <v>276</v>
      </c>
      <c r="RD52" s="12">
        <v>304</v>
      </c>
      <c r="RE52" s="6">
        <v>-526</v>
      </c>
      <c r="RF52" s="12">
        <v>561</v>
      </c>
      <c r="RG52" s="8">
        <v>533</v>
      </c>
      <c r="RH52" s="28">
        <v>204</v>
      </c>
      <c r="RJ52" s="8">
        <v>9</v>
      </c>
      <c r="RL52" s="8">
        <v>321</v>
      </c>
      <c r="RM52" s="12">
        <v>357</v>
      </c>
      <c r="RS52" s="6">
        <v>322</v>
      </c>
      <c r="RT52" s="50">
        <v>507</v>
      </c>
      <c r="SF52" s="8">
        <v>-104</v>
      </c>
      <c r="SP52" s="8">
        <v>10</v>
      </c>
      <c r="SQ52" s="12">
        <v>210</v>
      </c>
      <c r="SY52" s="6">
        <v>449</v>
      </c>
      <c r="TA52" s="6"/>
      <c r="TB52" s="6"/>
      <c r="TH52" s="8">
        <v>154</v>
      </c>
      <c r="TI52" s="28">
        <v>40</v>
      </c>
      <c r="TX52" s="8">
        <v>133</v>
      </c>
      <c r="TY52" s="28">
        <v>786</v>
      </c>
      <c r="TZ52" s="8">
        <v>192</v>
      </c>
      <c r="UA52" s="12">
        <v>485</v>
      </c>
      <c r="UG52" s="8">
        <v>152</v>
      </c>
      <c r="UH52" s="12">
        <v>192</v>
      </c>
      <c r="UI52" s="8">
        <v>5</v>
      </c>
      <c r="UN52" s="8">
        <v>-383</v>
      </c>
      <c r="UO52" s="12">
        <v>528</v>
      </c>
      <c r="US52" s="8">
        <v>-35</v>
      </c>
      <c r="UT52" s="12">
        <v>38</v>
      </c>
      <c r="UZ52" s="8">
        <v>-796</v>
      </c>
      <c r="VA52" s="12">
        <v>971</v>
      </c>
      <c r="VB52" s="8">
        <v>-65</v>
      </c>
      <c r="VC52" s="12">
        <v>38</v>
      </c>
      <c r="VD52" s="8">
        <v>960</v>
      </c>
      <c r="VF52" s="8">
        <v>208</v>
      </c>
      <c r="VG52" s="12">
        <v>264</v>
      </c>
      <c r="VH52" s="8">
        <v>131</v>
      </c>
      <c r="VI52" s="28">
        <v>960</v>
      </c>
      <c r="VL52" s="21"/>
      <c r="VM52" s="8">
        <v>3010</v>
      </c>
      <c r="VN52" s="12">
        <v>307</v>
      </c>
      <c r="VO52" s="12"/>
      <c r="VP52" s="12"/>
      <c r="VQ52" s="6">
        <v>45</v>
      </c>
      <c r="VR52" s="28">
        <v>38</v>
      </c>
      <c r="VS52" s="12"/>
      <c r="VT52" s="12"/>
      <c r="VX52" s="8">
        <v>27</v>
      </c>
      <c r="VY52" s="12">
        <v>269</v>
      </c>
      <c r="VZ52" s="8">
        <v>585</v>
      </c>
      <c r="WA52" s="28">
        <v>279</v>
      </c>
      <c r="WB52" s="8">
        <v>9102</v>
      </c>
      <c r="WC52" s="12">
        <v>297</v>
      </c>
      <c r="WI52" s="8">
        <v>1060</v>
      </c>
      <c r="WJ52" s="28">
        <v>210</v>
      </c>
      <c r="WP52" s="2">
        <v>80</v>
      </c>
      <c r="WQ52" s="1">
        <v>71</v>
      </c>
      <c r="WR52" s="10"/>
      <c r="XE52">
        <v>43326</v>
      </c>
      <c r="XF52" s="1">
        <v>7019</v>
      </c>
      <c r="XG52" s="2">
        <v>50</v>
      </c>
      <c r="XH52" s="1">
        <v>14</v>
      </c>
      <c r="XK52">
        <v>106</v>
      </c>
      <c r="XL52" s="1">
        <v>25</v>
      </c>
    </row>
    <row r="53" spans="7:636" x14ac:dyDescent="0.25">
      <c r="G53" s="2">
        <v>-1091</v>
      </c>
      <c r="I53" s="2">
        <v>-8</v>
      </c>
      <c r="K53" s="2">
        <v>2545</v>
      </c>
      <c r="L53" s="1">
        <v>14</v>
      </c>
      <c r="M53">
        <v>9</v>
      </c>
      <c r="N53" s="1">
        <v>2</v>
      </c>
      <c r="O53" s="26"/>
      <c r="R53">
        <v>58</v>
      </c>
      <c r="S53" s="12">
        <v>1000</v>
      </c>
      <c r="T53">
        <v>-9367</v>
      </c>
      <c r="U53" s="1">
        <v>1997</v>
      </c>
      <c r="V53">
        <v>-11</v>
      </c>
      <c r="W53" s="10">
        <v>290</v>
      </c>
      <c r="AB53">
        <v>-705</v>
      </c>
      <c r="AC53" s="1">
        <v>113</v>
      </c>
      <c r="AD53">
        <v>139</v>
      </c>
      <c r="AE53" s="1">
        <v>8</v>
      </c>
      <c r="AF53">
        <v>838</v>
      </c>
      <c r="AG53" s="1">
        <v>345</v>
      </c>
      <c r="AJ53" s="2">
        <v>7</v>
      </c>
      <c r="AK53" s="10">
        <v>54</v>
      </c>
      <c r="AY53">
        <v>-5</v>
      </c>
      <c r="AZ53" s="1">
        <v>1</v>
      </c>
      <c r="BA53">
        <v>-230</v>
      </c>
      <c r="BB53" s="1">
        <v>478</v>
      </c>
      <c r="BD53" s="8">
        <v>37</v>
      </c>
      <c r="BE53" s="1">
        <v>88</v>
      </c>
      <c r="BF53">
        <v>-4427</v>
      </c>
      <c r="BG53" s="1">
        <v>1216</v>
      </c>
      <c r="BJ53">
        <v>-8</v>
      </c>
      <c r="BL53">
        <v>1594</v>
      </c>
      <c r="BM53" s="1">
        <v>55</v>
      </c>
      <c r="BN53">
        <v>1086</v>
      </c>
      <c r="BP53">
        <v>63</v>
      </c>
      <c r="BQ53" s="10">
        <v>820</v>
      </c>
      <c r="BT53">
        <v>-64</v>
      </c>
      <c r="BU53" s="1">
        <v>28</v>
      </c>
      <c r="BV53">
        <v>-6</v>
      </c>
      <c r="BW53" s="1">
        <v>5</v>
      </c>
      <c r="CE53" s="8">
        <v>178</v>
      </c>
      <c r="CF53" s="28">
        <v>12</v>
      </c>
      <c r="CG53" s="8">
        <v>1605</v>
      </c>
      <c r="CI53" s="8">
        <v>805</v>
      </c>
      <c r="CJ53" s="12">
        <v>387</v>
      </c>
      <c r="CK53" s="8">
        <v>65</v>
      </c>
      <c r="CL53" s="28">
        <v>41</v>
      </c>
      <c r="CM53" s="6">
        <v>-449</v>
      </c>
      <c r="CN53" s="28">
        <v>303</v>
      </c>
      <c r="CO53" s="6">
        <v>-161</v>
      </c>
      <c r="CP53" s="28"/>
      <c r="CQ53" s="6">
        <v>703</v>
      </c>
      <c r="CR53" s="28"/>
      <c r="CS53" s="6">
        <v>29</v>
      </c>
      <c r="CT53" s="28">
        <v>137</v>
      </c>
      <c r="CU53" s="28"/>
      <c r="CV53" s="28"/>
      <c r="CW53" s="28"/>
      <c r="CX53" s="28"/>
      <c r="CZ53" s="23">
        <v>-534</v>
      </c>
      <c r="DA53" s="25">
        <v>256</v>
      </c>
      <c r="DB53" s="23">
        <v>-134</v>
      </c>
      <c r="DC53" s="25">
        <v>8</v>
      </c>
      <c r="DE53" s="25"/>
      <c r="DF53" s="86">
        <v>114</v>
      </c>
      <c r="DG53" s="25">
        <v>338</v>
      </c>
      <c r="DH53" s="23">
        <v>6</v>
      </c>
      <c r="DI53" s="25">
        <v>127</v>
      </c>
      <c r="DJ53" s="23">
        <v>888</v>
      </c>
      <c r="DK53" s="28">
        <v>121</v>
      </c>
      <c r="DL53" s="8">
        <v>293</v>
      </c>
      <c r="DQ53" s="8">
        <v>803</v>
      </c>
      <c r="DR53" s="52">
        <v>202</v>
      </c>
      <c r="DS53" s="6">
        <v>-262</v>
      </c>
      <c r="DT53" s="52">
        <v>172</v>
      </c>
      <c r="DU53" s="8">
        <v>-106</v>
      </c>
      <c r="DV53" s="28">
        <v>136</v>
      </c>
      <c r="DW53" s="8">
        <v>-19</v>
      </c>
      <c r="DX53" s="28">
        <v>33</v>
      </c>
      <c r="DY53" s="6">
        <v>147</v>
      </c>
      <c r="DZ53" s="52">
        <v>48</v>
      </c>
      <c r="EA53" s="23">
        <v>-583</v>
      </c>
      <c r="EB53" s="52">
        <v>636</v>
      </c>
      <c r="EC53" s="6">
        <v>15</v>
      </c>
      <c r="ED53" s="28">
        <v>5</v>
      </c>
      <c r="EE53" s="8">
        <v>213</v>
      </c>
      <c r="EF53" s="52">
        <v>50</v>
      </c>
      <c r="EG53" s="8">
        <v>-214</v>
      </c>
      <c r="EH53" s="28">
        <v>308</v>
      </c>
      <c r="EI53" s="8">
        <v>11</v>
      </c>
      <c r="EJ53" s="52">
        <v>101</v>
      </c>
      <c r="EL53" s="8">
        <v>657</v>
      </c>
      <c r="EM53" s="28">
        <v>451</v>
      </c>
      <c r="EN53" s="8">
        <v>98</v>
      </c>
      <c r="EO53" s="28">
        <v>9</v>
      </c>
      <c r="EP53" s="28"/>
      <c r="EQ53" s="28"/>
      <c r="EX53" s="8">
        <v>342</v>
      </c>
      <c r="EY53" s="28">
        <v>186</v>
      </c>
      <c r="FD53" s="6">
        <v>-147</v>
      </c>
      <c r="FE53" s="28">
        <v>235</v>
      </c>
      <c r="FH53" s="8">
        <v>43</v>
      </c>
      <c r="FI53" s="28">
        <v>14</v>
      </c>
      <c r="FM53" s="8">
        <v>54</v>
      </c>
      <c r="FN53" s="52">
        <v>25</v>
      </c>
      <c r="FO53" s="8">
        <v>-356</v>
      </c>
      <c r="FP53" s="28">
        <v>208</v>
      </c>
      <c r="FQ53" s="8">
        <v>152</v>
      </c>
      <c r="FR53" s="28">
        <v>83</v>
      </c>
      <c r="FS53" s="8">
        <v>35</v>
      </c>
      <c r="FT53" s="52">
        <v>88</v>
      </c>
      <c r="FV53" s="8">
        <v>-129</v>
      </c>
      <c r="FW53" s="28">
        <v>52</v>
      </c>
      <c r="GC53" s="8">
        <v>-434</v>
      </c>
      <c r="GE53" s="8">
        <v>135</v>
      </c>
      <c r="GF53" s="28">
        <v>93</v>
      </c>
      <c r="GI53" s="8">
        <v>-60</v>
      </c>
      <c r="GJ53" s="28">
        <v>73</v>
      </c>
      <c r="GK53" s="8">
        <v>674</v>
      </c>
      <c r="GL53" s="28">
        <v>128</v>
      </c>
      <c r="GO53" s="28"/>
      <c r="GP53" s="8">
        <v>-832</v>
      </c>
      <c r="GQ53" s="52">
        <v>149</v>
      </c>
      <c r="GR53" s="8">
        <v>234</v>
      </c>
      <c r="GS53" s="28">
        <v>211</v>
      </c>
      <c r="GT53" s="6">
        <v>696</v>
      </c>
      <c r="GU53" s="52">
        <v>235</v>
      </c>
      <c r="GV53" s="6">
        <v>-14</v>
      </c>
      <c r="GW53" s="28">
        <v>22</v>
      </c>
      <c r="GZ53" s="8">
        <v>23</v>
      </c>
      <c r="HA53" s="28">
        <v>50</v>
      </c>
      <c r="HB53" s="6">
        <v>40</v>
      </c>
      <c r="HC53" s="28"/>
      <c r="HE53" s="8">
        <v>4</v>
      </c>
      <c r="HF53" s="28">
        <v>97</v>
      </c>
      <c r="HG53" s="8">
        <v>110</v>
      </c>
      <c r="HO53" s="8">
        <v>-295</v>
      </c>
      <c r="HP53" s="28">
        <v>638</v>
      </c>
      <c r="HQ53" s="6">
        <v>-173</v>
      </c>
      <c r="HR53" s="28">
        <v>143</v>
      </c>
      <c r="HS53" s="8">
        <v>1</v>
      </c>
      <c r="HT53" s="52">
        <v>416</v>
      </c>
      <c r="HX53" s="8">
        <v>117</v>
      </c>
      <c r="HY53" s="28">
        <v>185</v>
      </c>
      <c r="HZ53" s="8">
        <v>2</v>
      </c>
      <c r="IB53" s="8">
        <v>-130</v>
      </c>
      <c r="IC53" s="28">
        <v>215</v>
      </c>
      <c r="ID53" s="8">
        <v>-190</v>
      </c>
      <c r="IE53" s="28">
        <v>21</v>
      </c>
      <c r="IH53" s="8">
        <v>114</v>
      </c>
      <c r="II53" s="28">
        <v>18</v>
      </c>
      <c r="IO53">
        <v>-171</v>
      </c>
      <c r="IP53" s="10">
        <v>26</v>
      </c>
      <c r="IU53" s="8">
        <v>206</v>
      </c>
      <c r="IV53" s="28">
        <v>107</v>
      </c>
      <c r="IW53" s="8">
        <v>-872</v>
      </c>
      <c r="IY53" s="8">
        <v>46</v>
      </c>
      <c r="JA53" s="8">
        <v>33</v>
      </c>
      <c r="JB53" s="12">
        <v>179</v>
      </c>
      <c r="JH53" s="8">
        <v>-18</v>
      </c>
      <c r="JI53" s="28">
        <v>9</v>
      </c>
      <c r="JJ53" s="8">
        <v>100</v>
      </c>
      <c r="JK53" s="28">
        <v>5</v>
      </c>
      <c r="JL53" s="8">
        <v>586</v>
      </c>
      <c r="JM53" s="12">
        <v>17</v>
      </c>
      <c r="JN53" s="8">
        <v>-5</v>
      </c>
      <c r="JO53" s="28">
        <v>7</v>
      </c>
      <c r="JP53" s="6">
        <v>51</v>
      </c>
      <c r="JQ53" s="12">
        <v>130</v>
      </c>
      <c r="JT53" s="6">
        <v>-179</v>
      </c>
      <c r="JU53" s="12">
        <v>663</v>
      </c>
      <c r="JW53" s="8">
        <v>-154</v>
      </c>
      <c r="JX53" s="12">
        <v>127</v>
      </c>
      <c r="KA53" s="8">
        <v>-23</v>
      </c>
      <c r="KB53" s="28">
        <v>19</v>
      </c>
      <c r="KE53" s="6">
        <v>34</v>
      </c>
      <c r="KF53" s="12">
        <v>59</v>
      </c>
      <c r="KQ53" s="8">
        <v>180</v>
      </c>
      <c r="KR53" s="28">
        <v>63</v>
      </c>
      <c r="KT53" s="8">
        <v>14</v>
      </c>
      <c r="KU53" s="28">
        <v>13</v>
      </c>
      <c r="KZ53" s="8">
        <v>-10</v>
      </c>
      <c r="LA53" s="12">
        <v>964</v>
      </c>
      <c r="LD53" s="8">
        <v>-605</v>
      </c>
      <c r="LE53" s="28">
        <v>417</v>
      </c>
      <c r="LF53" s="8">
        <v>24</v>
      </c>
      <c r="LG53" s="28">
        <v>5</v>
      </c>
      <c r="LH53" s="8">
        <v>728</v>
      </c>
      <c r="LJ53" s="8">
        <v>-250</v>
      </c>
      <c r="LK53" s="28">
        <v>412</v>
      </c>
      <c r="LL53" s="8">
        <v>145</v>
      </c>
      <c r="LM53" s="28">
        <v>100</v>
      </c>
      <c r="LN53" s="8">
        <v>49</v>
      </c>
      <c r="LO53" s="28">
        <v>47</v>
      </c>
      <c r="LS53" s="8">
        <v>63</v>
      </c>
      <c r="LU53" s="8">
        <v>-2</v>
      </c>
      <c r="LV53" s="12">
        <v>185</v>
      </c>
      <c r="LW53" s="8">
        <v>18</v>
      </c>
      <c r="LX53" s="28">
        <v>239</v>
      </c>
      <c r="LZ53" s="8">
        <v>101</v>
      </c>
      <c r="MF53" s="8">
        <v>-516</v>
      </c>
      <c r="MG53" s="12">
        <v>58</v>
      </c>
      <c r="MS53" s="8">
        <v>-19</v>
      </c>
      <c r="MT53" s="12">
        <v>114</v>
      </c>
      <c r="MU53" s="8">
        <v>96</v>
      </c>
      <c r="MV53" s="28">
        <v>6</v>
      </c>
      <c r="NC53" s="8">
        <v>77</v>
      </c>
      <c r="ND53" s="12">
        <v>22</v>
      </c>
      <c r="NE53" s="8">
        <v>317</v>
      </c>
      <c r="NF53" s="28">
        <v>324</v>
      </c>
      <c r="NG53" s="8">
        <v>23</v>
      </c>
      <c r="NH53" s="28">
        <v>2</v>
      </c>
      <c r="NI53" s="8">
        <v>528</v>
      </c>
      <c r="NJ53" s="28">
        <v>5</v>
      </c>
      <c r="NL53" s="8">
        <v>222</v>
      </c>
      <c r="NM53" s="28">
        <v>152</v>
      </c>
      <c r="NP53" s="8">
        <v>702</v>
      </c>
      <c r="NQ53" s="12">
        <v>692</v>
      </c>
      <c r="NU53" s="8">
        <v>-369</v>
      </c>
      <c r="NV53" s="12">
        <v>24</v>
      </c>
      <c r="NW53" s="8">
        <v>547</v>
      </c>
      <c r="NX53" s="28">
        <v>203</v>
      </c>
      <c r="NY53" s="8">
        <v>-112</v>
      </c>
      <c r="NZ53" s="12">
        <v>707</v>
      </c>
      <c r="OC53" s="8">
        <v>-318</v>
      </c>
      <c r="OD53" s="12">
        <v>163</v>
      </c>
      <c r="OO53" s="8">
        <v>208</v>
      </c>
      <c r="OP53" s="28">
        <v>220</v>
      </c>
      <c r="OV53" s="8">
        <v>131</v>
      </c>
      <c r="PC53" s="8">
        <v>975</v>
      </c>
      <c r="PD53" s="28">
        <v>93</v>
      </c>
      <c r="PE53" s="8">
        <v>-448</v>
      </c>
      <c r="PF53" s="12">
        <v>74</v>
      </c>
      <c r="PJ53" s="8">
        <v>39</v>
      </c>
      <c r="PK53" s="12">
        <v>130</v>
      </c>
      <c r="PP53" s="8">
        <v>808</v>
      </c>
      <c r="PQ53" s="28">
        <v>14</v>
      </c>
      <c r="PR53" s="28"/>
      <c r="PS53" s="8">
        <v>8</v>
      </c>
      <c r="PT53" s="12">
        <v>228</v>
      </c>
      <c r="PW53" s="8">
        <v>21</v>
      </c>
      <c r="PX53" s="28">
        <v>88</v>
      </c>
      <c r="QE53" s="8">
        <v>-399</v>
      </c>
      <c r="QF53" s="12">
        <v>167</v>
      </c>
      <c r="QH53" s="8">
        <v>-5</v>
      </c>
      <c r="QI53" s="12">
        <v>72</v>
      </c>
      <c r="QQ53" s="8">
        <v>1</v>
      </c>
      <c r="QR53" s="12">
        <v>90</v>
      </c>
      <c r="QT53" s="8">
        <v>255</v>
      </c>
      <c r="QU53" s="12">
        <v>384</v>
      </c>
      <c r="QV53" s="6">
        <v>-117</v>
      </c>
      <c r="QW53" s="12">
        <v>764</v>
      </c>
      <c r="QY53" s="8">
        <v>13</v>
      </c>
      <c r="QZ53" s="12">
        <v>54</v>
      </c>
      <c r="RC53" s="6">
        <v>187</v>
      </c>
      <c r="RD53" s="12">
        <v>202</v>
      </c>
      <c r="RE53" s="6">
        <v>30</v>
      </c>
      <c r="RF53" s="12">
        <v>31</v>
      </c>
      <c r="RG53" s="8">
        <v>-231</v>
      </c>
      <c r="RH53" s="28">
        <v>145</v>
      </c>
      <c r="RJ53" s="8">
        <v>44</v>
      </c>
      <c r="RL53" s="8">
        <v>-6</v>
      </c>
      <c r="RM53" s="12">
        <v>193</v>
      </c>
      <c r="RS53" s="6">
        <v>-9</v>
      </c>
      <c r="RT53" s="50">
        <v>36</v>
      </c>
      <c r="SF53" s="8">
        <v>-237</v>
      </c>
      <c r="SP53" s="8">
        <v>111</v>
      </c>
      <c r="SQ53" s="12">
        <v>121</v>
      </c>
      <c r="SY53" s="6">
        <v>197</v>
      </c>
      <c r="TA53" s="6"/>
      <c r="TB53" s="6"/>
      <c r="TH53" s="8">
        <v>162</v>
      </c>
      <c r="TI53" s="28">
        <v>38</v>
      </c>
      <c r="TX53" s="8">
        <v>135</v>
      </c>
      <c r="TY53" s="28">
        <v>644</v>
      </c>
      <c r="TZ53" s="8">
        <v>63</v>
      </c>
      <c r="UA53" s="12">
        <v>377</v>
      </c>
      <c r="UG53" s="8">
        <v>316</v>
      </c>
      <c r="UH53" s="12">
        <v>103</v>
      </c>
      <c r="UI53" s="8">
        <v>9</v>
      </c>
      <c r="UN53" s="8">
        <v>109</v>
      </c>
      <c r="UO53" s="12">
        <v>723</v>
      </c>
      <c r="US53" s="8">
        <v>806</v>
      </c>
      <c r="UZ53" s="8">
        <v>479</v>
      </c>
      <c r="VB53" s="8">
        <v>-73</v>
      </c>
      <c r="VC53" s="12">
        <v>43</v>
      </c>
      <c r="VD53" s="8">
        <v>611</v>
      </c>
      <c r="VF53" s="8">
        <v>-788</v>
      </c>
      <c r="VG53" s="12">
        <v>459</v>
      </c>
      <c r="VH53" s="8">
        <v>591</v>
      </c>
      <c r="VI53" s="28">
        <v>155</v>
      </c>
      <c r="VL53" s="21"/>
      <c r="VM53" s="8">
        <v>1412</v>
      </c>
      <c r="VN53" s="12">
        <v>145</v>
      </c>
      <c r="VO53" s="12"/>
      <c r="VP53" s="12"/>
      <c r="VQ53" s="6">
        <v>19</v>
      </c>
      <c r="VR53" s="28">
        <v>53</v>
      </c>
      <c r="VS53" s="12"/>
      <c r="VT53" s="12"/>
      <c r="VZ53" s="8">
        <v>926</v>
      </c>
      <c r="WA53" s="28">
        <v>96</v>
      </c>
      <c r="WB53" s="8">
        <v>8904</v>
      </c>
      <c r="WC53" s="12">
        <v>365</v>
      </c>
      <c r="WI53" s="8">
        <v>243</v>
      </c>
      <c r="WJ53" s="28">
        <v>56</v>
      </c>
      <c r="WP53" s="2">
        <v>228</v>
      </c>
      <c r="WQ53" s="1">
        <v>38</v>
      </c>
      <c r="WR53" s="10"/>
      <c r="XE53">
        <v>46914</v>
      </c>
      <c r="XF53" s="1">
        <v>22261</v>
      </c>
      <c r="XG53" s="2">
        <v>8</v>
      </c>
      <c r="XH53" s="1">
        <v>4</v>
      </c>
      <c r="XK53">
        <v>158</v>
      </c>
      <c r="XL53" s="1">
        <v>59</v>
      </c>
    </row>
    <row r="54" spans="7:636" x14ac:dyDescent="0.25">
      <c r="G54" s="2">
        <v>1433</v>
      </c>
      <c r="I54" s="2">
        <v>5</v>
      </c>
      <c r="K54" s="2">
        <v>-907</v>
      </c>
      <c r="L54" s="1">
        <v>22</v>
      </c>
      <c r="M54">
        <v>-7</v>
      </c>
      <c r="N54" s="1">
        <v>1</v>
      </c>
      <c r="O54" s="26"/>
      <c r="R54">
        <v>-133</v>
      </c>
      <c r="S54" s="12">
        <v>175</v>
      </c>
      <c r="T54">
        <v>-9827</v>
      </c>
      <c r="U54" s="1">
        <v>2075</v>
      </c>
      <c r="V54">
        <v>-10</v>
      </c>
      <c r="W54" s="10">
        <v>193</v>
      </c>
      <c r="AB54">
        <v>-94</v>
      </c>
      <c r="AC54" s="1">
        <v>30</v>
      </c>
      <c r="AD54">
        <v>181</v>
      </c>
      <c r="AE54" s="1">
        <v>9</v>
      </c>
      <c r="AF54">
        <v>823</v>
      </c>
      <c r="AG54" s="1">
        <v>333</v>
      </c>
      <c r="AJ54" s="2">
        <v>-6</v>
      </c>
      <c r="AK54" s="10">
        <v>40</v>
      </c>
      <c r="AY54">
        <v>-7</v>
      </c>
      <c r="AZ54" s="1">
        <v>6</v>
      </c>
      <c r="BA54">
        <v>-191</v>
      </c>
      <c r="BB54" s="1">
        <v>438</v>
      </c>
      <c r="BD54" s="8">
        <v>10</v>
      </c>
      <c r="BE54" s="1">
        <v>40</v>
      </c>
      <c r="BF54">
        <v>17</v>
      </c>
      <c r="BG54" s="1">
        <v>127</v>
      </c>
      <c r="BJ54">
        <v>31</v>
      </c>
      <c r="BL54">
        <v>-40</v>
      </c>
      <c r="BM54" s="1">
        <v>7</v>
      </c>
      <c r="BN54">
        <v>-15</v>
      </c>
      <c r="BP54">
        <v>426</v>
      </c>
      <c r="BQ54" s="10">
        <v>3403</v>
      </c>
      <c r="BT54">
        <v>68</v>
      </c>
      <c r="BU54" s="1">
        <v>19</v>
      </c>
      <c r="BV54">
        <v>-38</v>
      </c>
      <c r="BW54" s="1">
        <v>7</v>
      </c>
      <c r="CE54" s="8">
        <v>161</v>
      </c>
      <c r="CF54" s="28">
        <v>26</v>
      </c>
      <c r="CG54" s="8">
        <v>-313</v>
      </c>
      <c r="CI54" s="8">
        <v>362</v>
      </c>
      <c r="CJ54" s="12">
        <v>66</v>
      </c>
      <c r="CK54" s="8">
        <v>-42</v>
      </c>
      <c r="CL54" s="28">
        <v>34</v>
      </c>
      <c r="CM54" s="6">
        <v>-582</v>
      </c>
      <c r="CN54" s="28">
        <v>958</v>
      </c>
      <c r="CO54" s="6">
        <v>-101</v>
      </c>
      <c r="CP54" s="28"/>
      <c r="CQ54" s="6">
        <v>145</v>
      </c>
      <c r="CR54" s="28"/>
      <c r="CS54" s="6">
        <v>-83</v>
      </c>
      <c r="CT54" s="28">
        <v>110</v>
      </c>
      <c r="CU54" s="28"/>
      <c r="CV54" s="28"/>
      <c r="CW54" s="28"/>
      <c r="CX54" s="28"/>
      <c r="CZ54" s="23">
        <v>-597</v>
      </c>
      <c r="DA54" s="25">
        <v>314</v>
      </c>
      <c r="DB54" s="23">
        <v>110</v>
      </c>
      <c r="DC54" s="25">
        <v>7</v>
      </c>
      <c r="DE54" s="25"/>
      <c r="DF54" s="86">
        <v>119</v>
      </c>
      <c r="DG54" s="25">
        <v>379</v>
      </c>
      <c r="DH54" s="23">
        <v>106</v>
      </c>
      <c r="DI54" s="25">
        <v>136</v>
      </c>
      <c r="DJ54" s="23">
        <v>-625</v>
      </c>
      <c r="DK54" s="28">
        <v>117</v>
      </c>
      <c r="DL54" s="8">
        <v>181</v>
      </c>
      <c r="DQ54" s="8">
        <v>309</v>
      </c>
      <c r="DR54" s="52">
        <v>463</v>
      </c>
      <c r="DS54" s="6">
        <v>-8</v>
      </c>
      <c r="DT54" s="52">
        <v>90</v>
      </c>
      <c r="DU54" s="8">
        <v>560</v>
      </c>
      <c r="DV54" s="28">
        <v>8</v>
      </c>
      <c r="DW54" s="8">
        <v>122</v>
      </c>
      <c r="DX54" s="28">
        <v>740</v>
      </c>
      <c r="DY54" s="6">
        <v>103</v>
      </c>
      <c r="DZ54" s="52">
        <v>347</v>
      </c>
      <c r="EA54" s="23">
        <v>-278</v>
      </c>
      <c r="EB54" s="52">
        <v>444</v>
      </c>
      <c r="EC54" s="6">
        <v>-12</v>
      </c>
      <c r="ED54" s="28">
        <v>5</v>
      </c>
      <c r="EE54" s="8">
        <v>102</v>
      </c>
      <c r="EF54" s="52">
        <v>52</v>
      </c>
      <c r="EG54" s="8">
        <v>-512</v>
      </c>
      <c r="EH54" s="28">
        <v>948</v>
      </c>
      <c r="EI54" s="8">
        <v>1</v>
      </c>
      <c r="EJ54" s="52">
        <v>397</v>
      </c>
      <c r="EL54" s="8">
        <v>-637</v>
      </c>
      <c r="EM54" s="28">
        <v>549</v>
      </c>
      <c r="EN54" s="8">
        <v>-7</v>
      </c>
      <c r="EO54" s="28">
        <v>8</v>
      </c>
      <c r="EP54" s="28"/>
      <c r="EQ54" s="28"/>
      <c r="EX54" s="8">
        <v>-534</v>
      </c>
      <c r="EY54" s="28">
        <v>171</v>
      </c>
      <c r="FD54" s="6">
        <v>159</v>
      </c>
      <c r="FE54" s="28">
        <v>417</v>
      </c>
      <c r="FH54" s="8">
        <v>124</v>
      </c>
      <c r="FI54" s="28">
        <v>126</v>
      </c>
      <c r="FM54" s="8">
        <v>-92</v>
      </c>
      <c r="FN54" s="52">
        <v>174</v>
      </c>
      <c r="FO54" s="8">
        <v>437</v>
      </c>
      <c r="FP54" s="28">
        <v>180</v>
      </c>
      <c r="FQ54" s="8">
        <v>32</v>
      </c>
      <c r="FR54" s="28">
        <v>9</v>
      </c>
      <c r="FS54" s="8">
        <v>33</v>
      </c>
      <c r="FT54" s="52">
        <v>83</v>
      </c>
      <c r="FV54" s="8">
        <v>372</v>
      </c>
      <c r="FW54" s="28">
        <v>79</v>
      </c>
      <c r="GC54" s="8">
        <v>-381</v>
      </c>
      <c r="GE54" s="8">
        <v>-28</v>
      </c>
      <c r="GF54" s="28">
        <v>14</v>
      </c>
      <c r="GI54" s="8">
        <v>-32</v>
      </c>
      <c r="GJ54" s="28">
        <v>65</v>
      </c>
      <c r="GK54" s="8">
        <v>62</v>
      </c>
      <c r="GL54" s="28">
        <v>16</v>
      </c>
      <c r="GO54" s="28"/>
      <c r="GP54" s="8">
        <v>252</v>
      </c>
      <c r="GQ54" s="52">
        <v>67</v>
      </c>
      <c r="GR54" s="8">
        <v>7</v>
      </c>
      <c r="GS54" s="28">
        <v>183</v>
      </c>
      <c r="GT54" s="6">
        <v>-740</v>
      </c>
      <c r="GU54" s="52">
        <v>390</v>
      </c>
      <c r="GV54" s="6">
        <v>-30</v>
      </c>
      <c r="GW54" s="28">
        <v>22</v>
      </c>
      <c r="GZ54" s="8">
        <v>127</v>
      </c>
      <c r="HA54" s="28">
        <v>481</v>
      </c>
      <c r="HB54" s="6">
        <v>62</v>
      </c>
      <c r="HC54" s="28"/>
      <c r="HE54" s="8">
        <v>89</v>
      </c>
      <c r="HF54" s="28">
        <v>67</v>
      </c>
      <c r="HG54" s="8">
        <v>244</v>
      </c>
      <c r="HO54" s="8">
        <v>-92</v>
      </c>
      <c r="HP54" s="28">
        <v>92</v>
      </c>
      <c r="HQ54" s="6">
        <v>-1</v>
      </c>
      <c r="HR54" s="28">
        <v>3</v>
      </c>
      <c r="HS54" s="8">
        <v>4</v>
      </c>
      <c r="HT54" s="52">
        <v>163</v>
      </c>
      <c r="HX54" s="8">
        <v>49</v>
      </c>
      <c r="HY54" s="28">
        <v>69</v>
      </c>
      <c r="HZ54" s="8">
        <v>79</v>
      </c>
      <c r="IB54" s="8">
        <v>160</v>
      </c>
      <c r="IC54" s="28">
        <v>101</v>
      </c>
      <c r="ID54" s="8">
        <v>144</v>
      </c>
      <c r="IE54" s="28">
        <v>531</v>
      </c>
      <c r="IH54" s="8">
        <v>830</v>
      </c>
      <c r="II54" s="28">
        <v>147</v>
      </c>
      <c r="IO54">
        <v>122</v>
      </c>
      <c r="IP54" s="10">
        <v>23</v>
      </c>
      <c r="IU54" s="8">
        <v>-838</v>
      </c>
      <c r="IV54" s="28">
        <v>716</v>
      </c>
      <c r="IW54" s="8">
        <v>-693</v>
      </c>
      <c r="IY54" s="8">
        <v>-137</v>
      </c>
      <c r="JA54" s="8">
        <v>58</v>
      </c>
      <c r="JB54" s="12">
        <v>150</v>
      </c>
      <c r="JH54" s="8">
        <v>41</v>
      </c>
      <c r="JI54" s="28">
        <v>30</v>
      </c>
      <c r="JJ54" s="8">
        <v>96</v>
      </c>
      <c r="JK54" s="28">
        <v>44</v>
      </c>
      <c r="JL54" s="8">
        <v>535</v>
      </c>
      <c r="JM54" s="12">
        <v>40</v>
      </c>
      <c r="JN54" s="8">
        <v>-10</v>
      </c>
      <c r="JO54" s="28">
        <v>11</v>
      </c>
      <c r="JP54" s="6">
        <v>78</v>
      </c>
      <c r="JQ54" s="12">
        <v>190</v>
      </c>
      <c r="JT54" s="6">
        <v>-5</v>
      </c>
      <c r="JU54" s="12">
        <v>29</v>
      </c>
      <c r="JW54" s="8">
        <v>-155</v>
      </c>
      <c r="JX54" s="12">
        <v>127</v>
      </c>
      <c r="KE54" s="6">
        <v>30</v>
      </c>
      <c r="KF54" s="12">
        <v>99</v>
      </c>
      <c r="KQ54" s="8">
        <v>132</v>
      </c>
      <c r="KR54" s="28">
        <v>61</v>
      </c>
      <c r="KT54" s="8">
        <v>-306</v>
      </c>
      <c r="KU54" s="28">
        <v>7</v>
      </c>
      <c r="KZ54" s="8">
        <v>-5</v>
      </c>
      <c r="LA54" s="12">
        <v>461</v>
      </c>
      <c r="LD54" s="8">
        <v>-140</v>
      </c>
      <c r="LE54" s="28">
        <v>130</v>
      </c>
      <c r="LF54" s="8">
        <v>-430</v>
      </c>
      <c r="LG54" s="28">
        <v>395</v>
      </c>
      <c r="LH54" s="8">
        <v>138</v>
      </c>
      <c r="LJ54" s="8">
        <v>102</v>
      </c>
      <c r="LK54" s="28">
        <v>476</v>
      </c>
      <c r="LL54" s="8">
        <v>20</v>
      </c>
      <c r="LM54" s="28">
        <v>37</v>
      </c>
      <c r="LN54" s="8">
        <v>46</v>
      </c>
      <c r="LO54" s="28">
        <v>43</v>
      </c>
      <c r="LS54" s="8">
        <v>284</v>
      </c>
      <c r="LU54" s="8">
        <v>29</v>
      </c>
      <c r="LV54" s="12">
        <v>40</v>
      </c>
      <c r="LW54" s="8">
        <v>153</v>
      </c>
      <c r="LX54" s="28">
        <v>190</v>
      </c>
      <c r="LZ54" s="8">
        <v>300</v>
      </c>
      <c r="MF54" s="8">
        <v>618</v>
      </c>
      <c r="MG54" s="12">
        <v>125</v>
      </c>
      <c r="MS54" s="8">
        <v>-85</v>
      </c>
      <c r="MT54" s="12">
        <v>324</v>
      </c>
      <c r="MU54" s="8">
        <v>6</v>
      </c>
      <c r="NC54" s="8">
        <v>-614</v>
      </c>
      <c r="ND54" s="12">
        <v>199</v>
      </c>
      <c r="NE54" s="8">
        <v>842</v>
      </c>
      <c r="NF54" s="28">
        <v>575</v>
      </c>
      <c r="NG54" s="8">
        <v>-45</v>
      </c>
      <c r="NH54" s="28">
        <v>4</v>
      </c>
      <c r="NI54" s="8">
        <v>126</v>
      </c>
      <c r="NJ54" s="28">
        <v>5</v>
      </c>
      <c r="NL54" s="8">
        <v>-104</v>
      </c>
      <c r="NM54" s="28">
        <v>380</v>
      </c>
      <c r="NP54" s="8">
        <v>113</v>
      </c>
      <c r="NQ54" s="12">
        <v>249</v>
      </c>
      <c r="NW54" s="8">
        <v>294</v>
      </c>
      <c r="NX54" s="28">
        <v>228</v>
      </c>
      <c r="NY54" s="8">
        <v>366</v>
      </c>
      <c r="NZ54" s="12">
        <v>279</v>
      </c>
      <c r="OC54" s="8">
        <v>245</v>
      </c>
      <c r="OD54" s="12">
        <v>213</v>
      </c>
      <c r="OO54" s="8">
        <v>8</v>
      </c>
      <c r="OP54" s="28">
        <v>40</v>
      </c>
      <c r="OV54" s="8">
        <v>122</v>
      </c>
      <c r="PC54" s="8">
        <v>-124</v>
      </c>
      <c r="PE54" s="8">
        <v>614</v>
      </c>
      <c r="PF54" s="12">
        <v>37</v>
      </c>
      <c r="PJ54" s="8">
        <v>431</v>
      </c>
      <c r="PK54" s="12">
        <v>231</v>
      </c>
      <c r="PP54" s="8">
        <v>854</v>
      </c>
      <c r="PQ54" s="28">
        <v>10</v>
      </c>
      <c r="PR54" s="28"/>
      <c r="PS54" s="8">
        <v>64</v>
      </c>
      <c r="PT54" s="12">
        <v>390</v>
      </c>
      <c r="PW54" s="8">
        <v>32</v>
      </c>
      <c r="PX54" s="28">
        <v>72</v>
      </c>
      <c r="QE54" s="8">
        <v>-115</v>
      </c>
      <c r="QF54" s="12">
        <v>858</v>
      </c>
      <c r="QH54" s="8">
        <v>44</v>
      </c>
      <c r="QI54" s="12">
        <v>895</v>
      </c>
      <c r="QQ54" s="8">
        <v>-2</v>
      </c>
      <c r="QR54" s="12">
        <v>25</v>
      </c>
      <c r="QT54" s="8">
        <v>120</v>
      </c>
      <c r="QU54" s="12">
        <v>8</v>
      </c>
      <c r="QV54" s="6">
        <v>-218</v>
      </c>
      <c r="QW54" s="12">
        <v>967</v>
      </c>
      <c r="QY54" s="8">
        <v>-29</v>
      </c>
      <c r="QZ54" s="12">
        <v>63</v>
      </c>
      <c r="RC54" s="6">
        <v>-211</v>
      </c>
      <c r="RD54" s="12">
        <v>236</v>
      </c>
      <c r="RE54" s="6">
        <v>158</v>
      </c>
      <c r="RF54" s="12">
        <v>877</v>
      </c>
      <c r="RG54" s="8">
        <v>-619</v>
      </c>
      <c r="RH54" s="28">
        <v>187</v>
      </c>
      <c r="RJ54" s="8">
        <v>-16</v>
      </c>
      <c r="RL54" s="8">
        <v>67</v>
      </c>
      <c r="RM54" s="12">
        <v>199</v>
      </c>
      <c r="RS54" s="6">
        <v>735</v>
      </c>
      <c r="RT54" s="50">
        <v>503</v>
      </c>
      <c r="SF54" s="8">
        <v>-507</v>
      </c>
      <c r="SP54" s="8">
        <v>331</v>
      </c>
      <c r="SQ54" s="12">
        <v>548</v>
      </c>
      <c r="SY54" s="6">
        <v>30</v>
      </c>
      <c r="TA54" s="6"/>
      <c r="TB54" s="6"/>
      <c r="TH54" s="8">
        <v>101</v>
      </c>
      <c r="TI54" s="28">
        <v>49</v>
      </c>
      <c r="TX54" s="8">
        <v>-875</v>
      </c>
      <c r="TY54" s="28">
        <v>522</v>
      </c>
      <c r="TZ54" s="8">
        <v>-31</v>
      </c>
      <c r="UA54" s="12">
        <v>138</v>
      </c>
      <c r="UG54" s="8">
        <v>197</v>
      </c>
      <c r="UH54" s="12">
        <v>455</v>
      </c>
      <c r="UI54" s="8">
        <v>13</v>
      </c>
      <c r="UZ54" s="8">
        <v>307</v>
      </c>
      <c r="VB54" s="8">
        <v>-70</v>
      </c>
      <c r="VC54" s="12">
        <v>53</v>
      </c>
      <c r="VD54" s="8">
        <v>-204</v>
      </c>
      <c r="VF54" s="8">
        <v>-240</v>
      </c>
      <c r="VG54" s="12">
        <v>323</v>
      </c>
      <c r="VH54" s="8">
        <v>130</v>
      </c>
      <c r="VI54" s="28">
        <v>39</v>
      </c>
      <c r="VL54" s="21"/>
      <c r="VM54" s="8">
        <v>4487</v>
      </c>
      <c r="VN54" s="12">
        <v>435</v>
      </c>
      <c r="VO54" s="12"/>
      <c r="VP54" s="12"/>
      <c r="VQ54" s="6">
        <v>-62</v>
      </c>
      <c r="VR54" s="28">
        <v>36</v>
      </c>
      <c r="VS54" s="12"/>
      <c r="VT54" s="12"/>
      <c r="VZ54" s="8">
        <v>33</v>
      </c>
      <c r="WA54" s="28">
        <v>343</v>
      </c>
      <c r="WB54" s="8">
        <v>8626</v>
      </c>
      <c r="WC54" s="12">
        <v>111</v>
      </c>
      <c r="WI54" s="8">
        <v>7779</v>
      </c>
      <c r="WJ54" s="28">
        <v>1964</v>
      </c>
      <c r="WP54" s="2">
        <v>232</v>
      </c>
      <c r="WQ54" s="1">
        <v>97</v>
      </c>
      <c r="WR54" s="10"/>
      <c r="XE54">
        <v>48195</v>
      </c>
      <c r="XF54" s="1">
        <v>21294</v>
      </c>
      <c r="XG54" s="2">
        <v>45</v>
      </c>
      <c r="XH54" s="1">
        <v>23</v>
      </c>
      <c r="XK54">
        <v>106</v>
      </c>
      <c r="XL54" s="1">
        <v>55</v>
      </c>
    </row>
    <row r="55" spans="7:636" x14ac:dyDescent="0.25">
      <c r="G55" s="2">
        <v>-3357</v>
      </c>
      <c r="I55" s="2">
        <v>-4</v>
      </c>
      <c r="K55" s="2">
        <v>3347</v>
      </c>
      <c r="L55" s="1">
        <v>14</v>
      </c>
      <c r="M55">
        <v>-7</v>
      </c>
      <c r="N55" s="1">
        <v>1</v>
      </c>
      <c r="O55" s="26"/>
      <c r="R55">
        <v>10</v>
      </c>
      <c r="S55" s="12">
        <v>86</v>
      </c>
      <c r="T55">
        <v>-9460</v>
      </c>
      <c r="U55" s="1">
        <v>2320</v>
      </c>
      <c r="V55">
        <v>-10</v>
      </c>
      <c r="W55" s="10">
        <v>380</v>
      </c>
      <c r="AB55">
        <v>-94</v>
      </c>
      <c r="AC55" s="1">
        <v>19</v>
      </c>
      <c r="AD55">
        <v>-31</v>
      </c>
      <c r="AE55" s="1">
        <v>7</v>
      </c>
      <c r="AF55">
        <v>1006</v>
      </c>
      <c r="AG55" s="1">
        <v>386</v>
      </c>
      <c r="AJ55" s="2">
        <v>16</v>
      </c>
      <c r="AK55" s="10">
        <v>31</v>
      </c>
      <c r="AY55">
        <v>-83</v>
      </c>
      <c r="AZ55" s="1">
        <v>132</v>
      </c>
      <c r="BA55">
        <v>279</v>
      </c>
      <c r="BB55" s="1">
        <v>493</v>
      </c>
      <c r="BD55" s="8">
        <v>31</v>
      </c>
      <c r="BE55" s="1">
        <v>210</v>
      </c>
      <c r="BF55">
        <v>506</v>
      </c>
      <c r="BG55" s="1">
        <v>67</v>
      </c>
      <c r="BJ55">
        <v>38</v>
      </c>
      <c r="BL55">
        <v>12</v>
      </c>
      <c r="BM55" s="1">
        <v>2</v>
      </c>
      <c r="BN55">
        <v>29</v>
      </c>
      <c r="BP55">
        <v>584</v>
      </c>
      <c r="BQ55" s="10">
        <v>3437</v>
      </c>
      <c r="BT55">
        <v>-40</v>
      </c>
      <c r="BU55" s="1">
        <v>21</v>
      </c>
      <c r="BV55">
        <v>119</v>
      </c>
      <c r="BW55" s="1">
        <v>3</v>
      </c>
      <c r="CE55" s="8">
        <v>124</v>
      </c>
      <c r="CF55" s="28">
        <v>13</v>
      </c>
      <c r="CG55" s="8">
        <v>-304</v>
      </c>
      <c r="CI55" s="8">
        <v>346</v>
      </c>
      <c r="CJ55" s="12">
        <v>194</v>
      </c>
      <c r="CK55" s="8">
        <v>-46</v>
      </c>
      <c r="CL55" s="28">
        <v>31</v>
      </c>
      <c r="CM55" s="6">
        <v>10</v>
      </c>
      <c r="CN55" s="28">
        <v>2</v>
      </c>
      <c r="CO55" s="6">
        <v>-201</v>
      </c>
      <c r="CP55" s="28"/>
      <c r="CQ55" s="6">
        <v>132</v>
      </c>
      <c r="CR55" s="28"/>
      <c r="CS55" s="6">
        <v>157</v>
      </c>
      <c r="CT55" s="28">
        <v>197</v>
      </c>
      <c r="CU55" s="28"/>
      <c r="CV55" s="28"/>
      <c r="CW55" s="28"/>
      <c r="CX55" s="28"/>
      <c r="CZ55" s="23">
        <v>156</v>
      </c>
      <c r="DA55" s="25">
        <v>757</v>
      </c>
      <c r="DB55" s="23">
        <v>130</v>
      </c>
      <c r="DC55" s="25">
        <v>18</v>
      </c>
      <c r="DE55" s="25"/>
      <c r="DF55" s="86">
        <v>135</v>
      </c>
      <c r="DG55" s="25">
        <v>613</v>
      </c>
      <c r="DH55" s="23">
        <v>106</v>
      </c>
      <c r="DI55" s="25">
        <v>118</v>
      </c>
      <c r="DJ55" s="23">
        <v>-191</v>
      </c>
      <c r="DK55" s="28">
        <v>264</v>
      </c>
      <c r="DL55" s="8">
        <v>223</v>
      </c>
      <c r="DQ55" s="8">
        <v>661</v>
      </c>
      <c r="DR55" s="52">
        <v>616</v>
      </c>
      <c r="DS55" s="6">
        <v>76</v>
      </c>
      <c r="DT55" s="52">
        <v>344</v>
      </c>
      <c r="DU55" s="8">
        <v>198</v>
      </c>
      <c r="DV55" s="28">
        <v>60</v>
      </c>
      <c r="DW55" s="8">
        <v>-198</v>
      </c>
      <c r="DX55" s="28">
        <v>228</v>
      </c>
      <c r="DY55" s="6">
        <v>144</v>
      </c>
      <c r="DZ55" s="52">
        <v>78</v>
      </c>
      <c r="EA55" s="23">
        <v>-465</v>
      </c>
      <c r="EB55" s="52">
        <v>142</v>
      </c>
      <c r="EC55" s="6">
        <v>5</v>
      </c>
      <c r="ED55" s="28">
        <v>5</v>
      </c>
      <c r="EE55" s="8">
        <v>-9</v>
      </c>
      <c r="EF55" s="52">
        <v>264</v>
      </c>
      <c r="EG55" s="8">
        <v>279</v>
      </c>
      <c r="EH55" s="28">
        <v>318</v>
      </c>
      <c r="EI55" s="8">
        <v>25</v>
      </c>
      <c r="EJ55" s="52">
        <v>114</v>
      </c>
      <c r="EL55" s="8">
        <v>-126</v>
      </c>
      <c r="EM55" s="28">
        <v>6</v>
      </c>
      <c r="EN55" s="8">
        <v>889</v>
      </c>
      <c r="EO55" s="28">
        <v>15</v>
      </c>
      <c r="EP55" s="28"/>
      <c r="EQ55" s="28"/>
      <c r="EX55" s="8">
        <v>481</v>
      </c>
      <c r="EY55" s="28">
        <v>169</v>
      </c>
      <c r="FD55" s="6">
        <v>172</v>
      </c>
      <c r="FE55" s="28">
        <v>116</v>
      </c>
      <c r="FH55" s="8">
        <v>-222</v>
      </c>
      <c r="FI55" s="28">
        <v>601</v>
      </c>
      <c r="FM55" s="8">
        <v>226</v>
      </c>
      <c r="FN55" s="52">
        <v>211</v>
      </c>
      <c r="FO55" s="8">
        <v>-3</v>
      </c>
      <c r="FP55" s="28">
        <v>209</v>
      </c>
      <c r="FQ55" s="8">
        <v>62</v>
      </c>
      <c r="FR55" s="28">
        <v>7</v>
      </c>
      <c r="FS55" s="8">
        <v>-305</v>
      </c>
      <c r="FT55" s="52">
        <v>144</v>
      </c>
      <c r="FV55" s="8">
        <v>-39</v>
      </c>
      <c r="FW55" s="28">
        <v>67</v>
      </c>
      <c r="GC55" s="8">
        <v>-461</v>
      </c>
      <c r="GE55" s="8">
        <v>967</v>
      </c>
      <c r="GF55" s="28">
        <v>414</v>
      </c>
      <c r="GI55" s="8">
        <v>27</v>
      </c>
      <c r="GJ55" s="28">
        <v>16</v>
      </c>
      <c r="GK55" s="8">
        <v>59</v>
      </c>
      <c r="GL55" s="28">
        <v>10</v>
      </c>
      <c r="GO55" s="28"/>
      <c r="GP55" s="8">
        <v>-209</v>
      </c>
      <c r="GQ55" s="52">
        <v>575</v>
      </c>
      <c r="GR55" s="8">
        <v>138</v>
      </c>
      <c r="GS55" s="28">
        <v>196</v>
      </c>
      <c r="GT55" s="6">
        <v>-154</v>
      </c>
      <c r="GU55" s="52">
        <v>691</v>
      </c>
      <c r="GV55" s="6"/>
      <c r="GW55" s="28"/>
      <c r="GZ55" s="8">
        <v>-786</v>
      </c>
      <c r="HA55" s="28">
        <v>442</v>
      </c>
      <c r="HB55" s="6">
        <v>26</v>
      </c>
      <c r="HC55" s="28"/>
      <c r="HE55" s="8">
        <v>143</v>
      </c>
      <c r="HF55" s="28">
        <v>40</v>
      </c>
      <c r="HG55" s="8">
        <v>96</v>
      </c>
      <c r="HO55" s="8">
        <v>-111</v>
      </c>
      <c r="HP55" s="28">
        <v>889</v>
      </c>
      <c r="HQ55" s="6">
        <v>39</v>
      </c>
      <c r="HR55" s="28">
        <v>11</v>
      </c>
      <c r="HS55" s="8">
        <v>1</v>
      </c>
      <c r="HT55" s="52">
        <v>237</v>
      </c>
      <c r="HX55" s="8">
        <v>-45</v>
      </c>
      <c r="HY55" s="28">
        <v>48</v>
      </c>
      <c r="HZ55" s="8">
        <v>-1</v>
      </c>
      <c r="IB55" s="8">
        <v>700</v>
      </c>
      <c r="IC55" s="28">
        <v>120</v>
      </c>
      <c r="ID55" s="8">
        <v>81</v>
      </c>
      <c r="IE55" s="28">
        <v>337</v>
      </c>
      <c r="IH55" s="8">
        <v>851</v>
      </c>
      <c r="II55" s="28">
        <v>20</v>
      </c>
      <c r="IO55">
        <v>131</v>
      </c>
      <c r="IP55" s="10">
        <v>5</v>
      </c>
      <c r="IU55" s="8">
        <v>-205</v>
      </c>
      <c r="IV55" s="28">
        <v>351</v>
      </c>
      <c r="IW55" s="8">
        <v>-153</v>
      </c>
      <c r="IY55" s="8">
        <v>-130</v>
      </c>
      <c r="JA55" s="8">
        <v>33</v>
      </c>
      <c r="JB55" s="12">
        <v>101</v>
      </c>
      <c r="JH55" s="8">
        <v>420</v>
      </c>
      <c r="JI55" s="28">
        <v>88</v>
      </c>
      <c r="JJ55" s="8">
        <v>-2</v>
      </c>
      <c r="JK55" s="28">
        <v>62</v>
      </c>
      <c r="JL55" s="8">
        <v>581</v>
      </c>
      <c r="JM55" s="12">
        <v>266</v>
      </c>
      <c r="JN55" s="8">
        <v>-12</v>
      </c>
      <c r="JO55" s="28">
        <v>11</v>
      </c>
      <c r="JP55" s="6">
        <v>34</v>
      </c>
      <c r="JQ55" s="12">
        <v>887</v>
      </c>
      <c r="JT55" s="6">
        <v>34</v>
      </c>
      <c r="JU55" s="12">
        <v>293</v>
      </c>
      <c r="JV55" s="56"/>
      <c r="JW55" s="8">
        <v>-113</v>
      </c>
      <c r="JX55" s="12">
        <v>704</v>
      </c>
      <c r="KE55" s="6">
        <v>24</v>
      </c>
      <c r="KF55" s="12">
        <v>26</v>
      </c>
      <c r="KQ55" s="8">
        <v>159</v>
      </c>
      <c r="KR55" s="28">
        <v>59</v>
      </c>
      <c r="KT55" s="8">
        <v>2</v>
      </c>
      <c r="KU55" s="28">
        <v>2</v>
      </c>
      <c r="KZ55" s="8">
        <v>-30</v>
      </c>
      <c r="LA55" s="12">
        <v>987</v>
      </c>
      <c r="LD55" s="8">
        <v>-178</v>
      </c>
      <c r="LE55" s="28">
        <v>191</v>
      </c>
      <c r="LF55" s="8">
        <v>177</v>
      </c>
      <c r="LG55" s="28">
        <v>286</v>
      </c>
      <c r="LH55" s="8">
        <v>194</v>
      </c>
      <c r="LJ55" s="8">
        <v>-258</v>
      </c>
      <c r="LK55" s="28">
        <v>615</v>
      </c>
      <c r="LL55" s="8">
        <v>-4</v>
      </c>
      <c r="LM55" s="28">
        <v>11</v>
      </c>
      <c r="LN55" s="8">
        <v>55</v>
      </c>
      <c r="LO55" s="28">
        <v>48</v>
      </c>
      <c r="LS55" s="8">
        <v>63</v>
      </c>
      <c r="LU55" s="8">
        <v>39</v>
      </c>
      <c r="LV55" s="12">
        <v>44</v>
      </c>
      <c r="LW55" s="8">
        <v>-129</v>
      </c>
      <c r="LX55" s="28">
        <v>239</v>
      </c>
      <c r="LZ55" s="8">
        <v>886</v>
      </c>
      <c r="MF55" s="8">
        <v>-311</v>
      </c>
      <c r="MG55" s="12">
        <v>123</v>
      </c>
      <c r="MS55" s="8">
        <v>-447</v>
      </c>
      <c r="MT55" s="12">
        <v>685</v>
      </c>
      <c r="MU55" s="8">
        <v>-43</v>
      </c>
      <c r="NC55" s="8">
        <v>66</v>
      </c>
      <c r="ND55" s="12">
        <v>17</v>
      </c>
      <c r="NE55" s="8">
        <v>-137</v>
      </c>
      <c r="NF55" s="28">
        <v>603</v>
      </c>
      <c r="NG55" s="8">
        <v>162</v>
      </c>
      <c r="NH55" s="28">
        <v>12</v>
      </c>
      <c r="NI55" s="8">
        <v>87</v>
      </c>
      <c r="NJ55" s="28">
        <v>6</v>
      </c>
      <c r="NL55" s="8">
        <v>-200</v>
      </c>
      <c r="NM55" s="28">
        <v>584</v>
      </c>
      <c r="NP55" s="8">
        <v>-1</v>
      </c>
      <c r="NQ55" s="12">
        <v>219</v>
      </c>
      <c r="NW55" s="8">
        <v>814</v>
      </c>
      <c r="NX55" s="28">
        <v>312</v>
      </c>
      <c r="NY55" s="8">
        <v>-128</v>
      </c>
      <c r="NZ55" s="12">
        <v>180</v>
      </c>
      <c r="OC55" s="8">
        <v>-328</v>
      </c>
      <c r="OD55" s="12">
        <v>645</v>
      </c>
      <c r="OO55" s="8">
        <v>-37</v>
      </c>
      <c r="OP55" s="28">
        <v>44</v>
      </c>
      <c r="OV55" s="8">
        <v>219</v>
      </c>
      <c r="PC55" s="8">
        <v>603</v>
      </c>
      <c r="PE55" s="8">
        <v>-156</v>
      </c>
      <c r="PF55" s="12">
        <v>25</v>
      </c>
      <c r="PJ55" s="8">
        <v>-832</v>
      </c>
      <c r="PK55" s="12">
        <v>116</v>
      </c>
      <c r="PP55" s="8">
        <v>831</v>
      </c>
      <c r="PQ55" s="28">
        <v>11</v>
      </c>
      <c r="PR55" s="28"/>
      <c r="PS55" s="8">
        <v>85</v>
      </c>
      <c r="PT55" s="12">
        <v>576</v>
      </c>
      <c r="PW55" s="8">
        <v>-17</v>
      </c>
      <c r="PX55" s="28">
        <v>10</v>
      </c>
      <c r="QE55" s="8">
        <v>151</v>
      </c>
      <c r="QF55" s="12">
        <v>515</v>
      </c>
      <c r="QH55" s="8">
        <v>44</v>
      </c>
      <c r="QI55" s="12">
        <v>666</v>
      </c>
      <c r="QQ55" s="8">
        <v>31</v>
      </c>
      <c r="QR55" s="12">
        <v>248</v>
      </c>
      <c r="QT55" s="8">
        <v>295</v>
      </c>
      <c r="QU55" s="12">
        <v>3</v>
      </c>
      <c r="QV55" s="6">
        <v>355</v>
      </c>
      <c r="QW55" s="12">
        <v>313</v>
      </c>
      <c r="QY55" s="8">
        <v>-6</v>
      </c>
      <c r="QZ55" s="12">
        <v>72</v>
      </c>
      <c r="RC55" s="6">
        <v>2</v>
      </c>
      <c r="RD55" s="12">
        <v>35</v>
      </c>
      <c r="RE55" s="6">
        <v>-809</v>
      </c>
      <c r="RF55" s="12">
        <v>308</v>
      </c>
      <c r="RG55" s="8">
        <v>914</v>
      </c>
      <c r="RH55" s="28">
        <v>84</v>
      </c>
      <c r="RJ55" s="8">
        <v>45</v>
      </c>
      <c r="RL55" s="8">
        <v>-78</v>
      </c>
      <c r="RM55" s="12">
        <v>105</v>
      </c>
      <c r="RS55" s="6">
        <v>-726</v>
      </c>
      <c r="RT55" s="50">
        <v>266</v>
      </c>
      <c r="SF55" s="8">
        <v>-63</v>
      </c>
      <c r="SP55" s="8">
        <v>-66</v>
      </c>
      <c r="SQ55" s="12">
        <v>5</v>
      </c>
      <c r="SY55" s="6">
        <v>161</v>
      </c>
      <c r="TH55" s="8">
        <v>81</v>
      </c>
      <c r="TI55" s="28">
        <v>32</v>
      </c>
      <c r="TX55" s="8">
        <v>-100</v>
      </c>
      <c r="TY55" s="28">
        <v>515</v>
      </c>
      <c r="TZ55" s="8">
        <v>-91</v>
      </c>
      <c r="UA55" s="12">
        <v>278</v>
      </c>
      <c r="UG55" s="8">
        <v>-282</v>
      </c>
      <c r="UH55" s="12">
        <v>17</v>
      </c>
      <c r="UI55" s="8">
        <v>17</v>
      </c>
      <c r="UZ55" s="8">
        <v>172</v>
      </c>
      <c r="VB55" s="8">
        <v>-58</v>
      </c>
      <c r="VC55" s="12">
        <v>47</v>
      </c>
      <c r="VD55" s="8">
        <v>-223</v>
      </c>
      <c r="VF55" s="8">
        <v>-716</v>
      </c>
      <c r="VG55" s="12">
        <v>781</v>
      </c>
      <c r="VH55" s="8">
        <v>289</v>
      </c>
      <c r="VI55" s="28">
        <v>152</v>
      </c>
      <c r="VL55" s="21"/>
      <c r="VM55" s="8">
        <v>2450</v>
      </c>
      <c r="VN55" s="12">
        <v>150</v>
      </c>
      <c r="VO55" s="12"/>
      <c r="VP55" s="12"/>
      <c r="VQ55" s="6">
        <v>-93</v>
      </c>
      <c r="VR55" s="28">
        <v>16</v>
      </c>
      <c r="VS55" s="12"/>
      <c r="VT55" s="12"/>
      <c r="VZ55" s="8">
        <v>-94</v>
      </c>
      <c r="WA55" s="28">
        <v>221</v>
      </c>
      <c r="WB55" s="8">
        <v>8769</v>
      </c>
      <c r="WC55" s="12">
        <v>336</v>
      </c>
      <c r="WP55" s="2">
        <v>254</v>
      </c>
      <c r="WQ55" s="1">
        <v>164</v>
      </c>
      <c r="WR55" s="10"/>
      <c r="XE55">
        <v>43208</v>
      </c>
      <c r="XF55" s="1">
        <v>21460</v>
      </c>
      <c r="XG55" s="2">
        <v>10</v>
      </c>
      <c r="XH55" s="1">
        <v>5</v>
      </c>
      <c r="XK55">
        <v>104</v>
      </c>
      <c r="XL55" s="1">
        <v>45</v>
      </c>
    </row>
    <row r="56" spans="7:636" x14ac:dyDescent="0.25">
      <c r="G56" s="2">
        <v>-2698</v>
      </c>
      <c r="I56" s="2">
        <v>-65</v>
      </c>
      <c r="K56" s="2">
        <v>4079</v>
      </c>
      <c r="L56" s="1">
        <v>12</v>
      </c>
      <c r="M56">
        <v>62</v>
      </c>
      <c r="N56" s="1">
        <v>2</v>
      </c>
      <c r="O56" s="26"/>
      <c r="R56">
        <v>42</v>
      </c>
      <c r="S56" s="12">
        <v>269</v>
      </c>
      <c r="T56">
        <v>3339</v>
      </c>
      <c r="U56" s="1">
        <v>3885</v>
      </c>
      <c r="V56">
        <v>-11</v>
      </c>
      <c r="W56" s="10">
        <v>435</v>
      </c>
      <c r="AB56">
        <v>-24</v>
      </c>
      <c r="AC56" s="1">
        <v>128</v>
      </c>
      <c r="AD56">
        <v>-30</v>
      </c>
      <c r="AE56" s="1">
        <v>8</v>
      </c>
      <c r="AF56">
        <v>892</v>
      </c>
      <c r="AG56" s="1">
        <v>388</v>
      </c>
      <c r="AJ56" s="2">
        <v>10</v>
      </c>
      <c r="AK56" s="10">
        <v>18</v>
      </c>
      <c r="AY56">
        <v>-1</v>
      </c>
      <c r="AZ56" s="1">
        <v>3</v>
      </c>
      <c r="BA56">
        <v>178</v>
      </c>
      <c r="BB56" s="1">
        <v>447</v>
      </c>
      <c r="BD56" s="8">
        <v>-289</v>
      </c>
      <c r="BE56" s="1">
        <v>369</v>
      </c>
      <c r="BF56">
        <v>120</v>
      </c>
      <c r="BG56" s="1">
        <v>72</v>
      </c>
      <c r="BJ56">
        <v>3</v>
      </c>
      <c r="BL56">
        <v>50</v>
      </c>
      <c r="BM56" s="1">
        <v>4</v>
      </c>
      <c r="BN56">
        <v>-11</v>
      </c>
      <c r="BP56">
        <v>140</v>
      </c>
      <c r="BQ56" s="10">
        <v>1479</v>
      </c>
      <c r="BT56">
        <v>8</v>
      </c>
      <c r="BU56" s="1">
        <v>12</v>
      </c>
      <c r="CE56" s="8">
        <v>188</v>
      </c>
      <c r="CF56" s="28">
        <v>18</v>
      </c>
      <c r="CG56" s="8">
        <v>-295</v>
      </c>
      <c r="CI56" s="8">
        <v>745</v>
      </c>
      <c r="CJ56" s="12">
        <v>218</v>
      </c>
      <c r="CK56" s="8">
        <v>-49</v>
      </c>
      <c r="CL56" s="28">
        <v>32</v>
      </c>
      <c r="CM56" s="6">
        <v>52</v>
      </c>
      <c r="CN56" s="28">
        <v>9</v>
      </c>
      <c r="CO56" s="6">
        <v>-206</v>
      </c>
      <c r="CP56" s="28"/>
      <c r="CQ56" s="6">
        <v>155</v>
      </c>
      <c r="CR56" s="28"/>
      <c r="CS56" s="6">
        <v>-515</v>
      </c>
      <c r="CT56" s="28">
        <v>162</v>
      </c>
      <c r="CU56" s="28"/>
      <c r="CV56" s="28"/>
      <c r="CW56" s="28"/>
      <c r="CX56" s="28"/>
      <c r="CZ56" s="23">
        <v>-519</v>
      </c>
      <c r="DA56" s="25">
        <v>434</v>
      </c>
      <c r="DB56" s="23">
        <v>-115</v>
      </c>
      <c r="DC56" s="25">
        <v>12</v>
      </c>
      <c r="DE56" s="25"/>
      <c r="DF56" s="86">
        <v>100</v>
      </c>
      <c r="DG56" s="25">
        <v>266</v>
      </c>
      <c r="DH56" s="23">
        <v>167</v>
      </c>
      <c r="DI56" s="25">
        <v>368</v>
      </c>
      <c r="DJ56" s="23">
        <v>610</v>
      </c>
      <c r="DK56" s="28">
        <v>215</v>
      </c>
      <c r="DL56" s="8">
        <v>77</v>
      </c>
      <c r="DQ56" s="8">
        <v>813</v>
      </c>
      <c r="DR56" s="52">
        <v>113</v>
      </c>
      <c r="DS56" s="6">
        <v>141</v>
      </c>
      <c r="DT56" s="52">
        <v>97</v>
      </c>
      <c r="DU56" s="8">
        <v>173</v>
      </c>
      <c r="DV56" s="28">
        <v>52</v>
      </c>
      <c r="DW56" s="8">
        <v>-391</v>
      </c>
      <c r="DX56" s="28">
        <v>147</v>
      </c>
      <c r="DY56" s="6">
        <v>-392</v>
      </c>
      <c r="DZ56" s="52">
        <v>126</v>
      </c>
      <c r="EA56" s="23">
        <v>-226</v>
      </c>
      <c r="EB56" s="52">
        <v>575</v>
      </c>
      <c r="EC56" s="6">
        <v>13</v>
      </c>
      <c r="ED56" s="28">
        <v>8</v>
      </c>
      <c r="EE56" s="8">
        <v>9</v>
      </c>
      <c r="EF56" s="52">
        <v>176</v>
      </c>
      <c r="EG56" s="8">
        <v>-106</v>
      </c>
      <c r="EH56" s="28">
        <v>130</v>
      </c>
      <c r="EI56" s="8">
        <v>-2</v>
      </c>
      <c r="EJ56" s="52">
        <v>84</v>
      </c>
      <c r="EL56" s="8">
        <v>7</v>
      </c>
      <c r="EM56" s="28">
        <v>6</v>
      </c>
      <c r="EN56" s="8">
        <v>128</v>
      </c>
      <c r="EO56" s="28">
        <v>16</v>
      </c>
      <c r="EP56" s="28"/>
      <c r="EQ56" s="28"/>
      <c r="EX56" s="8">
        <v>-170</v>
      </c>
      <c r="EY56" s="28">
        <v>122</v>
      </c>
      <c r="FD56" s="6">
        <v>-779</v>
      </c>
      <c r="FE56" s="28">
        <v>413</v>
      </c>
      <c r="FH56" s="8">
        <v>-355</v>
      </c>
      <c r="FI56" s="28">
        <v>129</v>
      </c>
      <c r="FM56" s="8">
        <v>-481</v>
      </c>
      <c r="FN56" s="52">
        <v>256</v>
      </c>
      <c r="FO56" s="8">
        <v>13</v>
      </c>
      <c r="FP56" s="28">
        <v>194</v>
      </c>
      <c r="FQ56" s="8">
        <v>-45</v>
      </c>
      <c r="FR56" s="28">
        <v>7</v>
      </c>
      <c r="FS56" s="8">
        <v>-303</v>
      </c>
      <c r="FT56" s="52">
        <v>136</v>
      </c>
      <c r="FV56" s="8">
        <v>17</v>
      </c>
      <c r="FW56" s="28">
        <v>51</v>
      </c>
      <c r="GC56" s="8">
        <v>-167</v>
      </c>
      <c r="GE56" s="8">
        <v>-495</v>
      </c>
      <c r="GF56" s="28">
        <v>192</v>
      </c>
      <c r="GI56" s="8">
        <v>23</v>
      </c>
      <c r="GJ56" s="28">
        <v>8</v>
      </c>
      <c r="GK56" s="8">
        <v>2</v>
      </c>
      <c r="GL56" s="28">
        <v>1</v>
      </c>
      <c r="GO56" s="28"/>
      <c r="GP56" s="8">
        <v>431</v>
      </c>
      <c r="GQ56" s="52">
        <v>126</v>
      </c>
      <c r="GR56" s="8">
        <v>-525</v>
      </c>
      <c r="GS56" s="28">
        <v>398</v>
      </c>
      <c r="GT56" s="6">
        <v>518</v>
      </c>
      <c r="GU56" s="52">
        <v>707</v>
      </c>
      <c r="GV56" s="6"/>
      <c r="GW56" s="28"/>
      <c r="GZ56" s="8">
        <v>-43</v>
      </c>
      <c r="HA56" s="28">
        <v>28</v>
      </c>
      <c r="HB56" s="6">
        <v>530</v>
      </c>
      <c r="HC56" s="28"/>
      <c r="HE56" s="8">
        <v>-459</v>
      </c>
      <c r="HF56" s="28">
        <v>241</v>
      </c>
      <c r="HG56" s="8">
        <v>41</v>
      </c>
      <c r="HO56" s="8">
        <v>-659</v>
      </c>
      <c r="HP56" s="28">
        <v>215</v>
      </c>
      <c r="HQ56" s="6">
        <v>13</v>
      </c>
      <c r="HR56" s="28">
        <v>15</v>
      </c>
      <c r="HS56" s="8">
        <v>6</v>
      </c>
      <c r="HT56" s="52">
        <v>129</v>
      </c>
      <c r="HX56" s="8">
        <v>4</v>
      </c>
      <c r="HY56" s="28">
        <v>2</v>
      </c>
      <c r="HZ56" s="8">
        <v>5</v>
      </c>
      <c r="IB56" s="8">
        <v>242</v>
      </c>
      <c r="IC56" s="28">
        <v>771</v>
      </c>
      <c r="ID56" s="8">
        <v>-213</v>
      </c>
      <c r="IE56" s="28">
        <v>81</v>
      </c>
      <c r="IH56" s="8">
        <v>31</v>
      </c>
      <c r="II56" s="28">
        <v>121</v>
      </c>
      <c r="IO56">
        <v>997</v>
      </c>
      <c r="IP56" s="10">
        <v>37</v>
      </c>
      <c r="IW56" s="8">
        <v>-281</v>
      </c>
      <c r="IY56" s="8">
        <v>-245</v>
      </c>
      <c r="JA56" s="8">
        <v>-5</v>
      </c>
      <c r="JB56" s="12">
        <v>41</v>
      </c>
      <c r="JH56" s="8">
        <v>-3</v>
      </c>
      <c r="JI56" s="28">
        <v>2</v>
      </c>
      <c r="JJ56" s="8">
        <v>107</v>
      </c>
      <c r="JK56" s="28">
        <v>56</v>
      </c>
      <c r="JL56" s="8">
        <v>-704</v>
      </c>
      <c r="JM56" s="12">
        <v>136</v>
      </c>
      <c r="JN56" s="8">
        <v>-18</v>
      </c>
      <c r="JO56" s="28">
        <v>9</v>
      </c>
      <c r="JP56" s="6">
        <v>25</v>
      </c>
      <c r="JQ56" s="12">
        <v>656</v>
      </c>
      <c r="JT56" s="6">
        <v>-74</v>
      </c>
      <c r="JU56" s="12">
        <v>178</v>
      </c>
      <c r="JW56" s="8">
        <v>-483</v>
      </c>
      <c r="JX56" s="12">
        <v>143</v>
      </c>
      <c r="KE56" s="6">
        <v>165</v>
      </c>
      <c r="KF56" s="12">
        <v>303</v>
      </c>
      <c r="KQ56" s="8">
        <v>101</v>
      </c>
      <c r="KR56" s="28">
        <v>56</v>
      </c>
      <c r="KT56" s="8">
        <v>3</v>
      </c>
      <c r="KU56" s="28">
        <v>14</v>
      </c>
      <c r="KZ56" s="8">
        <v>-39</v>
      </c>
      <c r="LA56" s="12">
        <v>132</v>
      </c>
      <c r="LD56" s="8">
        <v>-142</v>
      </c>
      <c r="LE56" s="28">
        <v>120</v>
      </c>
      <c r="LF56" s="8">
        <v>658</v>
      </c>
      <c r="LG56" s="28">
        <v>251</v>
      </c>
      <c r="LH56" s="8">
        <v>-651</v>
      </c>
      <c r="LJ56" s="8">
        <v>-588</v>
      </c>
      <c r="LK56" s="28">
        <v>300</v>
      </c>
      <c r="LL56" s="8">
        <v>79</v>
      </c>
      <c r="LM56" s="28">
        <v>4</v>
      </c>
      <c r="LN56" s="8">
        <v>52</v>
      </c>
      <c r="LO56" s="28">
        <v>44</v>
      </c>
      <c r="LS56" s="8">
        <v>74</v>
      </c>
      <c r="LU56" s="8">
        <v>-54</v>
      </c>
      <c r="LV56" s="12">
        <v>96</v>
      </c>
      <c r="LW56" s="8">
        <v>-247</v>
      </c>
      <c r="LX56" s="28">
        <v>132</v>
      </c>
      <c r="LZ56" s="8">
        <v>600</v>
      </c>
      <c r="MF56" s="8">
        <v>-649</v>
      </c>
      <c r="MG56" s="12">
        <v>399</v>
      </c>
      <c r="MS56" s="8">
        <v>-647</v>
      </c>
      <c r="MT56" s="12">
        <v>174</v>
      </c>
      <c r="MU56" s="8">
        <v>4</v>
      </c>
      <c r="NC56" s="8">
        <v>75</v>
      </c>
      <c r="ND56" s="12">
        <v>22</v>
      </c>
      <c r="NE56" s="8">
        <v>-516</v>
      </c>
      <c r="NF56" s="28">
        <v>199</v>
      </c>
      <c r="NG56" s="8">
        <v>248</v>
      </c>
      <c r="NH56" s="28">
        <v>13</v>
      </c>
      <c r="NI56" s="8">
        <v>-126</v>
      </c>
      <c r="NJ56" s="28">
        <v>7</v>
      </c>
      <c r="NL56" s="8">
        <v>-440</v>
      </c>
      <c r="NM56" s="28">
        <v>849</v>
      </c>
      <c r="NP56" s="8">
        <v>775</v>
      </c>
      <c r="NQ56" s="12">
        <v>711</v>
      </c>
      <c r="NW56" s="8">
        <v>954</v>
      </c>
      <c r="NX56" s="28">
        <v>350</v>
      </c>
      <c r="NY56" s="8">
        <v>-385</v>
      </c>
      <c r="NZ56" s="12">
        <v>194</v>
      </c>
      <c r="OC56" s="8">
        <v>-517</v>
      </c>
      <c r="OD56" s="12">
        <v>384</v>
      </c>
      <c r="OO56" s="8">
        <v>-61</v>
      </c>
      <c r="OP56" s="28">
        <v>64</v>
      </c>
      <c r="OV56" s="8">
        <v>140</v>
      </c>
      <c r="PC56" s="8">
        <v>1</v>
      </c>
      <c r="PE56" s="8">
        <v>-572</v>
      </c>
      <c r="PF56" s="12">
        <v>84</v>
      </c>
      <c r="PJ56" s="8">
        <v>117</v>
      </c>
      <c r="PK56" s="12">
        <v>226</v>
      </c>
      <c r="PP56" s="8">
        <v>862</v>
      </c>
      <c r="PQ56" s="28">
        <v>9</v>
      </c>
      <c r="PR56" s="28"/>
      <c r="PS56" s="8">
        <v>74</v>
      </c>
      <c r="PT56" s="12">
        <v>502</v>
      </c>
      <c r="PW56" s="8">
        <v>135</v>
      </c>
      <c r="PX56" s="28">
        <v>200</v>
      </c>
      <c r="QE56" s="8">
        <v>383</v>
      </c>
      <c r="QF56" s="12">
        <v>450</v>
      </c>
      <c r="QH56" s="8">
        <v>41</v>
      </c>
      <c r="QI56" s="12">
        <v>163</v>
      </c>
      <c r="QQ56" s="8">
        <v>80</v>
      </c>
      <c r="QR56" s="12">
        <v>252</v>
      </c>
      <c r="QT56" s="8">
        <v>182</v>
      </c>
      <c r="QU56" s="12">
        <v>972</v>
      </c>
      <c r="QV56" s="6">
        <v>345</v>
      </c>
      <c r="QW56" s="12">
        <v>300</v>
      </c>
      <c r="QY56" s="8">
        <v>-23</v>
      </c>
      <c r="QZ56" s="12">
        <v>82</v>
      </c>
      <c r="RC56" s="6">
        <v>-334</v>
      </c>
      <c r="RD56" s="12">
        <v>64</v>
      </c>
      <c r="RE56" s="6">
        <v>-519</v>
      </c>
      <c r="RF56" s="12">
        <v>237</v>
      </c>
      <c r="RG56" s="8">
        <v>254</v>
      </c>
      <c r="RH56" s="28">
        <v>75</v>
      </c>
      <c r="RL56" s="8">
        <v>-59</v>
      </c>
      <c r="RM56" s="12">
        <v>548</v>
      </c>
      <c r="RS56" s="6">
        <v>438</v>
      </c>
      <c r="RT56" s="50">
        <v>128</v>
      </c>
      <c r="SF56" s="8">
        <v>528</v>
      </c>
      <c r="SP56" s="8">
        <v>265</v>
      </c>
      <c r="SQ56" s="12">
        <v>54</v>
      </c>
      <c r="SY56" s="6">
        <v>271</v>
      </c>
      <c r="TH56" s="8">
        <v>49</v>
      </c>
      <c r="TI56" s="28">
        <v>41</v>
      </c>
      <c r="TX56" s="8">
        <v>-322</v>
      </c>
      <c r="TY56" s="28">
        <v>614</v>
      </c>
      <c r="TZ56" s="8">
        <v>-117</v>
      </c>
      <c r="UA56" s="12">
        <v>322</v>
      </c>
      <c r="UG56" s="8">
        <v>-478</v>
      </c>
      <c r="UH56" s="12">
        <v>523</v>
      </c>
      <c r="UI56" s="8">
        <v>19</v>
      </c>
      <c r="UZ56" s="8">
        <v>767</v>
      </c>
      <c r="VB56" s="8">
        <v>-40</v>
      </c>
      <c r="VC56" s="12">
        <v>16</v>
      </c>
      <c r="VF56" s="8">
        <v>-296</v>
      </c>
      <c r="VG56" s="12">
        <v>422</v>
      </c>
      <c r="VH56" s="8">
        <v>634</v>
      </c>
      <c r="VI56" s="28">
        <v>217</v>
      </c>
      <c r="VL56" s="21"/>
      <c r="VM56" s="8">
        <v>-1042</v>
      </c>
      <c r="VN56" s="12">
        <v>225</v>
      </c>
      <c r="VO56" s="12"/>
      <c r="VP56" s="12"/>
      <c r="VQ56" s="6">
        <v>-79</v>
      </c>
      <c r="VR56" s="28">
        <v>16</v>
      </c>
      <c r="VS56" s="12"/>
      <c r="VT56" s="12"/>
      <c r="VZ56" s="8">
        <v>98</v>
      </c>
      <c r="WA56" s="28">
        <v>246</v>
      </c>
      <c r="WB56" s="8">
        <v>8804</v>
      </c>
      <c r="WC56" s="12">
        <v>349</v>
      </c>
      <c r="WP56" s="2">
        <v>38</v>
      </c>
      <c r="WQ56" s="1">
        <v>194</v>
      </c>
      <c r="WR56" s="10"/>
      <c r="XE56">
        <v>50338</v>
      </c>
      <c r="XF56" s="1">
        <v>17906</v>
      </c>
      <c r="XG56" s="2">
        <v>176</v>
      </c>
      <c r="XH56" s="1">
        <v>44</v>
      </c>
      <c r="XK56">
        <v>113</v>
      </c>
      <c r="XL56" s="1">
        <v>38</v>
      </c>
    </row>
    <row r="57" spans="7:636" x14ac:dyDescent="0.25">
      <c r="G57" s="2">
        <v>-1214</v>
      </c>
      <c r="I57" s="2">
        <v>27</v>
      </c>
      <c r="K57" s="2">
        <v>-4843</v>
      </c>
      <c r="L57" s="1">
        <v>12</v>
      </c>
      <c r="M57">
        <v>23</v>
      </c>
      <c r="N57" s="1">
        <v>3</v>
      </c>
      <c r="O57" s="26"/>
      <c r="R57">
        <v>22</v>
      </c>
      <c r="S57" s="12">
        <v>83</v>
      </c>
      <c r="T57">
        <v>-8362</v>
      </c>
      <c r="U57" s="1">
        <v>1736</v>
      </c>
      <c r="V57">
        <v>-10</v>
      </c>
      <c r="W57" s="10">
        <v>271</v>
      </c>
      <c r="AB57">
        <v>-24</v>
      </c>
      <c r="AC57" s="1">
        <v>79</v>
      </c>
      <c r="AD57">
        <v>-11</v>
      </c>
      <c r="AE57" s="1">
        <v>10</v>
      </c>
      <c r="AF57">
        <v>915</v>
      </c>
      <c r="AG57" s="1">
        <v>360</v>
      </c>
      <c r="AJ57" s="2">
        <v>-743</v>
      </c>
      <c r="AK57" s="10">
        <v>254</v>
      </c>
      <c r="AY57">
        <v>-2</v>
      </c>
      <c r="AZ57" s="1">
        <v>11</v>
      </c>
      <c r="BA57">
        <v>613</v>
      </c>
      <c r="BB57" s="1">
        <v>732</v>
      </c>
      <c r="BD57" s="8">
        <v>-2204</v>
      </c>
      <c r="BE57" s="1">
        <v>353</v>
      </c>
      <c r="BF57">
        <v>6415</v>
      </c>
      <c r="BG57" s="1">
        <v>1965</v>
      </c>
      <c r="BJ57">
        <v>14</v>
      </c>
      <c r="BL57">
        <v>2600</v>
      </c>
      <c r="BM57" s="1">
        <v>60</v>
      </c>
      <c r="BN57">
        <v>72</v>
      </c>
      <c r="BP57">
        <v>341</v>
      </c>
      <c r="BQ57" s="10">
        <v>3177</v>
      </c>
      <c r="BT57">
        <v>106</v>
      </c>
      <c r="BU57" s="1">
        <v>159</v>
      </c>
      <c r="CE57" s="8">
        <v>166</v>
      </c>
      <c r="CF57" s="28">
        <v>17</v>
      </c>
      <c r="CG57" s="8">
        <v>234</v>
      </c>
      <c r="CI57" s="8">
        <v>-311</v>
      </c>
      <c r="CJ57" s="12">
        <v>62</v>
      </c>
      <c r="CK57" s="8">
        <v>-39</v>
      </c>
      <c r="CL57" s="28">
        <v>30</v>
      </c>
      <c r="CM57" s="6">
        <v>62</v>
      </c>
      <c r="CN57" s="28">
        <v>20</v>
      </c>
      <c r="CO57" s="6">
        <v>-135</v>
      </c>
      <c r="CP57" s="28"/>
      <c r="CQ57" s="6">
        <v>145</v>
      </c>
      <c r="CR57" s="28"/>
      <c r="CS57" s="6">
        <v>131</v>
      </c>
      <c r="CT57" s="28">
        <v>939</v>
      </c>
      <c r="CU57" s="28"/>
      <c r="CV57" s="28"/>
      <c r="CW57" s="28"/>
      <c r="CX57" s="28"/>
      <c r="CZ57" s="23">
        <v>261</v>
      </c>
      <c r="DA57" s="25">
        <v>289</v>
      </c>
      <c r="DB57" s="23">
        <v>-58</v>
      </c>
      <c r="DC57" s="25">
        <v>34</v>
      </c>
      <c r="DE57" s="25"/>
      <c r="DF57" s="86">
        <v>112</v>
      </c>
      <c r="DG57" s="25">
        <v>175</v>
      </c>
      <c r="DH57" s="23">
        <v>-902</v>
      </c>
      <c r="DI57" s="25">
        <v>638</v>
      </c>
      <c r="DJ57" s="23">
        <v>157</v>
      </c>
      <c r="DK57" s="28">
        <v>143</v>
      </c>
      <c r="DL57" s="8">
        <v>168</v>
      </c>
      <c r="DQ57" s="8">
        <v>-352</v>
      </c>
      <c r="DR57" s="52">
        <v>837</v>
      </c>
      <c r="DS57" s="6">
        <v>288</v>
      </c>
      <c r="DT57" s="52">
        <v>204</v>
      </c>
      <c r="DU57" s="8">
        <v>525</v>
      </c>
      <c r="DV57" s="28">
        <v>45</v>
      </c>
      <c r="DW57" s="8">
        <v>171</v>
      </c>
      <c r="DX57" s="28">
        <v>233</v>
      </c>
      <c r="DY57" s="6">
        <v>909</v>
      </c>
      <c r="DZ57" s="52">
        <v>242</v>
      </c>
      <c r="EA57" s="23">
        <v>153</v>
      </c>
      <c r="EB57" s="52">
        <v>468</v>
      </c>
      <c r="EC57" s="6">
        <v>3</v>
      </c>
      <c r="ED57" s="28">
        <v>3</v>
      </c>
      <c r="EE57" s="8">
        <v>-292</v>
      </c>
      <c r="EF57" s="52">
        <v>236</v>
      </c>
      <c r="EG57" s="8">
        <v>-106</v>
      </c>
      <c r="EH57" s="28">
        <v>130</v>
      </c>
      <c r="EI57" s="8">
        <v>-53</v>
      </c>
      <c r="EJ57" s="52">
        <v>494</v>
      </c>
      <c r="EL57" s="8">
        <v>191</v>
      </c>
      <c r="EM57" s="28">
        <v>142</v>
      </c>
      <c r="EN57" s="8">
        <v>172</v>
      </c>
      <c r="EO57" s="28">
        <v>17</v>
      </c>
      <c r="EP57" s="28"/>
      <c r="EQ57" s="28"/>
      <c r="EX57" s="8">
        <v>114</v>
      </c>
      <c r="EY57" s="28">
        <v>202</v>
      </c>
      <c r="FD57" s="6">
        <v>663</v>
      </c>
      <c r="FE57" s="28">
        <v>162</v>
      </c>
      <c r="FH57" s="8">
        <v>-18</v>
      </c>
      <c r="FI57" s="28">
        <v>2</v>
      </c>
      <c r="FM57" s="8">
        <v>-89</v>
      </c>
      <c r="FN57" s="52">
        <v>79</v>
      </c>
      <c r="FO57" s="8">
        <v>867</v>
      </c>
      <c r="FP57" s="28">
        <v>155</v>
      </c>
      <c r="FQ57" s="8">
        <v>41</v>
      </c>
      <c r="FR57" s="28">
        <v>5</v>
      </c>
      <c r="FS57" s="8">
        <v>-192</v>
      </c>
      <c r="FT57" s="52">
        <v>207</v>
      </c>
      <c r="FV57" s="8">
        <v>-12</v>
      </c>
      <c r="FW57" s="28">
        <v>93</v>
      </c>
      <c r="GC57" s="8">
        <v>-11</v>
      </c>
      <c r="GE57" s="8">
        <v>-806</v>
      </c>
      <c r="GF57" s="28">
        <v>209</v>
      </c>
      <c r="GI57" s="8">
        <v>5</v>
      </c>
      <c r="GJ57" s="28">
        <v>14</v>
      </c>
      <c r="GK57" s="8">
        <v>2</v>
      </c>
      <c r="GL57" s="28">
        <v>1</v>
      </c>
      <c r="GO57" s="28"/>
      <c r="GP57" s="8">
        <v>-736</v>
      </c>
      <c r="GQ57" s="52">
        <v>370</v>
      </c>
      <c r="GR57" s="8">
        <v>-47</v>
      </c>
      <c r="GS57" s="28">
        <v>305</v>
      </c>
      <c r="GT57" s="6">
        <v>242</v>
      </c>
      <c r="GU57" s="52">
        <v>329</v>
      </c>
      <c r="GV57" s="6"/>
      <c r="GW57" s="28"/>
      <c r="GZ57" s="8">
        <v>-214</v>
      </c>
      <c r="HA57" s="28">
        <v>303</v>
      </c>
      <c r="HB57" s="6">
        <v>147</v>
      </c>
      <c r="HC57" s="28"/>
      <c r="HE57" s="8">
        <v>51</v>
      </c>
      <c r="HF57" s="28">
        <v>40</v>
      </c>
      <c r="HG57" s="8">
        <v>-163</v>
      </c>
      <c r="HO57" s="8">
        <v>-467</v>
      </c>
      <c r="HP57" s="28">
        <v>3</v>
      </c>
      <c r="HQ57" s="6">
        <v>5</v>
      </c>
      <c r="HR57" s="28">
        <v>3</v>
      </c>
      <c r="HS57" s="8">
        <v>15</v>
      </c>
      <c r="HT57" s="52">
        <v>300</v>
      </c>
      <c r="HX57" s="8">
        <v>20</v>
      </c>
      <c r="HY57" s="28">
        <v>11</v>
      </c>
      <c r="HZ57" s="8">
        <v>13</v>
      </c>
      <c r="IB57" s="8">
        <v>-121</v>
      </c>
      <c r="IC57" s="28">
        <v>818</v>
      </c>
      <c r="ID57" s="8">
        <v>-114</v>
      </c>
      <c r="IE57" s="28">
        <v>392</v>
      </c>
      <c r="IH57" s="8">
        <v>-199</v>
      </c>
      <c r="II57" s="28">
        <v>114</v>
      </c>
      <c r="IO57">
        <v>-161</v>
      </c>
      <c r="IP57" s="10">
        <v>75</v>
      </c>
      <c r="IW57" s="8">
        <v>29</v>
      </c>
      <c r="IY57" s="8">
        <v>115</v>
      </c>
      <c r="JA57" s="8">
        <v>294</v>
      </c>
      <c r="JB57" s="12">
        <v>683</v>
      </c>
      <c r="JH57" s="8">
        <v>148</v>
      </c>
      <c r="JI57" s="28">
        <v>77</v>
      </c>
      <c r="JJ57" s="8">
        <v>245</v>
      </c>
      <c r="JK57" s="28">
        <v>81</v>
      </c>
      <c r="JL57" s="8">
        <v>307</v>
      </c>
      <c r="JM57" s="12">
        <v>213</v>
      </c>
      <c r="JN57" s="8">
        <v>-22</v>
      </c>
      <c r="JO57" s="28">
        <v>9</v>
      </c>
      <c r="JP57" s="6">
        <v>117</v>
      </c>
      <c r="JQ57" s="12">
        <v>428</v>
      </c>
      <c r="JT57" s="6">
        <v>12</v>
      </c>
      <c r="JU57" s="12">
        <v>175</v>
      </c>
      <c r="JW57" s="8">
        <v>-414</v>
      </c>
      <c r="JX57" s="12">
        <v>119</v>
      </c>
      <c r="KE57" s="6">
        <v>183</v>
      </c>
      <c r="KF57" s="12">
        <v>170</v>
      </c>
      <c r="KQ57" s="8">
        <v>385</v>
      </c>
      <c r="KR57" s="28">
        <v>54</v>
      </c>
      <c r="KT57" s="8">
        <v>-169</v>
      </c>
      <c r="KU57" s="28">
        <v>9</v>
      </c>
      <c r="KZ57" s="8">
        <v>-56</v>
      </c>
      <c r="LA57" s="12">
        <v>113</v>
      </c>
      <c r="LD57" s="8">
        <v>-509</v>
      </c>
      <c r="LE57" s="28">
        <v>932</v>
      </c>
      <c r="LF57" s="8">
        <v>785</v>
      </c>
      <c r="LG57" s="28">
        <v>242</v>
      </c>
      <c r="LH57" s="8">
        <v>-220</v>
      </c>
      <c r="LJ57" s="8">
        <v>-400</v>
      </c>
      <c r="LK57" s="28">
        <v>702</v>
      </c>
      <c r="LL57" s="8">
        <v>-76</v>
      </c>
      <c r="LM57" s="28">
        <v>34</v>
      </c>
      <c r="LN57" s="8">
        <v>11</v>
      </c>
      <c r="LO57" s="28">
        <v>11</v>
      </c>
      <c r="LS57" s="8">
        <v>212</v>
      </c>
      <c r="LU57" s="8">
        <v>190</v>
      </c>
      <c r="LV57" s="12">
        <v>214</v>
      </c>
      <c r="LW57" s="8">
        <v>925</v>
      </c>
      <c r="LX57" s="28">
        <v>543</v>
      </c>
      <c r="LZ57" s="8">
        <v>676</v>
      </c>
      <c r="MF57" s="8">
        <v>-158</v>
      </c>
      <c r="MG57" s="12">
        <v>253</v>
      </c>
      <c r="MS57" s="8">
        <v>-165</v>
      </c>
      <c r="MT57" s="12">
        <v>388</v>
      </c>
      <c r="MU57" s="8">
        <v>94</v>
      </c>
      <c r="NC57" s="8">
        <v>-60</v>
      </c>
      <c r="ND57" s="12">
        <v>161</v>
      </c>
      <c r="NE57" s="8">
        <v>231</v>
      </c>
      <c r="NF57" s="28">
        <v>603</v>
      </c>
      <c r="NG57" s="8">
        <v>486</v>
      </c>
      <c r="NH57" s="28">
        <v>20</v>
      </c>
      <c r="NI57" s="8">
        <v>95</v>
      </c>
      <c r="NJ57" s="28">
        <v>30</v>
      </c>
      <c r="NL57" s="8">
        <v>-581</v>
      </c>
      <c r="NM57" s="28">
        <v>804</v>
      </c>
      <c r="NP57" s="8">
        <v>-9</v>
      </c>
      <c r="NQ57" s="12">
        <v>10</v>
      </c>
      <c r="NW57" s="8">
        <v>103</v>
      </c>
      <c r="NX57" s="28">
        <v>380</v>
      </c>
      <c r="NY57" s="8">
        <v>-275</v>
      </c>
      <c r="NZ57" s="12">
        <v>227</v>
      </c>
      <c r="OC57" s="8">
        <v>-179</v>
      </c>
      <c r="OD57" s="12">
        <v>558</v>
      </c>
      <c r="OO57" s="8">
        <v>71</v>
      </c>
      <c r="OP57" s="28">
        <v>97</v>
      </c>
      <c r="OV57" s="8">
        <v>374</v>
      </c>
      <c r="PC57" s="8">
        <v>1</v>
      </c>
      <c r="PE57" s="8">
        <v>533</v>
      </c>
      <c r="PF57" s="12">
        <v>56</v>
      </c>
      <c r="PJ57" s="8">
        <v>134</v>
      </c>
      <c r="PK57" s="12">
        <v>247</v>
      </c>
      <c r="PP57" s="8">
        <v>910</v>
      </c>
      <c r="PQ57" s="28">
        <v>6</v>
      </c>
      <c r="PR57" s="28"/>
      <c r="PS57" s="8">
        <v>-96</v>
      </c>
      <c r="PT57" s="12">
        <v>164</v>
      </c>
      <c r="PW57" s="8">
        <v>-61</v>
      </c>
      <c r="PX57" s="28">
        <v>449</v>
      </c>
      <c r="QE57" s="8">
        <v>489</v>
      </c>
      <c r="QF57" s="12">
        <v>221</v>
      </c>
      <c r="QH57" s="8">
        <v>22</v>
      </c>
      <c r="QI57" s="12">
        <v>145</v>
      </c>
      <c r="QQ57" s="8">
        <v>-1</v>
      </c>
      <c r="QR57" s="12">
        <v>67</v>
      </c>
      <c r="QT57" s="8">
        <v>122</v>
      </c>
      <c r="QU57" s="12">
        <v>272</v>
      </c>
      <c r="QV57" s="6">
        <v>134</v>
      </c>
      <c r="QW57" s="12">
        <v>752</v>
      </c>
      <c r="QY57" s="8">
        <v>20</v>
      </c>
      <c r="QZ57" s="12">
        <v>71</v>
      </c>
      <c r="RC57" s="6">
        <v>-726</v>
      </c>
      <c r="RD57" s="12">
        <v>142</v>
      </c>
      <c r="RE57" s="6">
        <v>418</v>
      </c>
      <c r="RF57" s="12">
        <v>262</v>
      </c>
      <c r="RG57" s="8">
        <v>-10</v>
      </c>
      <c r="RH57" s="28">
        <v>111</v>
      </c>
      <c r="RL57" s="8">
        <v>12</v>
      </c>
      <c r="RM57" s="12">
        <v>600</v>
      </c>
      <c r="RS57" s="6">
        <v>194</v>
      </c>
      <c r="RT57" s="50">
        <v>949</v>
      </c>
      <c r="SF57" s="8">
        <v>237</v>
      </c>
      <c r="SP57" s="8">
        <v>61</v>
      </c>
      <c r="SQ57" s="12">
        <v>218</v>
      </c>
      <c r="SY57" s="6">
        <v>5</v>
      </c>
      <c r="TH57" s="8">
        <v>688</v>
      </c>
      <c r="TI57" s="28">
        <v>98</v>
      </c>
      <c r="TX57" s="8">
        <v>-627</v>
      </c>
      <c r="TY57" s="28">
        <v>588</v>
      </c>
      <c r="TZ57" s="8">
        <v>-111</v>
      </c>
      <c r="UA57" s="12">
        <v>342</v>
      </c>
      <c r="UG57" s="8">
        <v>148</v>
      </c>
      <c r="UH57" s="12">
        <v>178</v>
      </c>
      <c r="UI57" s="8">
        <v>21</v>
      </c>
      <c r="UZ57" s="8">
        <v>192</v>
      </c>
      <c r="VB57" s="8">
        <v>-20</v>
      </c>
      <c r="VC57" s="12">
        <v>4</v>
      </c>
      <c r="VF57" s="8">
        <v>-379</v>
      </c>
      <c r="VG57" s="12">
        <v>556</v>
      </c>
      <c r="VH57" s="8">
        <v>-7</v>
      </c>
      <c r="VI57" s="28">
        <v>50</v>
      </c>
      <c r="VL57" s="21"/>
      <c r="VM57" s="8">
        <v>-2253</v>
      </c>
      <c r="VN57" s="12">
        <v>39</v>
      </c>
      <c r="VO57" s="12"/>
      <c r="VP57" s="12"/>
      <c r="VQ57" s="6">
        <v>-82</v>
      </c>
      <c r="VR57" s="28">
        <v>19</v>
      </c>
      <c r="VS57" s="12"/>
      <c r="VT57" s="12"/>
      <c r="VZ57" s="8">
        <v>72</v>
      </c>
      <c r="WA57" s="28">
        <v>214</v>
      </c>
      <c r="WB57" s="8">
        <v>8725</v>
      </c>
      <c r="WC57" s="12">
        <v>346</v>
      </c>
      <c r="WP57" s="2">
        <v>146</v>
      </c>
      <c r="WQ57" s="1">
        <v>118</v>
      </c>
      <c r="WR57" s="10"/>
      <c r="XE57">
        <v>52999</v>
      </c>
      <c r="XF57" s="1">
        <v>17265</v>
      </c>
      <c r="XG57" s="2">
        <v>36</v>
      </c>
      <c r="XH57" s="1">
        <v>5</v>
      </c>
      <c r="XK57">
        <v>158</v>
      </c>
      <c r="XL57" s="1">
        <v>76</v>
      </c>
    </row>
    <row r="58" spans="7:636" x14ac:dyDescent="0.25">
      <c r="G58" s="2">
        <v>1139</v>
      </c>
      <c r="I58" s="2">
        <v>128</v>
      </c>
      <c r="K58" s="2">
        <v>2486</v>
      </c>
      <c r="L58" s="1">
        <v>14</v>
      </c>
      <c r="M58">
        <v>51</v>
      </c>
      <c r="N58" s="1">
        <v>1</v>
      </c>
      <c r="O58" s="26"/>
      <c r="R58">
        <v>68</v>
      </c>
      <c r="S58" s="12">
        <v>2085</v>
      </c>
      <c r="V58">
        <v>-13</v>
      </c>
      <c r="W58" s="10">
        <v>711</v>
      </c>
      <c r="AB58">
        <v>-21</v>
      </c>
      <c r="AC58" s="1">
        <v>65</v>
      </c>
      <c r="AD58">
        <v>-13</v>
      </c>
      <c r="AE58" s="1">
        <v>10</v>
      </c>
      <c r="AF58">
        <v>-120</v>
      </c>
      <c r="AG58" s="1">
        <v>986</v>
      </c>
      <c r="AJ58" s="2">
        <v>-823</v>
      </c>
      <c r="AK58" s="10">
        <v>262</v>
      </c>
      <c r="AY58">
        <v>-231</v>
      </c>
      <c r="AZ58" s="1">
        <v>27</v>
      </c>
      <c r="BA58">
        <v>-980</v>
      </c>
      <c r="BB58" s="1">
        <v>718</v>
      </c>
      <c r="BD58" s="8">
        <v>4376</v>
      </c>
      <c r="BE58" s="1">
        <v>191</v>
      </c>
      <c r="BF58">
        <v>3352</v>
      </c>
      <c r="BG58" s="1">
        <v>1597</v>
      </c>
      <c r="BJ58">
        <v>16</v>
      </c>
      <c r="BL58">
        <v>-30</v>
      </c>
      <c r="BM58" s="1">
        <v>5</v>
      </c>
      <c r="BN58">
        <v>169</v>
      </c>
      <c r="BP58">
        <v>3219</v>
      </c>
      <c r="BQ58" s="10">
        <v>2242</v>
      </c>
      <c r="BT58">
        <v>683</v>
      </c>
      <c r="BU58" s="1">
        <v>678</v>
      </c>
      <c r="CE58" s="8">
        <v>186</v>
      </c>
      <c r="CF58" s="28">
        <v>18</v>
      </c>
      <c r="CG58" s="8">
        <v>263</v>
      </c>
      <c r="CI58" s="8">
        <v>532</v>
      </c>
      <c r="CJ58" s="12">
        <v>153</v>
      </c>
      <c r="CK58" s="8">
        <v>-37</v>
      </c>
      <c r="CL58" s="28">
        <v>30</v>
      </c>
      <c r="CM58" s="6">
        <v>45</v>
      </c>
      <c r="CN58" s="28">
        <v>27</v>
      </c>
      <c r="CO58" s="6">
        <v>-109</v>
      </c>
      <c r="CP58" s="28"/>
      <c r="CQ58" s="6">
        <v>127</v>
      </c>
      <c r="CR58" s="28"/>
      <c r="CS58" s="6">
        <v>26</v>
      </c>
      <c r="CT58" s="28">
        <v>52</v>
      </c>
      <c r="CU58" s="28"/>
      <c r="CV58" s="28"/>
      <c r="CW58" s="28"/>
      <c r="CX58" s="28"/>
      <c r="CZ58" s="23">
        <v>-74</v>
      </c>
      <c r="DA58" s="25">
        <v>39</v>
      </c>
      <c r="DB58" s="23">
        <v>-8</v>
      </c>
      <c r="DC58" s="25">
        <v>15</v>
      </c>
      <c r="DE58" s="25"/>
      <c r="DF58" s="86">
        <v>112</v>
      </c>
      <c r="DG58" s="25">
        <v>363</v>
      </c>
      <c r="DH58" s="23">
        <v>-885</v>
      </c>
      <c r="DI58" s="25">
        <v>538</v>
      </c>
      <c r="DJ58" s="23">
        <v>912</v>
      </c>
      <c r="DK58" s="28">
        <v>438</v>
      </c>
      <c r="DL58" s="8">
        <v>92</v>
      </c>
      <c r="DQ58" s="8">
        <v>-763</v>
      </c>
      <c r="DR58" s="52">
        <v>764</v>
      </c>
      <c r="DS58" s="6">
        <v>-199</v>
      </c>
      <c r="DT58" s="52">
        <v>139</v>
      </c>
      <c r="DU58" s="8">
        <v>205</v>
      </c>
      <c r="DV58" s="28">
        <v>50</v>
      </c>
      <c r="DW58" s="8">
        <v>-21</v>
      </c>
      <c r="DX58" s="28">
        <v>33</v>
      </c>
      <c r="DY58" s="6">
        <v>-496</v>
      </c>
      <c r="DZ58" s="52">
        <v>127</v>
      </c>
      <c r="EA58" s="23">
        <v>12</v>
      </c>
      <c r="EB58" s="52">
        <v>136</v>
      </c>
      <c r="EC58" s="6">
        <v>12</v>
      </c>
      <c r="ED58" s="28">
        <v>4</v>
      </c>
      <c r="EE58" s="8">
        <v>-4</v>
      </c>
      <c r="EF58" s="52">
        <v>194</v>
      </c>
      <c r="EG58" s="8">
        <v>660</v>
      </c>
      <c r="EH58" s="28">
        <v>250</v>
      </c>
      <c r="EI58" s="8">
        <v>6</v>
      </c>
      <c r="EJ58" s="52">
        <v>422</v>
      </c>
      <c r="EL58" s="8">
        <v>-481</v>
      </c>
      <c r="EM58" s="28">
        <v>121</v>
      </c>
      <c r="EN58" s="8">
        <v>147</v>
      </c>
      <c r="EO58" s="28">
        <v>10</v>
      </c>
      <c r="EP58" s="28"/>
      <c r="EQ58" s="28"/>
      <c r="EX58" s="8">
        <v>-626</v>
      </c>
      <c r="EY58" s="28">
        <v>177</v>
      </c>
      <c r="FD58" s="6">
        <v>-142</v>
      </c>
      <c r="FE58" s="28">
        <v>232</v>
      </c>
      <c r="FH58" s="8">
        <v>-46</v>
      </c>
      <c r="FI58" s="28">
        <v>13</v>
      </c>
      <c r="FM58" s="8">
        <v>-27</v>
      </c>
      <c r="FN58" s="52">
        <v>14</v>
      </c>
      <c r="FO58" s="8">
        <v>611</v>
      </c>
      <c r="FP58" s="28">
        <v>163</v>
      </c>
      <c r="FQ58" s="8">
        <v>70</v>
      </c>
      <c r="FR58" s="28">
        <v>6</v>
      </c>
      <c r="FS58" s="8">
        <v>-1</v>
      </c>
      <c r="FT58" s="52">
        <v>6</v>
      </c>
      <c r="FV58" s="8">
        <v>126</v>
      </c>
      <c r="FW58" s="28">
        <v>46</v>
      </c>
      <c r="GC58" s="8">
        <v>458</v>
      </c>
      <c r="GE58" s="8">
        <v>731</v>
      </c>
      <c r="GF58" s="28">
        <v>793</v>
      </c>
      <c r="GI58" s="8">
        <v>17</v>
      </c>
      <c r="GJ58" s="28">
        <v>32</v>
      </c>
      <c r="GK58" s="8">
        <v>2</v>
      </c>
      <c r="GL58" s="28">
        <v>1</v>
      </c>
      <c r="GO58" s="28"/>
      <c r="GP58" s="8">
        <v>-543</v>
      </c>
      <c r="GQ58" s="52">
        <v>152</v>
      </c>
      <c r="GR58" s="8">
        <v>-791</v>
      </c>
      <c r="GS58" s="28">
        <v>395</v>
      </c>
      <c r="GT58" s="6">
        <v>188</v>
      </c>
      <c r="GU58" s="52">
        <v>693</v>
      </c>
      <c r="GV58" s="6"/>
      <c r="GW58" s="28"/>
      <c r="GZ58" s="8">
        <v>386</v>
      </c>
      <c r="HA58" s="28">
        <v>357</v>
      </c>
      <c r="HB58" s="6">
        <v>-170</v>
      </c>
      <c r="HC58" s="28"/>
      <c r="HE58" s="8">
        <v>9</v>
      </c>
      <c r="HF58" s="28">
        <v>64</v>
      </c>
      <c r="HG58" s="8">
        <v>118</v>
      </c>
      <c r="HO58" s="8">
        <v>183</v>
      </c>
      <c r="HP58" s="28">
        <v>238</v>
      </c>
      <c r="HQ58" s="6">
        <v>5</v>
      </c>
      <c r="HR58" s="28">
        <v>2</v>
      </c>
      <c r="HS58" s="8">
        <v>-6</v>
      </c>
      <c r="HT58" s="52">
        <v>2</v>
      </c>
      <c r="HX58" s="8">
        <v>26</v>
      </c>
      <c r="HY58" s="28">
        <v>8</v>
      </c>
      <c r="HZ58" s="8">
        <v>-2</v>
      </c>
      <c r="IB58" s="8">
        <v>311</v>
      </c>
      <c r="IC58" s="28">
        <v>118</v>
      </c>
      <c r="ID58" s="8">
        <v>16</v>
      </c>
      <c r="IE58" s="28">
        <v>902</v>
      </c>
      <c r="IH58" s="8">
        <v>329</v>
      </c>
      <c r="II58" s="28">
        <v>124</v>
      </c>
      <c r="IO58">
        <v>202</v>
      </c>
      <c r="IP58" s="10">
        <v>45</v>
      </c>
      <c r="IW58" s="8">
        <v>108</v>
      </c>
      <c r="IY58" s="8">
        <v>144</v>
      </c>
      <c r="JA58" s="8">
        <v>226</v>
      </c>
      <c r="JB58" s="12">
        <v>262</v>
      </c>
      <c r="JH58" s="8">
        <v>-20</v>
      </c>
      <c r="JI58" s="28">
        <v>9</v>
      </c>
      <c r="JJ58" s="8">
        <v>-77</v>
      </c>
      <c r="JK58" s="28">
        <v>52</v>
      </c>
      <c r="JL58" s="8">
        <v>384</v>
      </c>
      <c r="JM58" s="12">
        <v>91</v>
      </c>
      <c r="JN58" s="8">
        <v>-24</v>
      </c>
      <c r="JO58" s="28">
        <v>10</v>
      </c>
      <c r="JP58" s="6">
        <v>-3</v>
      </c>
      <c r="JQ58" s="12">
        <v>372</v>
      </c>
      <c r="JT58" s="6">
        <v>30</v>
      </c>
      <c r="JU58" s="12">
        <v>223</v>
      </c>
      <c r="JW58" s="8">
        <v>-406</v>
      </c>
      <c r="JX58" s="12">
        <v>103</v>
      </c>
      <c r="KE58" s="6">
        <v>138</v>
      </c>
      <c r="KF58" s="12">
        <v>179</v>
      </c>
      <c r="KQ58" s="8">
        <v>362</v>
      </c>
      <c r="KR58" s="28">
        <v>58</v>
      </c>
      <c r="KT58" s="8">
        <v>44</v>
      </c>
      <c r="KU58" s="28">
        <v>14</v>
      </c>
      <c r="KZ58" s="8">
        <v>-28</v>
      </c>
      <c r="LA58" s="12">
        <v>535</v>
      </c>
      <c r="LD58" s="8">
        <v>150</v>
      </c>
      <c r="LE58" s="28">
        <v>117</v>
      </c>
      <c r="LF58" s="8">
        <v>-325</v>
      </c>
      <c r="LG58" s="28">
        <v>208</v>
      </c>
      <c r="LH58" s="8">
        <v>820</v>
      </c>
      <c r="LJ58" s="8">
        <v>-100</v>
      </c>
      <c r="LK58" s="28">
        <v>108</v>
      </c>
      <c r="LL58" s="8">
        <v>78</v>
      </c>
      <c r="LM58" s="28">
        <v>41</v>
      </c>
      <c r="LN58" s="8">
        <v>11</v>
      </c>
      <c r="LO58" s="28">
        <v>11</v>
      </c>
      <c r="LS58" s="8">
        <v>96</v>
      </c>
      <c r="LU58" s="8">
        <v>-3</v>
      </c>
      <c r="LV58" s="12">
        <v>1</v>
      </c>
      <c r="LW58" s="8">
        <v>-224</v>
      </c>
      <c r="LX58" s="28">
        <v>384</v>
      </c>
      <c r="LZ58" s="8">
        <v>470</v>
      </c>
      <c r="MF58" s="8">
        <v>-112</v>
      </c>
      <c r="MG58" s="12">
        <v>218</v>
      </c>
      <c r="MS58" s="8">
        <v>-268</v>
      </c>
      <c r="MT58" s="12">
        <v>571</v>
      </c>
      <c r="MU58" s="8">
        <v>-50</v>
      </c>
      <c r="NC58" s="8">
        <v>7</v>
      </c>
      <c r="ND58" s="12">
        <v>156</v>
      </c>
      <c r="NE58" s="8">
        <v>112</v>
      </c>
      <c r="NF58" s="28">
        <v>605</v>
      </c>
      <c r="NG58" s="8">
        <v>616</v>
      </c>
      <c r="NH58" s="28">
        <v>31</v>
      </c>
      <c r="NI58" s="8">
        <v>206</v>
      </c>
      <c r="NJ58" s="28">
        <v>219</v>
      </c>
      <c r="NL58" s="8">
        <v>-125</v>
      </c>
      <c r="NM58" s="28">
        <v>374</v>
      </c>
      <c r="NP58" s="8">
        <v>31</v>
      </c>
      <c r="NQ58" s="12">
        <v>40</v>
      </c>
      <c r="NW58" s="8">
        <v>107</v>
      </c>
      <c r="NX58" s="28">
        <v>430</v>
      </c>
      <c r="NY58" s="8">
        <v>286</v>
      </c>
      <c r="NZ58" s="12">
        <v>137</v>
      </c>
      <c r="OC58" s="8">
        <v>122</v>
      </c>
      <c r="OD58" s="12">
        <v>110</v>
      </c>
      <c r="OO58" s="8">
        <v>-34</v>
      </c>
      <c r="OP58" s="28">
        <v>44</v>
      </c>
      <c r="OV58" s="8">
        <v>707</v>
      </c>
      <c r="PC58" s="8">
        <v>324</v>
      </c>
      <c r="PE58" s="8">
        <v>159</v>
      </c>
      <c r="PF58" s="12">
        <v>38</v>
      </c>
      <c r="PJ58" s="8">
        <v>306</v>
      </c>
      <c r="PK58" s="12">
        <v>118</v>
      </c>
      <c r="PP58" s="8">
        <v>909</v>
      </c>
      <c r="PQ58" s="28">
        <v>6</v>
      </c>
      <c r="PR58" s="28"/>
      <c r="PS58" s="8">
        <v>110</v>
      </c>
      <c r="PT58" s="12">
        <v>30</v>
      </c>
      <c r="PW58" s="8">
        <v>21</v>
      </c>
      <c r="PX58" s="28">
        <v>492</v>
      </c>
      <c r="QE58" s="8">
        <v>-298</v>
      </c>
      <c r="QF58" s="12">
        <v>667</v>
      </c>
      <c r="QH58" s="8">
        <v>-61</v>
      </c>
      <c r="QI58" s="12">
        <v>207</v>
      </c>
      <c r="QQ58" s="8">
        <v>-28</v>
      </c>
      <c r="QR58" s="12">
        <v>238</v>
      </c>
      <c r="QT58" s="8">
        <v>149</v>
      </c>
      <c r="QU58" s="12">
        <v>25</v>
      </c>
      <c r="QV58" s="6">
        <v>-168</v>
      </c>
      <c r="QW58" s="12">
        <v>110</v>
      </c>
      <c r="QY58" s="8">
        <v>3</v>
      </c>
      <c r="QZ58" s="12">
        <v>69</v>
      </c>
      <c r="RC58" s="6">
        <v>360</v>
      </c>
      <c r="RD58" s="12">
        <v>70</v>
      </c>
      <c r="RE58" s="6">
        <v>-263</v>
      </c>
      <c r="RF58" s="12">
        <v>185</v>
      </c>
      <c r="RG58" s="8">
        <v>-210</v>
      </c>
      <c r="RH58" s="28">
        <v>158</v>
      </c>
      <c r="RL58" s="8">
        <v>226</v>
      </c>
      <c r="RM58" s="12">
        <v>183</v>
      </c>
      <c r="RS58" s="6">
        <v>367</v>
      </c>
      <c r="RT58" s="50">
        <v>959</v>
      </c>
      <c r="SF58" s="8">
        <v>153</v>
      </c>
      <c r="SP58" s="8">
        <v>-117</v>
      </c>
      <c r="SQ58" s="12">
        <v>76</v>
      </c>
      <c r="SY58" s="6">
        <v>575</v>
      </c>
      <c r="TH58" s="8">
        <v>709</v>
      </c>
      <c r="TI58" s="28">
        <v>75</v>
      </c>
      <c r="TX58" s="8">
        <v>-842</v>
      </c>
      <c r="TY58" s="28">
        <v>456</v>
      </c>
      <c r="TZ58" s="8">
        <v>-75</v>
      </c>
      <c r="UA58" s="12">
        <v>354</v>
      </c>
      <c r="UG58" s="8">
        <v>227</v>
      </c>
      <c r="UH58" s="12">
        <v>73</v>
      </c>
      <c r="UI58" s="8">
        <v>17</v>
      </c>
      <c r="UZ58" s="8">
        <v>571</v>
      </c>
      <c r="VB58" s="8">
        <v>107</v>
      </c>
      <c r="VC58" s="12">
        <v>287</v>
      </c>
      <c r="VF58" s="8">
        <v>555</v>
      </c>
      <c r="VG58" s="12">
        <v>658</v>
      </c>
      <c r="VH58" s="8">
        <v>288</v>
      </c>
      <c r="VI58" s="28">
        <v>22</v>
      </c>
      <c r="VL58" s="21"/>
      <c r="VM58" s="8">
        <v>-6212</v>
      </c>
      <c r="VN58" s="12">
        <v>120</v>
      </c>
      <c r="VO58" s="12"/>
      <c r="VP58" s="12"/>
      <c r="VQ58" s="6">
        <v>-78</v>
      </c>
      <c r="VR58" s="28">
        <v>19</v>
      </c>
      <c r="VS58" s="12"/>
      <c r="VT58" s="12"/>
      <c r="VZ58" s="8">
        <v>189</v>
      </c>
      <c r="WA58" s="28">
        <v>138</v>
      </c>
      <c r="WB58" s="8">
        <v>8789</v>
      </c>
      <c r="WC58" s="12">
        <v>336</v>
      </c>
      <c r="WP58" s="2">
        <v>-14</v>
      </c>
      <c r="WQ58" s="1">
        <v>105</v>
      </c>
      <c r="WR58" s="10"/>
      <c r="XE58">
        <v>56653</v>
      </c>
      <c r="XF58" s="1">
        <v>20265</v>
      </c>
      <c r="XG58" s="2">
        <v>754</v>
      </c>
      <c r="XH58" s="1">
        <v>160</v>
      </c>
      <c r="XK58">
        <v>66</v>
      </c>
      <c r="XL58" s="1">
        <v>42</v>
      </c>
    </row>
    <row r="59" spans="7:636" x14ac:dyDescent="0.25">
      <c r="G59" s="2">
        <v>-4374</v>
      </c>
      <c r="I59" s="2">
        <v>-70</v>
      </c>
      <c r="K59" s="2">
        <v>1942</v>
      </c>
      <c r="L59" s="1">
        <v>17</v>
      </c>
      <c r="M59">
        <v>14</v>
      </c>
      <c r="N59" s="1">
        <v>1</v>
      </c>
      <c r="O59" s="26"/>
      <c r="R59">
        <v>53</v>
      </c>
      <c r="S59" s="12">
        <v>1365</v>
      </c>
      <c r="V59">
        <v>-194</v>
      </c>
      <c r="W59" s="10">
        <v>281</v>
      </c>
      <c r="AB59">
        <v>-22</v>
      </c>
      <c r="AC59" s="1">
        <v>52</v>
      </c>
      <c r="AD59">
        <v>12</v>
      </c>
      <c r="AE59" s="1">
        <v>4</v>
      </c>
      <c r="AF59">
        <v>-123</v>
      </c>
      <c r="AG59" s="1">
        <v>101</v>
      </c>
      <c r="AJ59" s="2">
        <v>-25</v>
      </c>
      <c r="AK59" s="10">
        <v>18</v>
      </c>
      <c r="AY59">
        <v>14</v>
      </c>
      <c r="AZ59" s="1">
        <v>4</v>
      </c>
      <c r="BA59">
        <v>674</v>
      </c>
      <c r="BB59" s="1">
        <v>102</v>
      </c>
      <c r="BD59" s="8">
        <v>2431</v>
      </c>
      <c r="BE59" s="1">
        <v>74</v>
      </c>
      <c r="BF59">
        <v>3262</v>
      </c>
      <c r="BG59" s="1">
        <v>963</v>
      </c>
      <c r="BJ59">
        <v>5</v>
      </c>
      <c r="BL59">
        <v>20</v>
      </c>
      <c r="BM59" s="1">
        <v>5</v>
      </c>
      <c r="BN59">
        <v>-80</v>
      </c>
      <c r="BP59">
        <v>479</v>
      </c>
      <c r="BQ59" s="10">
        <v>1301</v>
      </c>
      <c r="BT59">
        <v>385</v>
      </c>
      <c r="BU59" s="1">
        <v>69</v>
      </c>
      <c r="CE59" s="8">
        <v>161</v>
      </c>
      <c r="CF59" s="28">
        <v>16</v>
      </c>
      <c r="CG59" s="8">
        <v>243</v>
      </c>
      <c r="CI59" s="8">
        <v>964</v>
      </c>
      <c r="CJ59" s="12">
        <v>446</v>
      </c>
      <c r="CK59" s="8">
        <v>-37</v>
      </c>
      <c r="CL59" s="28">
        <v>30</v>
      </c>
      <c r="CM59" s="6">
        <v>-27</v>
      </c>
      <c r="CN59" s="28">
        <v>17</v>
      </c>
      <c r="CO59" s="6">
        <v>-693</v>
      </c>
      <c r="CP59" s="28"/>
      <c r="CQ59" s="6">
        <v>127</v>
      </c>
      <c r="CR59" s="28"/>
      <c r="CS59" s="6">
        <v>-195</v>
      </c>
      <c r="CT59" s="28">
        <v>520</v>
      </c>
      <c r="CU59" s="28"/>
      <c r="CV59" s="28"/>
      <c r="CW59" s="28"/>
      <c r="CX59" s="28"/>
      <c r="CZ59" s="23">
        <v>101</v>
      </c>
      <c r="DA59" s="25">
        <v>27</v>
      </c>
      <c r="DB59" s="23">
        <v>186</v>
      </c>
      <c r="DC59" s="25">
        <v>16</v>
      </c>
      <c r="DE59" s="25"/>
      <c r="DF59" s="86">
        <v>110</v>
      </c>
      <c r="DG59" s="25">
        <v>234</v>
      </c>
      <c r="DH59" s="23">
        <v>51</v>
      </c>
      <c r="DI59" s="25">
        <v>14</v>
      </c>
      <c r="DJ59" s="23">
        <v>-410</v>
      </c>
      <c r="DK59" s="28">
        <v>177</v>
      </c>
      <c r="DL59" s="8">
        <v>104</v>
      </c>
      <c r="DQ59" s="8">
        <v>-571</v>
      </c>
      <c r="DR59" s="52">
        <v>357</v>
      </c>
      <c r="DS59" s="6">
        <v>-64</v>
      </c>
      <c r="DT59" s="52">
        <v>266</v>
      </c>
      <c r="DU59" s="8">
        <v>177</v>
      </c>
      <c r="DV59" s="28">
        <v>42</v>
      </c>
      <c r="DW59" s="8">
        <v>109</v>
      </c>
      <c r="DX59" s="28">
        <v>789</v>
      </c>
      <c r="DY59" s="6">
        <v>995</v>
      </c>
      <c r="DZ59" s="52">
        <v>501</v>
      </c>
      <c r="EA59" s="23">
        <v>-408</v>
      </c>
      <c r="EB59" s="52">
        <v>497</v>
      </c>
      <c r="EC59" s="6">
        <v>6</v>
      </c>
      <c r="ED59" s="28">
        <v>6</v>
      </c>
      <c r="EE59" s="8">
        <v>3</v>
      </c>
      <c r="EF59" s="52">
        <v>92</v>
      </c>
      <c r="EG59" s="8">
        <v>-280</v>
      </c>
      <c r="EH59" s="28">
        <v>696</v>
      </c>
      <c r="EI59" s="8">
        <v>-19</v>
      </c>
      <c r="EJ59" s="52">
        <v>530</v>
      </c>
      <c r="EL59" s="8">
        <v>623</v>
      </c>
      <c r="EM59" s="28">
        <v>928</v>
      </c>
      <c r="EN59" s="8">
        <v>448</v>
      </c>
      <c r="EO59" s="28">
        <v>148</v>
      </c>
      <c r="EP59" s="28"/>
      <c r="EQ59" s="28"/>
      <c r="EX59" s="8">
        <v>153</v>
      </c>
      <c r="EY59" s="28">
        <v>135</v>
      </c>
      <c r="FD59" s="6">
        <v>222</v>
      </c>
      <c r="FE59" s="28">
        <v>730</v>
      </c>
      <c r="FH59" s="8">
        <v>66</v>
      </c>
      <c r="FI59" s="28">
        <v>29</v>
      </c>
      <c r="FM59" s="8">
        <v>-723</v>
      </c>
      <c r="FN59" s="52">
        <v>338</v>
      </c>
      <c r="FO59" s="8">
        <v>719</v>
      </c>
      <c r="FP59" s="28">
        <v>188</v>
      </c>
      <c r="FQ59" s="8">
        <v>-55</v>
      </c>
      <c r="FR59" s="28">
        <v>5</v>
      </c>
      <c r="FS59" s="8">
        <v>-1</v>
      </c>
      <c r="FT59" s="52">
        <v>7</v>
      </c>
      <c r="FV59" s="8">
        <v>-99</v>
      </c>
      <c r="FW59" s="28">
        <v>25</v>
      </c>
      <c r="GC59" s="8">
        <v>293</v>
      </c>
      <c r="GE59" s="8">
        <v>489</v>
      </c>
      <c r="GF59" s="28">
        <v>239</v>
      </c>
      <c r="GI59" s="8">
        <v>13</v>
      </c>
      <c r="GJ59" s="28">
        <v>44</v>
      </c>
      <c r="GK59" s="8">
        <v>5</v>
      </c>
      <c r="GL59" s="28">
        <v>4</v>
      </c>
      <c r="GO59" s="28"/>
      <c r="GP59" s="8">
        <v>391</v>
      </c>
      <c r="GQ59" s="52">
        <v>184</v>
      </c>
      <c r="GR59" s="8">
        <v>-77</v>
      </c>
      <c r="GS59" s="28">
        <v>291</v>
      </c>
      <c r="GT59" s="6">
        <v>-257</v>
      </c>
      <c r="GU59" s="52">
        <v>104</v>
      </c>
      <c r="GV59" s="6"/>
      <c r="GW59" s="28"/>
      <c r="GZ59" s="8">
        <v>502</v>
      </c>
      <c r="HA59" s="28">
        <v>19</v>
      </c>
      <c r="HB59" s="6">
        <v>-94</v>
      </c>
      <c r="HC59" s="28"/>
      <c r="HE59" s="8">
        <v>-47</v>
      </c>
      <c r="HF59" s="28">
        <v>96</v>
      </c>
      <c r="HG59" s="8">
        <v>252</v>
      </c>
      <c r="HO59" s="8">
        <v>27</v>
      </c>
      <c r="HP59" s="28">
        <v>92</v>
      </c>
      <c r="HQ59" s="6">
        <v>5</v>
      </c>
      <c r="HR59" s="28">
        <v>3</v>
      </c>
      <c r="HS59" s="8">
        <v>-21</v>
      </c>
      <c r="HT59" s="52">
        <v>117</v>
      </c>
      <c r="HX59" s="8">
        <v>16</v>
      </c>
      <c r="HY59" s="28">
        <v>12</v>
      </c>
      <c r="HZ59" s="8">
        <v>-48</v>
      </c>
      <c r="IB59" s="8">
        <v>-735</v>
      </c>
      <c r="IC59" s="28">
        <v>118</v>
      </c>
      <c r="ID59" s="8">
        <v>-138</v>
      </c>
      <c r="IE59" s="28">
        <v>305</v>
      </c>
      <c r="IH59" s="8">
        <v>-837</v>
      </c>
      <c r="II59" s="28">
        <v>120</v>
      </c>
      <c r="IO59">
        <v>314</v>
      </c>
      <c r="IP59" s="10">
        <v>309</v>
      </c>
      <c r="IW59" s="8">
        <v>338</v>
      </c>
      <c r="IY59" s="8">
        <v>-870</v>
      </c>
      <c r="JA59" s="8">
        <v>892</v>
      </c>
      <c r="JB59" s="12">
        <v>606</v>
      </c>
      <c r="JH59" s="8">
        <v>134</v>
      </c>
      <c r="JI59" s="28">
        <v>46</v>
      </c>
      <c r="JJ59" s="8">
        <v>14</v>
      </c>
      <c r="JK59" s="28">
        <v>63</v>
      </c>
      <c r="JL59" s="8">
        <v>-216</v>
      </c>
      <c r="JM59" s="12">
        <v>139</v>
      </c>
      <c r="JN59" s="8">
        <v>-24</v>
      </c>
      <c r="JO59" s="28">
        <v>11</v>
      </c>
      <c r="JP59" s="6">
        <v>11</v>
      </c>
      <c r="JQ59" s="12">
        <v>234</v>
      </c>
      <c r="JT59" s="6">
        <v>41</v>
      </c>
      <c r="JU59" s="12">
        <v>323</v>
      </c>
      <c r="JW59" s="8">
        <v>-231</v>
      </c>
      <c r="JX59" s="12">
        <v>967</v>
      </c>
      <c r="KE59" s="6">
        <v>-339</v>
      </c>
      <c r="KF59" s="12">
        <v>529</v>
      </c>
      <c r="KQ59" s="8">
        <v>150</v>
      </c>
      <c r="KR59" s="28">
        <v>22</v>
      </c>
      <c r="KT59" s="8">
        <v>4</v>
      </c>
      <c r="KU59" s="28">
        <v>3</v>
      </c>
      <c r="KZ59" s="8">
        <v>-10</v>
      </c>
      <c r="LA59" s="12">
        <v>360</v>
      </c>
      <c r="LD59" s="8">
        <v>389</v>
      </c>
      <c r="LE59" s="28">
        <v>287</v>
      </c>
      <c r="LF59" s="8">
        <v>132</v>
      </c>
      <c r="LG59" s="28">
        <v>164</v>
      </c>
      <c r="LH59" s="8">
        <v>-718</v>
      </c>
      <c r="LJ59" s="8">
        <v>-307</v>
      </c>
      <c r="LK59" s="28">
        <v>154</v>
      </c>
      <c r="LL59" s="8">
        <v>-27</v>
      </c>
      <c r="LM59" s="28">
        <v>25</v>
      </c>
      <c r="LN59" s="8">
        <v>12</v>
      </c>
      <c r="LO59" s="28">
        <v>11</v>
      </c>
      <c r="LS59" s="8">
        <v>23</v>
      </c>
      <c r="LU59" s="8">
        <v>140</v>
      </c>
      <c r="LV59" s="12">
        <v>159</v>
      </c>
      <c r="LW59" s="8">
        <v>732</v>
      </c>
      <c r="LX59" s="28">
        <v>65</v>
      </c>
      <c r="LZ59" s="8">
        <v>639</v>
      </c>
      <c r="MF59" s="8">
        <v>-814</v>
      </c>
      <c r="MG59" s="12">
        <v>128</v>
      </c>
      <c r="MS59" s="8">
        <v>-138</v>
      </c>
      <c r="MT59" s="12">
        <v>235</v>
      </c>
      <c r="MU59" s="8">
        <v>62</v>
      </c>
      <c r="NC59" s="8">
        <v>-127</v>
      </c>
      <c r="ND59" s="12">
        <v>401</v>
      </c>
      <c r="NE59" s="8">
        <v>887</v>
      </c>
      <c r="NF59" s="28">
        <v>654</v>
      </c>
      <c r="NG59" s="8">
        <v>-83</v>
      </c>
      <c r="NH59" s="28">
        <v>15</v>
      </c>
      <c r="NI59" s="8">
        <v>119</v>
      </c>
      <c r="NJ59" s="28">
        <v>39</v>
      </c>
      <c r="NL59" s="8">
        <v>-572</v>
      </c>
      <c r="NM59" s="28">
        <v>578</v>
      </c>
      <c r="NP59" s="8">
        <v>136</v>
      </c>
      <c r="NQ59" s="12">
        <v>186</v>
      </c>
      <c r="NW59" s="8">
        <v>794</v>
      </c>
      <c r="NX59" s="28">
        <v>596</v>
      </c>
      <c r="NY59" s="8">
        <v>721</v>
      </c>
      <c r="NZ59" s="12">
        <v>124</v>
      </c>
      <c r="OC59" s="8">
        <v>857</v>
      </c>
      <c r="OD59" s="12">
        <v>867</v>
      </c>
      <c r="OO59" s="8">
        <v>-13</v>
      </c>
      <c r="OP59" s="28">
        <v>60</v>
      </c>
      <c r="OV59" s="8">
        <v>897</v>
      </c>
      <c r="PC59" s="8">
        <v>139</v>
      </c>
      <c r="PE59" s="8">
        <v>514</v>
      </c>
      <c r="PF59" s="12">
        <v>119</v>
      </c>
      <c r="PJ59" s="8">
        <v>315</v>
      </c>
      <c r="PK59" s="12">
        <v>259</v>
      </c>
      <c r="PP59" s="8">
        <v>947</v>
      </c>
      <c r="PQ59" s="28">
        <v>7</v>
      </c>
      <c r="PR59" s="28"/>
      <c r="PS59" s="8">
        <v>-102</v>
      </c>
      <c r="PT59" s="12">
        <v>279</v>
      </c>
      <c r="PW59" s="8">
        <v>-38</v>
      </c>
      <c r="PX59" s="28">
        <v>11</v>
      </c>
      <c r="QE59" s="8">
        <v>458</v>
      </c>
      <c r="QF59" s="12">
        <v>296</v>
      </c>
      <c r="QH59" s="8">
        <v>-193</v>
      </c>
      <c r="QI59" s="12">
        <v>237</v>
      </c>
      <c r="QQ59" s="8">
        <v>-1</v>
      </c>
      <c r="QR59" s="12">
        <v>17</v>
      </c>
      <c r="QT59" s="8">
        <v>792</v>
      </c>
      <c r="QU59" s="12">
        <v>566</v>
      </c>
      <c r="QV59" s="6">
        <v>745</v>
      </c>
      <c r="QW59" s="12">
        <v>157</v>
      </c>
      <c r="QY59" s="8">
        <v>12</v>
      </c>
      <c r="QZ59" s="12">
        <v>46</v>
      </c>
      <c r="RC59" s="6">
        <v>6161</v>
      </c>
      <c r="RD59" s="12">
        <v>123</v>
      </c>
      <c r="RE59" s="6">
        <v>-230</v>
      </c>
      <c r="RF59" s="12">
        <v>147</v>
      </c>
      <c r="RG59" s="8">
        <v>-499</v>
      </c>
      <c r="RH59" s="28">
        <v>203</v>
      </c>
      <c r="RL59" s="8">
        <v>-17</v>
      </c>
      <c r="RM59" s="12">
        <v>419</v>
      </c>
      <c r="RS59" s="6">
        <v>-161</v>
      </c>
      <c r="RT59" s="50">
        <v>303</v>
      </c>
      <c r="SP59" s="8">
        <v>106</v>
      </c>
      <c r="SQ59" s="12">
        <v>404</v>
      </c>
      <c r="SY59" s="6">
        <v>178</v>
      </c>
      <c r="TH59" s="8">
        <v>723</v>
      </c>
      <c r="TI59" s="28">
        <v>111</v>
      </c>
      <c r="TX59" s="8">
        <v>263</v>
      </c>
      <c r="TY59" s="28">
        <v>709</v>
      </c>
      <c r="TZ59" s="8">
        <v>204</v>
      </c>
      <c r="UA59" s="12">
        <v>648</v>
      </c>
      <c r="UG59" s="8">
        <v>184</v>
      </c>
      <c r="UH59" s="12">
        <v>414</v>
      </c>
      <c r="UI59" s="8">
        <v>15</v>
      </c>
      <c r="UZ59" s="8">
        <v>142</v>
      </c>
      <c r="VB59" s="8">
        <v>118</v>
      </c>
      <c r="VC59" s="12">
        <v>297</v>
      </c>
      <c r="VF59" s="8">
        <v>286</v>
      </c>
      <c r="VG59" s="12">
        <v>163</v>
      </c>
      <c r="VH59" s="8">
        <v>-1</v>
      </c>
      <c r="VI59" s="28">
        <v>11</v>
      </c>
      <c r="VL59" s="21"/>
      <c r="VM59" s="8">
        <v>-5783</v>
      </c>
      <c r="VN59" s="12">
        <v>104</v>
      </c>
      <c r="VO59" s="12"/>
      <c r="VP59" s="12"/>
      <c r="VQ59" s="6">
        <v>-88</v>
      </c>
      <c r="VR59" s="28">
        <v>16</v>
      </c>
      <c r="VS59" s="12"/>
      <c r="VT59" s="12"/>
      <c r="VZ59" s="8">
        <v>186</v>
      </c>
      <c r="WA59" s="28">
        <v>18</v>
      </c>
      <c r="WB59" s="8">
        <v>8799</v>
      </c>
      <c r="WC59" s="12">
        <v>371</v>
      </c>
      <c r="WP59" s="2">
        <v>-15</v>
      </c>
      <c r="WQ59" s="1">
        <v>13</v>
      </c>
      <c r="WR59" s="10"/>
      <c r="XE59">
        <v>56090</v>
      </c>
      <c r="XF59" s="1">
        <v>18953</v>
      </c>
      <c r="XG59" s="2">
        <v>26</v>
      </c>
      <c r="XH59" s="1">
        <v>10</v>
      </c>
      <c r="XK59">
        <v>80</v>
      </c>
      <c r="XL59" s="1">
        <v>35</v>
      </c>
    </row>
    <row r="60" spans="7:636" x14ac:dyDescent="0.25">
      <c r="G60" s="2">
        <v>-3608</v>
      </c>
      <c r="I60" s="2">
        <v>1283</v>
      </c>
      <c r="K60" s="2">
        <v>2497</v>
      </c>
      <c r="L60" s="1">
        <v>16</v>
      </c>
      <c r="M60">
        <v>804</v>
      </c>
      <c r="N60" s="1">
        <v>227</v>
      </c>
      <c r="O60" s="26"/>
      <c r="R60">
        <v>13</v>
      </c>
      <c r="S60" s="12">
        <v>255</v>
      </c>
      <c r="V60">
        <v>6</v>
      </c>
      <c r="W60" s="10">
        <v>220</v>
      </c>
      <c r="AB60">
        <v>-86</v>
      </c>
      <c r="AC60" s="1">
        <v>54</v>
      </c>
      <c r="AD60">
        <v>23</v>
      </c>
      <c r="AE60" s="1">
        <v>4</v>
      </c>
      <c r="AF60">
        <v>-111</v>
      </c>
      <c r="AG60" s="1">
        <v>103</v>
      </c>
      <c r="AJ60" s="2">
        <v>14</v>
      </c>
      <c r="AK60" s="10">
        <v>9</v>
      </c>
      <c r="AY60">
        <v>-12784</v>
      </c>
      <c r="AZ60" s="1">
        <v>1673</v>
      </c>
      <c r="BA60">
        <v>144</v>
      </c>
      <c r="BB60" s="1">
        <v>459</v>
      </c>
      <c r="BD60" s="8">
        <v>228</v>
      </c>
      <c r="BE60" s="1">
        <v>114</v>
      </c>
      <c r="BF60">
        <v>-1119</v>
      </c>
      <c r="BG60" s="1">
        <v>423</v>
      </c>
      <c r="BJ60">
        <v>20</v>
      </c>
      <c r="BL60">
        <v>49</v>
      </c>
      <c r="BM60" s="1">
        <v>5</v>
      </c>
      <c r="BN60">
        <v>19</v>
      </c>
      <c r="BP60">
        <v>707</v>
      </c>
      <c r="BQ60" s="10">
        <v>1563</v>
      </c>
      <c r="BT60">
        <v>-128</v>
      </c>
      <c r="BU60" s="1">
        <v>1144</v>
      </c>
      <c r="CE60" s="8">
        <v>125</v>
      </c>
      <c r="CF60" s="28">
        <v>16</v>
      </c>
      <c r="CG60" s="8">
        <v>-260</v>
      </c>
      <c r="CI60" s="8">
        <v>615</v>
      </c>
      <c r="CJ60" s="12">
        <v>114</v>
      </c>
      <c r="CK60" s="8">
        <v>-20</v>
      </c>
      <c r="CL60" s="28">
        <v>17</v>
      </c>
      <c r="CM60" s="6">
        <v>294</v>
      </c>
      <c r="CN60" s="28">
        <v>44</v>
      </c>
      <c r="CO60" s="6">
        <v>-569</v>
      </c>
      <c r="CP60" s="28"/>
      <c r="CQ60" s="6">
        <v>107</v>
      </c>
      <c r="CR60" s="28"/>
      <c r="CS60" s="6">
        <v>-650</v>
      </c>
      <c r="CT60" s="28">
        <v>298</v>
      </c>
      <c r="CU60" s="28"/>
      <c r="CV60" s="28"/>
      <c r="CW60" s="28"/>
      <c r="CX60" s="28"/>
      <c r="CZ60" s="23">
        <v>-8</v>
      </c>
      <c r="DA60" s="25">
        <v>14</v>
      </c>
      <c r="DB60" s="23">
        <v>-96</v>
      </c>
      <c r="DC60" s="25">
        <v>3</v>
      </c>
      <c r="DE60" s="25"/>
      <c r="DF60" s="86">
        <v>638</v>
      </c>
      <c r="DG60" s="25">
        <v>211</v>
      </c>
      <c r="DH60" s="23">
        <v>-41</v>
      </c>
      <c r="DI60" s="25">
        <v>23</v>
      </c>
      <c r="DJ60" s="23">
        <v>-597</v>
      </c>
      <c r="DK60" s="28">
        <v>170</v>
      </c>
      <c r="DL60" s="8">
        <v>198</v>
      </c>
      <c r="DQ60" s="8">
        <v>880</v>
      </c>
      <c r="DR60" s="52">
        <v>351</v>
      </c>
      <c r="DS60" s="6">
        <v>88</v>
      </c>
      <c r="DT60" s="52">
        <v>199</v>
      </c>
      <c r="DU60" s="8">
        <v>166</v>
      </c>
      <c r="DV60" s="28">
        <v>36</v>
      </c>
      <c r="DW60" s="8">
        <v>-153</v>
      </c>
      <c r="DX60" s="28">
        <v>224</v>
      </c>
      <c r="DY60" s="6">
        <v>657</v>
      </c>
      <c r="DZ60" s="52">
        <v>773</v>
      </c>
      <c r="EA60" s="23">
        <v>-116</v>
      </c>
      <c r="EB60" s="52">
        <v>699</v>
      </c>
      <c r="EC60" s="6">
        <v>348</v>
      </c>
      <c r="ED60" s="28">
        <v>461</v>
      </c>
      <c r="EE60" s="8">
        <v>618</v>
      </c>
      <c r="EF60" s="52">
        <v>139</v>
      </c>
      <c r="EG60" s="8">
        <v>496</v>
      </c>
      <c r="EH60" s="28">
        <v>181</v>
      </c>
      <c r="EI60" s="8">
        <v>10</v>
      </c>
      <c r="EJ60" s="52">
        <v>839</v>
      </c>
      <c r="EL60" s="8">
        <v>-171</v>
      </c>
      <c r="EM60" s="28">
        <v>754</v>
      </c>
      <c r="EN60" s="8">
        <v>562</v>
      </c>
      <c r="EO60" s="28">
        <v>17</v>
      </c>
      <c r="EP60" s="28"/>
      <c r="EQ60" s="28"/>
      <c r="EX60" s="8">
        <v>434</v>
      </c>
      <c r="EY60" s="28">
        <v>125</v>
      </c>
      <c r="FD60" s="6">
        <v>170</v>
      </c>
      <c r="FE60" s="28">
        <v>668</v>
      </c>
      <c r="FH60" s="8">
        <v>-149</v>
      </c>
      <c r="FI60" s="28">
        <v>308</v>
      </c>
      <c r="FM60" s="8">
        <v>183</v>
      </c>
      <c r="FN60" s="52">
        <v>239</v>
      </c>
      <c r="FO60" s="8">
        <v>144</v>
      </c>
      <c r="FP60" s="28">
        <v>102</v>
      </c>
      <c r="FQ60" s="8">
        <v>42</v>
      </c>
      <c r="FR60" s="28">
        <v>3</v>
      </c>
      <c r="FS60" s="8">
        <v>-1</v>
      </c>
      <c r="FT60" s="52">
        <v>8</v>
      </c>
      <c r="FV60" s="8">
        <v>-74</v>
      </c>
      <c r="FW60" s="28">
        <v>47</v>
      </c>
      <c r="GC60" s="8">
        <v>558</v>
      </c>
      <c r="GE60" s="8">
        <v>-17</v>
      </c>
      <c r="GF60" s="28">
        <v>9</v>
      </c>
      <c r="GI60" s="8">
        <v>-130</v>
      </c>
      <c r="GJ60" s="28">
        <v>75</v>
      </c>
      <c r="GK60" s="8">
        <v>19</v>
      </c>
      <c r="GL60" s="28">
        <v>6</v>
      </c>
      <c r="GO60" s="28"/>
      <c r="GP60" s="8">
        <v>-590</v>
      </c>
      <c r="GQ60" s="52">
        <v>99</v>
      </c>
      <c r="GR60" s="8">
        <v>-272</v>
      </c>
      <c r="GS60" s="28">
        <v>259</v>
      </c>
      <c r="GT60" s="6">
        <v>30</v>
      </c>
      <c r="GU60" s="52">
        <v>162</v>
      </c>
      <c r="GV60" s="6"/>
      <c r="GW60" s="28"/>
      <c r="GZ60" s="8">
        <v>328</v>
      </c>
      <c r="HA60" s="28">
        <v>9</v>
      </c>
      <c r="HB60" s="6">
        <v>290</v>
      </c>
      <c r="HC60" s="28"/>
      <c r="HE60" s="8">
        <v>-246</v>
      </c>
      <c r="HF60" s="28">
        <v>212</v>
      </c>
      <c r="HG60" s="8">
        <v>56</v>
      </c>
      <c r="HQ60" s="6">
        <v>5</v>
      </c>
      <c r="HR60" s="28">
        <v>3</v>
      </c>
      <c r="HS60" s="8">
        <v>1</v>
      </c>
      <c r="HT60" s="52">
        <v>25</v>
      </c>
      <c r="HX60" s="8">
        <v>21</v>
      </c>
      <c r="HY60" s="28">
        <v>9</v>
      </c>
      <c r="HZ60" s="8">
        <v>53</v>
      </c>
      <c r="IB60" s="8">
        <v>-524</v>
      </c>
      <c r="IC60" s="28">
        <v>167</v>
      </c>
      <c r="ID60" s="8">
        <v>304</v>
      </c>
      <c r="IE60" s="28">
        <v>22</v>
      </c>
      <c r="IH60" s="8">
        <v>-15</v>
      </c>
      <c r="II60" s="28">
        <v>23</v>
      </c>
      <c r="IO60">
        <v>145</v>
      </c>
      <c r="IP60" s="10">
        <v>348</v>
      </c>
      <c r="IW60" s="8">
        <v>114</v>
      </c>
      <c r="IY60" s="8">
        <v>-310</v>
      </c>
      <c r="JA60" s="8">
        <v>480</v>
      </c>
      <c r="JB60" s="12">
        <v>501</v>
      </c>
      <c r="JH60" s="8">
        <v>-35</v>
      </c>
      <c r="JI60" s="28">
        <v>38</v>
      </c>
      <c r="JJ60" s="8">
        <v>69</v>
      </c>
      <c r="JK60" s="28">
        <v>68</v>
      </c>
      <c r="JL60" s="8">
        <v>-1</v>
      </c>
      <c r="JN60" s="8">
        <v>-27</v>
      </c>
      <c r="JO60" s="28">
        <v>12</v>
      </c>
      <c r="JP60" s="6">
        <v>54</v>
      </c>
      <c r="JQ60" s="12">
        <v>131</v>
      </c>
      <c r="JT60" s="6"/>
      <c r="JW60" s="8">
        <v>-212</v>
      </c>
      <c r="JX60" s="12">
        <v>887</v>
      </c>
      <c r="KE60" s="6">
        <v>-197</v>
      </c>
      <c r="KF60" s="12">
        <v>291</v>
      </c>
      <c r="KQ60" s="8">
        <v>136</v>
      </c>
      <c r="KR60" s="28">
        <v>24</v>
      </c>
      <c r="KT60" s="8">
        <v>18</v>
      </c>
      <c r="KU60" s="28">
        <v>23</v>
      </c>
      <c r="KZ60" s="8">
        <v>-2</v>
      </c>
      <c r="LA60" s="12">
        <v>79</v>
      </c>
      <c r="LD60" s="8">
        <v>-56</v>
      </c>
      <c r="LE60" s="28">
        <v>202</v>
      </c>
      <c r="LF60" s="8">
        <v>275</v>
      </c>
      <c r="LG60" s="28">
        <v>143</v>
      </c>
      <c r="LH60" s="8">
        <v>-422</v>
      </c>
      <c r="LJ60" s="8">
        <v>720</v>
      </c>
      <c r="LK60" s="28">
        <v>584</v>
      </c>
      <c r="LL60" s="8">
        <v>-12</v>
      </c>
      <c r="LM60" s="28">
        <v>6</v>
      </c>
      <c r="LN60" s="8">
        <v>12</v>
      </c>
      <c r="LO60" s="28">
        <v>11</v>
      </c>
      <c r="LS60" s="8">
        <v>89</v>
      </c>
      <c r="LU60" s="8">
        <v>243</v>
      </c>
      <c r="LV60" s="12">
        <v>386</v>
      </c>
      <c r="LW60" s="8">
        <v>-64</v>
      </c>
      <c r="LX60" s="28">
        <v>76</v>
      </c>
      <c r="LZ60" s="8">
        <v>700</v>
      </c>
      <c r="MF60" s="8">
        <v>-422</v>
      </c>
      <c r="MG60" s="12">
        <v>767</v>
      </c>
      <c r="MS60" s="8">
        <v>126</v>
      </c>
      <c r="MT60" s="12">
        <v>208</v>
      </c>
      <c r="NC60" s="8">
        <v>-412</v>
      </c>
      <c r="ND60" s="12">
        <v>286</v>
      </c>
      <c r="NE60" s="8">
        <v>217</v>
      </c>
      <c r="NF60" s="28">
        <v>662</v>
      </c>
      <c r="NG60" s="8">
        <v>-74</v>
      </c>
      <c r="NH60" s="28">
        <v>38</v>
      </c>
      <c r="NI60" s="8">
        <v>289</v>
      </c>
      <c r="NJ60" s="28">
        <v>4</v>
      </c>
      <c r="NL60" s="8">
        <v>-101</v>
      </c>
      <c r="NM60" s="28">
        <v>811</v>
      </c>
      <c r="NP60" s="8">
        <v>185</v>
      </c>
      <c r="NQ60" s="12">
        <v>243</v>
      </c>
      <c r="NW60" s="8">
        <v>531</v>
      </c>
      <c r="NX60" s="28">
        <v>968</v>
      </c>
      <c r="NY60" s="8">
        <v>-246</v>
      </c>
      <c r="NZ60" s="12">
        <v>324</v>
      </c>
      <c r="OC60" s="8">
        <v>-309</v>
      </c>
      <c r="OD60" s="12">
        <v>271</v>
      </c>
      <c r="OO60" s="8">
        <v>-34</v>
      </c>
      <c r="OP60" s="28">
        <v>56</v>
      </c>
      <c r="OV60" s="8">
        <v>136</v>
      </c>
      <c r="PC60" s="8">
        <v>548</v>
      </c>
      <c r="PE60" s="8">
        <v>50</v>
      </c>
      <c r="PF60" s="12">
        <v>151</v>
      </c>
      <c r="PJ60" s="8">
        <v>-546</v>
      </c>
      <c r="PK60" s="12">
        <v>307</v>
      </c>
      <c r="PP60" s="8">
        <v>974</v>
      </c>
      <c r="PQ60" s="28">
        <v>7</v>
      </c>
      <c r="PR60" s="28"/>
      <c r="PS60" s="8">
        <v>-161</v>
      </c>
      <c r="PT60" s="12">
        <v>27</v>
      </c>
      <c r="PW60" s="8">
        <v>-180</v>
      </c>
      <c r="PX60" s="28">
        <v>240</v>
      </c>
      <c r="QE60" s="8">
        <v>142</v>
      </c>
      <c r="QF60" s="12">
        <v>845</v>
      </c>
      <c r="QH60" s="8">
        <v>33</v>
      </c>
      <c r="QI60" s="12">
        <v>379</v>
      </c>
      <c r="QQ60" s="8">
        <v>-5</v>
      </c>
      <c r="QR60" s="12">
        <v>75</v>
      </c>
      <c r="QT60" s="8">
        <v>388</v>
      </c>
      <c r="QU60" s="12">
        <v>273</v>
      </c>
      <c r="QV60" s="6">
        <v>169</v>
      </c>
      <c r="QW60" s="12">
        <v>107</v>
      </c>
      <c r="QY60" s="8">
        <v>14</v>
      </c>
      <c r="QZ60" s="12">
        <v>121</v>
      </c>
      <c r="RC60" s="6">
        <v>-379</v>
      </c>
      <c r="RD60" s="12">
        <v>74</v>
      </c>
      <c r="RE60" s="6">
        <v>114</v>
      </c>
      <c r="RF60" s="12">
        <v>642</v>
      </c>
      <c r="RG60" s="8">
        <v>279</v>
      </c>
      <c r="RH60" s="28">
        <v>144</v>
      </c>
      <c r="RL60" s="8">
        <v>-2</v>
      </c>
      <c r="RM60" s="12">
        <v>478</v>
      </c>
      <c r="RS60" s="6">
        <v>66</v>
      </c>
      <c r="RT60" s="50">
        <v>206</v>
      </c>
      <c r="SP60" s="8">
        <v>-100</v>
      </c>
      <c r="SQ60" s="12">
        <v>63</v>
      </c>
      <c r="SY60" s="6">
        <v>-20</v>
      </c>
      <c r="TH60" s="8">
        <v>734</v>
      </c>
      <c r="TI60" s="28">
        <v>96</v>
      </c>
      <c r="TX60" s="8">
        <v>825</v>
      </c>
      <c r="TY60" s="28">
        <v>608</v>
      </c>
      <c r="TZ60" s="8">
        <v>433</v>
      </c>
      <c r="UA60" s="12">
        <v>439</v>
      </c>
      <c r="UG60" s="8">
        <v>-250</v>
      </c>
      <c r="UH60" s="12">
        <v>15</v>
      </c>
      <c r="UI60" s="8">
        <v>10</v>
      </c>
      <c r="UZ60" s="8">
        <v>260</v>
      </c>
      <c r="VB60" s="8">
        <v>109</v>
      </c>
      <c r="VC60" s="12">
        <v>327</v>
      </c>
      <c r="VF60" s="8">
        <v>397</v>
      </c>
      <c r="VG60" s="12">
        <v>697</v>
      </c>
      <c r="VH60" s="8">
        <v>2</v>
      </c>
      <c r="VI60" s="28">
        <v>17</v>
      </c>
      <c r="VL60" s="21"/>
      <c r="VM60" s="8">
        <v>-5602</v>
      </c>
      <c r="VN60" s="12">
        <v>202</v>
      </c>
      <c r="VO60" s="12"/>
      <c r="VP60" s="12"/>
      <c r="VQ60" s="6">
        <v>-91</v>
      </c>
      <c r="VR60" s="28">
        <v>32</v>
      </c>
      <c r="VS60" s="12"/>
      <c r="VT60" s="12"/>
      <c r="VZ60" s="8">
        <v>730</v>
      </c>
      <c r="WA60" s="28">
        <v>359</v>
      </c>
      <c r="WB60" s="8">
        <v>2806</v>
      </c>
      <c r="WC60" s="12">
        <v>308</v>
      </c>
      <c r="WP60" s="2">
        <v>242</v>
      </c>
      <c r="WQ60" s="1">
        <v>129</v>
      </c>
      <c r="WR60" s="10"/>
      <c r="XE60">
        <v>5625</v>
      </c>
      <c r="XF60" s="1">
        <v>33331</v>
      </c>
      <c r="XG60" s="2">
        <v>702</v>
      </c>
      <c r="XH60" s="1">
        <v>239</v>
      </c>
      <c r="XK60">
        <v>55</v>
      </c>
      <c r="XL60" s="1">
        <v>37</v>
      </c>
    </row>
    <row r="61" spans="7:636" x14ac:dyDescent="0.25">
      <c r="G61" s="2">
        <v>-7750</v>
      </c>
      <c r="I61" s="2">
        <v>-16</v>
      </c>
      <c r="K61" s="2">
        <v>2444</v>
      </c>
      <c r="L61" s="1">
        <v>19</v>
      </c>
      <c r="M61">
        <v>498</v>
      </c>
      <c r="N61" s="1">
        <v>161</v>
      </c>
      <c r="O61" s="26"/>
      <c r="R61">
        <v>-42</v>
      </c>
      <c r="S61" s="12">
        <v>244</v>
      </c>
      <c r="V61">
        <v>-201</v>
      </c>
      <c r="W61" s="10">
        <v>7</v>
      </c>
      <c r="AB61">
        <v>-104</v>
      </c>
      <c r="AC61" s="1">
        <v>67</v>
      </c>
      <c r="AD61">
        <v>59</v>
      </c>
      <c r="AE61" s="1">
        <v>5</v>
      </c>
      <c r="AF61">
        <v>156</v>
      </c>
      <c r="AG61" s="1">
        <v>854</v>
      </c>
      <c r="AJ61" s="2">
        <v>-2763</v>
      </c>
      <c r="AK61" s="10">
        <v>228</v>
      </c>
      <c r="AY61">
        <v>-1428</v>
      </c>
      <c r="AZ61" s="1">
        <v>209</v>
      </c>
      <c r="BA61">
        <v>-195</v>
      </c>
      <c r="BB61" s="1">
        <v>433</v>
      </c>
      <c r="BD61" s="8">
        <v>68</v>
      </c>
      <c r="BE61" s="1">
        <v>36</v>
      </c>
      <c r="BF61">
        <v>750</v>
      </c>
      <c r="BG61" s="1">
        <v>663</v>
      </c>
      <c r="BJ61">
        <v>42</v>
      </c>
      <c r="BL61">
        <v>2505</v>
      </c>
      <c r="BM61" s="1">
        <v>75</v>
      </c>
      <c r="BN61">
        <v>-4</v>
      </c>
      <c r="BP61">
        <v>664</v>
      </c>
      <c r="BQ61" s="10">
        <v>1247</v>
      </c>
      <c r="BT61">
        <v>-330</v>
      </c>
      <c r="BU61" s="1">
        <v>60</v>
      </c>
      <c r="CE61" s="8">
        <v>187</v>
      </c>
      <c r="CF61" s="28">
        <v>18</v>
      </c>
      <c r="CG61" s="8">
        <v>-254</v>
      </c>
      <c r="CI61" s="8">
        <v>558</v>
      </c>
      <c r="CJ61" s="12">
        <v>315</v>
      </c>
      <c r="CK61" s="8">
        <v>-20</v>
      </c>
      <c r="CL61" s="28">
        <v>20</v>
      </c>
      <c r="CM61" s="6">
        <v>645</v>
      </c>
      <c r="CN61" s="28">
        <v>98</v>
      </c>
      <c r="CO61" s="6">
        <v>-140</v>
      </c>
      <c r="CP61" s="28"/>
      <c r="CQ61" s="6">
        <v>116</v>
      </c>
      <c r="CR61" s="28"/>
      <c r="CS61" s="6">
        <v>-108</v>
      </c>
      <c r="CT61" s="28">
        <v>213</v>
      </c>
      <c r="CU61" s="28"/>
      <c r="CV61" s="28"/>
      <c r="CW61" s="28"/>
      <c r="CX61" s="28"/>
      <c r="CZ61" s="23">
        <v>23</v>
      </c>
      <c r="DA61" s="25">
        <v>9</v>
      </c>
      <c r="DB61" s="23">
        <v>32</v>
      </c>
      <c r="DC61" s="25">
        <v>12</v>
      </c>
      <c r="DE61" s="25"/>
      <c r="DF61" s="86">
        <v>106</v>
      </c>
      <c r="DG61" s="25">
        <v>239</v>
      </c>
      <c r="DH61" s="23">
        <v>-25</v>
      </c>
      <c r="DI61" s="25">
        <v>20</v>
      </c>
      <c r="DJ61" s="23">
        <v>-290</v>
      </c>
      <c r="DK61" s="28">
        <v>169</v>
      </c>
      <c r="DL61" s="8">
        <v>156</v>
      </c>
      <c r="DQ61" s="8">
        <v>-183</v>
      </c>
      <c r="DR61" s="52">
        <v>174</v>
      </c>
      <c r="DS61" s="6">
        <v>-98</v>
      </c>
      <c r="DT61" s="52">
        <v>95</v>
      </c>
      <c r="DU61" s="8">
        <v>175</v>
      </c>
      <c r="DV61" s="28">
        <v>57</v>
      </c>
      <c r="DW61" s="8">
        <v>-433</v>
      </c>
      <c r="DX61" s="28">
        <v>163</v>
      </c>
      <c r="DY61" s="6">
        <v>-248</v>
      </c>
      <c r="DZ61" s="52">
        <v>145</v>
      </c>
      <c r="EA61" s="23">
        <v>-94</v>
      </c>
      <c r="EB61" s="52">
        <v>268</v>
      </c>
      <c r="EC61" s="6">
        <v>-100</v>
      </c>
      <c r="ED61" s="28">
        <v>667</v>
      </c>
      <c r="EE61" s="8">
        <v>-418</v>
      </c>
      <c r="EF61" s="52">
        <v>268</v>
      </c>
      <c r="EG61" s="8">
        <v>292</v>
      </c>
      <c r="EH61" s="28">
        <v>145</v>
      </c>
      <c r="EI61" s="8">
        <v>26</v>
      </c>
      <c r="EJ61" s="52">
        <v>839</v>
      </c>
      <c r="EL61" s="8">
        <v>-111</v>
      </c>
      <c r="EM61" s="28">
        <v>124</v>
      </c>
      <c r="EN61" s="8">
        <v>-59</v>
      </c>
      <c r="EO61" s="28">
        <v>11</v>
      </c>
      <c r="EP61" s="28"/>
      <c r="EQ61" s="28"/>
      <c r="EX61" s="8">
        <v>-168</v>
      </c>
      <c r="EY61" s="28">
        <v>136</v>
      </c>
      <c r="FD61" s="6">
        <v>113</v>
      </c>
      <c r="FE61" s="28">
        <v>936</v>
      </c>
      <c r="FH61" s="8">
        <v>275</v>
      </c>
      <c r="FI61" s="28">
        <v>672</v>
      </c>
      <c r="FM61" s="8">
        <v>227</v>
      </c>
      <c r="FN61" s="52">
        <v>184</v>
      </c>
      <c r="FO61" s="8">
        <v>974</v>
      </c>
      <c r="FP61" s="28">
        <v>196</v>
      </c>
      <c r="FQ61" s="8">
        <v>71</v>
      </c>
      <c r="FR61" s="28">
        <v>8</v>
      </c>
      <c r="FS61" s="8">
        <v>-1</v>
      </c>
      <c r="FT61" s="52">
        <v>7</v>
      </c>
      <c r="FV61" s="8">
        <v>-564</v>
      </c>
      <c r="FW61" s="28">
        <v>113</v>
      </c>
      <c r="GC61" s="8">
        <v>-431</v>
      </c>
      <c r="GE61" s="8">
        <v>118</v>
      </c>
      <c r="GF61" s="28">
        <v>865</v>
      </c>
      <c r="GI61" s="8">
        <v>4</v>
      </c>
      <c r="GJ61" s="28">
        <v>5</v>
      </c>
      <c r="GK61" s="8">
        <v>-4</v>
      </c>
      <c r="GL61" s="28">
        <v>3</v>
      </c>
      <c r="GO61" s="28"/>
      <c r="GP61" s="8">
        <v>208</v>
      </c>
      <c r="GQ61" s="52">
        <v>689</v>
      </c>
      <c r="GR61" s="8">
        <v>-684</v>
      </c>
      <c r="GS61" s="28">
        <v>433</v>
      </c>
      <c r="GT61" s="6">
        <v>11</v>
      </c>
      <c r="GU61" s="52">
        <v>58</v>
      </c>
      <c r="GV61" s="6"/>
      <c r="GW61" s="28"/>
      <c r="GZ61" s="8">
        <v>-119</v>
      </c>
      <c r="HA61" s="28">
        <v>32</v>
      </c>
      <c r="HB61" s="6">
        <v>-34</v>
      </c>
      <c r="HC61" s="28"/>
      <c r="HE61" s="8">
        <v>40</v>
      </c>
      <c r="HF61" s="28">
        <v>90</v>
      </c>
      <c r="HG61" s="8">
        <v>-45</v>
      </c>
      <c r="HQ61" s="6">
        <v>3</v>
      </c>
      <c r="HR61" s="28">
        <v>4</v>
      </c>
      <c r="HS61" s="8">
        <v>3</v>
      </c>
      <c r="HT61" s="52">
        <v>361</v>
      </c>
      <c r="HX61" s="8">
        <v>28</v>
      </c>
      <c r="HY61" s="28">
        <v>8</v>
      </c>
      <c r="HZ61" s="8">
        <v>202</v>
      </c>
      <c r="IB61" s="8">
        <v>138</v>
      </c>
      <c r="IC61" s="28">
        <v>797</v>
      </c>
      <c r="ID61" s="8">
        <v>10</v>
      </c>
      <c r="IE61" s="28">
        <v>873</v>
      </c>
      <c r="IO61">
        <v>-182</v>
      </c>
      <c r="IP61" s="10">
        <v>28</v>
      </c>
      <c r="IW61" s="8">
        <v>898</v>
      </c>
      <c r="IY61" s="8">
        <v>-530</v>
      </c>
      <c r="JA61" s="8">
        <v>269</v>
      </c>
      <c r="JB61" s="12">
        <v>396</v>
      </c>
      <c r="JH61" s="8">
        <v>167</v>
      </c>
      <c r="JI61" s="28">
        <v>639</v>
      </c>
      <c r="JL61" s="8">
        <v>21</v>
      </c>
      <c r="JN61" s="8">
        <v>212</v>
      </c>
      <c r="JO61" s="28">
        <v>151</v>
      </c>
      <c r="JP61" s="6">
        <v>52</v>
      </c>
      <c r="JQ61" s="12">
        <v>130</v>
      </c>
      <c r="JW61" s="8">
        <v>-837</v>
      </c>
      <c r="JX61" s="12">
        <v>191</v>
      </c>
      <c r="KE61" s="6">
        <v>-111</v>
      </c>
      <c r="KF61" s="12">
        <v>214</v>
      </c>
      <c r="KQ61" s="8">
        <v>22</v>
      </c>
      <c r="KR61" s="28">
        <v>5</v>
      </c>
      <c r="KT61" s="8">
        <v>-425</v>
      </c>
      <c r="KU61" s="28">
        <v>10</v>
      </c>
      <c r="KZ61" s="8">
        <v>-12</v>
      </c>
      <c r="LA61" s="12">
        <v>323</v>
      </c>
      <c r="LD61" s="8">
        <v>115</v>
      </c>
      <c r="LE61" s="28">
        <v>120</v>
      </c>
      <c r="LF61" s="8">
        <v>112</v>
      </c>
      <c r="LG61" s="28">
        <v>148</v>
      </c>
      <c r="LH61" s="8">
        <v>-676</v>
      </c>
      <c r="LJ61" s="8">
        <v>111</v>
      </c>
      <c r="LK61" s="28">
        <v>435</v>
      </c>
      <c r="LL61" s="8">
        <v>34</v>
      </c>
      <c r="LM61" s="28">
        <v>12</v>
      </c>
      <c r="LN61" s="8">
        <v>222</v>
      </c>
      <c r="LO61" s="28">
        <v>106</v>
      </c>
      <c r="LS61" s="8">
        <v>66</v>
      </c>
      <c r="LU61" s="8">
        <v>-17</v>
      </c>
      <c r="LV61" s="12">
        <v>25</v>
      </c>
      <c r="LW61" s="8">
        <v>195</v>
      </c>
      <c r="LX61" s="28">
        <v>898</v>
      </c>
      <c r="LZ61" s="8">
        <v>884</v>
      </c>
      <c r="MF61" s="8">
        <v>-158</v>
      </c>
      <c r="MG61" s="12">
        <v>266</v>
      </c>
      <c r="MS61" s="8">
        <v>124</v>
      </c>
      <c r="MT61" s="12">
        <v>199</v>
      </c>
      <c r="NC61" s="8">
        <v>-115</v>
      </c>
      <c r="ND61" s="12">
        <v>68</v>
      </c>
      <c r="NE61" s="8">
        <v>-191</v>
      </c>
      <c r="NF61" s="28">
        <v>80</v>
      </c>
      <c r="NG61" s="8">
        <v>-41</v>
      </c>
      <c r="NH61" s="28">
        <v>34</v>
      </c>
      <c r="NI61" s="8">
        <v>320</v>
      </c>
      <c r="NJ61" s="28">
        <v>4</v>
      </c>
      <c r="NL61" s="8">
        <v>-518</v>
      </c>
      <c r="NM61" s="28">
        <v>137</v>
      </c>
      <c r="NP61" s="8">
        <v>157</v>
      </c>
      <c r="NQ61" s="12">
        <v>199</v>
      </c>
      <c r="NW61" s="8">
        <v>145</v>
      </c>
      <c r="NX61" s="28">
        <v>149</v>
      </c>
      <c r="NY61" s="8">
        <v>-157</v>
      </c>
      <c r="NZ61" s="12">
        <v>139</v>
      </c>
      <c r="OC61" s="8">
        <v>-696</v>
      </c>
      <c r="OD61" s="12">
        <v>673</v>
      </c>
      <c r="OO61" s="8">
        <v>2</v>
      </c>
      <c r="OP61" s="28">
        <v>77</v>
      </c>
      <c r="OV61" s="8">
        <v>239</v>
      </c>
      <c r="PC61" s="8">
        <v>179</v>
      </c>
      <c r="PE61" s="8">
        <v>-11</v>
      </c>
      <c r="PF61" s="12">
        <v>23</v>
      </c>
      <c r="PJ61" s="8">
        <v>-247</v>
      </c>
      <c r="PK61" s="12">
        <v>194</v>
      </c>
      <c r="PP61" s="8">
        <v>936</v>
      </c>
      <c r="PQ61" s="28">
        <v>5</v>
      </c>
      <c r="PR61" s="28"/>
      <c r="PS61" s="8">
        <v>-558</v>
      </c>
      <c r="PT61" s="12">
        <v>103</v>
      </c>
      <c r="PW61" s="8">
        <v>4</v>
      </c>
      <c r="PX61" s="28">
        <v>72</v>
      </c>
      <c r="QE61" s="8">
        <v>-443</v>
      </c>
      <c r="QF61" s="12">
        <v>600</v>
      </c>
      <c r="QH61" s="8">
        <v>196</v>
      </c>
      <c r="QI61" s="12">
        <v>417</v>
      </c>
      <c r="QR61" s="12"/>
      <c r="QT61" s="8">
        <v>-32</v>
      </c>
      <c r="QU61" s="12">
        <v>102</v>
      </c>
      <c r="QV61" s="6">
        <v>-139</v>
      </c>
      <c r="QW61" s="12">
        <v>910</v>
      </c>
      <c r="QY61" s="8">
        <v>7</v>
      </c>
      <c r="QZ61" s="12">
        <v>117</v>
      </c>
      <c r="RC61" s="6">
        <v>839</v>
      </c>
      <c r="RD61" s="12">
        <v>164</v>
      </c>
      <c r="RE61" s="6">
        <v>-592</v>
      </c>
      <c r="RF61" s="12">
        <v>245</v>
      </c>
      <c r="RG61" s="8">
        <v>473</v>
      </c>
      <c r="RH61" s="28">
        <v>186</v>
      </c>
      <c r="RL61" s="8">
        <v>-5</v>
      </c>
      <c r="RM61" s="12">
        <v>243</v>
      </c>
      <c r="RS61" s="6">
        <v>-108</v>
      </c>
      <c r="RT61" s="50">
        <v>365</v>
      </c>
      <c r="SP61" s="8">
        <v>187</v>
      </c>
      <c r="SQ61" s="12">
        <v>427</v>
      </c>
      <c r="SY61" s="6">
        <v>417</v>
      </c>
      <c r="TH61" s="8">
        <v>598</v>
      </c>
      <c r="TI61" s="28">
        <v>21</v>
      </c>
      <c r="TX61" s="8">
        <v>-419</v>
      </c>
      <c r="TY61" s="28">
        <v>644</v>
      </c>
      <c r="TZ61" s="8">
        <v>328</v>
      </c>
      <c r="UA61" s="12">
        <v>610</v>
      </c>
      <c r="UG61" s="8">
        <v>102</v>
      </c>
      <c r="UH61" s="12">
        <v>135</v>
      </c>
      <c r="UI61" s="8">
        <v>-142</v>
      </c>
      <c r="UZ61" s="8">
        <v>115</v>
      </c>
      <c r="VB61" s="8">
        <v>87</v>
      </c>
      <c r="VC61" s="12">
        <v>324</v>
      </c>
      <c r="VF61" s="8">
        <v>116</v>
      </c>
      <c r="VG61" s="12">
        <v>295</v>
      </c>
      <c r="VH61" s="8">
        <v>-243</v>
      </c>
      <c r="VI61" s="28">
        <v>661</v>
      </c>
      <c r="VL61" s="21"/>
      <c r="VM61" s="8">
        <v>-1444</v>
      </c>
      <c r="VN61" s="12">
        <v>247</v>
      </c>
      <c r="VO61" s="12"/>
      <c r="VP61" s="12"/>
      <c r="VQ61" s="6">
        <v>-88</v>
      </c>
      <c r="VR61" s="28">
        <v>42</v>
      </c>
      <c r="VS61" s="12"/>
      <c r="VT61" s="12"/>
      <c r="VZ61" s="8">
        <v>251</v>
      </c>
      <c r="WA61" s="28">
        <v>82</v>
      </c>
      <c r="WB61" s="8">
        <v>3134</v>
      </c>
      <c r="WC61" s="12">
        <v>304</v>
      </c>
      <c r="WP61" s="2">
        <v>33</v>
      </c>
      <c r="WQ61" s="1">
        <v>179</v>
      </c>
      <c r="WR61" s="10"/>
      <c r="XE61">
        <v>2625</v>
      </c>
      <c r="XF61" s="1">
        <v>33752</v>
      </c>
      <c r="XG61" s="2">
        <v>6</v>
      </c>
      <c r="XH61" s="1">
        <v>2</v>
      </c>
      <c r="XK61">
        <v>266</v>
      </c>
      <c r="XL61" s="1">
        <v>115</v>
      </c>
    </row>
    <row r="62" spans="7:636" x14ac:dyDescent="0.25">
      <c r="G62" s="2">
        <v>-2108</v>
      </c>
      <c r="I62" s="2">
        <v>2</v>
      </c>
      <c r="K62" s="2">
        <v>640</v>
      </c>
      <c r="L62" s="1">
        <v>19</v>
      </c>
      <c r="M62">
        <v>318</v>
      </c>
      <c r="N62" s="1">
        <v>86</v>
      </c>
      <c r="O62" s="26"/>
      <c r="R62">
        <v>-79</v>
      </c>
      <c r="S62" s="12">
        <v>501</v>
      </c>
      <c r="V62">
        <v>-13</v>
      </c>
      <c r="W62" s="10">
        <v>626</v>
      </c>
      <c r="AB62">
        <v>77</v>
      </c>
      <c r="AC62" s="1">
        <v>37</v>
      </c>
      <c r="AD62">
        <v>65</v>
      </c>
      <c r="AE62" s="1">
        <v>6</v>
      </c>
      <c r="AF62">
        <v>153</v>
      </c>
      <c r="AG62" s="1">
        <v>882</v>
      </c>
      <c r="AJ62" s="2">
        <v>-2930</v>
      </c>
      <c r="AK62" s="10">
        <v>226</v>
      </c>
      <c r="AY62">
        <v>-24482</v>
      </c>
      <c r="AZ62" s="1">
        <v>6503</v>
      </c>
      <c r="BA62">
        <v>285</v>
      </c>
      <c r="BB62" s="1">
        <v>487</v>
      </c>
      <c r="BD62" s="8">
        <v>73</v>
      </c>
      <c r="BE62" s="1">
        <v>160</v>
      </c>
      <c r="BF62">
        <v>1574</v>
      </c>
      <c r="BG62" s="1">
        <v>291</v>
      </c>
      <c r="BJ62">
        <v>401</v>
      </c>
      <c r="BL62">
        <v>-153</v>
      </c>
      <c r="BM62" s="1">
        <v>32</v>
      </c>
      <c r="BN62">
        <v>-28</v>
      </c>
      <c r="BP62">
        <v>81</v>
      </c>
      <c r="BQ62" s="10">
        <v>1231</v>
      </c>
      <c r="BT62">
        <v>-7</v>
      </c>
      <c r="BU62" s="1">
        <v>3</v>
      </c>
      <c r="CE62" s="8">
        <v>155</v>
      </c>
      <c r="CF62" s="28">
        <v>15</v>
      </c>
      <c r="CG62" s="8">
        <v>-265</v>
      </c>
      <c r="CI62" s="8">
        <v>372</v>
      </c>
      <c r="CJ62" s="12">
        <v>99</v>
      </c>
      <c r="CK62" s="8">
        <v>-26</v>
      </c>
      <c r="CL62" s="28">
        <v>21</v>
      </c>
      <c r="CM62" s="6">
        <v>5</v>
      </c>
      <c r="CN62" s="28">
        <v>1</v>
      </c>
      <c r="CO62" s="6">
        <v>-152</v>
      </c>
      <c r="CP62" s="28"/>
      <c r="CQ62" s="6">
        <v>142</v>
      </c>
      <c r="CR62" s="28"/>
      <c r="CS62" s="6">
        <v>519</v>
      </c>
      <c r="CT62" s="28">
        <v>102</v>
      </c>
      <c r="CU62" s="28"/>
      <c r="CV62" s="28"/>
      <c r="CW62" s="28"/>
      <c r="CX62" s="28"/>
      <c r="CZ62" s="23">
        <v>-12</v>
      </c>
      <c r="DA62" s="25">
        <v>248</v>
      </c>
      <c r="DB62" s="23">
        <v>-22</v>
      </c>
      <c r="DC62" s="25">
        <v>37</v>
      </c>
      <c r="DF62" s="23">
        <v>126</v>
      </c>
      <c r="DG62" s="25">
        <v>478</v>
      </c>
      <c r="DH62" s="23">
        <v>195</v>
      </c>
      <c r="DI62" s="25">
        <v>193</v>
      </c>
      <c r="DJ62" s="23">
        <v>118</v>
      </c>
      <c r="DK62" s="28">
        <v>123</v>
      </c>
      <c r="DL62" s="8">
        <v>125</v>
      </c>
      <c r="DQ62" s="8">
        <v>-787</v>
      </c>
      <c r="DR62" s="52">
        <v>787</v>
      </c>
      <c r="DS62" s="6">
        <v>11</v>
      </c>
      <c r="DT62" s="52">
        <v>45</v>
      </c>
      <c r="DU62" s="8">
        <v>162</v>
      </c>
      <c r="DV62" s="28">
        <v>49</v>
      </c>
      <c r="DW62" s="8">
        <v>249</v>
      </c>
      <c r="DX62" s="28">
        <v>257</v>
      </c>
      <c r="DY62" s="6">
        <v>-178</v>
      </c>
      <c r="DZ62" s="52">
        <v>106</v>
      </c>
      <c r="EA62" s="23">
        <v>43</v>
      </c>
      <c r="EB62" s="52">
        <v>478</v>
      </c>
      <c r="EC62" s="6">
        <v>264</v>
      </c>
      <c r="ED62" s="28">
        <v>748</v>
      </c>
      <c r="EE62" s="8">
        <v>-225</v>
      </c>
      <c r="EF62" s="52">
        <v>178</v>
      </c>
      <c r="EG62" s="8">
        <v>378</v>
      </c>
      <c r="EH62" s="28">
        <v>143</v>
      </c>
      <c r="EI62" s="8">
        <v>98</v>
      </c>
      <c r="EJ62" s="52">
        <v>118</v>
      </c>
      <c r="EL62" s="8">
        <v>120</v>
      </c>
      <c r="EM62" s="28">
        <v>392</v>
      </c>
      <c r="EN62" s="8">
        <v>-151</v>
      </c>
      <c r="EO62" s="28">
        <v>12</v>
      </c>
      <c r="EP62" s="28"/>
      <c r="EQ62" s="28"/>
      <c r="EX62" s="8">
        <v>735</v>
      </c>
      <c r="EY62" s="28">
        <v>117</v>
      </c>
      <c r="FD62" s="6">
        <v>-237</v>
      </c>
      <c r="FE62" s="28">
        <v>115</v>
      </c>
      <c r="FH62" s="8">
        <v>118</v>
      </c>
      <c r="FI62" s="28">
        <v>399</v>
      </c>
      <c r="FM62" s="8">
        <v>414</v>
      </c>
      <c r="FN62" s="52">
        <v>265</v>
      </c>
      <c r="FO62" s="8">
        <v>607</v>
      </c>
      <c r="FP62" s="28">
        <v>194</v>
      </c>
      <c r="FQ62" s="8">
        <v>-49</v>
      </c>
      <c r="FR62" s="28">
        <v>4</v>
      </c>
      <c r="FS62" s="8">
        <v>-1</v>
      </c>
      <c r="FT62" s="52">
        <v>8</v>
      </c>
      <c r="FV62" s="8">
        <v>392</v>
      </c>
      <c r="FW62" s="28">
        <v>113</v>
      </c>
      <c r="GC62" s="8">
        <v>-378</v>
      </c>
      <c r="GE62" s="8">
        <v>-605</v>
      </c>
      <c r="GF62" s="28">
        <v>433</v>
      </c>
      <c r="GI62" s="8">
        <v>-16</v>
      </c>
      <c r="GJ62" s="28">
        <v>77</v>
      </c>
      <c r="GO62" s="28"/>
      <c r="GP62" s="8">
        <v>60</v>
      </c>
      <c r="GQ62" s="52">
        <v>127</v>
      </c>
      <c r="GR62" s="8">
        <v>-334</v>
      </c>
      <c r="GS62" s="28">
        <v>304</v>
      </c>
      <c r="GT62" s="6">
        <v>-168</v>
      </c>
      <c r="GU62" s="52">
        <v>171</v>
      </c>
      <c r="GV62" s="6"/>
      <c r="GW62" s="28"/>
      <c r="GZ62" s="8">
        <v>12</v>
      </c>
      <c r="HA62" s="28">
        <v>15</v>
      </c>
      <c r="HB62" s="6">
        <v>17</v>
      </c>
      <c r="HC62" s="28"/>
      <c r="HE62" s="8">
        <v>-24</v>
      </c>
      <c r="HF62" s="28">
        <v>16</v>
      </c>
      <c r="HG62" s="8">
        <v>-214</v>
      </c>
      <c r="HQ62" s="6">
        <v>-101</v>
      </c>
      <c r="HR62" s="28">
        <v>79</v>
      </c>
      <c r="HS62" s="8">
        <v>-4</v>
      </c>
      <c r="HT62" s="52">
        <v>436</v>
      </c>
      <c r="HX62" s="8">
        <v>24</v>
      </c>
      <c r="HY62" s="28">
        <v>7</v>
      </c>
      <c r="HZ62" s="8">
        <v>-27</v>
      </c>
      <c r="IB62" s="8">
        <v>-750</v>
      </c>
      <c r="IC62" s="28">
        <v>498</v>
      </c>
      <c r="ID62" s="8">
        <v>124</v>
      </c>
      <c r="IE62" s="28">
        <v>9</v>
      </c>
      <c r="IO62">
        <v>-470</v>
      </c>
      <c r="IP62" s="10">
        <v>150</v>
      </c>
      <c r="IW62" s="8">
        <v>799</v>
      </c>
      <c r="IY62" s="8">
        <v>300</v>
      </c>
      <c r="JA62" s="8">
        <v>53</v>
      </c>
      <c r="JB62" s="12">
        <v>233</v>
      </c>
      <c r="JH62" s="8">
        <v>73</v>
      </c>
      <c r="JI62" s="28">
        <v>47</v>
      </c>
      <c r="JL62" s="8">
        <v>-43</v>
      </c>
      <c r="JN62" s="8">
        <v>273</v>
      </c>
      <c r="JO62" s="28">
        <v>163</v>
      </c>
      <c r="JP62" s="6">
        <v>47</v>
      </c>
      <c r="JQ62" s="12">
        <v>119</v>
      </c>
      <c r="JW62" s="8">
        <v>-156</v>
      </c>
      <c r="JX62" s="12">
        <v>56</v>
      </c>
      <c r="KE62" s="6">
        <v>523</v>
      </c>
      <c r="KF62" s="12">
        <v>264</v>
      </c>
      <c r="KQ62" s="8">
        <v>34</v>
      </c>
      <c r="KR62" s="28">
        <v>11</v>
      </c>
      <c r="KT62" s="8">
        <v>20</v>
      </c>
      <c r="KU62" s="28">
        <v>20</v>
      </c>
      <c r="KZ62" s="8">
        <v>-3</v>
      </c>
      <c r="LA62" s="12">
        <v>186</v>
      </c>
      <c r="LD62" s="8">
        <v>-127</v>
      </c>
      <c r="LE62" s="28">
        <v>81</v>
      </c>
      <c r="LF62" s="8">
        <v>-240</v>
      </c>
      <c r="LG62" s="28">
        <v>161</v>
      </c>
      <c r="LH62" s="8">
        <v>-404</v>
      </c>
      <c r="LJ62" s="8">
        <v>-315</v>
      </c>
      <c r="LK62" s="28">
        <v>828</v>
      </c>
      <c r="LL62" s="8">
        <v>68</v>
      </c>
      <c r="LM62" s="28">
        <v>9</v>
      </c>
      <c r="LN62" s="8">
        <v>211</v>
      </c>
      <c r="LO62" s="28">
        <v>105</v>
      </c>
      <c r="LS62" s="8">
        <v>12</v>
      </c>
      <c r="LU62" s="8">
        <v>-10</v>
      </c>
      <c r="LV62" s="12">
        <v>156</v>
      </c>
      <c r="LW62" s="8">
        <v>477</v>
      </c>
      <c r="LX62" s="28">
        <v>294</v>
      </c>
      <c r="LZ62" s="8">
        <v>580</v>
      </c>
      <c r="MF62" s="8">
        <v>-186</v>
      </c>
      <c r="MG62" s="12">
        <v>67</v>
      </c>
      <c r="MS62" s="8">
        <v>815</v>
      </c>
      <c r="MT62" s="12">
        <v>120</v>
      </c>
      <c r="NC62" s="8">
        <v>495</v>
      </c>
      <c r="ND62" s="12">
        <v>217</v>
      </c>
      <c r="NE62" s="8">
        <v>109</v>
      </c>
      <c r="NF62" s="28">
        <v>823</v>
      </c>
      <c r="NG62" s="8">
        <v>-58</v>
      </c>
      <c r="NH62" s="28">
        <v>43</v>
      </c>
      <c r="NI62" s="8">
        <v>112</v>
      </c>
      <c r="NJ62" s="28">
        <v>3</v>
      </c>
      <c r="NP62" s="8">
        <v>158</v>
      </c>
      <c r="NQ62" s="12">
        <v>198</v>
      </c>
      <c r="NW62" s="8">
        <v>845</v>
      </c>
      <c r="NX62" s="28">
        <v>134</v>
      </c>
      <c r="NY62" s="8">
        <v>263</v>
      </c>
      <c r="NZ62" s="12">
        <v>217</v>
      </c>
      <c r="OC62" s="8">
        <v>242</v>
      </c>
      <c r="OD62" s="12">
        <v>137</v>
      </c>
      <c r="OO62" s="8">
        <v>74</v>
      </c>
      <c r="OP62" s="28">
        <v>79</v>
      </c>
      <c r="OV62" s="8">
        <v>165</v>
      </c>
      <c r="PE62" s="8">
        <v>17</v>
      </c>
      <c r="PF62" s="12">
        <v>106</v>
      </c>
      <c r="PJ62" s="8">
        <v>72</v>
      </c>
      <c r="PK62" s="12">
        <v>655</v>
      </c>
      <c r="PP62" s="8">
        <v>987</v>
      </c>
      <c r="PQ62" s="28">
        <v>7</v>
      </c>
      <c r="PR62" s="28"/>
      <c r="PS62" s="8">
        <v>-128</v>
      </c>
      <c r="PT62" s="12">
        <v>46</v>
      </c>
      <c r="PW62" s="8">
        <v>432</v>
      </c>
      <c r="PX62" s="28">
        <v>164</v>
      </c>
      <c r="QE62" s="8">
        <v>129</v>
      </c>
      <c r="QF62" s="12">
        <v>84</v>
      </c>
      <c r="QH62" s="8">
        <v>1</v>
      </c>
      <c r="QI62" s="12">
        <v>196</v>
      </c>
      <c r="QT62" s="8">
        <v>141</v>
      </c>
      <c r="QU62" s="12">
        <v>245</v>
      </c>
      <c r="QV62" s="6">
        <v>-327</v>
      </c>
      <c r="QW62" s="12">
        <v>194</v>
      </c>
      <c r="QY62" s="8">
        <v>72</v>
      </c>
      <c r="QZ62" s="12">
        <v>428</v>
      </c>
      <c r="RC62" s="6">
        <v>1</v>
      </c>
      <c r="RD62" s="12">
        <v>180</v>
      </c>
      <c r="RE62" s="6">
        <v>460</v>
      </c>
      <c r="RF62" s="12">
        <v>269</v>
      </c>
      <c r="RG62" s="8">
        <v>-143</v>
      </c>
      <c r="RH62" s="28">
        <v>749</v>
      </c>
      <c r="RL62" s="8">
        <v>4</v>
      </c>
      <c r="RM62" s="12">
        <v>117</v>
      </c>
      <c r="RS62" s="6">
        <v>95</v>
      </c>
      <c r="RT62" s="50">
        <v>217</v>
      </c>
      <c r="SP62" s="8">
        <v>7</v>
      </c>
      <c r="SQ62" s="12">
        <v>103</v>
      </c>
      <c r="SY62" s="6">
        <v>947</v>
      </c>
      <c r="TH62" s="8">
        <v>803</v>
      </c>
      <c r="TI62" s="28">
        <v>95</v>
      </c>
      <c r="TX62" s="8">
        <v>-111</v>
      </c>
      <c r="TY62" s="28">
        <v>789</v>
      </c>
      <c r="TZ62" s="8">
        <v>257</v>
      </c>
      <c r="UA62" s="12">
        <v>864</v>
      </c>
      <c r="UG62" s="8">
        <v>-463</v>
      </c>
      <c r="UH62" s="12">
        <v>489</v>
      </c>
      <c r="UI62" s="8">
        <v>-102</v>
      </c>
      <c r="UZ62" s="8">
        <v>289</v>
      </c>
      <c r="VB62" s="8">
        <v>57</v>
      </c>
      <c r="VC62" s="12">
        <v>131</v>
      </c>
      <c r="VF62" s="8">
        <v>-588</v>
      </c>
      <c r="VG62" s="12">
        <v>471</v>
      </c>
      <c r="VH62" s="8">
        <v>137</v>
      </c>
      <c r="VI62" s="28">
        <v>117</v>
      </c>
      <c r="VL62" s="21"/>
      <c r="VM62" s="8">
        <v>-149</v>
      </c>
      <c r="VN62" s="12">
        <v>64</v>
      </c>
      <c r="VO62" s="12"/>
      <c r="VP62" s="12"/>
      <c r="VQ62" s="6">
        <v>1706</v>
      </c>
      <c r="VR62" s="28">
        <v>125</v>
      </c>
      <c r="VS62" s="12"/>
      <c r="VT62" s="12"/>
      <c r="VZ62" s="8">
        <v>252</v>
      </c>
      <c r="WA62" s="28">
        <v>204</v>
      </c>
      <c r="WB62" s="8">
        <v>2018</v>
      </c>
      <c r="WC62" s="12">
        <v>220</v>
      </c>
      <c r="WP62" s="2">
        <v>152</v>
      </c>
      <c r="WQ62" s="1">
        <v>104</v>
      </c>
      <c r="WR62" s="10"/>
      <c r="XE62">
        <v>-239</v>
      </c>
      <c r="XF62" s="1">
        <v>462</v>
      </c>
      <c r="XG62" s="2">
        <v>105</v>
      </c>
      <c r="XH62" s="1">
        <v>73</v>
      </c>
      <c r="XK62">
        <v>-27</v>
      </c>
      <c r="XL62" s="1">
        <v>36</v>
      </c>
    </row>
    <row r="63" spans="7:636" x14ac:dyDescent="0.25">
      <c r="G63" s="2">
        <v>-1327</v>
      </c>
      <c r="I63" s="2">
        <v>5461</v>
      </c>
      <c r="K63" s="2">
        <v>3499</v>
      </c>
      <c r="L63" s="1">
        <v>13</v>
      </c>
      <c r="M63">
        <v>389</v>
      </c>
      <c r="N63" s="1">
        <v>76</v>
      </c>
      <c r="O63" s="26"/>
      <c r="R63">
        <v>-28</v>
      </c>
      <c r="S63" s="12">
        <v>518</v>
      </c>
      <c r="V63">
        <v>-5</v>
      </c>
      <c r="W63" s="10">
        <v>471</v>
      </c>
      <c r="AB63">
        <v>-115</v>
      </c>
      <c r="AC63" s="1">
        <v>54</v>
      </c>
      <c r="AD63">
        <v>-5</v>
      </c>
      <c r="AE63" s="1">
        <v>7</v>
      </c>
      <c r="AF63">
        <v>136</v>
      </c>
      <c r="AG63" s="1">
        <v>911</v>
      </c>
      <c r="AJ63" s="2">
        <v>-2</v>
      </c>
      <c r="AK63" s="10">
        <v>123</v>
      </c>
      <c r="AY63">
        <v>-17</v>
      </c>
      <c r="AZ63" s="1">
        <v>5</v>
      </c>
      <c r="BA63">
        <v>182</v>
      </c>
      <c r="BB63" s="1">
        <v>568</v>
      </c>
      <c r="BD63" s="8">
        <v>42</v>
      </c>
      <c r="BE63" s="1">
        <v>228</v>
      </c>
      <c r="BF63">
        <v>3215</v>
      </c>
      <c r="BG63" s="1">
        <v>625</v>
      </c>
      <c r="BJ63">
        <v>-8</v>
      </c>
      <c r="BL63">
        <v>20</v>
      </c>
      <c r="BM63" s="1">
        <v>3</v>
      </c>
      <c r="BN63">
        <v>-781</v>
      </c>
      <c r="BP63">
        <v>-93</v>
      </c>
      <c r="BQ63" s="10">
        <v>1628</v>
      </c>
      <c r="BT63">
        <v>-24</v>
      </c>
      <c r="BU63" s="1">
        <v>5</v>
      </c>
      <c r="CE63" s="8">
        <v>154</v>
      </c>
      <c r="CF63" s="28">
        <v>29</v>
      </c>
      <c r="CG63" s="8">
        <v>695</v>
      </c>
      <c r="CI63" s="8">
        <v>-127</v>
      </c>
      <c r="CJ63" s="12">
        <v>147</v>
      </c>
      <c r="CK63" s="8">
        <v>-22</v>
      </c>
      <c r="CL63" s="28">
        <v>22</v>
      </c>
      <c r="CM63" s="6">
        <v>-250</v>
      </c>
      <c r="CN63" s="28">
        <v>122</v>
      </c>
      <c r="CO63" s="6">
        <v>899</v>
      </c>
      <c r="CP63" s="28"/>
      <c r="CQ63" s="6">
        <v>121</v>
      </c>
      <c r="CR63" s="28"/>
      <c r="CS63" s="6">
        <v>656</v>
      </c>
      <c r="CT63" s="28">
        <v>640</v>
      </c>
      <c r="CU63" s="28"/>
      <c r="CV63" s="28"/>
      <c r="CW63" s="28"/>
      <c r="CX63" s="28"/>
      <c r="CZ63" s="23">
        <v>-64</v>
      </c>
      <c r="DA63" s="25">
        <v>222</v>
      </c>
      <c r="DB63" s="23">
        <v>-11</v>
      </c>
      <c r="DC63" s="25">
        <v>1</v>
      </c>
      <c r="DF63" s="23">
        <v>106</v>
      </c>
      <c r="DG63" s="25">
        <v>332</v>
      </c>
      <c r="DH63" s="23">
        <v>-700</v>
      </c>
      <c r="DI63" s="25">
        <v>185</v>
      </c>
      <c r="DJ63" s="23">
        <v>226</v>
      </c>
      <c r="DK63" s="28">
        <v>147</v>
      </c>
      <c r="DL63" s="8">
        <v>142</v>
      </c>
      <c r="DQ63" s="8">
        <v>205</v>
      </c>
      <c r="DR63" s="52">
        <v>182</v>
      </c>
      <c r="DS63" s="6">
        <v>114</v>
      </c>
      <c r="DT63" s="52">
        <v>6</v>
      </c>
      <c r="DU63" s="8">
        <v>597</v>
      </c>
      <c r="DV63" s="28">
        <v>37</v>
      </c>
      <c r="DW63" s="8">
        <v>150</v>
      </c>
      <c r="DX63" s="28">
        <v>233</v>
      </c>
      <c r="DY63" s="6">
        <v>-108</v>
      </c>
      <c r="DZ63" s="52">
        <v>58</v>
      </c>
      <c r="EA63" s="23">
        <v>327</v>
      </c>
      <c r="EB63" s="52">
        <v>596</v>
      </c>
      <c r="EC63" s="6">
        <v>-4</v>
      </c>
      <c r="ED63" s="28">
        <v>6</v>
      </c>
      <c r="EE63" s="8">
        <v>133</v>
      </c>
      <c r="EF63" s="52">
        <v>494</v>
      </c>
      <c r="EG63" s="8">
        <v>433</v>
      </c>
      <c r="EH63" s="28">
        <v>144</v>
      </c>
      <c r="EI63" s="8">
        <v>1</v>
      </c>
      <c r="EJ63" s="52">
        <v>555</v>
      </c>
      <c r="EL63" s="8">
        <v>-509</v>
      </c>
      <c r="EM63" s="28">
        <v>208</v>
      </c>
      <c r="EN63" s="8">
        <v>-184</v>
      </c>
      <c r="EO63" s="28">
        <v>12</v>
      </c>
      <c r="EP63" s="28"/>
      <c r="EQ63" s="28"/>
      <c r="EX63" s="8">
        <v>410</v>
      </c>
      <c r="EY63" s="28">
        <v>115</v>
      </c>
      <c r="FD63" s="6">
        <v>313</v>
      </c>
      <c r="FE63" s="28">
        <v>452</v>
      </c>
      <c r="FH63" s="8">
        <v>-153</v>
      </c>
      <c r="FI63" s="28">
        <v>301</v>
      </c>
      <c r="FM63" s="8">
        <v>-103</v>
      </c>
      <c r="FN63" s="52">
        <v>84</v>
      </c>
      <c r="FO63" s="8">
        <v>105</v>
      </c>
      <c r="FP63" s="28">
        <v>128</v>
      </c>
      <c r="FQ63" s="8">
        <v>33</v>
      </c>
      <c r="FR63" s="28">
        <v>5</v>
      </c>
      <c r="FS63" s="8">
        <v>-1</v>
      </c>
      <c r="FT63" s="52">
        <v>9</v>
      </c>
      <c r="GC63" s="8">
        <v>-460</v>
      </c>
      <c r="GE63" s="8">
        <v>-307</v>
      </c>
      <c r="GF63" s="28">
        <v>421</v>
      </c>
      <c r="GI63" s="8">
        <v>-46</v>
      </c>
      <c r="GJ63" s="28">
        <v>77</v>
      </c>
      <c r="GO63" s="28"/>
      <c r="GP63" s="8">
        <v>135</v>
      </c>
      <c r="GQ63" s="52">
        <v>511</v>
      </c>
      <c r="GR63" s="8">
        <v>-457</v>
      </c>
      <c r="GS63" s="28">
        <v>359</v>
      </c>
      <c r="GT63" s="6">
        <v>165</v>
      </c>
      <c r="GU63" s="52">
        <v>165</v>
      </c>
      <c r="GV63" s="6"/>
      <c r="GW63" s="28"/>
      <c r="GZ63" s="8">
        <v>17</v>
      </c>
      <c r="HA63" s="28">
        <v>58</v>
      </c>
      <c r="HB63" s="6">
        <v>163</v>
      </c>
      <c r="HC63" s="28"/>
      <c r="HE63" s="8">
        <v>-29</v>
      </c>
      <c r="HF63" s="28">
        <v>32</v>
      </c>
      <c r="HG63" s="8">
        <v>-120</v>
      </c>
      <c r="HQ63" s="6">
        <v>2</v>
      </c>
      <c r="HR63" s="28">
        <v>2</v>
      </c>
      <c r="HS63" s="8">
        <v>2</v>
      </c>
      <c r="HT63" s="52">
        <v>222</v>
      </c>
      <c r="HX63" s="8">
        <v>153</v>
      </c>
      <c r="HY63" s="28">
        <v>187</v>
      </c>
      <c r="HZ63" s="8">
        <v>-59</v>
      </c>
      <c r="IB63" s="8">
        <v>454</v>
      </c>
      <c r="IC63" s="28">
        <v>484</v>
      </c>
      <c r="ID63" s="8">
        <v>-44</v>
      </c>
      <c r="IE63" s="28">
        <v>708</v>
      </c>
      <c r="IO63">
        <v>-618</v>
      </c>
      <c r="IP63" s="10">
        <v>121</v>
      </c>
      <c r="IW63" s="8">
        <v>-300</v>
      </c>
      <c r="IY63" s="8">
        <v>-930</v>
      </c>
      <c r="JA63" s="8">
        <v>-81</v>
      </c>
      <c r="JB63" s="12">
        <v>348</v>
      </c>
      <c r="JH63" s="8">
        <v>246</v>
      </c>
      <c r="JI63" s="28">
        <v>58</v>
      </c>
      <c r="JL63" s="8">
        <v>-13</v>
      </c>
      <c r="JN63" s="8">
        <v>183</v>
      </c>
      <c r="JO63" s="28">
        <v>211</v>
      </c>
      <c r="JP63" s="6">
        <v>37</v>
      </c>
      <c r="JQ63" s="12">
        <v>891</v>
      </c>
      <c r="JW63" s="8">
        <v>-285</v>
      </c>
      <c r="JX63" s="12">
        <v>115</v>
      </c>
      <c r="KE63" s="6">
        <v>-84</v>
      </c>
      <c r="KF63" s="12">
        <v>281</v>
      </c>
      <c r="KQ63" s="8">
        <v>426</v>
      </c>
      <c r="KR63" s="28">
        <v>46</v>
      </c>
      <c r="KT63" s="8">
        <v>7</v>
      </c>
      <c r="KU63" s="28">
        <v>4</v>
      </c>
      <c r="KZ63" s="8">
        <v>-2</v>
      </c>
      <c r="LA63" s="12">
        <v>226</v>
      </c>
      <c r="LD63" s="8">
        <v>140</v>
      </c>
      <c r="LE63" s="28">
        <v>583</v>
      </c>
      <c r="LF63" s="8">
        <v>-146</v>
      </c>
      <c r="LG63" s="28">
        <v>149</v>
      </c>
      <c r="LH63" s="8">
        <v>771</v>
      </c>
      <c r="LJ63" s="8">
        <v>688</v>
      </c>
      <c r="LK63" s="28">
        <v>230</v>
      </c>
      <c r="LL63" s="8">
        <v>-103</v>
      </c>
      <c r="LM63" s="28">
        <v>64</v>
      </c>
      <c r="LN63" s="8">
        <v>285</v>
      </c>
      <c r="LO63" s="28">
        <v>105</v>
      </c>
      <c r="LS63" s="8">
        <v>32</v>
      </c>
      <c r="LU63" s="8">
        <v>-2</v>
      </c>
      <c r="LV63" s="12">
        <v>217</v>
      </c>
      <c r="LW63" s="8">
        <v>22</v>
      </c>
      <c r="LX63" s="28">
        <v>23</v>
      </c>
      <c r="LZ63" s="8">
        <v>763</v>
      </c>
      <c r="MF63" s="8">
        <v>-751</v>
      </c>
      <c r="MG63" s="12">
        <v>354</v>
      </c>
      <c r="MS63" s="8">
        <v>-7</v>
      </c>
      <c r="MT63" s="12">
        <v>42</v>
      </c>
      <c r="NC63" s="8">
        <v>958</v>
      </c>
      <c r="ND63" s="12">
        <v>280</v>
      </c>
      <c r="NE63" s="8">
        <v>-189</v>
      </c>
      <c r="NF63" s="28">
        <v>841</v>
      </c>
      <c r="NG63" s="8">
        <v>-180</v>
      </c>
      <c r="NH63" s="28">
        <v>47</v>
      </c>
      <c r="NI63" s="8">
        <v>32</v>
      </c>
      <c r="NJ63" s="28">
        <v>6</v>
      </c>
      <c r="NP63" s="8">
        <v>196</v>
      </c>
      <c r="NQ63" s="12">
        <v>246</v>
      </c>
      <c r="NW63" s="8">
        <v>826</v>
      </c>
      <c r="NX63" s="28">
        <v>137</v>
      </c>
      <c r="NY63" s="8">
        <v>-121</v>
      </c>
      <c r="NZ63" s="12">
        <v>235</v>
      </c>
      <c r="OC63" s="8">
        <v>-526</v>
      </c>
      <c r="OD63" s="12">
        <v>264</v>
      </c>
      <c r="OO63" s="8">
        <v>94</v>
      </c>
      <c r="OP63" s="28">
        <v>89</v>
      </c>
      <c r="OV63" s="8">
        <v>414</v>
      </c>
      <c r="PE63" s="8">
        <v>40</v>
      </c>
      <c r="PF63" s="12">
        <v>59</v>
      </c>
      <c r="PJ63" s="8">
        <v>8</v>
      </c>
      <c r="PK63" s="12">
        <v>347</v>
      </c>
      <c r="PP63" s="8">
        <v>978</v>
      </c>
      <c r="PQ63" s="28">
        <v>5</v>
      </c>
      <c r="PR63" s="28"/>
      <c r="PS63" s="8">
        <v>249</v>
      </c>
      <c r="PT63" s="12">
        <v>103</v>
      </c>
      <c r="PW63" s="8">
        <v>-132</v>
      </c>
      <c r="PX63" s="28">
        <v>352</v>
      </c>
      <c r="QE63" s="8">
        <v>-659</v>
      </c>
      <c r="QF63" s="12">
        <v>421</v>
      </c>
      <c r="QH63" s="8">
        <v>-22</v>
      </c>
      <c r="QI63" s="12">
        <v>347</v>
      </c>
      <c r="QT63" s="8">
        <v>190</v>
      </c>
      <c r="QU63" s="12">
        <v>309</v>
      </c>
      <c r="QV63" s="6">
        <v>789</v>
      </c>
      <c r="QW63" s="12">
        <v>261</v>
      </c>
      <c r="QY63" s="8">
        <v>7</v>
      </c>
      <c r="QZ63" s="12">
        <v>43</v>
      </c>
      <c r="RC63" s="6">
        <v>-44</v>
      </c>
      <c r="RD63" s="12">
        <v>375</v>
      </c>
      <c r="RE63" s="6">
        <v>208</v>
      </c>
      <c r="RF63" s="12">
        <v>154</v>
      </c>
      <c r="RG63" s="8">
        <v>187</v>
      </c>
      <c r="RH63" s="28">
        <v>321</v>
      </c>
      <c r="RL63" s="8">
        <v>-3</v>
      </c>
      <c r="RM63" s="12">
        <v>174</v>
      </c>
      <c r="RS63" s="6">
        <v>42</v>
      </c>
      <c r="RT63" s="50">
        <v>169</v>
      </c>
      <c r="SP63" s="8">
        <v>409</v>
      </c>
      <c r="SQ63" s="12">
        <v>306</v>
      </c>
      <c r="SY63" s="6">
        <v>136</v>
      </c>
      <c r="TH63" s="8">
        <v>665</v>
      </c>
      <c r="TI63" s="28">
        <v>94</v>
      </c>
      <c r="TX63" s="8">
        <v>-179</v>
      </c>
      <c r="TY63" s="28">
        <v>908</v>
      </c>
      <c r="TZ63" s="8">
        <v>184</v>
      </c>
      <c r="UA63" s="12">
        <v>593</v>
      </c>
      <c r="UG63" s="8">
        <v>123</v>
      </c>
      <c r="UH63" s="12">
        <v>891</v>
      </c>
      <c r="UI63" s="8">
        <v>-94</v>
      </c>
      <c r="UZ63" s="8">
        <v>283</v>
      </c>
      <c r="VB63" s="8">
        <v>26</v>
      </c>
      <c r="VC63" s="12">
        <v>31</v>
      </c>
      <c r="VF63" s="8">
        <v>-186</v>
      </c>
      <c r="VG63" s="12">
        <v>265</v>
      </c>
      <c r="VH63" s="8">
        <v>503</v>
      </c>
      <c r="VI63" s="28">
        <v>152</v>
      </c>
      <c r="VL63" s="21"/>
      <c r="VM63" s="8">
        <v>310</v>
      </c>
      <c r="VN63" s="12">
        <v>165</v>
      </c>
      <c r="VO63" s="12"/>
      <c r="VP63" s="12"/>
      <c r="VQ63" s="6">
        <v>-19</v>
      </c>
      <c r="VR63" s="28">
        <v>9</v>
      </c>
      <c r="VS63" s="12"/>
      <c r="VT63" s="12"/>
      <c r="VZ63" s="8">
        <v>204</v>
      </c>
      <c r="WA63" s="28">
        <v>79</v>
      </c>
      <c r="WB63" s="8">
        <v>2230</v>
      </c>
      <c r="WC63" s="12">
        <v>256</v>
      </c>
      <c r="WP63" s="2">
        <v>-14</v>
      </c>
      <c r="WQ63" s="1">
        <v>9</v>
      </c>
      <c r="WR63" s="10"/>
      <c r="XE63">
        <v>1283</v>
      </c>
      <c r="XF63" s="1">
        <v>1257</v>
      </c>
      <c r="XG63" s="2">
        <v>126</v>
      </c>
      <c r="XH63" s="1">
        <v>31</v>
      </c>
      <c r="XK63">
        <v>123</v>
      </c>
      <c r="XL63" s="1">
        <v>63</v>
      </c>
    </row>
    <row r="64" spans="7:636" x14ac:dyDescent="0.25">
      <c r="G64" s="2">
        <v>-5</v>
      </c>
      <c r="I64" s="2">
        <v>-179</v>
      </c>
      <c r="K64" s="2">
        <v>-947</v>
      </c>
      <c r="L64" s="1">
        <v>39</v>
      </c>
      <c r="M64">
        <v>20</v>
      </c>
      <c r="N64" s="1">
        <v>3</v>
      </c>
      <c r="O64" s="26"/>
      <c r="R64">
        <v>-501</v>
      </c>
      <c r="S64" s="12">
        <v>2929</v>
      </c>
      <c r="V64">
        <v>-3</v>
      </c>
      <c r="W64" s="10">
        <v>88</v>
      </c>
      <c r="AB64">
        <v>-125</v>
      </c>
      <c r="AC64" s="1">
        <v>67</v>
      </c>
      <c r="AD64">
        <v>-5</v>
      </c>
      <c r="AE64" s="1">
        <v>7</v>
      </c>
      <c r="AF64">
        <v>-851</v>
      </c>
      <c r="AG64" s="1">
        <v>291</v>
      </c>
      <c r="AJ64" s="2">
        <v>-2</v>
      </c>
      <c r="AK64" s="10">
        <v>156</v>
      </c>
      <c r="AY64">
        <v>41</v>
      </c>
      <c r="AZ64" s="1">
        <v>2</v>
      </c>
      <c r="BA64">
        <v>625</v>
      </c>
      <c r="BB64" s="1">
        <v>680</v>
      </c>
      <c r="BD64" s="8">
        <v>36</v>
      </c>
      <c r="BE64" s="1">
        <v>246</v>
      </c>
      <c r="BF64">
        <v>-2011</v>
      </c>
      <c r="BG64" s="1">
        <v>1465</v>
      </c>
      <c r="BJ64">
        <v>-2</v>
      </c>
      <c r="BL64">
        <v>63</v>
      </c>
      <c r="BM64" s="1">
        <v>8</v>
      </c>
      <c r="BN64">
        <v>397</v>
      </c>
      <c r="BP64">
        <v>-67</v>
      </c>
      <c r="BQ64" s="10">
        <v>540</v>
      </c>
      <c r="BT64">
        <v>-839</v>
      </c>
      <c r="BU64" s="1">
        <v>505</v>
      </c>
      <c r="CE64" s="8">
        <v>187</v>
      </c>
      <c r="CF64" s="28">
        <v>20</v>
      </c>
      <c r="CG64" s="8">
        <v>825</v>
      </c>
      <c r="CI64" s="8">
        <v>11</v>
      </c>
      <c r="CJ64" s="12">
        <v>28</v>
      </c>
      <c r="CK64" s="8">
        <v>-1</v>
      </c>
      <c r="CL64" s="28">
        <v>23</v>
      </c>
      <c r="CM64" s="6">
        <v>-932</v>
      </c>
      <c r="CN64" s="28">
        <v>269</v>
      </c>
      <c r="CO64" s="6">
        <v>666</v>
      </c>
      <c r="CP64" s="28"/>
      <c r="CQ64" s="6">
        <v>153</v>
      </c>
      <c r="CR64" s="28"/>
      <c r="CS64" s="6">
        <v>-137</v>
      </c>
      <c r="CT64" s="28">
        <v>519</v>
      </c>
      <c r="CU64" s="28"/>
      <c r="CV64" s="28"/>
      <c r="CW64" s="28"/>
      <c r="CX64" s="28"/>
      <c r="CZ64" s="23">
        <v>-160</v>
      </c>
      <c r="DA64" s="25">
        <v>401</v>
      </c>
      <c r="DB64" s="23">
        <v>-64</v>
      </c>
      <c r="DC64" s="25">
        <v>16</v>
      </c>
      <c r="DF64" s="23">
        <v>112</v>
      </c>
      <c r="DG64" s="25">
        <v>152</v>
      </c>
      <c r="DH64" s="23">
        <v>409</v>
      </c>
      <c r="DI64" s="25">
        <v>267</v>
      </c>
      <c r="DJ64" s="23">
        <v>131</v>
      </c>
      <c r="DK64" s="28">
        <v>143</v>
      </c>
      <c r="DL64" s="8">
        <v>93</v>
      </c>
      <c r="DQ64" s="8">
        <v>-149</v>
      </c>
      <c r="DR64" s="52">
        <v>182</v>
      </c>
      <c r="DS64" s="6">
        <v>132</v>
      </c>
      <c r="DT64" s="52">
        <v>176</v>
      </c>
      <c r="DU64" s="8">
        <v>192</v>
      </c>
      <c r="DV64" s="28">
        <v>50</v>
      </c>
      <c r="DW64" s="8">
        <v>-16</v>
      </c>
      <c r="DX64" s="28">
        <v>33</v>
      </c>
      <c r="DY64" s="6">
        <v>553</v>
      </c>
      <c r="DZ64" s="52">
        <v>32</v>
      </c>
      <c r="EA64" s="23">
        <v>-546</v>
      </c>
      <c r="EB64" s="52">
        <v>212</v>
      </c>
      <c r="EC64" s="6">
        <v>1</v>
      </c>
      <c r="ED64" s="28">
        <v>10</v>
      </c>
      <c r="EE64" s="8">
        <v>-159</v>
      </c>
      <c r="EF64" s="52">
        <v>113</v>
      </c>
      <c r="EG64" s="8">
        <v>493</v>
      </c>
      <c r="EH64" s="28">
        <v>145</v>
      </c>
      <c r="EI64" s="8">
        <v>-8</v>
      </c>
      <c r="EJ64" s="52">
        <v>153</v>
      </c>
      <c r="EL64" s="8">
        <v>-418</v>
      </c>
      <c r="EM64" s="28">
        <v>590</v>
      </c>
      <c r="EN64" s="8">
        <v>-116</v>
      </c>
      <c r="EO64" s="28">
        <v>43</v>
      </c>
      <c r="EP64" s="28"/>
      <c r="EQ64" s="28"/>
      <c r="EX64" s="8">
        <v>287</v>
      </c>
      <c r="EY64" s="28">
        <v>132</v>
      </c>
      <c r="FD64" s="6">
        <v>137</v>
      </c>
      <c r="FE64" s="28">
        <v>124</v>
      </c>
      <c r="FH64" s="8">
        <v>7</v>
      </c>
      <c r="FI64" s="28">
        <v>2</v>
      </c>
      <c r="FM64" s="8">
        <v>-53</v>
      </c>
      <c r="FN64" s="52">
        <v>91</v>
      </c>
      <c r="FO64" s="8">
        <v>508</v>
      </c>
      <c r="FP64" s="28">
        <v>107</v>
      </c>
      <c r="FQ64" s="8">
        <v>74</v>
      </c>
      <c r="FR64" s="28">
        <v>6</v>
      </c>
      <c r="FS64" s="8">
        <v>101</v>
      </c>
      <c r="FT64" s="52">
        <v>91</v>
      </c>
      <c r="GC64" s="8">
        <v>-274</v>
      </c>
      <c r="GE64" s="8">
        <v>162</v>
      </c>
      <c r="GF64" s="28">
        <v>482</v>
      </c>
      <c r="GI64" s="8">
        <v>-62</v>
      </c>
      <c r="GJ64" s="28">
        <v>62</v>
      </c>
      <c r="GP64" s="8">
        <v>46</v>
      </c>
      <c r="GQ64" s="52">
        <v>295</v>
      </c>
      <c r="GR64" s="8">
        <v>-694</v>
      </c>
      <c r="GS64" s="28">
        <v>292</v>
      </c>
      <c r="GT64" s="6">
        <v>772</v>
      </c>
      <c r="GU64" s="52">
        <v>416</v>
      </c>
      <c r="GV64" s="6"/>
      <c r="GW64" s="28"/>
      <c r="GZ64" s="8">
        <v>481</v>
      </c>
      <c r="HA64" s="28">
        <v>111</v>
      </c>
      <c r="HB64" s="6">
        <v>339</v>
      </c>
      <c r="HC64" s="28"/>
      <c r="HE64" s="8">
        <v>-18</v>
      </c>
      <c r="HF64" s="28">
        <v>27</v>
      </c>
      <c r="HG64" s="8">
        <v>106</v>
      </c>
      <c r="HQ64" s="6">
        <v>18</v>
      </c>
      <c r="HR64" s="28">
        <v>5</v>
      </c>
      <c r="HS64" s="8">
        <v>11</v>
      </c>
      <c r="HT64" s="52">
        <v>56</v>
      </c>
      <c r="HX64" s="8">
        <v>-8</v>
      </c>
      <c r="HY64" s="28">
        <v>30</v>
      </c>
      <c r="HZ64" s="8">
        <v>-44</v>
      </c>
      <c r="IB64" s="8">
        <v>-809</v>
      </c>
      <c r="IC64" s="28">
        <v>187</v>
      </c>
      <c r="ID64" s="8">
        <v>-191</v>
      </c>
      <c r="IE64" s="28">
        <v>20</v>
      </c>
      <c r="IO64">
        <v>-767</v>
      </c>
      <c r="IP64" s="10">
        <v>205</v>
      </c>
      <c r="IW64" s="8">
        <v>-674</v>
      </c>
      <c r="IY64" s="8">
        <v>-870</v>
      </c>
      <c r="JA64" s="8">
        <v>-82</v>
      </c>
      <c r="JB64" s="12">
        <v>237</v>
      </c>
      <c r="JH64" s="8">
        <v>49</v>
      </c>
      <c r="JI64" s="28">
        <v>53</v>
      </c>
      <c r="JL64" s="8">
        <v>3</v>
      </c>
      <c r="JN64" s="8">
        <v>474</v>
      </c>
      <c r="JO64" s="28">
        <v>370</v>
      </c>
      <c r="JP64" s="6">
        <v>51</v>
      </c>
      <c r="JQ64" s="12">
        <v>131</v>
      </c>
      <c r="JW64" s="8">
        <v>-246</v>
      </c>
      <c r="JX64" s="12">
        <v>998</v>
      </c>
      <c r="KE64" s="6">
        <v>333</v>
      </c>
      <c r="KF64" s="12">
        <v>786</v>
      </c>
      <c r="KQ64" s="8">
        <v>549</v>
      </c>
      <c r="KR64" s="28">
        <v>45</v>
      </c>
      <c r="KT64" s="8">
        <v>22</v>
      </c>
      <c r="KU64" s="28">
        <v>24</v>
      </c>
      <c r="KZ64" s="8">
        <v>-9</v>
      </c>
      <c r="LA64" s="12">
        <v>554</v>
      </c>
      <c r="LD64" s="8">
        <v>-175</v>
      </c>
      <c r="LE64" s="28">
        <v>208</v>
      </c>
      <c r="LF64" s="8">
        <v>-154</v>
      </c>
      <c r="LG64" s="28">
        <v>124</v>
      </c>
      <c r="LH64" s="8">
        <v>-710</v>
      </c>
      <c r="LJ64" s="8">
        <v>-117</v>
      </c>
      <c r="LK64" s="28">
        <v>474</v>
      </c>
      <c r="LL64" s="8">
        <v>136</v>
      </c>
      <c r="LM64" s="28">
        <v>73</v>
      </c>
      <c r="LN64" s="8">
        <v>276</v>
      </c>
      <c r="LO64" s="28">
        <v>105</v>
      </c>
      <c r="LS64" s="8">
        <v>278</v>
      </c>
      <c r="LU64" s="8">
        <v>78</v>
      </c>
      <c r="LV64" s="12">
        <v>101</v>
      </c>
      <c r="LW64" s="8">
        <v>991</v>
      </c>
      <c r="LX64" s="28">
        <v>588</v>
      </c>
      <c r="MF64" s="8">
        <v>-200</v>
      </c>
      <c r="MG64" s="12">
        <v>353</v>
      </c>
      <c r="MS64" s="8">
        <v>-453</v>
      </c>
      <c r="MT64" s="12">
        <v>656</v>
      </c>
      <c r="NC64" s="8">
        <v>514</v>
      </c>
      <c r="ND64" s="12">
        <v>134</v>
      </c>
      <c r="NE64" s="8">
        <v>-617</v>
      </c>
      <c r="NF64" s="28">
        <v>280</v>
      </c>
      <c r="NG64" s="8">
        <v>38</v>
      </c>
      <c r="NH64" s="28">
        <v>2</v>
      </c>
      <c r="NI64" s="8">
        <v>-45</v>
      </c>
      <c r="NJ64" s="28">
        <v>3</v>
      </c>
      <c r="NP64" s="8">
        <v>244</v>
      </c>
      <c r="NQ64" s="12">
        <v>301</v>
      </c>
      <c r="NW64" s="8">
        <v>111</v>
      </c>
      <c r="NX64" s="28">
        <v>147</v>
      </c>
      <c r="NY64" s="8">
        <v>670</v>
      </c>
      <c r="NZ64" s="12">
        <v>118</v>
      </c>
      <c r="OC64" s="8">
        <v>254</v>
      </c>
      <c r="OD64" s="12">
        <v>210</v>
      </c>
      <c r="OO64" s="8">
        <v>-7</v>
      </c>
      <c r="OP64" s="28">
        <v>82</v>
      </c>
      <c r="OV64" s="8">
        <v>782</v>
      </c>
      <c r="PE64" s="8">
        <v>37</v>
      </c>
      <c r="PF64" s="12">
        <v>107</v>
      </c>
      <c r="PJ64" s="8">
        <v>16</v>
      </c>
      <c r="PK64" s="12">
        <v>340</v>
      </c>
      <c r="PP64" s="8">
        <v>986</v>
      </c>
      <c r="PQ64" s="28">
        <v>6</v>
      </c>
      <c r="PR64" s="28"/>
      <c r="PS64" s="8">
        <v>352</v>
      </c>
      <c r="PT64" s="12">
        <v>180</v>
      </c>
      <c r="PW64" s="8">
        <v>-846</v>
      </c>
      <c r="PX64" s="28">
        <v>327</v>
      </c>
      <c r="QE64" s="8">
        <v>-51</v>
      </c>
      <c r="QF64" s="12">
        <v>136</v>
      </c>
      <c r="QH64" s="8">
        <v>-2</v>
      </c>
      <c r="QI64" s="12">
        <v>300</v>
      </c>
      <c r="QT64" s="8">
        <v>453</v>
      </c>
      <c r="QU64" s="12">
        <v>80</v>
      </c>
      <c r="QV64" s="6">
        <v>-237</v>
      </c>
      <c r="QW64" s="12">
        <v>118</v>
      </c>
      <c r="QY64" s="8">
        <v>2</v>
      </c>
      <c r="QZ64" s="12">
        <v>31</v>
      </c>
      <c r="RC64" s="6">
        <v>-36</v>
      </c>
      <c r="RD64" s="12">
        <v>307</v>
      </c>
      <c r="RE64" s="6">
        <v>148</v>
      </c>
      <c r="RF64" s="12">
        <v>990</v>
      </c>
      <c r="RG64" s="8">
        <v>227</v>
      </c>
      <c r="RH64" s="28">
        <v>833</v>
      </c>
      <c r="RL64" s="8">
        <v>-18</v>
      </c>
      <c r="RM64" s="12">
        <v>76</v>
      </c>
      <c r="RS64" s="6">
        <v>-137</v>
      </c>
      <c r="RT64" s="50">
        <v>275</v>
      </c>
      <c r="SP64" s="8">
        <v>118</v>
      </c>
      <c r="SQ64" s="12">
        <v>335</v>
      </c>
      <c r="SY64" s="6">
        <v>461</v>
      </c>
      <c r="TH64" s="8">
        <v>612</v>
      </c>
      <c r="TI64" s="28">
        <v>77</v>
      </c>
      <c r="TX64" s="8">
        <v>-121</v>
      </c>
      <c r="TY64" s="28">
        <v>740</v>
      </c>
      <c r="TZ64" s="8">
        <v>124</v>
      </c>
      <c r="UA64" s="12">
        <v>298</v>
      </c>
      <c r="UG64" s="8">
        <v>165</v>
      </c>
      <c r="UH64" s="12">
        <v>52</v>
      </c>
      <c r="UI64" s="8">
        <v>-4</v>
      </c>
      <c r="UZ64" s="8">
        <v>159</v>
      </c>
      <c r="VF64" s="8">
        <v>-560</v>
      </c>
      <c r="VG64" s="12">
        <v>708</v>
      </c>
      <c r="VH64" s="8">
        <v>770</v>
      </c>
      <c r="VI64" s="28">
        <v>211</v>
      </c>
      <c r="VL64" s="21"/>
      <c r="VM64" s="8">
        <v>421</v>
      </c>
      <c r="VN64" s="12">
        <v>256</v>
      </c>
      <c r="VO64" s="12"/>
      <c r="VP64" s="12"/>
      <c r="VQ64" s="6">
        <v>-23</v>
      </c>
      <c r="VR64" s="28">
        <v>9</v>
      </c>
      <c r="VS64" s="12"/>
      <c r="VT64" s="12"/>
      <c r="VZ64" s="8">
        <v>129</v>
      </c>
      <c r="WA64" s="28">
        <v>145</v>
      </c>
      <c r="WB64" s="8">
        <v>1669</v>
      </c>
      <c r="WC64" s="12">
        <v>214</v>
      </c>
      <c r="WP64" s="2">
        <v>264</v>
      </c>
      <c r="WQ64" s="1">
        <v>40</v>
      </c>
      <c r="WR64" s="10"/>
      <c r="XE64">
        <v>-1251</v>
      </c>
      <c r="XF64" s="1">
        <v>774</v>
      </c>
      <c r="XG64" s="2">
        <v>48</v>
      </c>
      <c r="XH64" s="1">
        <v>166</v>
      </c>
      <c r="XK64">
        <v>44</v>
      </c>
      <c r="XL64" s="1">
        <v>62</v>
      </c>
    </row>
    <row r="65" spans="7:636" x14ac:dyDescent="0.25">
      <c r="G65" s="2">
        <v>1</v>
      </c>
      <c r="I65" s="2">
        <v>1</v>
      </c>
      <c r="K65" s="2">
        <v>3329</v>
      </c>
      <c r="L65" s="1">
        <v>13</v>
      </c>
      <c r="M65">
        <v>16</v>
      </c>
      <c r="N65" s="1">
        <v>4</v>
      </c>
      <c r="O65" s="26"/>
      <c r="R65">
        <v>-518</v>
      </c>
      <c r="S65" s="12">
        <v>2893</v>
      </c>
      <c r="V65">
        <v>-5</v>
      </c>
      <c r="W65" s="10">
        <v>196</v>
      </c>
      <c r="AB65">
        <v>-57</v>
      </c>
      <c r="AC65" s="1">
        <v>38</v>
      </c>
      <c r="AD65">
        <v>-90</v>
      </c>
      <c r="AE65" s="1">
        <v>9</v>
      </c>
      <c r="AF65">
        <v>-1247</v>
      </c>
      <c r="AG65" s="1">
        <v>242</v>
      </c>
      <c r="AJ65" s="2">
        <v>-31</v>
      </c>
      <c r="AK65" s="10">
        <v>239</v>
      </c>
      <c r="AY65">
        <v>-1</v>
      </c>
      <c r="AZ65" s="1">
        <v>1</v>
      </c>
      <c r="BA65">
        <v>259</v>
      </c>
      <c r="BB65" s="1">
        <v>912</v>
      </c>
      <c r="BD65" s="8">
        <v>-219</v>
      </c>
      <c r="BE65" s="1">
        <v>153</v>
      </c>
      <c r="BF65">
        <v>362</v>
      </c>
      <c r="BG65" s="1">
        <v>905</v>
      </c>
      <c r="BJ65">
        <v>-2</v>
      </c>
      <c r="BL65">
        <v>2308</v>
      </c>
      <c r="BM65" s="1">
        <v>101</v>
      </c>
      <c r="BN65">
        <v>-4</v>
      </c>
      <c r="BP65">
        <v>-328</v>
      </c>
      <c r="BQ65" s="10">
        <v>2648</v>
      </c>
      <c r="BT65">
        <v>-682</v>
      </c>
      <c r="BU65" s="1">
        <v>439</v>
      </c>
      <c r="CE65" s="8">
        <v>161</v>
      </c>
      <c r="CF65" s="28">
        <v>11</v>
      </c>
      <c r="CG65" s="8">
        <v>784</v>
      </c>
      <c r="CI65" s="8">
        <v>851</v>
      </c>
      <c r="CJ65" s="12">
        <v>445</v>
      </c>
      <c r="CK65" s="8">
        <v>2</v>
      </c>
      <c r="CL65" s="28">
        <v>23</v>
      </c>
      <c r="CM65" s="6">
        <v>86</v>
      </c>
      <c r="CN65" s="28">
        <v>22</v>
      </c>
      <c r="CO65" s="6">
        <v>111</v>
      </c>
      <c r="CP65" s="28"/>
      <c r="CQ65" s="6">
        <v>123</v>
      </c>
      <c r="CR65" s="28"/>
      <c r="CS65" s="6">
        <v>-145</v>
      </c>
      <c r="CT65" s="28">
        <v>646</v>
      </c>
      <c r="CU65" s="28"/>
      <c r="CV65" s="28"/>
      <c r="CW65" s="28"/>
      <c r="CX65" s="28"/>
      <c r="CZ65" s="23">
        <v>255</v>
      </c>
      <c r="DA65" s="25">
        <v>142</v>
      </c>
      <c r="DB65" s="23">
        <v>195</v>
      </c>
      <c r="DC65" s="25">
        <v>27</v>
      </c>
      <c r="DF65" s="23">
        <v>120</v>
      </c>
      <c r="DG65" s="25">
        <v>250</v>
      </c>
      <c r="DH65" s="23">
        <v>196</v>
      </c>
      <c r="DI65" s="25">
        <v>220</v>
      </c>
      <c r="DJ65" s="23">
        <v>-394</v>
      </c>
      <c r="DK65" s="28">
        <v>321</v>
      </c>
      <c r="DL65" s="8">
        <v>97</v>
      </c>
      <c r="DQ65" s="8">
        <v>729</v>
      </c>
      <c r="DR65" s="52">
        <v>70</v>
      </c>
      <c r="DS65" s="6">
        <v>162</v>
      </c>
      <c r="DT65" s="52">
        <v>191</v>
      </c>
      <c r="DU65" s="8">
        <v>174</v>
      </c>
      <c r="DV65" s="28">
        <v>42</v>
      </c>
      <c r="DW65" s="8">
        <v>860</v>
      </c>
      <c r="DX65" s="28">
        <v>924</v>
      </c>
      <c r="DY65" s="6">
        <v>-295</v>
      </c>
      <c r="DZ65" s="52">
        <v>101</v>
      </c>
      <c r="EA65" s="23">
        <v>334</v>
      </c>
      <c r="EB65" s="52">
        <v>329</v>
      </c>
      <c r="EC65" s="6">
        <v>24</v>
      </c>
      <c r="ED65" s="28">
        <v>9</v>
      </c>
      <c r="EE65" s="8">
        <v>-128</v>
      </c>
      <c r="EF65" s="52">
        <v>181</v>
      </c>
      <c r="EG65" s="8">
        <v>364</v>
      </c>
      <c r="EH65" s="28">
        <v>502</v>
      </c>
      <c r="EI65" s="8">
        <v>-3</v>
      </c>
      <c r="EJ65" s="52">
        <v>158</v>
      </c>
      <c r="EL65" s="8">
        <v>-790</v>
      </c>
      <c r="EM65" s="28">
        <v>588</v>
      </c>
      <c r="EN65" s="8">
        <v>225</v>
      </c>
      <c r="EO65" s="28">
        <v>15</v>
      </c>
      <c r="EP65" s="28"/>
      <c r="EQ65" s="28"/>
      <c r="EX65" s="8">
        <v>204</v>
      </c>
      <c r="EY65" s="28">
        <v>108</v>
      </c>
      <c r="FD65" s="6">
        <v>-840</v>
      </c>
      <c r="FE65" s="28">
        <v>416</v>
      </c>
      <c r="FH65" s="8">
        <v>11</v>
      </c>
      <c r="FI65" s="28">
        <v>2</v>
      </c>
      <c r="FM65" s="8">
        <v>-262</v>
      </c>
      <c r="FN65" s="52">
        <v>216</v>
      </c>
      <c r="FO65" s="8">
        <v>165</v>
      </c>
      <c r="FP65" s="28">
        <v>118</v>
      </c>
      <c r="FQ65" s="8">
        <v>-45</v>
      </c>
      <c r="FR65" s="28">
        <v>6</v>
      </c>
      <c r="FS65" s="8">
        <v>128</v>
      </c>
      <c r="FT65" s="52">
        <v>105</v>
      </c>
      <c r="GC65" s="8">
        <v>-11</v>
      </c>
      <c r="GE65" s="8">
        <v>887</v>
      </c>
      <c r="GF65" s="28">
        <v>497</v>
      </c>
      <c r="GI65" s="8">
        <v>42</v>
      </c>
      <c r="GJ65" s="28">
        <v>45</v>
      </c>
      <c r="GP65" s="8">
        <v>56</v>
      </c>
      <c r="GQ65" s="52">
        <v>571</v>
      </c>
      <c r="GR65" s="8">
        <v>-534</v>
      </c>
      <c r="GS65" s="28">
        <v>279</v>
      </c>
      <c r="GT65" s="6">
        <v>-132</v>
      </c>
      <c r="GU65" s="52">
        <v>795</v>
      </c>
      <c r="GV65" s="6"/>
      <c r="GW65" s="28"/>
      <c r="GZ65" s="8">
        <v>-316</v>
      </c>
      <c r="HA65" s="28">
        <v>7</v>
      </c>
      <c r="HB65" s="6">
        <v>357</v>
      </c>
      <c r="HC65" s="28"/>
      <c r="HE65" s="8">
        <v>25</v>
      </c>
      <c r="HF65" s="28">
        <v>24</v>
      </c>
      <c r="HG65" s="8">
        <v>58</v>
      </c>
      <c r="HQ65" s="6">
        <v>8</v>
      </c>
      <c r="HR65" s="28">
        <v>8</v>
      </c>
      <c r="HS65" s="8">
        <v>1</v>
      </c>
      <c r="HT65" s="52">
        <v>73</v>
      </c>
      <c r="HX65" s="8">
        <v>256</v>
      </c>
      <c r="HY65" s="28">
        <v>213</v>
      </c>
      <c r="HZ65" s="8">
        <v>-381</v>
      </c>
      <c r="IB65" s="8">
        <v>219</v>
      </c>
      <c r="IC65" s="28">
        <v>214</v>
      </c>
      <c r="ID65" s="8">
        <v>151</v>
      </c>
      <c r="IE65" s="28">
        <v>512</v>
      </c>
      <c r="IO65">
        <v>6</v>
      </c>
      <c r="IP65" s="10">
        <v>153</v>
      </c>
      <c r="IW65" s="8">
        <v>-180</v>
      </c>
      <c r="IY65" s="8">
        <v>100</v>
      </c>
      <c r="JA65" s="8">
        <v>-57</v>
      </c>
      <c r="JB65" s="12">
        <v>300</v>
      </c>
      <c r="JH65" s="8">
        <v>-27</v>
      </c>
      <c r="JI65" s="28">
        <v>67</v>
      </c>
      <c r="JL65" s="8">
        <v>1</v>
      </c>
      <c r="JN65" s="8">
        <v>527</v>
      </c>
      <c r="JO65" s="28">
        <v>366</v>
      </c>
      <c r="JP65" s="6">
        <v>78</v>
      </c>
      <c r="JQ65" s="12">
        <v>190</v>
      </c>
      <c r="JW65" s="8">
        <v>-192</v>
      </c>
      <c r="JX65" s="12">
        <v>65</v>
      </c>
      <c r="KE65" s="6">
        <v>-268</v>
      </c>
      <c r="KF65" s="12">
        <v>120</v>
      </c>
      <c r="KQ65" s="8">
        <v>147</v>
      </c>
      <c r="KR65" s="28">
        <v>98</v>
      </c>
      <c r="KT65" s="8">
        <v>-350</v>
      </c>
      <c r="KU65" s="28">
        <v>13</v>
      </c>
      <c r="KZ65" s="8">
        <v>-12</v>
      </c>
      <c r="LA65" s="12">
        <v>101</v>
      </c>
      <c r="LD65" s="8">
        <v>-143</v>
      </c>
      <c r="LE65" s="28">
        <v>326</v>
      </c>
      <c r="LF65" s="8">
        <v>-213</v>
      </c>
      <c r="LG65" s="28">
        <v>129</v>
      </c>
      <c r="LH65" s="8">
        <v>-433</v>
      </c>
      <c r="LJ65" s="8">
        <v>725</v>
      </c>
      <c r="LK65" s="28">
        <v>313</v>
      </c>
      <c r="LL65" s="8">
        <v>30</v>
      </c>
      <c r="LM65" s="28">
        <v>34</v>
      </c>
      <c r="LN65" s="8">
        <v>173</v>
      </c>
      <c r="LO65" s="28">
        <v>106</v>
      </c>
      <c r="LS65" s="8">
        <v>60</v>
      </c>
      <c r="LU65" s="8">
        <v>33</v>
      </c>
      <c r="LV65" s="12">
        <v>35</v>
      </c>
      <c r="LW65" s="8">
        <v>-509</v>
      </c>
      <c r="LX65" s="28">
        <v>486</v>
      </c>
      <c r="MF65" s="8">
        <v>31</v>
      </c>
      <c r="MG65" s="12">
        <v>5</v>
      </c>
      <c r="MS65" s="8">
        <v>-930</v>
      </c>
      <c r="MT65" s="12">
        <v>243</v>
      </c>
      <c r="NC65" s="8">
        <v>-16</v>
      </c>
      <c r="ND65" s="12">
        <v>244</v>
      </c>
      <c r="NE65" s="8">
        <v>322</v>
      </c>
      <c r="NF65" s="28">
        <v>901</v>
      </c>
      <c r="NG65" s="8">
        <v>-95</v>
      </c>
      <c r="NH65" s="28">
        <v>8</v>
      </c>
      <c r="NI65" s="8">
        <v>3</v>
      </c>
      <c r="NJ65" s="28">
        <v>19</v>
      </c>
      <c r="NP65" s="8">
        <v>305</v>
      </c>
      <c r="NQ65" s="12">
        <v>362</v>
      </c>
      <c r="NW65" s="8">
        <v>123</v>
      </c>
      <c r="NX65" s="28">
        <v>174</v>
      </c>
      <c r="NY65" s="8">
        <v>-29</v>
      </c>
      <c r="NZ65" s="12">
        <v>422</v>
      </c>
      <c r="OC65" s="8">
        <f>260</f>
        <v>260</v>
      </c>
      <c r="OD65" s="12">
        <v>516</v>
      </c>
      <c r="OV65" s="8">
        <v>996</v>
      </c>
      <c r="PE65" s="8">
        <v>50</v>
      </c>
      <c r="PF65" s="12">
        <v>126</v>
      </c>
      <c r="PJ65" s="8">
        <v>40</v>
      </c>
      <c r="PK65" s="12">
        <v>136</v>
      </c>
      <c r="PP65" s="8">
        <v>930</v>
      </c>
      <c r="PQ65" s="28">
        <v>10</v>
      </c>
      <c r="PR65" s="28"/>
      <c r="PS65" s="8">
        <v>673</v>
      </c>
      <c r="PT65" s="12">
        <v>276</v>
      </c>
      <c r="PW65" s="8">
        <v>-352</v>
      </c>
      <c r="PX65" s="28">
        <v>175</v>
      </c>
      <c r="QE65" s="8">
        <v>292</v>
      </c>
      <c r="QF65" s="12">
        <v>113</v>
      </c>
      <c r="QH65" s="8">
        <v>-6</v>
      </c>
      <c r="QI65" s="12">
        <v>169</v>
      </c>
      <c r="QT65" s="8">
        <v>340</v>
      </c>
      <c r="QU65" s="12">
        <v>295</v>
      </c>
      <c r="QV65" s="6">
        <v>818</v>
      </c>
      <c r="QW65" s="12">
        <v>274</v>
      </c>
      <c r="QY65" s="8">
        <v>39</v>
      </c>
      <c r="QZ65" s="12">
        <v>123</v>
      </c>
      <c r="RC65" s="6">
        <v>-12</v>
      </c>
      <c r="RD65" s="12">
        <v>65</v>
      </c>
      <c r="RE65" s="6">
        <v>-103</v>
      </c>
      <c r="RF65" s="12">
        <v>790</v>
      </c>
      <c r="RG65" s="8">
        <v>151</v>
      </c>
      <c r="RH65" s="28">
        <v>134</v>
      </c>
      <c r="RL65" s="8">
        <v>19</v>
      </c>
      <c r="RM65" s="12">
        <v>545</v>
      </c>
      <c r="RS65" s="6">
        <v>79</v>
      </c>
      <c r="RT65" s="50">
        <v>288</v>
      </c>
      <c r="SP65" s="8">
        <v>-223</v>
      </c>
      <c r="SQ65" s="12">
        <v>123</v>
      </c>
      <c r="SY65" s="6">
        <v>213</v>
      </c>
      <c r="TH65" s="8">
        <v>786</v>
      </c>
      <c r="TI65" s="28">
        <v>123</v>
      </c>
      <c r="TX65" s="8">
        <v>-108</v>
      </c>
      <c r="TY65" s="28">
        <v>115</v>
      </c>
      <c r="TZ65" s="8">
        <v>74</v>
      </c>
      <c r="UA65" s="12">
        <v>162</v>
      </c>
      <c r="UG65" s="8">
        <v>195</v>
      </c>
      <c r="UH65" s="12">
        <v>440</v>
      </c>
      <c r="UI65" s="8">
        <v>6</v>
      </c>
      <c r="UZ65" s="8">
        <v>708</v>
      </c>
      <c r="VF65" s="8">
        <v>-245</v>
      </c>
      <c r="VG65" s="12">
        <v>379</v>
      </c>
      <c r="VH65" s="8">
        <v>199</v>
      </c>
      <c r="VI65" s="28">
        <v>217</v>
      </c>
      <c r="VL65" s="21"/>
      <c r="VM65" s="8">
        <v>953</v>
      </c>
      <c r="VN65" s="12">
        <v>109</v>
      </c>
      <c r="VO65" s="12"/>
      <c r="VP65" s="12"/>
      <c r="VQ65" s="6">
        <v>-19</v>
      </c>
      <c r="VR65" s="28">
        <v>9</v>
      </c>
      <c r="VS65" s="12"/>
      <c r="VT65" s="12"/>
      <c r="VZ65" s="8">
        <v>203</v>
      </c>
      <c r="WA65" s="28">
        <v>264</v>
      </c>
      <c r="WB65" s="8">
        <v>1518</v>
      </c>
      <c r="WC65" s="12">
        <v>178</v>
      </c>
      <c r="WP65" s="2">
        <v>151</v>
      </c>
      <c r="WQ65" s="1">
        <v>99</v>
      </c>
      <c r="WR65" s="10"/>
      <c r="XE65">
        <v>-501</v>
      </c>
      <c r="XF65" s="1">
        <v>606</v>
      </c>
      <c r="XG65" s="2">
        <v>24</v>
      </c>
      <c r="XH65" s="1">
        <v>6</v>
      </c>
      <c r="XK65">
        <v>147</v>
      </c>
      <c r="XL65" s="1">
        <v>66</v>
      </c>
    </row>
    <row r="66" spans="7:636" x14ac:dyDescent="0.25">
      <c r="G66" s="2">
        <v>4</v>
      </c>
      <c r="I66" s="2">
        <v>12</v>
      </c>
      <c r="K66" s="2">
        <v>2754</v>
      </c>
      <c r="L66" s="1">
        <v>14</v>
      </c>
      <c r="M66">
        <v>60</v>
      </c>
      <c r="N66" s="1">
        <v>6</v>
      </c>
      <c r="O66" s="26"/>
      <c r="R66">
        <v>-290</v>
      </c>
      <c r="S66" s="12">
        <v>274</v>
      </c>
      <c r="V66">
        <v>1</v>
      </c>
      <c r="W66" s="10">
        <v>75</v>
      </c>
      <c r="AB66">
        <v>357</v>
      </c>
      <c r="AC66" s="1">
        <v>26</v>
      </c>
      <c r="AD66">
        <v>-187</v>
      </c>
      <c r="AE66" s="1">
        <v>11</v>
      </c>
      <c r="AF66">
        <v>764</v>
      </c>
      <c r="AG66" s="1">
        <v>387</v>
      </c>
      <c r="AJ66" s="2">
        <v>-27</v>
      </c>
      <c r="AK66" s="10">
        <v>180</v>
      </c>
      <c r="AY66">
        <v>22</v>
      </c>
      <c r="AZ66" s="1">
        <v>6</v>
      </c>
      <c r="BD66" s="8">
        <v>-1664</v>
      </c>
      <c r="BE66" s="1">
        <v>186</v>
      </c>
      <c r="BF66">
        <v>3976</v>
      </c>
      <c r="BG66" s="1">
        <v>1427</v>
      </c>
      <c r="BJ66">
        <v>-7</v>
      </c>
      <c r="BL66">
        <v>-90</v>
      </c>
      <c r="BM66" s="1">
        <v>21</v>
      </c>
      <c r="BN66">
        <v>16</v>
      </c>
      <c r="BP66">
        <v>-24</v>
      </c>
      <c r="BQ66" s="10">
        <v>656</v>
      </c>
      <c r="BT66">
        <v>53</v>
      </c>
      <c r="BU66" s="1">
        <v>15</v>
      </c>
      <c r="CE66" s="8">
        <v>147</v>
      </c>
      <c r="CF66" s="28">
        <v>20</v>
      </c>
      <c r="CG66" s="8">
        <v>1801</v>
      </c>
      <c r="CI66" s="8">
        <v>188</v>
      </c>
      <c r="CJ66" s="12">
        <v>41</v>
      </c>
      <c r="CK66" s="8">
        <v>-14</v>
      </c>
      <c r="CL66" s="28">
        <v>70</v>
      </c>
      <c r="CM66" s="6">
        <v>349</v>
      </c>
      <c r="CN66" s="28">
        <v>132</v>
      </c>
      <c r="CO66" s="6">
        <v>-233</v>
      </c>
      <c r="CP66" s="28"/>
      <c r="CQ66" s="6">
        <v>126</v>
      </c>
      <c r="CR66" s="28"/>
      <c r="CS66" s="6">
        <v>-450</v>
      </c>
      <c r="CT66" s="28">
        <v>798</v>
      </c>
      <c r="CU66" s="28"/>
      <c r="CV66" s="28"/>
      <c r="CW66" s="28"/>
      <c r="CX66" s="28"/>
      <c r="CZ66" s="23">
        <v>-107</v>
      </c>
      <c r="DA66" s="25">
        <v>75</v>
      </c>
      <c r="DB66" s="23">
        <v>128</v>
      </c>
      <c r="DC66" s="25">
        <v>44</v>
      </c>
      <c r="DF66" s="23">
        <v>114</v>
      </c>
      <c r="DG66" s="25">
        <v>781</v>
      </c>
      <c r="DH66" s="23">
        <v>-774</v>
      </c>
      <c r="DI66" s="25">
        <v>215</v>
      </c>
      <c r="DJ66" s="23">
        <v>154</v>
      </c>
      <c r="DK66" s="28">
        <v>262</v>
      </c>
      <c r="DL66" s="8">
        <v>178</v>
      </c>
      <c r="DQ66" s="8">
        <v>481</v>
      </c>
      <c r="DR66" s="52">
        <v>399</v>
      </c>
      <c r="DS66" s="6">
        <v>33</v>
      </c>
      <c r="DT66" s="52">
        <v>160</v>
      </c>
      <c r="DU66" s="8">
        <v>306</v>
      </c>
      <c r="DV66" s="28">
        <v>32</v>
      </c>
      <c r="DW66" s="8">
        <v>-172</v>
      </c>
      <c r="DX66" s="28">
        <v>229</v>
      </c>
      <c r="DY66" s="6">
        <v>-361</v>
      </c>
      <c r="DZ66" s="52">
        <v>123</v>
      </c>
      <c r="EA66" s="23">
        <v>-230</v>
      </c>
      <c r="EB66" s="52">
        <v>298</v>
      </c>
      <c r="EC66" s="6">
        <v>7</v>
      </c>
      <c r="ED66" s="28">
        <v>2</v>
      </c>
      <c r="EE66" s="8">
        <v>-305</v>
      </c>
      <c r="EF66" s="52">
        <v>251</v>
      </c>
      <c r="EG66" s="8">
        <v>204</v>
      </c>
      <c r="EH66" s="28">
        <v>356</v>
      </c>
      <c r="EI66" s="8">
        <v>-27</v>
      </c>
      <c r="EJ66" s="52">
        <v>852</v>
      </c>
      <c r="EL66" s="8">
        <v>-108</v>
      </c>
      <c r="EM66" s="28">
        <v>823</v>
      </c>
      <c r="EN66" s="8">
        <v>-423</v>
      </c>
      <c r="EO66" s="28">
        <v>13</v>
      </c>
      <c r="EP66" s="28"/>
      <c r="EQ66" s="28"/>
      <c r="EX66" s="8">
        <v>531</v>
      </c>
      <c r="EY66" s="28">
        <v>196</v>
      </c>
      <c r="FD66" s="6">
        <v>707</v>
      </c>
      <c r="FE66" s="28">
        <v>21</v>
      </c>
      <c r="FH66" s="8">
        <v>-458</v>
      </c>
      <c r="FI66" s="28">
        <v>144</v>
      </c>
      <c r="FM66" s="8">
        <v>567</v>
      </c>
      <c r="FN66" s="52">
        <v>210</v>
      </c>
      <c r="FO66" s="8">
        <v>154</v>
      </c>
      <c r="FP66" s="28">
        <v>734</v>
      </c>
      <c r="FQ66" s="8">
        <v>41</v>
      </c>
      <c r="FR66" s="28">
        <v>9</v>
      </c>
      <c r="FS66" s="8">
        <v>128</v>
      </c>
      <c r="FT66" s="52">
        <v>110</v>
      </c>
      <c r="GC66" s="8">
        <v>456</v>
      </c>
      <c r="GE66" s="8">
        <v>2</v>
      </c>
      <c r="GF66" s="28">
        <v>13</v>
      </c>
      <c r="GI66" s="8">
        <v>19</v>
      </c>
      <c r="GJ66" s="28">
        <v>77</v>
      </c>
      <c r="GP66" s="8">
        <v>42</v>
      </c>
      <c r="GQ66" s="52">
        <v>216</v>
      </c>
      <c r="GR66" s="8">
        <v>54</v>
      </c>
      <c r="GS66" s="28">
        <v>104</v>
      </c>
      <c r="GT66" s="6">
        <v>-48</v>
      </c>
      <c r="GU66" s="52">
        <v>936</v>
      </c>
      <c r="GV66" s="6"/>
      <c r="GW66" s="28"/>
      <c r="GZ66" s="8">
        <v>-131</v>
      </c>
      <c r="HA66" s="28">
        <v>4</v>
      </c>
      <c r="HB66" s="6">
        <v>413</v>
      </c>
      <c r="HC66" s="28"/>
      <c r="HE66" s="8">
        <v>11</v>
      </c>
      <c r="HF66" s="28">
        <v>19</v>
      </c>
      <c r="HG66" s="8">
        <v>-144</v>
      </c>
      <c r="HQ66" s="6">
        <v>9</v>
      </c>
      <c r="HR66" s="28">
        <v>3</v>
      </c>
      <c r="HS66" s="8">
        <v>-6</v>
      </c>
      <c r="HT66" s="52">
        <v>573</v>
      </c>
      <c r="HX66" s="8">
        <v>101</v>
      </c>
      <c r="HY66" s="28">
        <v>82</v>
      </c>
      <c r="HZ66" s="8">
        <v>-1</v>
      </c>
      <c r="IB66" s="8">
        <v>-213</v>
      </c>
      <c r="IC66" s="28">
        <v>399</v>
      </c>
      <c r="ID66" s="8">
        <v>81</v>
      </c>
      <c r="IE66" s="28">
        <v>337</v>
      </c>
      <c r="IO66">
        <v>24</v>
      </c>
      <c r="IP66" s="10">
        <v>922</v>
      </c>
      <c r="IW66" s="8">
        <v>-300</v>
      </c>
      <c r="IY66" s="8">
        <v>-180</v>
      </c>
      <c r="JA66" s="8">
        <v>-207</v>
      </c>
      <c r="JB66" s="12">
        <v>580</v>
      </c>
      <c r="JH66" s="8">
        <v>-67</v>
      </c>
      <c r="JI66" s="28">
        <v>83</v>
      </c>
      <c r="JL66" s="8">
        <v>-20</v>
      </c>
      <c r="JN66" s="8">
        <v>723</v>
      </c>
      <c r="JO66" s="28">
        <v>309</v>
      </c>
      <c r="JP66" s="6">
        <v>34</v>
      </c>
      <c r="JQ66" s="12">
        <v>886</v>
      </c>
      <c r="JW66" s="8">
        <v>-223</v>
      </c>
      <c r="JX66" s="12">
        <v>75</v>
      </c>
      <c r="KE66" s="6">
        <v>479</v>
      </c>
      <c r="KF66" s="12">
        <v>643</v>
      </c>
      <c r="KQ66" s="8">
        <v>201</v>
      </c>
      <c r="KR66" s="28">
        <v>73</v>
      </c>
      <c r="KT66" s="8">
        <v>8</v>
      </c>
      <c r="KU66" s="28">
        <v>22</v>
      </c>
      <c r="KZ66" s="8">
        <v>-120</v>
      </c>
      <c r="LA66" s="12">
        <v>101</v>
      </c>
      <c r="LD66" s="8">
        <v>288</v>
      </c>
      <c r="LE66" s="28">
        <v>169</v>
      </c>
      <c r="LF66" s="8">
        <v>-168</v>
      </c>
      <c r="LG66" s="28">
        <v>90</v>
      </c>
      <c r="LH66" s="8">
        <v>-686</v>
      </c>
      <c r="LJ66" s="8">
        <v>-451</v>
      </c>
      <c r="LK66" s="28">
        <v>187</v>
      </c>
      <c r="LL66" s="8">
        <v>-13</v>
      </c>
      <c r="LM66" s="28">
        <v>10</v>
      </c>
      <c r="LN66" s="8">
        <v>161</v>
      </c>
      <c r="LO66" s="28">
        <v>105</v>
      </c>
      <c r="LS66" s="8">
        <v>87</v>
      </c>
      <c r="LU66" s="8">
        <v>-6</v>
      </c>
      <c r="LV66" s="12">
        <v>9</v>
      </c>
      <c r="LW66" s="8">
        <v>515</v>
      </c>
      <c r="LX66" s="28">
        <v>341</v>
      </c>
      <c r="MF66" s="8">
        <v>144</v>
      </c>
      <c r="MG66" s="12">
        <v>251</v>
      </c>
      <c r="MS66" s="8">
        <v>-162</v>
      </c>
      <c r="MT66" s="12">
        <v>359</v>
      </c>
      <c r="NC66" s="8">
        <v>210</v>
      </c>
      <c r="ND66" s="12">
        <v>138</v>
      </c>
      <c r="NE66" s="8">
        <v>454</v>
      </c>
      <c r="NF66" s="28">
        <v>114</v>
      </c>
      <c r="NG66" s="8">
        <v>168</v>
      </c>
      <c r="NH66" s="28">
        <v>12</v>
      </c>
      <c r="NP66" s="8">
        <v>247</v>
      </c>
      <c r="NQ66" s="12">
        <v>273</v>
      </c>
      <c r="NW66" s="8">
        <v>119</v>
      </c>
      <c r="NX66" s="28">
        <v>203</v>
      </c>
      <c r="NY66" s="8">
        <v>119</v>
      </c>
      <c r="NZ66" s="12">
        <v>225</v>
      </c>
      <c r="OC66" s="8">
        <v>-491</v>
      </c>
      <c r="OD66" s="12">
        <v>927</v>
      </c>
      <c r="OV66" s="8">
        <v>180</v>
      </c>
      <c r="PE66" s="8">
        <v>27</v>
      </c>
      <c r="PF66" s="12">
        <v>138</v>
      </c>
      <c r="PJ66" s="8">
        <v>427</v>
      </c>
      <c r="PK66" s="12">
        <v>236</v>
      </c>
      <c r="PP66" s="8">
        <v>103</v>
      </c>
      <c r="PQ66" s="28">
        <v>8</v>
      </c>
      <c r="PR66" s="28"/>
      <c r="PS66" s="8">
        <v>315</v>
      </c>
      <c r="PT66" s="12">
        <v>226</v>
      </c>
      <c r="PW66" s="8">
        <v>6</v>
      </c>
      <c r="PX66" s="28">
        <v>139</v>
      </c>
      <c r="QE66" s="8">
        <v>166</v>
      </c>
      <c r="QF66" s="12">
        <v>191</v>
      </c>
      <c r="QH66" s="8">
        <v>-11</v>
      </c>
      <c r="QI66" s="12">
        <v>946</v>
      </c>
      <c r="QT66" s="8">
        <v>-108</v>
      </c>
      <c r="QU66" s="12">
        <v>214</v>
      </c>
      <c r="QV66" s="6">
        <v>-270</v>
      </c>
      <c r="QW66" s="12">
        <v>117</v>
      </c>
      <c r="QY66" s="8">
        <v>-1</v>
      </c>
      <c r="QZ66" s="12">
        <v>37</v>
      </c>
      <c r="RC66" s="6">
        <v>-415</v>
      </c>
      <c r="RD66" s="12">
        <v>140</v>
      </c>
      <c r="RE66" s="6">
        <v>-32</v>
      </c>
      <c r="RF66" s="12">
        <v>16</v>
      </c>
      <c r="RG66" s="8">
        <v>486</v>
      </c>
      <c r="RH66" s="28">
        <v>176</v>
      </c>
      <c r="RL66" s="8">
        <v>16</v>
      </c>
      <c r="RM66" s="12">
        <v>536</v>
      </c>
      <c r="RS66" s="6">
        <v>-598</v>
      </c>
      <c r="RT66" s="50">
        <v>362</v>
      </c>
      <c r="SP66" s="8">
        <v>377</v>
      </c>
      <c r="SQ66" s="12">
        <v>120</v>
      </c>
      <c r="SY66" s="6">
        <v>29</v>
      </c>
      <c r="TH66" s="8">
        <v>625</v>
      </c>
      <c r="TI66" s="28">
        <v>143</v>
      </c>
      <c r="TX66" s="8">
        <v>-131</v>
      </c>
      <c r="TY66" s="28">
        <v>108</v>
      </c>
      <c r="TZ66" s="8">
        <v>37</v>
      </c>
      <c r="UA66" s="12">
        <v>918</v>
      </c>
      <c r="UG66" s="8">
        <v>-249</v>
      </c>
      <c r="UH66" s="12">
        <v>15</v>
      </c>
      <c r="UI66" s="8">
        <v>12</v>
      </c>
      <c r="UZ66" s="8">
        <v>177</v>
      </c>
      <c r="VF66" s="8">
        <v>-275</v>
      </c>
      <c r="VG66" s="12">
        <v>453</v>
      </c>
      <c r="VH66" s="8">
        <v>-517</v>
      </c>
      <c r="VI66" s="28">
        <v>243</v>
      </c>
      <c r="VL66" s="21"/>
      <c r="VM66" s="8">
        <v>449</v>
      </c>
      <c r="VN66" s="12">
        <v>384</v>
      </c>
      <c r="VO66" s="12"/>
      <c r="VP66" s="12"/>
      <c r="VQ66" s="6">
        <v>-17</v>
      </c>
      <c r="VR66" s="28">
        <v>8</v>
      </c>
      <c r="VS66" s="12"/>
      <c r="VT66" s="12"/>
      <c r="VZ66" s="8">
        <v>250</v>
      </c>
      <c r="WA66" s="28">
        <v>33</v>
      </c>
      <c r="WB66" s="8">
        <v>6892</v>
      </c>
      <c r="WC66" s="12">
        <v>695</v>
      </c>
      <c r="WP66" s="2">
        <v>-15</v>
      </c>
      <c r="WQ66" s="1">
        <v>8</v>
      </c>
      <c r="WR66" s="10"/>
      <c r="XE66">
        <v>122</v>
      </c>
      <c r="XF66" s="1">
        <v>104</v>
      </c>
      <c r="XG66" s="2">
        <v>62</v>
      </c>
      <c r="XH66" s="1">
        <v>34</v>
      </c>
      <c r="XK66">
        <v>85</v>
      </c>
      <c r="XL66" s="1">
        <v>48</v>
      </c>
    </row>
    <row r="67" spans="7:636" x14ac:dyDescent="0.25">
      <c r="G67" s="2">
        <v>4</v>
      </c>
      <c r="I67" s="2">
        <v>-9</v>
      </c>
      <c r="K67" s="2">
        <v>3250</v>
      </c>
      <c r="L67" s="1">
        <v>13</v>
      </c>
      <c r="M67">
        <v>34</v>
      </c>
      <c r="N67" s="1">
        <v>6</v>
      </c>
      <c r="O67" s="26"/>
      <c r="R67">
        <v>-302</v>
      </c>
      <c r="S67" s="12">
        <v>247</v>
      </c>
      <c r="V67">
        <v>7</v>
      </c>
      <c r="W67" s="10">
        <v>388</v>
      </c>
      <c r="AB67">
        <v>531</v>
      </c>
      <c r="AC67" s="1">
        <v>26</v>
      </c>
      <c r="AD67">
        <v>20</v>
      </c>
      <c r="AE67" s="1">
        <v>3</v>
      </c>
      <c r="AF67">
        <v>380</v>
      </c>
      <c r="AG67" s="1">
        <v>432</v>
      </c>
      <c r="AJ67" s="2">
        <v>-40</v>
      </c>
      <c r="AK67" s="10">
        <v>275</v>
      </c>
      <c r="AY67">
        <v>-184</v>
      </c>
      <c r="AZ67" s="1">
        <v>130</v>
      </c>
      <c r="BD67" s="8">
        <v>-9507</v>
      </c>
      <c r="BE67" s="1">
        <v>70</v>
      </c>
      <c r="BF67">
        <v>-1348</v>
      </c>
      <c r="BG67" s="1">
        <v>526</v>
      </c>
      <c r="BJ67">
        <v>-7</v>
      </c>
      <c r="BL67">
        <v>54</v>
      </c>
      <c r="BM67" s="1">
        <v>13</v>
      </c>
      <c r="BN67">
        <v>2</v>
      </c>
      <c r="BP67">
        <v>-75</v>
      </c>
      <c r="BQ67" s="10">
        <v>775</v>
      </c>
      <c r="BT67">
        <v>-132</v>
      </c>
      <c r="BU67" s="1">
        <v>18</v>
      </c>
      <c r="CE67" s="8">
        <v>137</v>
      </c>
      <c r="CF67" s="28">
        <v>17</v>
      </c>
      <c r="CG67" s="8">
        <v>2275</v>
      </c>
      <c r="CI67" s="8">
        <v>352</v>
      </c>
      <c r="CJ67" s="12">
        <v>213</v>
      </c>
      <c r="CK67" s="8">
        <v>-14</v>
      </c>
      <c r="CL67" s="28">
        <v>69</v>
      </c>
      <c r="CM67" s="6">
        <v>10</v>
      </c>
      <c r="CN67" s="28">
        <v>2</v>
      </c>
      <c r="CO67" s="6">
        <v>769</v>
      </c>
      <c r="CP67" s="28"/>
      <c r="CQ67" s="6">
        <v>129</v>
      </c>
      <c r="CR67" s="28"/>
      <c r="CS67" s="6">
        <v>772</v>
      </c>
      <c r="CT67" s="28">
        <v>646</v>
      </c>
      <c r="CU67" s="28"/>
      <c r="CV67" s="28"/>
      <c r="CW67" s="28"/>
      <c r="CX67" s="28"/>
      <c r="CZ67" s="23">
        <v>848</v>
      </c>
      <c r="DA67" s="25">
        <v>351</v>
      </c>
      <c r="DB67" s="23">
        <v>79</v>
      </c>
      <c r="DC67" s="25">
        <v>15</v>
      </c>
      <c r="DF67" s="23">
        <v>114</v>
      </c>
      <c r="DG67" s="25">
        <v>166</v>
      </c>
      <c r="DH67" s="23">
        <v>392</v>
      </c>
      <c r="DI67" s="25">
        <v>280</v>
      </c>
      <c r="DJ67" s="23">
        <v>374</v>
      </c>
      <c r="DK67" s="28">
        <v>174</v>
      </c>
      <c r="DL67" s="8">
        <v>79</v>
      </c>
      <c r="DQ67" s="8">
        <v>-252</v>
      </c>
      <c r="DR67" s="52">
        <v>23</v>
      </c>
      <c r="DS67" s="6">
        <v>189</v>
      </c>
      <c r="DT67" s="52">
        <v>263</v>
      </c>
      <c r="DU67" s="8">
        <v>158</v>
      </c>
      <c r="DV67" s="28">
        <v>580</v>
      </c>
      <c r="DW67" s="8">
        <v>-405</v>
      </c>
      <c r="DX67" s="28">
        <v>198</v>
      </c>
      <c r="DY67" s="6">
        <v>264</v>
      </c>
      <c r="DZ67" s="52">
        <v>116</v>
      </c>
      <c r="EA67" s="23">
        <v>-242</v>
      </c>
      <c r="EB67" s="52">
        <v>318</v>
      </c>
      <c r="EC67" s="6">
        <v>-5</v>
      </c>
      <c r="ED67" s="28">
        <v>7</v>
      </c>
      <c r="EE67" s="8">
        <v>113</v>
      </c>
      <c r="EF67" s="52">
        <v>248</v>
      </c>
      <c r="EG67" s="8">
        <v>855</v>
      </c>
      <c r="EH67" s="28">
        <v>144</v>
      </c>
      <c r="EI67" s="8">
        <v>-13</v>
      </c>
      <c r="EJ67" s="52">
        <v>164</v>
      </c>
      <c r="EL67" s="8">
        <v>-705</v>
      </c>
      <c r="EM67" s="28">
        <v>870</v>
      </c>
      <c r="EN67" s="8">
        <v>86</v>
      </c>
      <c r="EO67" s="28">
        <v>3</v>
      </c>
      <c r="EP67" s="28"/>
      <c r="EQ67" s="28"/>
      <c r="EX67" s="8">
        <v>51</v>
      </c>
      <c r="EY67" s="28">
        <v>1</v>
      </c>
      <c r="FD67" s="6">
        <v>-110</v>
      </c>
      <c r="FE67" s="28">
        <v>277</v>
      </c>
      <c r="FH67" s="8">
        <v>22</v>
      </c>
      <c r="FI67" s="28">
        <v>131</v>
      </c>
      <c r="FM67" s="8">
        <v>-227</v>
      </c>
      <c r="FN67" s="52">
        <v>216</v>
      </c>
      <c r="FO67" s="8">
        <v>524</v>
      </c>
      <c r="FP67" s="28">
        <v>109</v>
      </c>
      <c r="FQ67" s="8">
        <v>79</v>
      </c>
      <c r="FR67" s="28">
        <v>6</v>
      </c>
      <c r="FS67" s="8">
        <v>101</v>
      </c>
      <c r="FT67" s="52">
        <v>91</v>
      </c>
      <c r="GC67" s="8">
        <v>215</v>
      </c>
      <c r="GE67" s="8">
        <v>-147</v>
      </c>
      <c r="GF67" s="28">
        <v>221</v>
      </c>
      <c r="GI67" s="8">
        <v>-24</v>
      </c>
      <c r="GJ67" s="28">
        <v>62</v>
      </c>
      <c r="GP67" s="8">
        <v>19</v>
      </c>
      <c r="GQ67" s="52">
        <v>47</v>
      </c>
      <c r="GR67" s="8">
        <v>21</v>
      </c>
      <c r="GS67" s="28">
        <v>110</v>
      </c>
      <c r="GT67" s="6">
        <v>51</v>
      </c>
      <c r="GU67" s="52">
        <v>841</v>
      </c>
      <c r="GV67" s="6"/>
      <c r="GW67" s="28"/>
      <c r="GZ67" s="8">
        <v>28</v>
      </c>
      <c r="HA67" s="28">
        <v>92</v>
      </c>
      <c r="HB67" s="6">
        <v>488</v>
      </c>
      <c r="HC67" s="28"/>
      <c r="HE67" s="8">
        <v>26</v>
      </c>
      <c r="HF67" s="28">
        <v>11</v>
      </c>
      <c r="HG67" s="8">
        <v>136</v>
      </c>
      <c r="HQ67" s="6">
        <v>-3</v>
      </c>
      <c r="HR67" s="28">
        <v>3</v>
      </c>
      <c r="HS67" s="8">
        <v>-2</v>
      </c>
      <c r="HT67" s="52">
        <v>201</v>
      </c>
      <c r="HX67" s="8">
        <v>-35</v>
      </c>
      <c r="HY67" s="28">
        <v>48</v>
      </c>
      <c r="HZ67" s="8">
        <v>-1</v>
      </c>
      <c r="IB67" s="8">
        <v>-132</v>
      </c>
      <c r="IC67" s="28">
        <v>147</v>
      </c>
      <c r="ID67" s="8">
        <v>-217</v>
      </c>
      <c r="IE67" s="28">
        <v>76</v>
      </c>
      <c r="IO67">
        <v>275</v>
      </c>
      <c r="IP67" s="10">
        <v>837</v>
      </c>
      <c r="IW67" s="8">
        <v>-103</v>
      </c>
      <c r="IY67" s="8">
        <v>-316</v>
      </c>
      <c r="JA67" s="8">
        <v>902</v>
      </c>
      <c r="JB67" s="12">
        <v>240</v>
      </c>
      <c r="JH67" s="8">
        <v>60</v>
      </c>
      <c r="JI67" s="28">
        <v>33</v>
      </c>
      <c r="JL67" s="8">
        <v>6</v>
      </c>
      <c r="JN67" s="8">
        <v>841</v>
      </c>
      <c r="JO67" s="28">
        <v>303</v>
      </c>
      <c r="JP67" s="6">
        <v>25</v>
      </c>
      <c r="JQ67" s="12">
        <v>652</v>
      </c>
      <c r="JW67" s="8">
        <v>-703</v>
      </c>
      <c r="JX67" s="12">
        <v>109</v>
      </c>
      <c r="KE67" s="6">
        <v>-134</v>
      </c>
      <c r="KF67" s="12">
        <v>376</v>
      </c>
      <c r="KQ67" s="8">
        <v>15</v>
      </c>
      <c r="KR67" s="28">
        <v>6</v>
      </c>
      <c r="KT67" s="8">
        <v>3</v>
      </c>
      <c r="KU67" s="28">
        <v>2</v>
      </c>
      <c r="KZ67" s="8">
        <v>-21</v>
      </c>
      <c r="LA67" s="12">
        <v>910</v>
      </c>
      <c r="LD67" s="8">
        <v>427</v>
      </c>
      <c r="LE67" s="28">
        <v>167</v>
      </c>
      <c r="LF67" s="8">
        <v>-156</v>
      </c>
      <c r="LG67" s="28">
        <v>97</v>
      </c>
      <c r="LH67" s="8">
        <v>-396</v>
      </c>
      <c r="LJ67" s="8">
        <v>-430</v>
      </c>
      <c r="LK67" s="28">
        <v>234</v>
      </c>
      <c r="LL67" s="8">
        <v>25</v>
      </c>
      <c r="LM67" s="28">
        <v>19</v>
      </c>
      <c r="LN67" s="8">
        <v>225</v>
      </c>
      <c r="LO67" s="28">
        <v>106</v>
      </c>
      <c r="LS67" s="8">
        <v>98</v>
      </c>
      <c r="LU67" s="8">
        <v>-58</v>
      </c>
      <c r="LV67" s="12">
        <v>61</v>
      </c>
      <c r="LW67" s="8">
        <v>600</v>
      </c>
      <c r="LX67" s="28">
        <v>508</v>
      </c>
      <c r="MF67" s="8">
        <v>81</v>
      </c>
      <c r="MG67" s="12">
        <v>28</v>
      </c>
      <c r="MS67" s="8">
        <v>-249</v>
      </c>
      <c r="MT67" s="12">
        <v>506</v>
      </c>
      <c r="NC67" s="8">
        <v>277</v>
      </c>
      <c r="ND67" s="12">
        <v>72</v>
      </c>
      <c r="NE67" s="8">
        <v>917</v>
      </c>
      <c r="NF67" s="28">
        <v>957</v>
      </c>
      <c r="NG67" s="8">
        <v>240</v>
      </c>
      <c r="NH67" s="28">
        <v>13</v>
      </c>
      <c r="NP67" s="8">
        <v>317</v>
      </c>
      <c r="NQ67" s="12">
        <v>328</v>
      </c>
      <c r="NW67" s="8">
        <v>109</v>
      </c>
      <c r="NX67" s="28">
        <v>248</v>
      </c>
      <c r="NY67" s="8">
        <v>-463</v>
      </c>
      <c r="NZ67" s="12">
        <v>987</v>
      </c>
      <c r="OC67" s="8">
        <v>-173</v>
      </c>
      <c r="OD67" s="12">
        <v>143</v>
      </c>
      <c r="OV67" s="8">
        <v>300</v>
      </c>
      <c r="PE67" s="8">
        <v>-13</v>
      </c>
      <c r="PF67" s="12">
        <v>28</v>
      </c>
      <c r="PJ67" s="8">
        <v>-832</v>
      </c>
      <c r="PK67" s="12">
        <v>118</v>
      </c>
      <c r="PP67" s="8">
        <v>965</v>
      </c>
      <c r="PQ67" s="28">
        <v>8</v>
      </c>
      <c r="PR67" s="28"/>
      <c r="PS67" s="8">
        <v>578</v>
      </c>
      <c r="PT67" s="12">
        <v>871</v>
      </c>
      <c r="PW67" s="8">
        <v>-331</v>
      </c>
      <c r="PX67" s="28">
        <v>134</v>
      </c>
      <c r="QE67" s="8">
        <v>108</v>
      </c>
      <c r="QF67" s="12">
        <v>158</v>
      </c>
      <c r="QH67" s="8">
        <v>-41</v>
      </c>
      <c r="QI67" s="12">
        <v>348</v>
      </c>
      <c r="QT67" s="8">
        <v>709</v>
      </c>
      <c r="QU67" s="12">
        <v>265</v>
      </c>
      <c r="QV67" s="6">
        <v>686</v>
      </c>
      <c r="QW67" s="12">
        <v>230</v>
      </c>
      <c r="QY67" s="8">
        <v>367</v>
      </c>
      <c r="QZ67" s="12">
        <v>496</v>
      </c>
      <c r="RC67" s="6">
        <v>-649</v>
      </c>
      <c r="RD67" s="12">
        <v>218</v>
      </c>
      <c r="RE67" s="6">
        <v>-563</v>
      </c>
      <c r="RF67" s="12">
        <v>172</v>
      </c>
      <c r="RG67" s="8">
        <v>-191</v>
      </c>
      <c r="RH67" s="28">
        <v>142</v>
      </c>
      <c r="RL67" s="8">
        <v>5</v>
      </c>
      <c r="RM67" s="12">
        <v>200</v>
      </c>
      <c r="RS67" s="6">
        <v>519</v>
      </c>
      <c r="RT67" s="50">
        <v>169</v>
      </c>
      <c r="SP67" s="8">
        <v>6</v>
      </c>
      <c r="SQ67" s="12">
        <v>212</v>
      </c>
      <c r="SY67" s="6">
        <v>163</v>
      </c>
      <c r="TH67" s="8">
        <v>841</v>
      </c>
      <c r="TI67" s="28">
        <v>194</v>
      </c>
      <c r="TX67" s="8">
        <v>-180</v>
      </c>
      <c r="TY67" s="28">
        <v>100</v>
      </c>
      <c r="TZ67" s="8">
        <v>12</v>
      </c>
      <c r="UA67" s="12">
        <v>489</v>
      </c>
      <c r="UG67" s="8">
        <v>81</v>
      </c>
      <c r="UH67" s="12">
        <v>108</v>
      </c>
      <c r="UI67" s="8">
        <v>17</v>
      </c>
      <c r="UZ67" s="8">
        <v>299</v>
      </c>
      <c r="VF67" s="8">
        <v>113</v>
      </c>
      <c r="VG67" s="12">
        <v>177</v>
      </c>
      <c r="VH67" s="8">
        <v>200</v>
      </c>
      <c r="VI67" s="28">
        <v>486</v>
      </c>
      <c r="VL67" s="21"/>
      <c r="VM67" s="8">
        <v>358</v>
      </c>
      <c r="VN67" s="12">
        <v>428</v>
      </c>
      <c r="VO67" s="12"/>
      <c r="VP67" s="12"/>
      <c r="VQ67" s="6">
        <v>-25</v>
      </c>
      <c r="VR67" s="28">
        <v>9</v>
      </c>
      <c r="VS67" s="12"/>
      <c r="VT67" s="12"/>
      <c r="VZ67" s="8">
        <v>98</v>
      </c>
      <c r="WA67" s="28">
        <v>496</v>
      </c>
      <c r="WB67" s="8">
        <v>2417</v>
      </c>
      <c r="WC67" s="12">
        <v>278</v>
      </c>
      <c r="WP67" s="2">
        <v>242</v>
      </c>
      <c r="WQ67" s="1">
        <v>39</v>
      </c>
      <c r="WR67" s="10"/>
      <c r="XE67">
        <v>392</v>
      </c>
      <c r="XF67" s="1">
        <v>89</v>
      </c>
      <c r="XG67" s="2">
        <v>97</v>
      </c>
      <c r="XH67" s="1">
        <v>17</v>
      </c>
      <c r="XK67">
        <v>80</v>
      </c>
      <c r="XL67" s="1">
        <v>43</v>
      </c>
    </row>
    <row r="68" spans="7:636" x14ac:dyDescent="0.25">
      <c r="G68" s="2">
        <v>6</v>
      </c>
      <c r="I68" s="2">
        <v>-1</v>
      </c>
      <c r="K68" s="2">
        <v>1248</v>
      </c>
      <c r="L68" s="1">
        <v>11</v>
      </c>
      <c r="M68">
        <v>41</v>
      </c>
      <c r="N68" s="1">
        <v>5</v>
      </c>
      <c r="O68" s="26"/>
      <c r="R68">
        <v>149</v>
      </c>
      <c r="S68" s="12">
        <v>672</v>
      </c>
      <c r="V68">
        <v>-5</v>
      </c>
      <c r="W68" s="10">
        <v>144</v>
      </c>
      <c r="AB68">
        <v>8</v>
      </c>
      <c r="AC68" s="1">
        <v>61</v>
      </c>
      <c r="AD68">
        <v>37</v>
      </c>
      <c r="AE68" s="1">
        <v>4</v>
      </c>
      <c r="AF68">
        <v>-503</v>
      </c>
      <c r="AG68" s="1">
        <v>813</v>
      </c>
      <c r="AJ68" s="2">
        <v>-38</v>
      </c>
      <c r="AK68" s="10">
        <v>245</v>
      </c>
      <c r="AY68">
        <v>-1</v>
      </c>
      <c r="AZ68" s="1">
        <v>3</v>
      </c>
      <c r="BD68" s="8"/>
      <c r="BF68">
        <v>-23164</v>
      </c>
      <c r="BG68" s="1">
        <v>3201</v>
      </c>
      <c r="BJ68">
        <v>-7</v>
      </c>
      <c r="BL68">
        <v>94</v>
      </c>
      <c r="BM68" s="1">
        <v>16</v>
      </c>
      <c r="BN68">
        <v>-56</v>
      </c>
      <c r="BP68">
        <v>77</v>
      </c>
      <c r="BQ68" s="10">
        <v>534</v>
      </c>
      <c r="BT68">
        <v>-111</v>
      </c>
      <c r="BU68" s="1">
        <v>48</v>
      </c>
      <c r="CE68" s="8">
        <v>189</v>
      </c>
      <c r="CF68" s="28">
        <v>25</v>
      </c>
      <c r="CG68" s="8">
        <v>2287</v>
      </c>
      <c r="CI68" s="8">
        <v>248</v>
      </c>
      <c r="CJ68" s="12">
        <v>51</v>
      </c>
      <c r="CK68" s="8">
        <v>-16</v>
      </c>
      <c r="CL68" s="28">
        <v>72</v>
      </c>
      <c r="CM68" s="6">
        <v>131</v>
      </c>
      <c r="CN68" s="28">
        <v>391</v>
      </c>
      <c r="CO68" s="6">
        <v>985</v>
      </c>
      <c r="CP68" s="28"/>
      <c r="CQ68" s="6">
        <v>129</v>
      </c>
      <c r="CR68" s="28"/>
      <c r="CS68" s="6">
        <v>7</v>
      </c>
      <c r="CT68" s="28">
        <v>34</v>
      </c>
      <c r="CU68" s="28"/>
      <c r="CV68" s="28"/>
      <c r="CW68" s="28"/>
      <c r="CX68" s="28"/>
      <c r="CZ68" s="23">
        <v>-450</v>
      </c>
      <c r="DA68" s="25">
        <v>165</v>
      </c>
      <c r="DB68" s="23">
        <v>-49</v>
      </c>
      <c r="DC68" s="25">
        <v>12</v>
      </c>
      <c r="DF68" s="23">
        <v>119</v>
      </c>
      <c r="DG68" s="25">
        <v>346</v>
      </c>
      <c r="DH68" s="23">
        <v>66</v>
      </c>
      <c r="DI68" s="25">
        <v>8</v>
      </c>
      <c r="DJ68" s="23">
        <v>737</v>
      </c>
      <c r="DK68" s="28">
        <v>460</v>
      </c>
      <c r="DL68" s="8">
        <v>166</v>
      </c>
      <c r="DQ68" s="8">
        <v>243</v>
      </c>
      <c r="DR68" s="52">
        <v>279</v>
      </c>
      <c r="DS68" s="6">
        <v>-133</v>
      </c>
      <c r="DT68" s="52">
        <v>309</v>
      </c>
      <c r="DU68" s="8">
        <v>152</v>
      </c>
      <c r="DV68" s="28">
        <v>19</v>
      </c>
      <c r="DW68" s="8">
        <v>226</v>
      </c>
      <c r="DX68" s="28">
        <v>300</v>
      </c>
      <c r="DY68" s="6">
        <v>-397</v>
      </c>
      <c r="DZ68" s="52">
        <v>230</v>
      </c>
      <c r="EA68" s="23">
        <v>-725</v>
      </c>
      <c r="EB68" s="52">
        <v>221</v>
      </c>
      <c r="EC68" s="6">
        <v>7</v>
      </c>
      <c r="ED68" s="28">
        <v>4</v>
      </c>
      <c r="EE68" s="8">
        <v>-78</v>
      </c>
      <c r="EF68" s="52">
        <v>688</v>
      </c>
      <c r="EG68" s="8">
        <v>980</v>
      </c>
      <c r="EH68" s="28">
        <v>180</v>
      </c>
      <c r="EI68" s="8">
        <v>-53</v>
      </c>
      <c r="EJ68" s="52">
        <v>497</v>
      </c>
      <c r="EL68" s="8">
        <v>-151</v>
      </c>
      <c r="EM68" s="28">
        <v>428</v>
      </c>
      <c r="EN68" s="8">
        <v>120</v>
      </c>
      <c r="EO68" s="28">
        <v>17</v>
      </c>
      <c r="EP68" s="28"/>
      <c r="EQ68" s="28"/>
      <c r="EX68" s="8">
        <v>305</v>
      </c>
      <c r="EY68" s="28">
        <v>507</v>
      </c>
      <c r="FD68" s="6">
        <v>209</v>
      </c>
      <c r="FE68" s="28">
        <v>66</v>
      </c>
      <c r="FM68" s="8">
        <v>-107</v>
      </c>
      <c r="FN68" s="52">
        <v>80</v>
      </c>
      <c r="FO68" s="8">
        <v>332</v>
      </c>
      <c r="FP68" s="28">
        <v>954</v>
      </c>
      <c r="FQ68" s="8">
        <v>-53</v>
      </c>
      <c r="FR68" s="28">
        <v>3</v>
      </c>
      <c r="FS68" s="8">
        <v>128</v>
      </c>
      <c r="FT68" s="52">
        <v>104</v>
      </c>
      <c r="GC68" s="8">
        <v>457</v>
      </c>
      <c r="GE68" s="8">
        <v>780</v>
      </c>
      <c r="GF68" s="28">
        <v>112</v>
      </c>
      <c r="GI68" s="8">
        <v>173</v>
      </c>
      <c r="GJ68" s="28">
        <v>73</v>
      </c>
      <c r="GP68" s="8">
        <v>200</v>
      </c>
      <c r="GQ68" s="52">
        <v>367</v>
      </c>
      <c r="GR68" s="8">
        <v>-242</v>
      </c>
      <c r="GS68" s="28">
        <v>152</v>
      </c>
      <c r="GT68" s="6">
        <v>192</v>
      </c>
      <c r="GU68" s="52">
        <v>959</v>
      </c>
      <c r="GV68" s="6"/>
      <c r="GW68" s="28"/>
      <c r="GZ68" s="8">
        <v>59</v>
      </c>
      <c r="HA68" s="28">
        <v>119</v>
      </c>
      <c r="HB68" s="6">
        <v>509</v>
      </c>
      <c r="HC68" s="28"/>
      <c r="HE68" s="8">
        <v>-5</v>
      </c>
      <c r="HF68" s="28">
        <v>21</v>
      </c>
      <c r="HG68" s="8">
        <v>153</v>
      </c>
      <c r="HQ68" s="6">
        <v>3</v>
      </c>
      <c r="HR68" s="28">
        <v>1</v>
      </c>
      <c r="HS68" s="8">
        <v>-3</v>
      </c>
      <c r="HT68" s="52">
        <v>182</v>
      </c>
      <c r="HX68" s="8">
        <v>-398</v>
      </c>
      <c r="HY68" s="28">
        <v>177</v>
      </c>
      <c r="HZ68" s="8">
        <v>1</v>
      </c>
      <c r="IB68" s="8">
        <v>251</v>
      </c>
      <c r="IC68" s="28">
        <v>131</v>
      </c>
      <c r="ID68" s="8">
        <v>-115</v>
      </c>
      <c r="IE68" s="28">
        <v>389</v>
      </c>
      <c r="IO68">
        <v>233</v>
      </c>
      <c r="IP68" s="10">
        <v>418</v>
      </c>
      <c r="IW68" s="8">
        <v>-179</v>
      </c>
      <c r="IY68" s="8">
        <v>522</v>
      </c>
      <c r="JA68" s="8">
        <v>640</v>
      </c>
      <c r="JB68" s="12">
        <v>223</v>
      </c>
      <c r="JH68" s="8">
        <v>230</v>
      </c>
      <c r="JI68" s="28">
        <v>44</v>
      </c>
      <c r="JL68" s="8">
        <v>-110</v>
      </c>
      <c r="JN68" s="8">
        <v>932</v>
      </c>
      <c r="JO68" s="28">
        <v>319</v>
      </c>
      <c r="JP68" s="6">
        <v>1</v>
      </c>
      <c r="JQ68" s="12">
        <v>10</v>
      </c>
      <c r="JW68" s="8">
        <v>-564</v>
      </c>
      <c r="JX68" s="12">
        <v>857</v>
      </c>
      <c r="KE68" s="6">
        <v>70</v>
      </c>
      <c r="KF68" s="12">
        <v>121</v>
      </c>
      <c r="KQ68" s="8">
        <v>91</v>
      </c>
      <c r="KR68" s="28">
        <v>22</v>
      </c>
      <c r="KT68" s="8">
        <v>47</v>
      </c>
      <c r="KU68" s="28">
        <v>9</v>
      </c>
      <c r="KZ68" s="8">
        <v>-30</v>
      </c>
      <c r="LA68" s="12">
        <v>922</v>
      </c>
      <c r="LD68" s="8">
        <v>449</v>
      </c>
      <c r="LE68" s="28">
        <v>161</v>
      </c>
      <c r="LF68" s="8">
        <v>-143</v>
      </c>
      <c r="LG68" s="28">
        <v>81</v>
      </c>
      <c r="LH68" s="8">
        <v>772</v>
      </c>
      <c r="LJ68" s="8">
        <v>-149</v>
      </c>
      <c r="LK68" s="28">
        <v>353</v>
      </c>
      <c r="LL68" s="8">
        <v>104</v>
      </c>
      <c r="LM68" s="28">
        <v>3</v>
      </c>
      <c r="LN68" s="8">
        <v>216</v>
      </c>
      <c r="LO68" s="28">
        <v>105</v>
      </c>
      <c r="LS68" s="8">
        <v>92</v>
      </c>
      <c r="LU68" s="8">
        <v>162</v>
      </c>
      <c r="LV68" s="12">
        <v>205</v>
      </c>
      <c r="LW68" s="8">
        <v>174</v>
      </c>
      <c r="LX68" s="28">
        <v>649</v>
      </c>
      <c r="MF68" s="8">
        <v>801</v>
      </c>
      <c r="MG68" s="12">
        <v>129</v>
      </c>
      <c r="MS68" s="8">
        <v>-124</v>
      </c>
      <c r="MT68" s="12">
        <v>200</v>
      </c>
      <c r="NC68" s="8">
        <v>167</v>
      </c>
      <c r="ND68" s="12">
        <v>131</v>
      </c>
      <c r="NE68" s="8">
        <v>473</v>
      </c>
      <c r="NF68" s="28">
        <v>195</v>
      </c>
      <c r="NG68" s="8">
        <v>488</v>
      </c>
      <c r="NH68" s="28">
        <v>19</v>
      </c>
      <c r="NP68" s="8">
        <v>292</v>
      </c>
      <c r="NQ68" s="12">
        <v>251</v>
      </c>
      <c r="NW68" s="8">
        <v>130</v>
      </c>
      <c r="NX68" s="28">
        <v>424</v>
      </c>
      <c r="NY68" s="8">
        <v>103</v>
      </c>
      <c r="NZ68" s="12">
        <v>199</v>
      </c>
      <c r="OC68" s="8">
        <v>126</v>
      </c>
      <c r="OD68" s="12">
        <v>291</v>
      </c>
      <c r="OV68" s="8">
        <v>99</v>
      </c>
      <c r="PE68" s="8">
        <v>5</v>
      </c>
      <c r="PF68" s="12">
        <v>11</v>
      </c>
      <c r="PJ68" s="8">
        <v>117</v>
      </c>
      <c r="PK68" s="12">
        <v>227</v>
      </c>
      <c r="PP68" s="8">
        <v>101</v>
      </c>
      <c r="PQ68" s="28">
        <v>10</v>
      </c>
      <c r="PR68" s="28"/>
      <c r="PS68" s="8">
        <v>-758</v>
      </c>
      <c r="PT68" s="12">
        <v>121</v>
      </c>
      <c r="PW68" s="8">
        <v>-171</v>
      </c>
      <c r="PX68" s="28">
        <v>111</v>
      </c>
      <c r="QE68" s="8">
        <v>-171</v>
      </c>
      <c r="QF68" s="12">
        <v>257</v>
      </c>
      <c r="QH68" s="8">
        <v>4</v>
      </c>
      <c r="QI68" s="12">
        <v>195</v>
      </c>
      <c r="QT68" s="8">
        <v>427</v>
      </c>
      <c r="QU68" s="12">
        <v>380</v>
      </c>
      <c r="QV68" s="6">
        <v>661</v>
      </c>
      <c r="QW68" s="12">
        <v>221</v>
      </c>
      <c r="QY68" s="8">
        <v>213</v>
      </c>
      <c r="QZ68" s="12">
        <v>100</v>
      </c>
      <c r="RC68" s="6">
        <v>-425</v>
      </c>
      <c r="RD68" s="12">
        <v>136</v>
      </c>
      <c r="RE68" s="6">
        <v>525</v>
      </c>
      <c r="RF68" s="12">
        <v>126</v>
      </c>
      <c r="RG68" s="8">
        <v>-389</v>
      </c>
      <c r="RH68" s="28">
        <v>190</v>
      </c>
      <c r="RL68" s="8">
        <v>4</v>
      </c>
      <c r="RM68" s="12">
        <v>579</v>
      </c>
      <c r="RS68" s="6">
        <v>-679</v>
      </c>
      <c r="RT68" s="50">
        <v>283</v>
      </c>
      <c r="SP68" s="8">
        <v>562</v>
      </c>
      <c r="SQ68" s="12">
        <v>406</v>
      </c>
      <c r="SY68" s="6">
        <v>26</v>
      </c>
      <c r="TH68" s="8">
        <v>788</v>
      </c>
      <c r="TI68" s="28">
        <v>162</v>
      </c>
      <c r="TX68" s="8">
        <v>128</v>
      </c>
      <c r="TY68" s="28">
        <v>201</v>
      </c>
      <c r="TZ68" s="8">
        <v>139</v>
      </c>
      <c r="UA68" s="12">
        <v>206</v>
      </c>
      <c r="UG68" s="8">
        <v>-602</v>
      </c>
      <c r="UH68" s="12">
        <v>21</v>
      </c>
      <c r="UI68" s="8">
        <v>16</v>
      </c>
      <c r="UZ68" s="8">
        <v>168</v>
      </c>
      <c r="VF68" s="8">
        <v>522</v>
      </c>
      <c r="VG68" s="12">
        <v>690</v>
      </c>
      <c r="VH68" s="8">
        <v>744</v>
      </c>
      <c r="VI68" s="28">
        <v>806</v>
      </c>
      <c r="VL68" s="21"/>
      <c r="VM68" s="8">
        <v>129</v>
      </c>
      <c r="VN68" s="12">
        <v>299</v>
      </c>
      <c r="VO68" s="12"/>
      <c r="VP68" s="12"/>
      <c r="VQ68" s="6">
        <v>-14</v>
      </c>
      <c r="VR68" s="28">
        <v>8</v>
      </c>
      <c r="VS68" s="12"/>
      <c r="VT68" s="12"/>
      <c r="VZ68" s="8">
        <v>562</v>
      </c>
      <c r="WA68" s="28">
        <v>366</v>
      </c>
      <c r="WB68" s="8">
        <v>1232</v>
      </c>
      <c r="WC68" s="12">
        <v>148</v>
      </c>
      <c r="WP68" s="2">
        <v>-20</v>
      </c>
      <c r="WQ68" s="1">
        <v>8</v>
      </c>
      <c r="WR68" s="10"/>
      <c r="XE68">
        <v>394</v>
      </c>
      <c r="XF68" s="1">
        <v>88</v>
      </c>
      <c r="XG68" s="2">
        <v>100</v>
      </c>
      <c r="XH68" s="1">
        <v>22</v>
      </c>
      <c r="XK68">
        <v>-18</v>
      </c>
      <c r="XL68" s="1">
        <v>48</v>
      </c>
    </row>
    <row r="69" spans="7:636" x14ac:dyDescent="0.25">
      <c r="G69" s="2">
        <v>-4</v>
      </c>
      <c r="I69" s="2">
        <v>-2</v>
      </c>
      <c r="K69" s="2">
        <v>1075</v>
      </c>
      <c r="L69" s="1">
        <v>15</v>
      </c>
      <c r="M69">
        <v>37</v>
      </c>
      <c r="N69" s="1">
        <v>5</v>
      </c>
      <c r="O69" s="26"/>
      <c r="R69">
        <v>86</v>
      </c>
      <c r="S69" s="12">
        <v>331</v>
      </c>
      <c r="V69">
        <v>1</v>
      </c>
      <c r="W69" s="10">
        <v>68</v>
      </c>
      <c r="AB69">
        <v>43</v>
      </c>
      <c r="AC69" s="1">
        <v>63</v>
      </c>
      <c r="AD69">
        <v>39</v>
      </c>
      <c r="AE69" s="1">
        <v>4</v>
      </c>
      <c r="AF69">
        <v>-422</v>
      </c>
      <c r="AG69" s="1">
        <v>676</v>
      </c>
      <c r="AJ69" s="2">
        <v>18</v>
      </c>
      <c r="AK69" s="10">
        <v>81</v>
      </c>
      <c r="AY69">
        <v>4</v>
      </c>
      <c r="AZ69" s="1">
        <v>11</v>
      </c>
      <c r="BD69" s="8"/>
      <c r="BF69">
        <v>-62</v>
      </c>
      <c r="BG69" s="1">
        <v>667</v>
      </c>
      <c r="BJ69">
        <v>-7</v>
      </c>
      <c r="BL69">
        <v>1967</v>
      </c>
      <c r="BM69" s="1">
        <v>201</v>
      </c>
      <c r="BN69">
        <v>-531</v>
      </c>
      <c r="BP69">
        <v>510</v>
      </c>
      <c r="BQ69" s="10">
        <v>5099</v>
      </c>
      <c r="BT69">
        <v>55</v>
      </c>
      <c r="BU69" s="1">
        <v>15</v>
      </c>
      <c r="CE69" s="8">
        <v>258</v>
      </c>
      <c r="CF69" s="28">
        <v>22</v>
      </c>
      <c r="CG69" s="8">
        <v>-414</v>
      </c>
      <c r="CI69" s="8">
        <v>199</v>
      </c>
      <c r="CJ69" s="12">
        <v>93</v>
      </c>
      <c r="CK69" s="8">
        <v>-15</v>
      </c>
      <c r="CL69" s="28">
        <v>72</v>
      </c>
      <c r="CM69" s="6">
        <v>58</v>
      </c>
      <c r="CN69" s="28">
        <v>10</v>
      </c>
      <c r="CO69" s="6">
        <v>350</v>
      </c>
      <c r="CP69" s="28"/>
      <c r="CQ69" s="6">
        <v>134</v>
      </c>
      <c r="CR69" s="28"/>
      <c r="CS69" s="6">
        <v>157</v>
      </c>
      <c r="CT69" s="28">
        <v>358</v>
      </c>
      <c r="CU69" s="28"/>
      <c r="CV69" s="28"/>
      <c r="CW69" s="28"/>
      <c r="CX69" s="28"/>
      <c r="CZ69" s="23">
        <v>180</v>
      </c>
      <c r="DA69" s="25">
        <v>31</v>
      </c>
      <c r="DB69" s="23">
        <v>-65</v>
      </c>
      <c r="DC69" s="25">
        <v>19</v>
      </c>
      <c r="DF69" s="23">
        <v>135</v>
      </c>
      <c r="DG69" s="25">
        <v>112</v>
      </c>
      <c r="DH69" s="23">
        <v>-69</v>
      </c>
      <c r="DI69" s="25">
        <v>6</v>
      </c>
      <c r="DJ69" s="23">
        <v>-393</v>
      </c>
      <c r="DK69" s="28">
        <v>186</v>
      </c>
      <c r="DL69" s="8">
        <v>56</v>
      </c>
      <c r="DQ69" s="8">
        <v>-103</v>
      </c>
      <c r="DR69" s="52">
        <v>105</v>
      </c>
      <c r="DS69" s="6">
        <v>2</v>
      </c>
      <c r="DT69" s="52">
        <v>5</v>
      </c>
      <c r="DU69" s="8">
        <v>10</v>
      </c>
      <c r="DV69" s="28">
        <v>221</v>
      </c>
      <c r="DW69" s="8">
        <v>117</v>
      </c>
      <c r="DX69" s="28">
        <v>285</v>
      </c>
      <c r="DY69" s="6">
        <v>-730</v>
      </c>
      <c r="DZ69" s="52">
        <v>262</v>
      </c>
      <c r="EA69" s="23">
        <v>-302</v>
      </c>
      <c r="EB69" s="52">
        <v>219</v>
      </c>
      <c r="EC69" s="6">
        <v>4</v>
      </c>
      <c r="ED69" s="28">
        <v>4</v>
      </c>
      <c r="EE69" s="8">
        <v>554</v>
      </c>
      <c r="EF69" s="52">
        <v>701</v>
      </c>
      <c r="EG69" s="8">
        <v>-403</v>
      </c>
      <c r="EH69" s="28">
        <v>122</v>
      </c>
      <c r="EI69" s="8">
        <v>6</v>
      </c>
      <c r="EJ69" s="52">
        <v>426</v>
      </c>
      <c r="EL69" s="8">
        <v>-547</v>
      </c>
      <c r="EM69" s="28">
        <v>548</v>
      </c>
      <c r="EN69" s="8">
        <v>49</v>
      </c>
      <c r="EO69" s="28">
        <v>13</v>
      </c>
      <c r="EP69" s="28"/>
      <c r="EQ69" s="28"/>
      <c r="EX69" s="8">
        <v>277</v>
      </c>
      <c r="EY69" s="28">
        <v>182</v>
      </c>
      <c r="FD69" s="6">
        <v>-288</v>
      </c>
      <c r="FE69" s="28">
        <v>128</v>
      </c>
      <c r="FM69" s="8">
        <v>-469</v>
      </c>
      <c r="FN69" s="52">
        <v>421</v>
      </c>
      <c r="FO69" s="8">
        <v>668</v>
      </c>
      <c r="FP69" s="28">
        <v>101</v>
      </c>
      <c r="FQ69" s="8">
        <v>41</v>
      </c>
      <c r="FR69" s="28">
        <v>3</v>
      </c>
      <c r="FS69" s="8">
        <v>128</v>
      </c>
      <c r="FT69" s="52">
        <v>108</v>
      </c>
      <c r="GC69" s="8">
        <v>584</v>
      </c>
      <c r="GE69" s="8">
        <v>669</v>
      </c>
      <c r="GF69" s="28">
        <v>113</v>
      </c>
      <c r="GI69" s="8">
        <v>-112</v>
      </c>
      <c r="GJ69" s="28">
        <v>66</v>
      </c>
      <c r="GP69" s="8">
        <v>35</v>
      </c>
      <c r="GQ69" s="52">
        <v>97</v>
      </c>
      <c r="GR69" s="8">
        <v>-132</v>
      </c>
      <c r="GS69" s="28">
        <v>111</v>
      </c>
      <c r="GT69" s="6">
        <v>14</v>
      </c>
      <c r="GU69" s="52">
        <v>67</v>
      </c>
      <c r="GV69" s="28"/>
      <c r="GW69" s="28"/>
      <c r="GZ69" s="8">
        <v>-345</v>
      </c>
      <c r="HA69" s="28">
        <v>7</v>
      </c>
      <c r="HB69" s="6">
        <v>90</v>
      </c>
      <c r="HC69" s="28"/>
      <c r="HE69" s="8">
        <v>27</v>
      </c>
      <c r="HF69" s="28">
        <v>49</v>
      </c>
      <c r="HG69" s="8">
        <v>54</v>
      </c>
      <c r="HQ69" s="6">
        <v>3</v>
      </c>
      <c r="HR69" s="28">
        <v>4</v>
      </c>
      <c r="HS69" s="8">
        <v>-21</v>
      </c>
      <c r="HT69" s="52">
        <v>72</v>
      </c>
      <c r="HX69" s="8">
        <v>-49</v>
      </c>
      <c r="HY69" s="28">
        <v>25</v>
      </c>
      <c r="HZ69" s="8">
        <v>47</v>
      </c>
      <c r="IB69" s="8">
        <v>309</v>
      </c>
      <c r="IC69" s="28">
        <v>629</v>
      </c>
      <c r="ID69" s="8">
        <v>10</v>
      </c>
      <c r="IE69" s="28">
        <v>935</v>
      </c>
      <c r="IO69">
        <v>-30</v>
      </c>
      <c r="IP69" s="10">
        <v>105</v>
      </c>
      <c r="IW69" s="8">
        <v>-915</v>
      </c>
      <c r="IY69" s="8">
        <v>522</v>
      </c>
      <c r="JA69" s="8">
        <v>-157</v>
      </c>
      <c r="JB69" s="12">
        <v>430</v>
      </c>
      <c r="JH69" s="8">
        <v>501</v>
      </c>
      <c r="JI69" s="28">
        <v>163</v>
      </c>
      <c r="JL69" s="8">
        <v>64</v>
      </c>
      <c r="JN69" s="8">
        <v>910</v>
      </c>
      <c r="JO69" s="28">
        <v>353</v>
      </c>
      <c r="JP69" s="6">
        <v>68</v>
      </c>
      <c r="JQ69" s="12">
        <v>247</v>
      </c>
      <c r="JW69" s="8">
        <v>-857</v>
      </c>
      <c r="JX69" s="12">
        <v>-396</v>
      </c>
      <c r="KE69" s="6">
        <v>263</v>
      </c>
      <c r="KF69" s="12">
        <v>754</v>
      </c>
      <c r="KQ69" s="8">
        <v>527</v>
      </c>
      <c r="KR69" s="28">
        <v>48</v>
      </c>
      <c r="KT69" s="8">
        <v>-142</v>
      </c>
      <c r="KU69" s="28">
        <v>9</v>
      </c>
      <c r="KZ69" s="8">
        <v>-10</v>
      </c>
      <c r="LA69" s="12">
        <v>110</v>
      </c>
      <c r="LD69" s="8">
        <v>403</v>
      </c>
      <c r="LE69" s="28">
        <v>312</v>
      </c>
      <c r="LF69" s="8">
        <v>-163</v>
      </c>
      <c r="LG69" s="28">
        <v>85</v>
      </c>
      <c r="LH69" s="8">
        <v>-106</v>
      </c>
      <c r="LJ69" s="8">
        <v>163</v>
      </c>
      <c r="LK69" s="28">
        <v>590</v>
      </c>
      <c r="LL69" s="8">
        <v>-112</v>
      </c>
      <c r="LM69" s="28">
        <v>33</v>
      </c>
      <c r="LN69" s="8">
        <v>168</v>
      </c>
      <c r="LO69" s="28">
        <v>104</v>
      </c>
      <c r="LS69" s="8">
        <v>72</v>
      </c>
      <c r="LU69" s="8">
        <v>287</v>
      </c>
      <c r="LV69" s="12">
        <v>307</v>
      </c>
      <c r="LW69" s="8">
        <v>353</v>
      </c>
      <c r="LX69" s="28">
        <v>217</v>
      </c>
      <c r="MF69" s="8">
        <v>-674</v>
      </c>
      <c r="MG69" s="12">
        <v>277</v>
      </c>
      <c r="MS69" s="8">
        <v>160</v>
      </c>
      <c r="MT69" s="12">
        <v>254</v>
      </c>
      <c r="NC69" s="8">
        <v>151</v>
      </c>
      <c r="ND69" s="12">
        <v>232</v>
      </c>
      <c r="NE69" s="8">
        <v>764</v>
      </c>
      <c r="NF69" s="28">
        <v>764</v>
      </c>
      <c r="NG69" s="8">
        <v>595</v>
      </c>
      <c r="NH69" s="28">
        <v>30</v>
      </c>
      <c r="NP69" s="8">
        <v>304</v>
      </c>
      <c r="NQ69" s="12">
        <v>283</v>
      </c>
      <c r="NW69" s="8">
        <v>244</v>
      </c>
      <c r="NX69" s="28">
        <v>122</v>
      </c>
      <c r="NY69" s="8">
        <v>-839</v>
      </c>
      <c r="NZ69" s="12">
        <v>235</v>
      </c>
      <c r="OC69" s="8">
        <v>888</v>
      </c>
      <c r="OD69" s="12">
        <v>230</v>
      </c>
      <c r="OV69" s="8">
        <v>466</v>
      </c>
      <c r="PE69" s="8">
        <v>9</v>
      </c>
      <c r="PF69" s="12">
        <v>25</v>
      </c>
      <c r="PJ69" s="8">
        <v>134</v>
      </c>
      <c r="PK69" s="12">
        <v>253</v>
      </c>
      <c r="PP69" s="8">
        <v>923</v>
      </c>
      <c r="PQ69" s="28">
        <v>23</v>
      </c>
      <c r="PR69" s="28"/>
      <c r="PS69" s="8">
        <v>105</v>
      </c>
      <c r="PT69" s="12">
        <v>145</v>
      </c>
      <c r="PW69" s="8">
        <v>-38</v>
      </c>
      <c r="PX69" s="28">
        <v>16</v>
      </c>
      <c r="QE69" s="8">
        <v>-115</v>
      </c>
      <c r="QF69" s="12">
        <v>678</v>
      </c>
      <c r="QH69" s="8">
        <v>2</v>
      </c>
      <c r="QI69" s="12">
        <v>299</v>
      </c>
      <c r="QT69" s="8">
        <v>79</v>
      </c>
      <c r="QU69" s="12">
        <v>174</v>
      </c>
      <c r="QV69" s="6"/>
      <c r="QW69" s="12"/>
      <c r="QY69" s="8">
        <v>-174</v>
      </c>
      <c r="QZ69" s="12">
        <v>93</v>
      </c>
      <c r="RC69" s="6">
        <v>562</v>
      </c>
      <c r="RD69" s="12">
        <v>183</v>
      </c>
      <c r="RE69" s="6">
        <v>111</v>
      </c>
      <c r="RF69" s="12">
        <v>712</v>
      </c>
      <c r="RG69" s="8">
        <v>959</v>
      </c>
      <c r="RH69" s="28">
        <v>127</v>
      </c>
      <c r="RL69" s="8">
        <v>2</v>
      </c>
      <c r="RM69" s="12">
        <v>169</v>
      </c>
      <c r="RS69" s="6">
        <v>128</v>
      </c>
      <c r="RT69" s="50">
        <v>883</v>
      </c>
      <c r="SP69" s="8">
        <v>202</v>
      </c>
      <c r="SQ69" s="12">
        <v>400</v>
      </c>
      <c r="SY69" s="6">
        <v>2</v>
      </c>
      <c r="TH69" s="8">
        <v>726</v>
      </c>
      <c r="TI69" s="28">
        <v>245</v>
      </c>
      <c r="TX69" s="8">
        <v>108</v>
      </c>
      <c r="TY69" s="28">
        <v>181</v>
      </c>
      <c r="TZ69" s="8">
        <v>399</v>
      </c>
      <c r="UA69" s="12">
        <v>518</v>
      </c>
      <c r="UG69" s="8">
        <v>-149</v>
      </c>
      <c r="UH69" s="12">
        <v>9</v>
      </c>
      <c r="UI69" s="8">
        <v>13</v>
      </c>
      <c r="UZ69" s="8">
        <v>749</v>
      </c>
      <c r="VF69" s="8">
        <v>329</v>
      </c>
      <c r="VG69" s="12">
        <v>220</v>
      </c>
      <c r="VH69" s="8">
        <v>663</v>
      </c>
      <c r="VI69" s="28">
        <v>256</v>
      </c>
      <c r="VL69" s="21"/>
      <c r="VM69" s="8">
        <v>480</v>
      </c>
      <c r="VN69" s="12">
        <v>255</v>
      </c>
      <c r="VO69" s="12"/>
      <c r="VP69" s="12"/>
      <c r="VQ69" s="6">
        <v>-12</v>
      </c>
      <c r="VR69" s="28">
        <v>8</v>
      </c>
      <c r="VS69" s="12"/>
      <c r="VT69" s="12"/>
      <c r="VZ69" s="8">
        <v>795</v>
      </c>
      <c r="WA69" s="28">
        <v>331</v>
      </c>
      <c r="WB69" s="8">
        <v>-2712</v>
      </c>
      <c r="WC69" s="12">
        <v>300</v>
      </c>
      <c r="WR69" s="10"/>
      <c r="XE69">
        <v>386</v>
      </c>
      <c r="XF69" s="1">
        <v>88</v>
      </c>
      <c r="XG69" s="2">
        <v>101</v>
      </c>
      <c r="XH69" s="1">
        <v>19</v>
      </c>
      <c r="XK69">
        <v>85</v>
      </c>
      <c r="XL69" s="1">
        <v>48</v>
      </c>
    </row>
    <row r="70" spans="7:636" x14ac:dyDescent="0.25">
      <c r="G70" s="2">
        <v>6</v>
      </c>
      <c r="I70" s="2">
        <v>42</v>
      </c>
      <c r="K70" s="2">
        <v>3122</v>
      </c>
      <c r="L70" s="1">
        <v>10</v>
      </c>
      <c r="M70">
        <v>42</v>
      </c>
      <c r="N70" s="1">
        <v>3</v>
      </c>
      <c r="O70" s="26"/>
      <c r="R70">
        <v>433</v>
      </c>
      <c r="S70" s="12">
        <v>209</v>
      </c>
      <c r="V70">
        <v>7</v>
      </c>
      <c r="W70" s="10">
        <v>731</v>
      </c>
      <c r="AB70">
        <v>-7</v>
      </c>
      <c r="AC70" s="1">
        <v>56</v>
      </c>
      <c r="AD70">
        <v>21</v>
      </c>
      <c r="AE70" s="1">
        <v>4</v>
      </c>
      <c r="AF70">
        <v>-339</v>
      </c>
      <c r="AG70" s="1">
        <v>593</v>
      </c>
      <c r="AJ70" s="2">
        <v>25</v>
      </c>
      <c r="AK70" s="10">
        <v>111</v>
      </c>
      <c r="AY70">
        <v>-177</v>
      </c>
      <c r="AZ70" s="1">
        <v>29</v>
      </c>
      <c r="BD70" s="8"/>
      <c r="BF70">
        <v>85</v>
      </c>
      <c r="BG70" s="1">
        <v>675</v>
      </c>
      <c r="BJ70">
        <v>-5</v>
      </c>
      <c r="BL70">
        <v>-59</v>
      </c>
      <c r="BM70" s="1">
        <v>9</v>
      </c>
      <c r="BN70">
        <v>1123</v>
      </c>
      <c r="BP70">
        <v>53</v>
      </c>
      <c r="BQ70" s="10">
        <v>518</v>
      </c>
      <c r="BT70">
        <v>-172</v>
      </c>
      <c r="BU70" s="1">
        <v>92</v>
      </c>
      <c r="CE70" s="8">
        <v>234</v>
      </c>
      <c r="CF70" s="28">
        <v>22</v>
      </c>
      <c r="CG70" s="8">
        <v>-432</v>
      </c>
      <c r="CI70" s="8">
        <v>903</v>
      </c>
      <c r="CJ70" s="12">
        <v>119</v>
      </c>
      <c r="CK70" s="8">
        <v>-21</v>
      </c>
      <c r="CL70" s="28">
        <v>70</v>
      </c>
      <c r="CM70" s="6">
        <v>293</v>
      </c>
      <c r="CN70" s="28">
        <v>191</v>
      </c>
      <c r="CO70" s="6">
        <v>320</v>
      </c>
      <c r="CP70" s="28"/>
      <c r="CQ70" s="6">
        <v>847</v>
      </c>
      <c r="CR70" s="28"/>
      <c r="CS70" s="6">
        <v>-146</v>
      </c>
      <c r="CT70" s="28">
        <v>494</v>
      </c>
      <c r="CU70" s="28"/>
      <c r="CV70" s="28"/>
      <c r="CW70" s="28"/>
      <c r="CX70" s="28"/>
      <c r="CZ70" s="23">
        <v>678</v>
      </c>
      <c r="DA70" s="25">
        <v>192</v>
      </c>
      <c r="DB70" s="23">
        <v>-92</v>
      </c>
      <c r="DC70" s="25">
        <v>21</v>
      </c>
      <c r="DF70" s="23">
        <v>100</v>
      </c>
      <c r="DG70" s="25">
        <v>364</v>
      </c>
      <c r="DH70" s="23">
        <v>125</v>
      </c>
      <c r="DI70" s="25">
        <v>97</v>
      </c>
      <c r="DJ70" s="23">
        <v>-596</v>
      </c>
      <c r="DK70" s="28">
        <v>178</v>
      </c>
      <c r="DL70" s="8">
        <v>347</v>
      </c>
      <c r="DQ70" s="8">
        <v>861</v>
      </c>
      <c r="DR70" s="52">
        <v>896</v>
      </c>
      <c r="DS70" s="6">
        <v>569</v>
      </c>
      <c r="DT70" s="52">
        <v>398</v>
      </c>
      <c r="DU70" s="8">
        <v>-622</v>
      </c>
      <c r="DV70" s="28">
        <v>215</v>
      </c>
      <c r="DW70" s="8">
        <v>145</v>
      </c>
      <c r="DX70" s="28">
        <v>234</v>
      </c>
      <c r="DY70" s="6">
        <v>931</v>
      </c>
      <c r="DZ70" s="52">
        <v>391</v>
      </c>
      <c r="EA70" s="23">
        <v>751</v>
      </c>
      <c r="EB70" s="52">
        <v>638</v>
      </c>
      <c r="EC70" s="6">
        <v>17</v>
      </c>
      <c r="ED70" s="28">
        <v>8</v>
      </c>
      <c r="EE70" s="8">
        <v>363</v>
      </c>
      <c r="EF70" s="52">
        <v>112</v>
      </c>
      <c r="EG70" s="8">
        <v>-588</v>
      </c>
      <c r="EH70" s="28">
        <v>585</v>
      </c>
      <c r="EI70" s="8">
        <v>-19</v>
      </c>
      <c r="EJ70" s="52">
        <v>535</v>
      </c>
      <c r="EL70" s="8">
        <v>141</v>
      </c>
      <c r="EM70" s="28">
        <v>712</v>
      </c>
      <c r="EN70" s="8">
        <v>75</v>
      </c>
      <c r="EO70" s="28">
        <v>29</v>
      </c>
      <c r="EP70" s="28"/>
      <c r="EQ70" s="28"/>
      <c r="EX70" s="8">
        <v>-830</v>
      </c>
      <c r="EY70" s="28">
        <v>816</v>
      </c>
      <c r="FD70" s="6">
        <v>220</v>
      </c>
      <c r="FE70" s="28">
        <v>56</v>
      </c>
      <c r="FM70" s="8">
        <v>-207</v>
      </c>
      <c r="FN70" s="52">
        <v>199</v>
      </c>
      <c r="FO70" s="8">
        <v>322</v>
      </c>
      <c r="FP70" s="28">
        <v>734</v>
      </c>
      <c r="FQ70" s="8">
        <v>72</v>
      </c>
      <c r="FR70" s="28">
        <v>4</v>
      </c>
      <c r="FS70" s="8">
        <v>57</v>
      </c>
      <c r="FT70" s="52">
        <v>82</v>
      </c>
      <c r="GC70" s="8">
        <v>-476</v>
      </c>
      <c r="GE70" s="8">
        <v>607</v>
      </c>
      <c r="GF70" s="28">
        <v>253</v>
      </c>
      <c r="GI70" s="8">
        <v>-43</v>
      </c>
      <c r="GJ70" s="28">
        <v>73</v>
      </c>
      <c r="GP70" s="8">
        <v>185</v>
      </c>
      <c r="GQ70" s="52">
        <v>593</v>
      </c>
      <c r="GR70" s="8">
        <v>-44</v>
      </c>
      <c r="GS70" s="28">
        <v>72</v>
      </c>
      <c r="GT70" s="6">
        <v>67</v>
      </c>
      <c r="GU70" s="52">
        <v>903</v>
      </c>
      <c r="GV70" s="28"/>
      <c r="GW70" s="28"/>
      <c r="GZ70" s="8">
        <v>-149</v>
      </c>
      <c r="HA70" s="28">
        <v>4</v>
      </c>
      <c r="HB70" s="6">
        <v>-79</v>
      </c>
      <c r="HC70" s="28"/>
      <c r="HE70" s="8">
        <v>40</v>
      </c>
      <c r="HF70" s="28">
        <v>37</v>
      </c>
      <c r="HG70" s="8">
        <v>-55</v>
      </c>
      <c r="HQ70" s="6">
        <v>-1</v>
      </c>
      <c r="HR70" s="28">
        <v>2</v>
      </c>
      <c r="HS70" s="8">
        <v>-18</v>
      </c>
      <c r="HT70" s="52">
        <v>210</v>
      </c>
      <c r="HX70" s="8">
        <v>26</v>
      </c>
      <c r="HY70" s="28">
        <v>39</v>
      </c>
      <c r="HZ70" s="8">
        <v>-3</v>
      </c>
      <c r="IB70" s="8">
        <v>-182</v>
      </c>
      <c r="IC70" s="28">
        <v>857</v>
      </c>
      <c r="ID70" s="8">
        <v>-155</v>
      </c>
      <c r="IE70" s="28">
        <v>384</v>
      </c>
      <c r="IO70">
        <v>426</v>
      </c>
      <c r="IP70" s="10">
        <v>267</v>
      </c>
      <c r="IW70" s="8">
        <v>-750</v>
      </c>
      <c r="IY70" s="8">
        <v>441</v>
      </c>
      <c r="JA70" s="8">
        <v>145</v>
      </c>
      <c r="JB70" s="12">
        <v>191</v>
      </c>
      <c r="JH70" s="8">
        <v>-61</v>
      </c>
      <c r="JI70" s="28">
        <v>35</v>
      </c>
      <c r="JL70" s="8">
        <v>66</v>
      </c>
      <c r="JN70" s="8">
        <v>957</v>
      </c>
      <c r="JO70" s="28">
        <v>314</v>
      </c>
      <c r="JP70" s="6">
        <v>-2</v>
      </c>
      <c r="JQ70" s="12">
        <v>240</v>
      </c>
      <c r="JW70" s="8">
        <v>-396</v>
      </c>
      <c r="JX70" s="12">
        <v>506</v>
      </c>
      <c r="KE70" s="6">
        <v>-3</v>
      </c>
      <c r="KF70" s="12">
        <v>43</v>
      </c>
      <c r="KQ70" s="8">
        <v>615</v>
      </c>
      <c r="KR70" s="28">
        <v>83</v>
      </c>
      <c r="KT70" s="8">
        <v>-58</v>
      </c>
      <c r="KU70" s="28">
        <v>17</v>
      </c>
      <c r="KZ70" s="8">
        <v>-12</v>
      </c>
      <c r="LA70" s="12">
        <v>551</v>
      </c>
      <c r="LD70" s="8">
        <v>821</v>
      </c>
      <c r="LE70" s="28">
        <v>533</v>
      </c>
      <c r="LF70" s="8">
        <v>-191</v>
      </c>
      <c r="LG70" s="28">
        <v>190</v>
      </c>
      <c r="LH70" s="8">
        <v>-550</v>
      </c>
      <c r="LJ70" s="8">
        <v>-334</v>
      </c>
      <c r="LK70" s="28">
        <v>495</v>
      </c>
      <c r="LL70" s="8">
        <v>58</v>
      </c>
      <c r="LM70" s="28">
        <v>40</v>
      </c>
      <c r="LN70" s="8">
        <v>193</v>
      </c>
      <c r="LO70" s="28">
        <v>103</v>
      </c>
      <c r="LS70" s="8">
        <v>55</v>
      </c>
      <c r="LU70" s="8">
        <v>196</v>
      </c>
      <c r="LV70" s="12">
        <v>293</v>
      </c>
      <c r="LW70" s="8">
        <v>21</v>
      </c>
      <c r="LX70" s="28">
        <v>15</v>
      </c>
      <c r="MF70" s="8">
        <v>172</v>
      </c>
      <c r="MG70" s="12">
        <v>360</v>
      </c>
      <c r="MS70" s="8">
        <v>144</v>
      </c>
      <c r="MT70" s="12">
        <v>219</v>
      </c>
      <c r="NC70" s="8">
        <v>76</v>
      </c>
      <c r="ND70" s="12">
        <v>21</v>
      </c>
      <c r="NE70" s="8">
        <v>-3</v>
      </c>
      <c r="NF70" s="28">
        <v>611</v>
      </c>
      <c r="NG70" s="8">
        <v>-68</v>
      </c>
      <c r="NH70" s="28">
        <v>15</v>
      </c>
      <c r="NP70" s="8">
        <v>137</v>
      </c>
      <c r="NQ70" s="12">
        <v>504</v>
      </c>
      <c r="NW70" s="8">
        <v>690</v>
      </c>
      <c r="NX70" s="28">
        <v>269</v>
      </c>
      <c r="NY70" s="8">
        <v>229</v>
      </c>
      <c r="NZ70" s="12">
        <v>818</v>
      </c>
      <c r="OC70" s="8">
        <v>-394</v>
      </c>
      <c r="OD70" s="12">
        <v>893</v>
      </c>
      <c r="OV70" s="8">
        <v>790</v>
      </c>
      <c r="PE70" s="8">
        <v>20</v>
      </c>
      <c r="PF70" s="12">
        <v>47</v>
      </c>
      <c r="PJ70" s="8">
        <v>307</v>
      </c>
      <c r="PK70" s="12">
        <v>119</v>
      </c>
      <c r="PP70" s="8">
        <v>825</v>
      </c>
      <c r="PQ70" s="28">
        <v>24</v>
      </c>
      <c r="PR70" s="28"/>
      <c r="PS70" s="8">
        <v>-210</v>
      </c>
      <c r="PT70" s="12">
        <v>235</v>
      </c>
      <c r="PW70" s="8">
        <v>207</v>
      </c>
      <c r="PX70" s="28">
        <v>317</v>
      </c>
      <c r="QE70" s="8">
        <v>379</v>
      </c>
      <c r="QF70" s="12">
        <v>114</v>
      </c>
      <c r="QH70" s="8">
        <v>-2</v>
      </c>
      <c r="QI70" s="12">
        <v>119</v>
      </c>
      <c r="QT70" s="8">
        <v>-114</v>
      </c>
      <c r="QU70" s="12">
        <v>224</v>
      </c>
      <c r="QV70" s="6"/>
      <c r="QW70" s="12"/>
      <c r="QY70" s="8">
        <v>320</v>
      </c>
      <c r="QZ70" s="12">
        <v>132</v>
      </c>
      <c r="RC70" s="6">
        <v>-5</v>
      </c>
      <c r="RD70" s="12">
        <v>212</v>
      </c>
      <c r="RE70" s="6">
        <v>118</v>
      </c>
      <c r="RF70" s="12">
        <v>529</v>
      </c>
      <c r="RG70" s="8">
        <v>155</v>
      </c>
      <c r="RH70" s="28">
        <v>122</v>
      </c>
      <c r="RL70" s="8">
        <v>-2</v>
      </c>
      <c r="RM70" s="12">
        <v>182</v>
      </c>
      <c r="RS70" s="6">
        <v>-602</v>
      </c>
      <c r="RT70" s="50">
        <v>222</v>
      </c>
      <c r="SP70" s="8">
        <v>123</v>
      </c>
      <c r="SQ70" s="12">
        <v>119</v>
      </c>
      <c r="SY70" s="6">
        <v>553</v>
      </c>
      <c r="TH70" s="8">
        <v>521</v>
      </c>
      <c r="TI70" s="28">
        <v>249</v>
      </c>
      <c r="TX70" s="8">
        <v>109</v>
      </c>
      <c r="TY70" s="28">
        <v>241</v>
      </c>
      <c r="TZ70" s="8">
        <v>216</v>
      </c>
      <c r="UA70" s="12">
        <v>531</v>
      </c>
      <c r="UG70" s="8">
        <v>-368</v>
      </c>
      <c r="UH70" s="12">
        <v>19</v>
      </c>
      <c r="UI70" s="8">
        <v>5</v>
      </c>
      <c r="UZ70" s="8">
        <v>187</v>
      </c>
      <c r="VF70" s="8">
        <v>609</v>
      </c>
      <c r="VG70" s="12">
        <v>443</v>
      </c>
      <c r="VH70" s="8">
        <v>-39</v>
      </c>
      <c r="VI70" s="28">
        <v>35</v>
      </c>
      <c r="VL70" s="21"/>
      <c r="VM70" s="8">
        <v>300</v>
      </c>
      <c r="VN70" s="12">
        <v>417</v>
      </c>
      <c r="VO70" s="12"/>
      <c r="VP70" s="12"/>
      <c r="VQ70" s="6">
        <v>-17</v>
      </c>
      <c r="VR70" s="28">
        <v>8</v>
      </c>
      <c r="VS70" s="12"/>
      <c r="VT70" s="12"/>
      <c r="VZ70" s="8">
        <v>855</v>
      </c>
      <c r="WA70" s="28">
        <v>371</v>
      </c>
      <c r="WB70" s="8">
        <v>-385</v>
      </c>
      <c r="WC70" s="12">
        <v>27</v>
      </c>
      <c r="WR70" s="10"/>
      <c r="XE70">
        <v>395</v>
      </c>
      <c r="XF70" s="1">
        <v>85</v>
      </c>
      <c r="XG70" s="2">
        <v>140</v>
      </c>
      <c r="XH70" s="1">
        <v>38</v>
      </c>
      <c r="XK70">
        <v>80</v>
      </c>
      <c r="XL70" s="1">
        <v>43</v>
      </c>
    </row>
    <row r="71" spans="7:636" x14ac:dyDescent="0.25">
      <c r="G71" s="2">
        <v>-6</v>
      </c>
      <c r="I71" s="2">
        <v>5</v>
      </c>
      <c r="K71" s="2">
        <v>3365</v>
      </c>
      <c r="L71" s="1">
        <v>10</v>
      </c>
      <c r="M71">
        <v>19</v>
      </c>
      <c r="N71" s="1">
        <v>2</v>
      </c>
      <c r="O71" s="26"/>
      <c r="R71">
        <v>222</v>
      </c>
      <c r="S71" s="12">
        <v>89</v>
      </c>
      <c r="V71">
        <v>8</v>
      </c>
      <c r="W71" s="10">
        <v>792</v>
      </c>
      <c r="AB71">
        <v>11</v>
      </c>
      <c r="AC71" s="1">
        <v>61</v>
      </c>
      <c r="AD71">
        <v>8</v>
      </c>
      <c r="AE71" s="1">
        <v>3</v>
      </c>
      <c r="AF71">
        <v>-1315</v>
      </c>
      <c r="AG71" s="1">
        <v>393</v>
      </c>
      <c r="AJ71" s="2">
        <v>481</v>
      </c>
      <c r="AK71" s="10">
        <v>194</v>
      </c>
      <c r="AY71">
        <v>35</v>
      </c>
      <c r="AZ71" s="1">
        <v>4</v>
      </c>
      <c r="BD71" s="8"/>
      <c r="BF71">
        <v>512</v>
      </c>
      <c r="BG71" s="1">
        <v>89</v>
      </c>
      <c r="BJ71">
        <v>-4</v>
      </c>
      <c r="BL71">
        <v>13</v>
      </c>
      <c r="BM71" s="1">
        <v>2</v>
      </c>
      <c r="BN71">
        <v>57</v>
      </c>
      <c r="BP71">
        <v>287</v>
      </c>
      <c r="BQ71" s="10">
        <v>3323</v>
      </c>
      <c r="BT71">
        <v>-17</v>
      </c>
      <c r="BU71" s="1">
        <v>25</v>
      </c>
      <c r="CE71" s="8">
        <v>194</v>
      </c>
      <c r="CF71" s="28">
        <v>32</v>
      </c>
      <c r="CG71" s="8">
        <v>-406</v>
      </c>
      <c r="CI71" s="8">
        <v>765</v>
      </c>
      <c r="CJ71" s="12">
        <v>228</v>
      </c>
      <c r="CK71" s="8">
        <v>-21</v>
      </c>
      <c r="CL71" s="28">
        <v>70</v>
      </c>
      <c r="CM71" s="6">
        <v>16</v>
      </c>
      <c r="CN71" s="28">
        <v>4</v>
      </c>
      <c r="CO71" s="6">
        <v>101</v>
      </c>
      <c r="CP71" s="28"/>
      <c r="CQ71" s="6">
        <v>943</v>
      </c>
      <c r="CR71" s="28"/>
      <c r="CS71" s="6">
        <v>780</v>
      </c>
      <c r="CT71" s="28">
        <v>272</v>
      </c>
      <c r="CU71" s="28"/>
      <c r="CV71" s="28"/>
      <c r="CW71" s="28"/>
      <c r="CX71" s="28"/>
      <c r="CZ71" s="23">
        <v>-281</v>
      </c>
      <c r="DA71" s="25">
        <v>109</v>
      </c>
      <c r="DB71" s="23">
        <v>59</v>
      </c>
      <c r="DC71" s="25">
        <v>19</v>
      </c>
      <c r="DF71" s="23">
        <v>112</v>
      </c>
      <c r="DG71" s="25">
        <v>286</v>
      </c>
      <c r="DH71" s="23">
        <v>65</v>
      </c>
      <c r="DI71" s="25">
        <v>9</v>
      </c>
      <c r="DJ71" s="23">
        <v>-439</v>
      </c>
      <c r="DK71" s="28">
        <v>177</v>
      </c>
      <c r="DL71" s="8">
        <v>200</v>
      </c>
      <c r="DQ71" s="8">
        <v>449</v>
      </c>
      <c r="DR71" s="52">
        <v>345</v>
      </c>
      <c r="DS71" s="6">
        <v>131</v>
      </c>
      <c r="DT71" s="52">
        <v>332</v>
      </c>
      <c r="DU71" s="8">
        <v>-422</v>
      </c>
      <c r="DV71" s="28">
        <v>302</v>
      </c>
      <c r="DW71" s="8">
        <v>-18</v>
      </c>
      <c r="DX71" s="28">
        <v>32</v>
      </c>
      <c r="DY71" s="6">
        <v>735</v>
      </c>
      <c r="DZ71" s="52">
        <v>789</v>
      </c>
      <c r="EA71" s="23">
        <v>-22</v>
      </c>
      <c r="EB71" s="52">
        <v>129</v>
      </c>
      <c r="EC71" s="6">
        <v>3</v>
      </c>
      <c r="ED71" s="28">
        <v>4</v>
      </c>
      <c r="EE71" s="8">
        <v>-20</v>
      </c>
      <c r="EF71" s="52">
        <v>600</v>
      </c>
      <c r="EG71" s="8">
        <v>585</v>
      </c>
      <c r="EH71" s="28">
        <v>183</v>
      </c>
      <c r="EI71" s="8">
        <v>10</v>
      </c>
      <c r="EJ71" s="52">
        <v>552</v>
      </c>
      <c r="EL71" s="8">
        <v>-429</v>
      </c>
      <c r="EM71" s="28">
        <v>833</v>
      </c>
      <c r="EN71" s="8">
        <v>79</v>
      </c>
      <c r="EO71" s="28">
        <v>33</v>
      </c>
      <c r="EP71" s="28"/>
      <c r="EQ71" s="28"/>
      <c r="EX71" s="8">
        <v>193</v>
      </c>
      <c r="EY71" s="28">
        <v>295</v>
      </c>
      <c r="FD71" s="6">
        <v>102</v>
      </c>
      <c r="FE71" s="28">
        <v>164</v>
      </c>
      <c r="FM71" s="8">
        <v>160</v>
      </c>
      <c r="FN71" s="52">
        <v>127</v>
      </c>
      <c r="FO71" s="8">
        <v>105</v>
      </c>
      <c r="FP71" s="28">
        <v>758</v>
      </c>
      <c r="FQ71" s="8">
        <v>-47</v>
      </c>
      <c r="FR71" s="28">
        <v>4</v>
      </c>
      <c r="FS71" s="8">
        <v>68</v>
      </c>
      <c r="FT71" s="52">
        <v>97</v>
      </c>
      <c r="GC71" s="8">
        <v>-416</v>
      </c>
      <c r="GE71" s="8">
        <v>-932</v>
      </c>
      <c r="GF71" s="28">
        <v>192</v>
      </c>
      <c r="GI71" s="8">
        <v>-66</v>
      </c>
      <c r="GJ71" s="28">
        <v>72</v>
      </c>
      <c r="GP71" s="8">
        <v>-509</v>
      </c>
      <c r="GQ71" s="52">
        <v>138</v>
      </c>
      <c r="GR71" s="8">
        <v>107</v>
      </c>
      <c r="GS71" s="28">
        <v>166</v>
      </c>
      <c r="GT71" s="6">
        <v>3</v>
      </c>
      <c r="GU71" s="52">
        <v>51</v>
      </c>
      <c r="GV71" s="28"/>
      <c r="GW71" s="28"/>
      <c r="GZ71" s="8">
        <v>-151</v>
      </c>
      <c r="HA71" s="28">
        <v>94</v>
      </c>
      <c r="HB71" s="6">
        <v>-137</v>
      </c>
      <c r="HC71" s="28"/>
      <c r="HE71" s="8">
        <v>39</v>
      </c>
      <c r="HF71" s="28">
        <v>33</v>
      </c>
      <c r="HG71" s="8">
        <v>-237</v>
      </c>
      <c r="HQ71" s="6">
        <v>1</v>
      </c>
      <c r="HR71" s="28">
        <v>2</v>
      </c>
      <c r="HS71" s="8">
        <v>1</v>
      </c>
      <c r="HT71" s="52">
        <v>171</v>
      </c>
      <c r="HX71" s="8">
        <v>274</v>
      </c>
      <c r="HY71" s="28">
        <v>129</v>
      </c>
      <c r="HZ71" s="8">
        <v>-1</v>
      </c>
      <c r="IB71" s="8">
        <v>-220</v>
      </c>
      <c r="IC71" s="28">
        <v>172</v>
      </c>
      <c r="ID71" s="8">
        <v>302</v>
      </c>
      <c r="IE71" s="28">
        <v>23</v>
      </c>
      <c r="IO71">
        <v>-133</v>
      </c>
      <c r="IP71" s="10">
        <v>17</v>
      </c>
      <c r="IW71" s="8">
        <v>-961</v>
      </c>
      <c r="IY71" s="8">
        <v>-131</v>
      </c>
      <c r="JA71" s="8">
        <v>-781</v>
      </c>
      <c r="JB71" s="12">
        <v>645</v>
      </c>
      <c r="JH71" s="8">
        <v>-472</v>
      </c>
      <c r="JI71" s="28">
        <v>406</v>
      </c>
      <c r="JL71" s="8">
        <v>-22</v>
      </c>
      <c r="JN71" s="8">
        <v>7</v>
      </c>
      <c r="JO71" s="28">
        <v>4</v>
      </c>
      <c r="JP71" s="6">
        <v>106</v>
      </c>
      <c r="JQ71" s="12">
        <v>534</v>
      </c>
      <c r="JW71" s="8">
        <v>-375</v>
      </c>
      <c r="JX71" s="12">
        <v>486</v>
      </c>
      <c r="KE71" s="6">
        <v>-1</v>
      </c>
      <c r="KF71" s="12">
        <v>2</v>
      </c>
      <c r="KQ71" s="8">
        <v>142</v>
      </c>
      <c r="KR71" s="28">
        <v>22</v>
      </c>
      <c r="KT71" s="8">
        <v>3</v>
      </c>
      <c r="KU71" s="28">
        <v>3</v>
      </c>
      <c r="KZ71" s="8">
        <v>-14</v>
      </c>
      <c r="LA71" s="12">
        <v>483</v>
      </c>
      <c r="LD71" s="8">
        <v>379</v>
      </c>
      <c r="LE71" s="28">
        <v>336</v>
      </c>
      <c r="LF71" s="8">
        <v>-77</v>
      </c>
      <c r="LG71" s="28">
        <v>164</v>
      </c>
      <c r="LH71" s="8">
        <v>764</v>
      </c>
      <c r="LJ71" s="8">
        <v>184</v>
      </c>
      <c r="LK71" s="28">
        <v>192</v>
      </c>
      <c r="LL71" s="8">
        <v>-17</v>
      </c>
      <c r="LM71" s="28">
        <v>25</v>
      </c>
      <c r="LN71" s="8">
        <v>220</v>
      </c>
      <c r="LO71" s="28">
        <v>103</v>
      </c>
      <c r="LS71" s="8">
        <v>301</v>
      </c>
      <c r="LU71" s="8">
        <v>-57</v>
      </c>
      <c r="LV71" s="12">
        <v>81</v>
      </c>
      <c r="LW71" s="8">
        <v>-438</v>
      </c>
      <c r="LX71" s="28">
        <v>349</v>
      </c>
      <c r="MF71" s="8">
        <v>640</v>
      </c>
      <c r="MG71" s="12">
        <v>488</v>
      </c>
      <c r="MS71" s="8">
        <v>729</v>
      </c>
      <c r="MT71" s="12">
        <v>110</v>
      </c>
      <c r="NC71" s="8">
        <v>-616</v>
      </c>
      <c r="ND71" s="12">
        <v>198</v>
      </c>
      <c r="NE71" s="8">
        <v>-954</v>
      </c>
      <c r="NF71" s="28">
        <v>242</v>
      </c>
      <c r="NG71" s="8">
        <v>-90</v>
      </c>
      <c r="NH71" s="28">
        <v>39</v>
      </c>
      <c r="NP71" s="8">
        <v>215</v>
      </c>
      <c r="NQ71" s="12">
        <v>609</v>
      </c>
      <c r="NW71" s="8">
        <v>431</v>
      </c>
      <c r="NX71" s="28">
        <v>316</v>
      </c>
      <c r="NY71" s="8">
        <v>727</v>
      </c>
      <c r="NZ71" s="12">
        <v>175</v>
      </c>
      <c r="OC71" s="8">
        <v>-173</v>
      </c>
      <c r="OD71" s="12">
        <v>426</v>
      </c>
      <c r="OV71" s="8">
        <v>117</v>
      </c>
      <c r="PJ71" s="8">
        <v>316</v>
      </c>
      <c r="PK71" s="12">
        <v>260</v>
      </c>
      <c r="PP71" s="8">
        <v>774</v>
      </c>
      <c r="PQ71" s="28">
        <v>19</v>
      </c>
      <c r="PR71" s="28"/>
      <c r="PS71" s="8">
        <v>-11</v>
      </c>
      <c r="PT71" s="12">
        <v>116</v>
      </c>
      <c r="PW71" s="8">
        <v>-381</v>
      </c>
      <c r="PX71" s="28">
        <v>615</v>
      </c>
      <c r="QE71" s="8">
        <v>168</v>
      </c>
      <c r="QF71" s="12">
        <v>223</v>
      </c>
      <c r="QH71" s="8">
        <v>-7</v>
      </c>
      <c r="QI71" s="12">
        <v>221</v>
      </c>
      <c r="QT71" s="8">
        <v>465</v>
      </c>
      <c r="QU71" s="12">
        <v>435</v>
      </c>
      <c r="QV71" s="6"/>
      <c r="QW71" s="12"/>
      <c r="QY71" s="8">
        <v>-21</v>
      </c>
      <c r="QZ71" s="12">
        <v>98</v>
      </c>
      <c r="RC71" s="6">
        <v>-232</v>
      </c>
      <c r="RD71" s="12">
        <v>214</v>
      </c>
      <c r="RE71" s="54" t="s">
        <v>222</v>
      </c>
      <c r="RF71" s="12">
        <v>463</v>
      </c>
      <c r="RG71" s="8">
        <v>-205</v>
      </c>
      <c r="RH71" s="28">
        <v>190</v>
      </c>
      <c r="RL71" s="8">
        <v>-3</v>
      </c>
      <c r="RM71" s="12">
        <v>494</v>
      </c>
      <c r="RS71" s="6">
        <v>-195</v>
      </c>
      <c r="RT71" s="50">
        <v>344</v>
      </c>
      <c r="SP71" s="8">
        <v>129</v>
      </c>
      <c r="SQ71" s="12">
        <v>214</v>
      </c>
      <c r="SY71" s="6">
        <v>167</v>
      </c>
      <c r="TH71" s="8">
        <v>604</v>
      </c>
      <c r="TI71" s="28">
        <v>271</v>
      </c>
      <c r="TX71" s="8">
        <v>966</v>
      </c>
      <c r="TY71" s="28">
        <v>196</v>
      </c>
      <c r="TZ71" s="8">
        <v>67</v>
      </c>
      <c r="UA71" s="12">
        <v>369</v>
      </c>
      <c r="UG71" s="8">
        <v>-884</v>
      </c>
      <c r="UH71" s="12">
        <v>243</v>
      </c>
      <c r="UI71" s="8">
        <v>1</v>
      </c>
      <c r="UZ71" s="8">
        <v>393</v>
      </c>
      <c r="VF71" s="8">
        <v>859</v>
      </c>
      <c r="VG71" s="12">
        <v>520</v>
      </c>
      <c r="VH71" s="8">
        <v>321</v>
      </c>
      <c r="VI71" s="28">
        <v>36</v>
      </c>
      <c r="VL71" s="21"/>
      <c r="VM71" s="8">
        <v>-6723</v>
      </c>
      <c r="VN71" s="12">
        <v>161</v>
      </c>
      <c r="VO71" s="12"/>
      <c r="VP71" s="12"/>
      <c r="VQ71" s="6">
        <v>-17</v>
      </c>
      <c r="VR71" s="28">
        <v>9</v>
      </c>
      <c r="VS71" s="12"/>
      <c r="VT71" s="12"/>
      <c r="VZ71" s="8">
        <v>969</v>
      </c>
      <c r="WA71" s="28">
        <v>229</v>
      </c>
      <c r="WB71" s="8">
        <v>-3437</v>
      </c>
      <c r="WC71" s="12">
        <v>227</v>
      </c>
      <c r="XE71">
        <v>364</v>
      </c>
      <c r="XF71" s="1">
        <v>83</v>
      </c>
      <c r="XG71" s="2">
        <v>212</v>
      </c>
      <c r="XH71" s="1">
        <v>38</v>
      </c>
      <c r="XK71">
        <v>113</v>
      </c>
      <c r="XL71" s="1">
        <v>29</v>
      </c>
    </row>
    <row r="72" spans="7:636" x14ac:dyDescent="0.25">
      <c r="G72" s="2">
        <v>-5</v>
      </c>
      <c r="I72" s="2">
        <v>-283</v>
      </c>
      <c r="K72" s="2">
        <v>3245</v>
      </c>
      <c r="L72" s="1">
        <v>7</v>
      </c>
      <c r="M72">
        <v>62</v>
      </c>
      <c r="N72" s="1">
        <v>2</v>
      </c>
      <c r="O72" s="26"/>
      <c r="R72">
        <v>-418</v>
      </c>
      <c r="S72" s="12">
        <v>3206</v>
      </c>
      <c r="V72">
        <v>3</v>
      </c>
      <c r="W72" s="10">
        <v>114</v>
      </c>
      <c r="AB72">
        <v>-37</v>
      </c>
      <c r="AC72" s="1">
        <v>63</v>
      </c>
      <c r="AD72">
        <v>14</v>
      </c>
      <c r="AE72" s="1">
        <v>4</v>
      </c>
      <c r="AF72">
        <v>1160</v>
      </c>
      <c r="AG72" s="1">
        <v>357</v>
      </c>
      <c r="AJ72" s="2">
        <v>512</v>
      </c>
      <c r="AK72" s="10">
        <v>199</v>
      </c>
      <c r="AY72">
        <v>-8885</v>
      </c>
      <c r="AZ72" s="1">
        <v>1869</v>
      </c>
      <c r="BD72" s="8"/>
      <c r="BF72">
        <v>119</v>
      </c>
      <c r="BG72" s="1">
        <v>76</v>
      </c>
      <c r="BJ72">
        <v>-2</v>
      </c>
      <c r="BL72">
        <v>44</v>
      </c>
      <c r="BM72" s="1">
        <v>4</v>
      </c>
      <c r="BN72">
        <v>1</v>
      </c>
      <c r="BP72">
        <v>-6</v>
      </c>
      <c r="BQ72" s="10">
        <v>69</v>
      </c>
      <c r="BT72">
        <v>435</v>
      </c>
      <c r="BU72" s="1">
        <v>330</v>
      </c>
      <c r="CE72" s="8">
        <v>214</v>
      </c>
      <c r="CF72" s="28">
        <v>28</v>
      </c>
      <c r="CG72" s="8">
        <v>420</v>
      </c>
      <c r="CI72" s="8">
        <v>183</v>
      </c>
      <c r="CJ72" s="12">
        <v>83</v>
      </c>
      <c r="CK72" s="8">
        <v>55</v>
      </c>
      <c r="CL72" s="28">
        <v>31</v>
      </c>
      <c r="CM72" s="6">
        <v>184</v>
      </c>
      <c r="CN72" s="28">
        <v>648</v>
      </c>
      <c r="CO72" s="6">
        <v>-228</v>
      </c>
      <c r="CP72" s="28"/>
      <c r="CQ72" s="6">
        <v>759</v>
      </c>
      <c r="CR72" s="28"/>
      <c r="CS72" s="6">
        <v>-273</v>
      </c>
      <c r="CT72" s="28">
        <v>343</v>
      </c>
      <c r="CU72" s="28"/>
      <c r="CV72" s="28"/>
      <c r="CW72" s="28"/>
      <c r="CX72" s="28"/>
      <c r="CZ72" s="23">
        <v>139</v>
      </c>
      <c r="DA72" s="25">
        <v>531</v>
      </c>
      <c r="DB72" s="23">
        <v>127</v>
      </c>
      <c r="DC72" s="25">
        <v>49</v>
      </c>
      <c r="DF72" s="23">
        <v>112</v>
      </c>
      <c r="DG72" s="25">
        <v>424</v>
      </c>
      <c r="DH72" s="23">
        <v>-76</v>
      </c>
      <c r="DI72" s="25">
        <v>7</v>
      </c>
      <c r="DJ72" s="23">
        <v>-1</v>
      </c>
      <c r="DK72" s="28">
        <v>129</v>
      </c>
      <c r="DL72" s="8">
        <v>21</v>
      </c>
      <c r="DQ72" s="8">
        <v>303</v>
      </c>
      <c r="DR72" s="52">
        <v>223</v>
      </c>
      <c r="DS72" s="6">
        <v>-38</v>
      </c>
      <c r="DT72" s="52">
        <v>147</v>
      </c>
      <c r="DU72" s="8">
        <v>-955</v>
      </c>
      <c r="DV72" s="28">
        <v>301</v>
      </c>
      <c r="DW72" s="8">
        <v>855</v>
      </c>
      <c r="DX72" s="28">
        <v>940</v>
      </c>
      <c r="DY72" s="6">
        <v>-24</v>
      </c>
      <c r="DZ72" s="52">
        <v>136</v>
      </c>
      <c r="EA72" s="23">
        <v>499</v>
      </c>
      <c r="EB72" s="52">
        <v>168</v>
      </c>
      <c r="EC72" s="6">
        <v>11</v>
      </c>
      <c r="ED72" s="28">
        <v>6</v>
      </c>
      <c r="EE72" s="8">
        <v>-133</v>
      </c>
      <c r="EF72" s="52">
        <v>81</v>
      </c>
      <c r="EG72" s="8">
        <v>-522</v>
      </c>
      <c r="EH72" s="28">
        <v>236</v>
      </c>
      <c r="EI72" s="8">
        <v>26</v>
      </c>
      <c r="EJ72" s="52">
        <v>835</v>
      </c>
      <c r="EL72" s="8">
        <v>894</v>
      </c>
      <c r="EM72" s="28">
        <v>494</v>
      </c>
      <c r="EN72" s="8">
        <v>147</v>
      </c>
      <c r="EO72" s="28">
        <v>33</v>
      </c>
      <c r="EP72" s="28"/>
      <c r="EQ72" s="28"/>
      <c r="EX72" s="8">
        <v>227</v>
      </c>
      <c r="EY72" s="28">
        <v>655</v>
      </c>
      <c r="FD72" s="6">
        <v>-939</v>
      </c>
      <c r="FE72" s="28">
        <v>55</v>
      </c>
      <c r="FM72" s="8">
        <v>-115</v>
      </c>
      <c r="FN72" s="52">
        <v>208</v>
      </c>
      <c r="FO72" s="8">
        <v>98</v>
      </c>
      <c r="FP72" s="28">
        <v>466</v>
      </c>
      <c r="FQ72" s="8">
        <v>43</v>
      </c>
      <c r="FR72" s="28">
        <v>5</v>
      </c>
      <c r="FS72" s="8">
        <v>72</v>
      </c>
      <c r="FT72" s="52">
        <v>103</v>
      </c>
      <c r="GC72" s="8">
        <v>-471</v>
      </c>
      <c r="GE72" s="8">
        <v>-117</v>
      </c>
      <c r="GF72" s="28">
        <v>259</v>
      </c>
      <c r="GI72" s="8">
        <v>30</v>
      </c>
      <c r="GJ72" s="28">
        <v>14</v>
      </c>
      <c r="GP72" s="8">
        <v>119</v>
      </c>
      <c r="GQ72" s="52">
        <v>655</v>
      </c>
      <c r="GR72" s="8">
        <v>23</v>
      </c>
      <c r="GS72" s="28">
        <v>108</v>
      </c>
      <c r="GT72" s="6">
        <v>21</v>
      </c>
      <c r="GU72" s="52">
        <v>425</v>
      </c>
      <c r="GV72" s="28"/>
      <c r="GW72" s="28"/>
      <c r="GZ72" s="8">
        <v>134</v>
      </c>
      <c r="HA72" s="28">
        <v>135</v>
      </c>
      <c r="HB72" s="6">
        <v>-88</v>
      </c>
      <c r="HC72" s="28"/>
      <c r="HE72" s="8">
        <v>9</v>
      </c>
      <c r="HF72" s="28">
        <v>29</v>
      </c>
      <c r="HG72" s="8">
        <v>-592</v>
      </c>
      <c r="HQ72" s="6">
        <v>-189</v>
      </c>
      <c r="HR72" s="28">
        <v>93</v>
      </c>
      <c r="HS72" s="8">
        <v>-2</v>
      </c>
      <c r="HT72" s="52">
        <v>210</v>
      </c>
      <c r="HX72" s="8">
        <v>-51</v>
      </c>
      <c r="HY72" s="28">
        <v>26</v>
      </c>
      <c r="HZ72" s="8">
        <v>21</v>
      </c>
      <c r="IB72" s="8">
        <v>-922</v>
      </c>
      <c r="IC72" s="28">
        <v>222</v>
      </c>
      <c r="ID72" s="8">
        <v>404</v>
      </c>
      <c r="IE72" s="28">
        <v>71</v>
      </c>
      <c r="IO72">
        <v>180</v>
      </c>
      <c r="IP72" s="10">
        <v>20</v>
      </c>
      <c r="IW72" s="8">
        <v>-355</v>
      </c>
      <c r="IY72" s="8">
        <v>-117</v>
      </c>
      <c r="JA72" s="8">
        <v>-782</v>
      </c>
      <c r="JB72" s="12">
        <v>483</v>
      </c>
      <c r="JH72" s="8">
        <v>64</v>
      </c>
      <c r="JI72" s="28">
        <v>32</v>
      </c>
      <c r="JL72" s="8">
        <v>1</v>
      </c>
      <c r="JN72" s="8">
        <v>6</v>
      </c>
      <c r="JO72" s="28">
        <v>5</v>
      </c>
      <c r="JP72" s="6">
        <v>-3</v>
      </c>
      <c r="JQ72" s="12">
        <v>476</v>
      </c>
      <c r="JW72" s="8">
        <v>-513</v>
      </c>
      <c r="JX72" s="12">
        <v>782</v>
      </c>
      <c r="KE72" s="6">
        <v>44</v>
      </c>
      <c r="KF72" s="12">
        <v>728</v>
      </c>
      <c r="KQ72" s="8">
        <v>142</v>
      </c>
      <c r="KR72" s="28">
        <v>41</v>
      </c>
      <c r="KT72" s="8">
        <v>28</v>
      </c>
      <c r="KU72" s="28">
        <v>20</v>
      </c>
      <c r="KZ72" s="8">
        <v>-13</v>
      </c>
      <c r="LA72" s="12">
        <v>250</v>
      </c>
      <c r="LD72" s="8">
        <v>273</v>
      </c>
      <c r="LE72" s="28">
        <v>120</v>
      </c>
      <c r="LF72" s="8">
        <v>-149</v>
      </c>
      <c r="LG72" s="28">
        <v>142</v>
      </c>
      <c r="LH72" s="8">
        <v>-805</v>
      </c>
      <c r="LJ72" s="8">
        <v>-806</v>
      </c>
      <c r="LK72" s="28">
        <v>117</v>
      </c>
      <c r="LL72" s="8">
        <v>-7</v>
      </c>
      <c r="LM72" s="28">
        <v>6</v>
      </c>
      <c r="LN72" s="8">
        <v>249</v>
      </c>
      <c r="LO72" s="28">
        <v>103</v>
      </c>
      <c r="LS72" s="8">
        <v>65</v>
      </c>
      <c r="LU72" s="8">
        <v>1</v>
      </c>
      <c r="LV72" s="12">
        <v>262</v>
      </c>
      <c r="LW72" s="8">
        <v>-788</v>
      </c>
      <c r="LX72" s="28">
        <v>401</v>
      </c>
      <c r="MF72" s="8">
        <v>135</v>
      </c>
      <c r="MG72" s="12">
        <v>486</v>
      </c>
      <c r="MS72" s="8">
        <v>-2</v>
      </c>
      <c r="MT72" s="12">
        <v>12</v>
      </c>
      <c r="NC72" s="8">
        <v>69</v>
      </c>
      <c r="ND72" s="12">
        <v>17</v>
      </c>
      <c r="NE72" s="8">
        <v>-119</v>
      </c>
      <c r="NF72" s="28">
        <v>628</v>
      </c>
      <c r="NG72" s="8">
        <v>-11</v>
      </c>
      <c r="NH72" s="28">
        <v>33</v>
      </c>
      <c r="NP72" s="8">
        <v>55</v>
      </c>
      <c r="NQ72" s="12">
        <v>115</v>
      </c>
      <c r="NW72" s="8">
        <v>968</v>
      </c>
      <c r="NX72" s="28">
        <v>440</v>
      </c>
      <c r="NY72" s="8">
        <v>118</v>
      </c>
      <c r="NZ72" s="12">
        <v>795</v>
      </c>
      <c r="OC72" s="8">
        <v>298</v>
      </c>
      <c r="OD72" s="12">
        <v>433</v>
      </c>
      <c r="OV72" s="8">
        <v>179</v>
      </c>
      <c r="PJ72" s="8">
        <v>-545</v>
      </c>
      <c r="PK72" s="12">
        <v>309</v>
      </c>
      <c r="PP72" s="8">
        <v>-60</v>
      </c>
      <c r="PQ72" s="28">
        <v>21</v>
      </c>
      <c r="PR72" s="28"/>
      <c r="PS72" s="8">
        <v>158</v>
      </c>
      <c r="PT72" s="12">
        <v>374</v>
      </c>
      <c r="PW72" s="8">
        <v>-122</v>
      </c>
      <c r="PX72" s="28">
        <v>668</v>
      </c>
      <c r="QE72" s="8">
        <v>441</v>
      </c>
      <c r="QF72" s="12">
        <v>832</v>
      </c>
      <c r="QH72" s="8">
        <v>12</v>
      </c>
      <c r="QI72" s="12">
        <v>225</v>
      </c>
      <c r="QT72" s="8">
        <v>217</v>
      </c>
      <c r="QU72" s="12">
        <v>117</v>
      </c>
      <c r="QV72" s="6"/>
      <c r="QW72" s="12"/>
      <c r="RC72" s="6">
        <v>-133</v>
      </c>
      <c r="RD72" s="12">
        <v>61</v>
      </c>
      <c r="RE72" s="6">
        <v>935</v>
      </c>
      <c r="RF72" s="12">
        <v>736</v>
      </c>
      <c r="RG72" s="8">
        <v>166</v>
      </c>
      <c r="RH72" s="28">
        <v>102</v>
      </c>
      <c r="RL72" s="8">
        <v>2</v>
      </c>
      <c r="RM72" s="12">
        <v>402</v>
      </c>
      <c r="RS72" s="6">
        <v>-334</v>
      </c>
      <c r="RT72" s="50">
        <v>985</v>
      </c>
      <c r="SP72" s="8">
        <v>-10</v>
      </c>
      <c r="SQ72" s="12">
        <v>51</v>
      </c>
      <c r="SY72" s="6">
        <v>305</v>
      </c>
      <c r="TH72" s="8">
        <v>552</v>
      </c>
      <c r="TI72" s="28">
        <v>206</v>
      </c>
      <c r="TX72" s="8">
        <v>868</v>
      </c>
      <c r="TY72" s="28">
        <v>183</v>
      </c>
      <c r="TZ72" s="8">
        <v>-35</v>
      </c>
      <c r="UA72" s="12">
        <v>161</v>
      </c>
      <c r="UG72" s="8">
        <v>170</v>
      </c>
      <c r="UH72" s="12">
        <v>145</v>
      </c>
      <c r="UI72" s="8">
        <v>-148</v>
      </c>
      <c r="UZ72" s="8">
        <v>-757</v>
      </c>
      <c r="VF72" s="8">
        <v>101</v>
      </c>
      <c r="VG72" s="12">
        <v>181</v>
      </c>
      <c r="VH72" s="8">
        <v>137</v>
      </c>
      <c r="VI72" s="28">
        <v>109</v>
      </c>
      <c r="VL72" s="21"/>
      <c r="VM72" s="8">
        <v>4767</v>
      </c>
      <c r="VN72" s="12">
        <v>507</v>
      </c>
      <c r="VO72" s="12"/>
      <c r="VP72" s="12"/>
      <c r="VQ72" s="6">
        <v>-17</v>
      </c>
      <c r="VR72" s="28">
        <v>9</v>
      </c>
      <c r="VS72" s="12"/>
      <c r="VT72" s="12"/>
      <c r="VZ72" s="8">
        <v>964</v>
      </c>
      <c r="WA72" s="28">
        <v>215</v>
      </c>
      <c r="WB72" s="8">
        <v>-4399</v>
      </c>
      <c r="WC72" s="12">
        <v>709</v>
      </c>
      <c r="XE72">
        <v>393</v>
      </c>
      <c r="XF72" s="1">
        <v>86</v>
      </c>
      <c r="XG72" s="2">
        <v>76</v>
      </c>
      <c r="XH72" s="1">
        <v>23</v>
      </c>
      <c r="XK72">
        <v>109</v>
      </c>
      <c r="XL72" s="1">
        <v>24</v>
      </c>
    </row>
    <row r="73" spans="7:636" x14ac:dyDescent="0.25">
      <c r="G73" s="2">
        <v>-4</v>
      </c>
      <c r="I73" s="2">
        <v>266</v>
      </c>
      <c r="K73" s="2">
        <v>641</v>
      </c>
      <c r="L73" s="1">
        <v>15</v>
      </c>
      <c r="M73">
        <v>23</v>
      </c>
      <c r="N73" s="1">
        <v>3</v>
      </c>
      <c r="O73" s="26"/>
      <c r="R73">
        <v>85</v>
      </c>
      <c r="S73" s="12">
        <v>91</v>
      </c>
      <c r="V73">
        <v>10</v>
      </c>
      <c r="W73" s="10">
        <v>250</v>
      </c>
      <c r="AB73">
        <v>-54</v>
      </c>
      <c r="AC73" s="1">
        <v>129</v>
      </c>
      <c r="AD73">
        <v>16</v>
      </c>
      <c r="AE73" s="1">
        <v>5</v>
      </c>
      <c r="AF73">
        <v>975</v>
      </c>
      <c r="AG73" s="1">
        <v>346</v>
      </c>
      <c r="AJ73" s="2">
        <v>-35</v>
      </c>
      <c r="AK73" s="10">
        <v>31</v>
      </c>
      <c r="AY73">
        <v>-2228</v>
      </c>
      <c r="AZ73" s="1">
        <v>236</v>
      </c>
      <c r="BD73" s="8"/>
      <c r="BF73">
        <v>6341</v>
      </c>
      <c r="BG73" s="1">
        <v>1986</v>
      </c>
      <c r="BJ73">
        <v>1</v>
      </c>
      <c r="BL73">
        <v>2552</v>
      </c>
      <c r="BM73" s="1">
        <v>62</v>
      </c>
      <c r="BN73">
        <v>-4</v>
      </c>
      <c r="BP73">
        <v>288</v>
      </c>
      <c r="BQ73" s="10">
        <v>1268</v>
      </c>
      <c r="BT73">
        <v>314</v>
      </c>
      <c r="BU73" s="1">
        <v>1667</v>
      </c>
      <c r="CE73" s="8">
        <v>181</v>
      </c>
      <c r="CF73" s="28">
        <v>21</v>
      </c>
      <c r="CG73" s="8">
        <v>383</v>
      </c>
      <c r="CI73" s="8">
        <v>454</v>
      </c>
      <c r="CJ73" s="12">
        <v>133</v>
      </c>
      <c r="CK73" s="8">
        <v>54</v>
      </c>
      <c r="CL73" s="28">
        <v>32</v>
      </c>
      <c r="CM73" s="6">
        <v>70</v>
      </c>
      <c r="CN73" s="28">
        <v>18</v>
      </c>
      <c r="CO73" s="6">
        <v>876</v>
      </c>
      <c r="CP73" s="28"/>
      <c r="CQ73" s="6">
        <v>101</v>
      </c>
      <c r="CR73" s="28"/>
      <c r="CS73" s="6">
        <v>195</v>
      </c>
      <c r="CT73" s="28">
        <v>110</v>
      </c>
      <c r="CU73" s="28"/>
      <c r="CV73" s="28"/>
      <c r="CW73" s="28"/>
      <c r="CX73" s="28"/>
      <c r="CZ73" s="23">
        <v>452</v>
      </c>
      <c r="DA73" s="25">
        <v>76</v>
      </c>
      <c r="DB73" s="23">
        <v>-92</v>
      </c>
      <c r="DC73" s="25">
        <v>8</v>
      </c>
      <c r="DF73" s="23">
        <v>110</v>
      </c>
      <c r="DG73" s="25">
        <v>372</v>
      </c>
      <c r="DH73" s="23">
        <v>114</v>
      </c>
      <c r="DI73" s="25">
        <v>102</v>
      </c>
      <c r="DJ73" s="23">
        <v>440</v>
      </c>
      <c r="DK73" s="28">
        <v>155</v>
      </c>
      <c r="DL73" s="8">
        <v>-6</v>
      </c>
      <c r="DQ73" s="8">
        <v>-143</v>
      </c>
      <c r="DR73" s="52">
        <v>107</v>
      </c>
      <c r="DS73" s="6">
        <v>-6</v>
      </c>
      <c r="DT73" s="52">
        <v>32</v>
      </c>
      <c r="DU73" s="8">
        <v>-270</v>
      </c>
      <c r="DV73" s="28">
        <v>260</v>
      </c>
      <c r="DW73" s="8">
        <v>-193</v>
      </c>
      <c r="DX73" s="28">
        <v>353</v>
      </c>
      <c r="DY73" s="6">
        <v>-15</v>
      </c>
      <c r="DZ73" s="52">
        <v>88</v>
      </c>
      <c r="EA73" s="23">
        <v>-322</v>
      </c>
      <c r="EB73" s="52">
        <v>240</v>
      </c>
      <c r="EC73" s="6">
        <v>6</v>
      </c>
      <c r="ED73" s="28">
        <v>4</v>
      </c>
      <c r="EE73" s="8">
        <v>-31</v>
      </c>
      <c r="EF73" s="52">
        <v>37</v>
      </c>
      <c r="EG73" s="8">
        <v>157</v>
      </c>
      <c r="EH73" s="28">
        <v>434</v>
      </c>
      <c r="EI73" s="8">
        <v>98</v>
      </c>
      <c r="EJ73" s="52">
        <v>118</v>
      </c>
      <c r="EL73" s="8">
        <v>552</v>
      </c>
      <c r="EM73" s="28">
        <v>246</v>
      </c>
      <c r="EN73" s="8">
        <v>185</v>
      </c>
      <c r="EO73" s="28">
        <v>19</v>
      </c>
      <c r="EP73" s="28"/>
      <c r="EQ73" s="28"/>
      <c r="EX73" s="8">
        <v>176</v>
      </c>
      <c r="EY73" s="28">
        <v>147</v>
      </c>
      <c r="FD73" s="6">
        <v>627</v>
      </c>
      <c r="FE73" s="28">
        <v>25</v>
      </c>
      <c r="FM73" s="8">
        <v>-547</v>
      </c>
      <c r="FN73" s="52">
        <v>317</v>
      </c>
      <c r="FO73" s="8">
        <v>332</v>
      </c>
      <c r="FP73" s="28">
        <v>761</v>
      </c>
      <c r="FQ73" s="8">
        <v>74</v>
      </c>
      <c r="FR73" s="28">
        <v>6</v>
      </c>
      <c r="FS73" s="8">
        <v>84</v>
      </c>
      <c r="FT73" s="52">
        <v>309</v>
      </c>
      <c r="GC73" s="8">
        <v>-635</v>
      </c>
      <c r="GE73" s="8">
        <v>-869</v>
      </c>
      <c r="GF73" s="28">
        <v>139</v>
      </c>
      <c r="GI73" s="8">
        <v>22</v>
      </c>
      <c r="GJ73" s="28">
        <v>8</v>
      </c>
      <c r="GP73" s="8">
        <v>189</v>
      </c>
      <c r="GQ73" s="52">
        <v>766</v>
      </c>
      <c r="GR73" s="8">
        <v>132</v>
      </c>
      <c r="GS73" s="28">
        <v>140</v>
      </c>
      <c r="GT73" s="6">
        <v>-56</v>
      </c>
      <c r="GU73" s="52">
        <v>110</v>
      </c>
      <c r="GV73" s="28"/>
      <c r="GW73" s="28"/>
      <c r="GZ73" s="8">
        <v>3</v>
      </c>
      <c r="HA73" s="28">
        <v>19</v>
      </c>
      <c r="HB73" s="6">
        <v>188</v>
      </c>
      <c r="HC73" s="28"/>
      <c r="HE73" s="8">
        <v>18</v>
      </c>
      <c r="HF73" s="28">
        <v>14</v>
      </c>
      <c r="HG73" s="8">
        <v>105</v>
      </c>
      <c r="HQ73" s="6">
        <v>28</v>
      </c>
      <c r="HR73" s="28">
        <v>7</v>
      </c>
      <c r="HS73" s="8">
        <v>2</v>
      </c>
      <c r="HT73" s="52">
        <v>277</v>
      </c>
      <c r="HX73" s="8">
        <v>3</v>
      </c>
      <c r="HY73" s="28">
        <v>41</v>
      </c>
      <c r="HZ73" s="8">
        <v>1</v>
      </c>
      <c r="IB73" s="8">
        <v>-486</v>
      </c>
      <c r="IC73" s="28">
        <v>200</v>
      </c>
      <c r="ID73" s="8">
        <v>87</v>
      </c>
      <c r="IE73" s="28">
        <v>16</v>
      </c>
      <c r="IO73">
        <v>272</v>
      </c>
      <c r="IP73" s="10">
        <v>37</v>
      </c>
      <c r="IW73" s="8">
        <v>4</v>
      </c>
      <c r="IY73" s="8">
        <v>-124</v>
      </c>
      <c r="JA73" s="8">
        <v>-513</v>
      </c>
      <c r="JB73" s="12">
        <v>523</v>
      </c>
      <c r="JH73" s="8">
        <v>-313</v>
      </c>
      <c r="JI73" s="28">
        <v>137</v>
      </c>
      <c r="JL73" s="8">
        <v>108</v>
      </c>
      <c r="JN73" s="8">
        <v>5</v>
      </c>
      <c r="JO73" s="28">
        <v>5</v>
      </c>
      <c r="JP73" s="6">
        <v>89</v>
      </c>
      <c r="JQ73" s="12">
        <v>453</v>
      </c>
      <c r="JW73" s="8">
        <v>-355</v>
      </c>
      <c r="JX73" s="12">
        <v>531</v>
      </c>
      <c r="KE73" s="6">
        <v>-344</v>
      </c>
      <c r="KF73" s="12">
        <v>952</v>
      </c>
      <c r="KQ73" s="8">
        <v>20</v>
      </c>
      <c r="KR73" s="28">
        <v>8</v>
      </c>
      <c r="KT73" s="8">
        <v>45</v>
      </c>
      <c r="KU73" s="28">
        <v>21</v>
      </c>
      <c r="KZ73" s="8">
        <v>-34</v>
      </c>
      <c r="LA73" s="12">
        <v>102</v>
      </c>
      <c r="LD73" s="8">
        <v>231</v>
      </c>
      <c r="LE73" s="28">
        <v>506</v>
      </c>
      <c r="LF73" s="8">
        <v>-39</v>
      </c>
      <c r="LG73" s="28">
        <v>142</v>
      </c>
      <c r="LH73" s="8">
        <v>257</v>
      </c>
      <c r="LJ73" s="8">
        <v>164</v>
      </c>
      <c r="LK73" s="28">
        <v>171</v>
      </c>
      <c r="LL73" s="8">
        <v>27</v>
      </c>
      <c r="LM73" s="28">
        <v>12</v>
      </c>
      <c r="LN73" s="8">
        <v>187</v>
      </c>
      <c r="LO73" s="28">
        <v>99</v>
      </c>
      <c r="LS73" s="8">
        <v>61</v>
      </c>
      <c r="LU73" s="8">
        <v>2</v>
      </c>
      <c r="LV73" s="12">
        <v>344</v>
      </c>
      <c r="LW73" s="8">
        <v>-522</v>
      </c>
      <c r="LX73" s="28">
        <v>327</v>
      </c>
      <c r="MF73" s="8">
        <v>-126</v>
      </c>
      <c r="MG73" s="12">
        <v>67</v>
      </c>
      <c r="MS73" s="8">
        <v>-83</v>
      </c>
      <c r="MT73" s="12">
        <v>302</v>
      </c>
      <c r="NC73" s="8">
        <v>69</v>
      </c>
      <c r="ND73" s="12">
        <v>20</v>
      </c>
      <c r="NE73" s="8">
        <v>125</v>
      </c>
      <c r="NF73" s="28">
        <v>644</v>
      </c>
      <c r="NG73" s="8">
        <v>-50</v>
      </c>
      <c r="NH73" s="28">
        <v>43</v>
      </c>
      <c r="NP73" s="8">
        <v>220</v>
      </c>
      <c r="NQ73" s="12">
        <v>717</v>
      </c>
      <c r="NW73" s="8">
        <v>110</v>
      </c>
      <c r="NX73" s="28">
        <v>525</v>
      </c>
      <c r="NY73" s="8">
        <v>692</v>
      </c>
      <c r="NZ73" s="12">
        <v>249</v>
      </c>
      <c r="OC73" s="8">
        <v>-397</v>
      </c>
      <c r="OD73" s="12">
        <v>521</v>
      </c>
      <c r="OV73" s="8">
        <v>320</v>
      </c>
      <c r="PJ73" s="8">
        <v>-249</v>
      </c>
      <c r="PK73" s="12">
        <v>194</v>
      </c>
      <c r="PP73" s="8">
        <v>-240</v>
      </c>
      <c r="PQ73" s="28">
        <v>28</v>
      </c>
      <c r="PR73" s="28"/>
      <c r="PS73" s="8">
        <v>94</v>
      </c>
      <c r="PT73" s="12">
        <v>245</v>
      </c>
      <c r="PW73" s="8">
        <v>904</v>
      </c>
      <c r="PX73" s="28">
        <v>368</v>
      </c>
      <c r="QE73" s="8">
        <v>500</v>
      </c>
      <c r="QF73" s="12">
        <v>928</v>
      </c>
      <c r="QH73" s="8">
        <v>841</v>
      </c>
      <c r="QI73" s="12">
        <v>458</v>
      </c>
      <c r="QT73" s="8">
        <v>231</v>
      </c>
      <c r="QU73" s="12">
        <v>229</v>
      </c>
      <c r="QV73" s="6"/>
      <c r="QW73" s="12"/>
      <c r="RC73" s="6">
        <v>-267</v>
      </c>
      <c r="RD73" s="12">
        <v>224</v>
      </c>
      <c r="RE73" s="6">
        <v>123</v>
      </c>
      <c r="RF73" s="12">
        <v>834</v>
      </c>
      <c r="RG73" s="8">
        <v>564</v>
      </c>
      <c r="RH73" s="28">
        <v>545</v>
      </c>
      <c r="RL73" s="8">
        <v>-344</v>
      </c>
      <c r="RM73" s="12">
        <v>212</v>
      </c>
      <c r="RS73" s="6">
        <v>315</v>
      </c>
      <c r="RT73" s="50">
        <v>497</v>
      </c>
      <c r="SP73" s="8">
        <v>290</v>
      </c>
      <c r="SQ73" s="12">
        <v>166</v>
      </c>
      <c r="SY73" s="6">
        <v>430</v>
      </c>
      <c r="TH73" s="8">
        <v>441</v>
      </c>
      <c r="TI73" s="28">
        <v>301</v>
      </c>
      <c r="TX73" s="8">
        <v>773</v>
      </c>
      <c r="TY73" s="28">
        <v>191</v>
      </c>
      <c r="TZ73" s="8">
        <v>-103</v>
      </c>
      <c r="UA73" s="12">
        <v>319</v>
      </c>
      <c r="UG73" s="8">
        <v>774</v>
      </c>
      <c r="UH73" s="12">
        <v>101</v>
      </c>
      <c r="UI73" s="8">
        <v>-105</v>
      </c>
      <c r="UZ73" s="8">
        <v>-609</v>
      </c>
      <c r="VF73" s="8">
        <v>-569</v>
      </c>
      <c r="VG73" s="12">
        <v>393</v>
      </c>
      <c r="VH73" s="8">
        <v>604</v>
      </c>
      <c r="VI73" s="28">
        <v>204</v>
      </c>
      <c r="VL73" s="21"/>
      <c r="VM73" s="8">
        <v>3687</v>
      </c>
      <c r="VN73" s="12">
        <v>157</v>
      </c>
      <c r="VO73" s="12"/>
      <c r="VP73" s="12"/>
      <c r="VQ73" s="6">
        <v>-301</v>
      </c>
      <c r="VR73" s="28">
        <v>981</v>
      </c>
      <c r="VS73" s="12"/>
      <c r="VT73" s="12"/>
      <c r="VZ73" s="8">
        <v>-34</v>
      </c>
      <c r="WA73" s="28">
        <v>230</v>
      </c>
      <c r="WB73" s="8">
        <v>1312</v>
      </c>
      <c r="WC73" s="12">
        <v>922</v>
      </c>
      <c r="XE73">
        <v>287</v>
      </c>
      <c r="XF73" s="1">
        <v>125</v>
      </c>
      <c r="XG73" s="2">
        <v>19</v>
      </c>
      <c r="XH73" s="1">
        <v>5</v>
      </c>
      <c r="XK73">
        <v>112</v>
      </c>
      <c r="XL73" s="1">
        <v>23</v>
      </c>
    </row>
    <row r="74" spans="7:636" x14ac:dyDescent="0.25">
      <c r="G74" s="2">
        <v>-1671</v>
      </c>
      <c r="I74" s="2">
        <v>-23</v>
      </c>
      <c r="K74" s="2">
        <v>633</v>
      </c>
      <c r="L74" s="1">
        <v>14</v>
      </c>
      <c r="M74">
        <v>51</v>
      </c>
      <c r="N74" s="1">
        <v>1</v>
      </c>
      <c r="O74" s="26"/>
      <c r="R74">
        <v>179</v>
      </c>
      <c r="S74" s="12">
        <v>1320</v>
      </c>
      <c r="V74">
        <v>-5</v>
      </c>
      <c r="W74" s="10">
        <v>74</v>
      </c>
      <c r="AB74">
        <v>-166</v>
      </c>
      <c r="AC74" s="1">
        <v>76</v>
      </c>
      <c r="AD74">
        <v>9</v>
      </c>
      <c r="AE74" s="1">
        <v>5</v>
      </c>
      <c r="AF74">
        <v>-399</v>
      </c>
      <c r="AG74" s="1">
        <v>668</v>
      </c>
      <c r="AJ74" s="2">
        <v>27</v>
      </c>
      <c r="AK74" s="10">
        <v>23</v>
      </c>
      <c r="AY74">
        <v>-1788</v>
      </c>
      <c r="AZ74" s="1">
        <v>6481</v>
      </c>
      <c r="BD74" s="8"/>
      <c r="BF74">
        <v>3184</v>
      </c>
      <c r="BG74" s="1">
        <v>2053</v>
      </c>
      <c r="BJ74">
        <v>4</v>
      </c>
      <c r="BL74">
        <v>-57</v>
      </c>
      <c r="BM74" s="1">
        <v>11</v>
      </c>
      <c r="BN74">
        <v>-30</v>
      </c>
      <c r="BP74">
        <v>480</v>
      </c>
      <c r="BQ74" s="10">
        <v>3842</v>
      </c>
      <c r="BT74">
        <v>120</v>
      </c>
      <c r="BU74" s="1">
        <v>170</v>
      </c>
      <c r="CE74" s="8">
        <v>192</v>
      </c>
      <c r="CF74" s="28">
        <v>29</v>
      </c>
      <c r="CG74" s="8">
        <v>378</v>
      </c>
      <c r="CI74" s="8">
        <v>733</v>
      </c>
      <c r="CJ74" s="12">
        <v>434</v>
      </c>
      <c r="CK74" s="8">
        <v>58</v>
      </c>
      <c r="CL74" s="28">
        <v>33</v>
      </c>
      <c r="CM74" s="6">
        <v>553</v>
      </c>
      <c r="CN74" s="28">
        <v>178</v>
      </c>
      <c r="CO74" s="6">
        <v>-301</v>
      </c>
      <c r="CP74" s="28"/>
      <c r="CQ74" s="6">
        <v>869</v>
      </c>
      <c r="CR74" s="28"/>
      <c r="CS74" s="6">
        <v>364</v>
      </c>
      <c r="CT74" s="28">
        <v>367</v>
      </c>
      <c r="CU74" s="28"/>
      <c r="CV74" s="28"/>
      <c r="CW74" s="28"/>
      <c r="CX74" s="28"/>
      <c r="CZ74" s="23">
        <v>271</v>
      </c>
      <c r="DA74" s="25">
        <v>160</v>
      </c>
      <c r="DB74" s="23">
        <v>-78</v>
      </c>
      <c r="DC74" s="25">
        <v>46</v>
      </c>
      <c r="DF74" s="23">
        <v>638</v>
      </c>
      <c r="DG74" s="25">
        <v>159</v>
      </c>
      <c r="DH74" s="23">
        <v>217</v>
      </c>
      <c r="DI74" s="25">
        <v>327</v>
      </c>
      <c r="DJ74" s="23">
        <v>283</v>
      </c>
      <c r="DK74" s="28">
        <v>150</v>
      </c>
      <c r="DL74" s="8">
        <v>15</v>
      </c>
      <c r="DQ74" s="8">
        <v>-144</v>
      </c>
      <c r="DR74" s="52">
        <v>777</v>
      </c>
      <c r="DS74" s="6">
        <v>-355</v>
      </c>
      <c r="DT74" s="52">
        <v>381</v>
      </c>
      <c r="DU74" s="8">
        <v>-570</v>
      </c>
      <c r="DV74" s="28">
        <v>376</v>
      </c>
      <c r="DW74" s="8">
        <v>-307</v>
      </c>
      <c r="DX74" s="28">
        <v>271</v>
      </c>
      <c r="DY74" s="6">
        <v>-143</v>
      </c>
      <c r="DZ74" s="52">
        <v>7</v>
      </c>
      <c r="EA74" s="23">
        <v>84</v>
      </c>
      <c r="EB74" s="52">
        <v>331</v>
      </c>
      <c r="EC74" s="6">
        <v>-672</v>
      </c>
      <c r="ED74" s="28">
        <v>583</v>
      </c>
      <c r="EE74" s="8">
        <v>-2</v>
      </c>
      <c r="EF74" s="52">
        <v>57</v>
      </c>
      <c r="EG74" s="8">
        <v>151</v>
      </c>
      <c r="EH74" s="28">
        <v>434</v>
      </c>
      <c r="EI74" s="8">
        <v>1</v>
      </c>
      <c r="EJ74" s="52">
        <v>551</v>
      </c>
      <c r="EL74" s="8">
        <v>535</v>
      </c>
      <c r="EM74" s="28">
        <v>487</v>
      </c>
      <c r="EN74" s="8">
        <v>465</v>
      </c>
      <c r="EO74" s="28">
        <v>239</v>
      </c>
      <c r="EP74" s="28"/>
      <c r="EQ74" s="28"/>
      <c r="EX74" s="8">
        <v>237</v>
      </c>
      <c r="EY74" s="28">
        <v>144</v>
      </c>
      <c r="FD74" s="6">
        <v>-177</v>
      </c>
      <c r="FE74" s="28">
        <v>436</v>
      </c>
      <c r="FM74" s="8">
        <v>-336</v>
      </c>
      <c r="FN74" s="52">
        <v>402</v>
      </c>
      <c r="FO74" s="8">
        <v>210</v>
      </c>
      <c r="FP74" s="28">
        <v>638</v>
      </c>
      <c r="FQ74" s="8">
        <v>-51</v>
      </c>
      <c r="FR74" s="28">
        <v>4</v>
      </c>
      <c r="FS74" s="8">
        <v>85</v>
      </c>
      <c r="FT74" s="52">
        <v>308</v>
      </c>
      <c r="GC74" s="8">
        <v>-11</v>
      </c>
      <c r="GE74" s="8">
        <v>141</v>
      </c>
      <c r="GF74" s="28">
        <v>120</v>
      </c>
      <c r="GI74" s="8">
        <v>4</v>
      </c>
      <c r="GJ74" s="28">
        <v>12</v>
      </c>
      <c r="GP74" s="8">
        <v>17</v>
      </c>
      <c r="GQ74" s="52">
        <v>89</v>
      </c>
      <c r="GR74" s="8">
        <v>4</v>
      </c>
      <c r="GS74" s="28">
        <v>106</v>
      </c>
      <c r="GT74" s="6">
        <v>321</v>
      </c>
      <c r="GU74" s="52">
        <v>119</v>
      </c>
      <c r="GV74" s="28"/>
      <c r="GW74" s="28"/>
      <c r="GZ74" s="8">
        <v>-281</v>
      </c>
      <c r="HA74" s="28">
        <v>57</v>
      </c>
      <c r="HB74" s="6">
        <v>-86</v>
      </c>
      <c r="HC74" s="28"/>
      <c r="HE74" s="8">
        <v>-23</v>
      </c>
      <c r="HF74" s="28">
        <v>26</v>
      </c>
      <c r="HG74" s="8">
        <v>76</v>
      </c>
      <c r="HQ74" s="6">
        <v>19</v>
      </c>
      <c r="HR74" s="28">
        <v>12</v>
      </c>
      <c r="HS74" s="8">
        <v>3</v>
      </c>
      <c r="HT74" s="52">
        <v>745</v>
      </c>
      <c r="HX74" s="8">
        <v>286</v>
      </c>
      <c r="HY74" s="28">
        <v>145</v>
      </c>
      <c r="HZ74" s="8">
        <v>1</v>
      </c>
      <c r="IB74" s="8">
        <v>-170</v>
      </c>
      <c r="IC74" s="28">
        <v>195</v>
      </c>
      <c r="ID74" s="8">
        <v>17</v>
      </c>
      <c r="IE74" s="28">
        <v>139</v>
      </c>
      <c r="IO74">
        <v>-404</v>
      </c>
      <c r="IP74" s="10">
        <v>85</v>
      </c>
      <c r="IW74" s="8">
        <v>202</v>
      </c>
      <c r="IY74" s="8">
        <v>622</v>
      </c>
      <c r="JA74" s="8">
        <v>-298</v>
      </c>
      <c r="JB74" s="12">
        <v>526</v>
      </c>
      <c r="JH74" s="8">
        <v>65</v>
      </c>
      <c r="JI74" s="28">
        <v>49</v>
      </c>
      <c r="JL74" s="8">
        <v>-117</v>
      </c>
      <c r="JN74" s="8">
        <v>-5</v>
      </c>
      <c r="JO74" s="28">
        <v>4</v>
      </c>
      <c r="JP74" s="6">
        <v>-2</v>
      </c>
      <c r="JQ74" s="12">
        <v>391</v>
      </c>
      <c r="JW74" s="8">
        <v>249</v>
      </c>
      <c r="JX74" s="12">
        <v>29</v>
      </c>
      <c r="KE74" s="6">
        <v>66</v>
      </c>
      <c r="KF74" s="12">
        <v>102</v>
      </c>
      <c r="KQ74" s="8">
        <v>104</v>
      </c>
      <c r="KR74" s="28">
        <v>47</v>
      </c>
      <c r="KT74" s="8">
        <v>-22</v>
      </c>
      <c r="KU74" s="28">
        <v>21</v>
      </c>
      <c r="KZ74" s="8">
        <v>-120</v>
      </c>
      <c r="LA74" s="12">
        <v>662</v>
      </c>
      <c r="LD74" s="8">
        <v>-105</v>
      </c>
      <c r="LE74" s="28">
        <v>635</v>
      </c>
      <c r="LF74" s="8">
        <v>-130</v>
      </c>
      <c r="LG74" s="28">
        <v>121</v>
      </c>
      <c r="LH74" s="8">
        <v>-383</v>
      </c>
      <c r="LJ74" s="8">
        <v>33</v>
      </c>
      <c r="LK74" s="28">
        <v>239</v>
      </c>
      <c r="LL74" s="8">
        <v>99</v>
      </c>
      <c r="LM74" s="28">
        <v>9</v>
      </c>
      <c r="LN74" s="8">
        <v>230</v>
      </c>
      <c r="LO74" s="28">
        <v>110</v>
      </c>
      <c r="LS74" s="8">
        <v>186</v>
      </c>
      <c r="LU74" s="8">
        <v>-2</v>
      </c>
      <c r="LV74" s="12">
        <v>5</v>
      </c>
      <c r="LW74" s="8">
        <v>-107</v>
      </c>
      <c r="LX74" s="28">
        <v>386</v>
      </c>
      <c r="MF74" s="8">
        <v>-111</v>
      </c>
      <c r="MG74" s="12">
        <v>786</v>
      </c>
      <c r="MS74" s="8">
        <v>-462</v>
      </c>
      <c r="MT74" s="12">
        <v>579</v>
      </c>
      <c r="NC74" s="8">
        <v>-60</v>
      </c>
      <c r="ND74" s="12">
        <v>370</v>
      </c>
      <c r="NE74" s="8">
        <v>316</v>
      </c>
      <c r="NF74" s="28">
        <v>643</v>
      </c>
      <c r="NG74" s="8">
        <v>-176</v>
      </c>
      <c r="NH74" s="28">
        <v>46</v>
      </c>
      <c r="NP74" s="8">
        <v>358</v>
      </c>
      <c r="NQ74" s="12">
        <v>697</v>
      </c>
      <c r="NW74" s="8">
        <v>120</v>
      </c>
      <c r="NX74" s="28">
        <v>592</v>
      </c>
      <c r="NY74" s="8">
        <v>314</v>
      </c>
      <c r="NZ74" s="12">
        <v>186</v>
      </c>
      <c r="OC74" s="8">
        <v>273</v>
      </c>
      <c r="OD74" s="12">
        <v>584</v>
      </c>
      <c r="OV74" s="8">
        <v>152</v>
      </c>
      <c r="PJ74" s="8">
        <v>68</v>
      </c>
      <c r="PK74" s="12">
        <v>627</v>
      </c>
      <c r="PP74" s="8">
        <v>-340</v>
      </c>
      <c r="PQ74" s="28">
        <v>20</v>
      </c>
      <c r="PR74" s="28"/>
      <c r="PS74" s="8">
        <v>72</v>
      </c>
      <c r="PT74" s="12">
        <v>191</v>
      </c>
      <c r="PW74" s="8">
        <v>163</v>
      </c>
      <c r="PX74" s="28">
        <v>93</v>
      </c>
      <c r="QE74" s="8">
        <v>309</v>
      </c>
      <c r="QF74" s="12">
        <v>275</v>
      </c>
      <c r="QH74" s="8">
        <v>347</v>
      </c>
      <c r="QI74" s="12">
        <v>130</v>
      </c>
      <c r="QT74" s="8">
        <v>-619</v>
      </c>
      <c r="QU74" s="12">
        <v>767</v>
      </c>
      <c r="QV74" s="6"/>
      <c r="QW74" s="12"/>
      <c r="RC74" s="6">
        <v>102</v>
      </c>
      <c r="RD74" s="12">
        <v>94</v>
      </c>
      <c r="RE74" s="6">
        <v>136</v>
      </c>
      <c r="RF74" s="12">
        <v>936</v>
      </c>
      <c r="RG74" s="8">
        <v>109</v>
      </c>
      <c r="RH74" s="28">
        <v>146</v>
      </c>
      <c r="RL74" s="8">
        <v>-31</v>
      </c>
      <c r="RM74" s="12">
        <v>474</v>
      </c>
      <c r="RS74" s="6">
        <v>44</v>
      </c>
      <c r="RT74" s="50">
        <v>129</v>
      </c>
      <c r="SP74" s="8">
        <v>796</v>
      </c>
      <c r="SQ74" s="12">
        <v>350</v>
      </c>
      <c r="SY74" s="6">
        <v>929</v>
      </c>
      <c r="TH74" s="8">
        <v>23</v>
      </c>
      <c r="TI74" s="28">
        <v>38</v>
      </c>
      <c r="TX74" s="8">
        <v>773</v>
      </c>
      <c r="TY74" s="28">
        <v>256</v>
      </c>
      <c r="TZ74" s="8">
        <v>-128</v>
      </c>
      <c r="UA74" s="12">
        <v>370</v>
      </c>
      <c r="UG74" s="8">
        <v>360</v>
      </c>
      <c r="UH74" s="12">
        <v>56</v>
      </c>
      <c r="UI74" s="8">
        <v>-96</v>
      </c>
      <c r="UZ74" s="8">
        <v>-169</v>
      </c>
      <c r="VF74" s="8">
        <v>-485</v>
      </c>
      <c r="VH74" s="8">
        <v>363</v>
      </c>
      <c r="VI74" s="28">
        <v>209</v>
      </c>
      <c r="VL74" s="21"/>
      <c r="VM74" s="8">
        <v>-7132</v>
      </c>
      <c r="VN74" s="12">
        <v>334</v>
      </c>
      <c r="VO74" s="12"/>
      <c r="VP74" s="12"/>
      <c r="VQ74" s="6">
        <v>-251</v>
      </c>
      <c r="VR74" s="28">
        <v>102</v>
      </c>
      <c r="VS74" s="12"/>
      <c r="VT74" s="12"/>
      <c r="VZ74" s="8">
        <v>120</v>
      </c>
      <c r="WA74" s="28">
        <v>476</v>
      </c>
      <c r="WB74" s="8">
        <v>-1131</v>
      </c>
      <c r="WC74" s="12">
        <v>803</v>
      </c>
      <c r="XG74" s="2">
        <v>25</v>
      </c>
      <c r="XH74" s="1">
        <v>14</v>
      </c>
      <c r="XK74">
        <v>43</v>
      </c>
      <c r="XL74" s="1">
        <v>27</v>
      </c>
    </row>
    <row r="75" spans="7:636" x14ac:dyDescent="0.25">
      <c r="G75" s="2">
        <v>-5255</v>
      </c>
      <c r="I75" s="2">
        <v>1</v>
      </c>
      <c r="K75" s="2">
        <v>1931</v>
      </c>
      <c r="L75" s="1">
        <v>17</v>
      </c>
      <c r="M75">
        <v>14</v>
      </c>
      <c r="N75" s="1">
        <v>1</v>
      </c>
      <c r="O75" s="26"/>
      <c r="R75">
        <v>1</v>
      </c>
      <c r="S75" s="12">
        <v>803</v>
      </c>
      <c r="V75">
        <v>-9</v>
      </c>
      <c r="W75" s="10">
        <v>230</v>
      </c>
      <c r="AB75">
        <v>-54</v>
      </c>
      <c r="AC75" s="1">
        <v>79</v>
      </c>
      <c r="AD75">
        <v>31</v>
      </c>
      <c r="AE75" s="1">
        <v>4</v>
      </c>
      <c r="AF75">
        <v>1552</v>
      </c>
      <c r="AG75" s="1">
        <v>369</v>
      </c>
      <c r="AJ75" s="2">
        <v>2409</v>
      </c>
      <c r="AK75" s="10">
        <v>228</v>
      </c>
      <c r="AY75">
        <v>-8</v>
      </c>
      <c r="AZ75" s="1">
        <v>5</v>
      </c>
      <c r="BD75" s="8"/>
      <c r="BF75">
        <v>3286</v>
      </c>
      <c r="BG75" s="1">
        <v>1014</v>
      </c>
      <c r="BJ75">
        <v>-3</v>
      </c>
      <c r="BL75">
        <v>35</v>
      </c>
      <c r="BM75" s="1">
        <v>7</v>
      </c>
      <c r="BN75">
        <v>786</v>
      </c>
      <c r="BP75">
        <v>-1003</v>
      </c>
      <c r="BQ75" s="10">
        <v>960</v>
      </c>
      <c r="BT75">
        <v>-26</v>
      </c>
      <c r="BU75" s="1">
        <v>268</v>
      </c>
      <c r="CE75" s="8">
        <v>169</v>
      </c>
      <c r="CF75" s="28">
        <v>28</v>
      </c>
      <c r="CG75" s="8">
        <v>-500</v>
      </c>
      <c r="CI75" s="8">
        <v>364</v>
      </c>
      <c r="CJ75" s="12">
        <v>111</v>
      </c>
      <c r="CK75" s="8">
        <v>64</v>
      </c>
      <c r="CL75" s="28">
        <v>36</v>
      </c>
      <c r="CM75" s="6">
        <v>135</v>
      </c>
      <c r="CN75" s="28">
        <v>23</v>
      </c>
      <c r="CO75" s="6">
        <v>-138</v>
      </c>
      <c r="CP75" s="28"/>
      <c r="CQ75" s="6">
        <v>662</v>
      </c>
      <c r="CR75" s="28"/>
      <c r="CS75" s="6">
        <v>-883</v>
      </c>
      <c r="CT75" s="28">
        <v>767</v>
      </c>
      <c r="CU75" s="28"/>
      <c r="CV75" s="28"/>
      <c r="CW75" s="28"/>
      <c r="CX75" s="28"/>
      <c r="CZ75" s="23">
        <v>-70</v>
      </c>
      <c r="DA75" s="25">
        <v>73</v>
      </c>
      <c r="DB75" s="23">
        <v>1</v>
      </c>
      <c r="DC75" s="25">
        <v>22</v>
      </c>
      <c r="DF75" s="23">
        <v>106</v>
      </c>
      <c r="DG75" s="25">
        <v>309</v>
      </c>
      <c r="DH75" s="23">
        <v>-797</v>
      </c>
      <c r="DI75" s="25">
        <v>535</v>
      </c>
      <c r="DJ75" s="23">
        <v>-323</v>
      </c>
      <c r="DK75" s="28">
        <v>337</v>
      </c>
      <c r="DL75" s="8">
        <v>-7</v>
      </c>
      <c r="DQ75" s="8">
        <v>-809</v>
      </c>
      <c r="DR75" s="52">
        <v>681</v>
      </c>
      <c r="DS75" s="6">
        <v>159</v>
      </c>
      <c r="DT75" s="52">
        <v>241</v>
      </c>
      <c r="DU75" s="8">
        <v>-330</v>
      </c>
      <c r="DV75" s="28">
        <v>678</v>
      </c>
      <c r="DW75" s="8">
        <v>245</v>
      </c>
      <c r="DX75" s="28">
        <v>364</v>
      </c>
      <c r="DY75" s="6">
        <v>-743</v>
      </c>
      <c r="DZ75" s="52">
        <v>4</v>
      </c>
      <c r="EA75" s="23">
        <v>18</v>
      </c>
      <c r="EB75" s="52">
        <v>248</v>
      </c>
      <c r="EC75" s="6">
        <v>438</v>
      </c>
      <c r="ED75" s="28">
        <v>657</v>
      </c>
      <c r="EE75" s="8">
        <v>55</v>
      </c>
      <c r="EF75" s="52">
        <v>52</v>
      </c>
      <c r="EG75" s="8">
        <v>479</v>
      </c>
      <c r="EH75" s="28">
        <v>133</v>
      </c>
      <c r="EI75" s="8">
        <v>-8</v>
      </c>
      <c r="EJ75" s="52">
        <v>155</v>
      </c>
      <c r="EL75" s="8">
        <v>-108</v>
      </c>
      <c r="EM75" s="28">
        <v>715</v>
      </c>
      <c r="EN75" s="8">
        <v>589</v>
      </c>
      <c r="EO75" s="28">
        <v>28</v>
      </c>
      <c r="EP75" s="28"/>
      <c r="EQ75" s="28"/>
      <c r="EX75" s="8">
        <v>375</v>
      </c>
      <c r="EY75" s="28">
        <v>134</v>
      </c>
      <c r="FD75" s="6">
        <v>240</v>
      </c>
      <c r="FE75" s="28">
        <v>84</v>
      </c>
      <c r="FM75" s="8">
        <v>-719</v>
      </c>
      <c r="FN75" s="52">
        <v>394</v>
      </c>
      <c r="FQ75" s="8">
        <v>30</v>
      </c>
      <c r="FR75" s="28">
        <v>5</v>
      </c>
      <c r="FS75" s="8">
        <v>84</v>
      </c>
      <c r="FT75" s="52">
        <v>304</v>
      </c>
      <c r="GC75" s="8">
        <v>461</v>
      </c>
      <c r="GE75" s="8">
        <v>116</v>
      </c>
      <c r="GF75" s="28">
        <v>185</v>
      </c>
      <c r="GI75" s="8">
        <v>19</v>
      </c>
      <c r="GJ75" s="28">
        <v>33</v>
      </c>
      <c r="GP75" s="8">
        <v>112</v>
      </c>
      <c r="GQ75" s="52">
        <v>298</v>
      </c>
      <c r="GR75" s="8">
        <v>-56</v>
      </c>
      <c r="GS75" s="28">
        <v>127</v>
      </c>
      <c r="GT75" s="6">
        <v>-23</v>
      </c>
      <c r="GU75" s="52">
        <v>83</v>
      </c>
      <c r="GV75" s="28"/>
      <c r="GW75" s="28"/>
      <c r="GZ75" s="8">
        <v>167</v>
      </c>
      <c r="HA75" s="28">
        <v>100</v>
      </c>
      <c r="HB75" s="6">
        <v>-83</v>
      </c>
      <c r="HC75" s="28"/>
      <c r="HE75" s="8">
        <v>5</v>
      </c>
      <c r="HF75" s="28">
        <v>51</v>
      </c>
      <c r="HG75" s="8">
        <v>-149</v>
      </c>
      <c r="HQ75" s="6">
        <v>-3</v>
      </c>
      <c r="HR75" s="28">
        <v>5</v>
      </c>
      <c r="HS75" s="8">
        <v>2</v>
      </c>
      <c r="HT75" s="52">
        <v>29</v>
      </c>
      <c r="HX75" s="8">
        <v>1</v>
      </c>
      <c r="HY75" s="28">
        <v>21</v>
      </c>
      <c r="HZ75" s="8">
        <v>9</v>
      </c>
      <c r="IB75" s="8">
        <v>705</v>
      </c>
      <c r="IC75" s="28">
        <v>118</v>
      </c>
      <c r="ID75" s="8">
        <v>-490</v>
      </c>
      <c r="IE75" s="28">
        <v>111</v>
      </c>
      <c r="IO75">
        <v>-583</v>
      </c>
      <c r="IP75" s="10">
        <v>91</v>
      </c>
      <c r="IW75" s="8">
        <v>436</v>
      </c>
      <c r="IY75" s="8">
        <v>-138</v>
      </c>
      <c r="JA75" s="8">
        <v>326</v>
      </c>
      <c r="JB75" s="12">
        <v>811</v>
      </c>
      <c r="JH75" s="8">
        <v>21</v>
      </c>
      <c r="JI75" s="28">
        <v>75</v>
      </c>
      <c r="JL75" s="8">
        <v>23</v>
      </c>
      <c r="JN75" s="8">
        <v>-6</v>
      </c>
      <c r="JO75" s="28">
        <v>4</v>
      </c>
      <c r="JP75" s="6">
        <v>112</v>
      </c>
      <c r="JQ75" s="12">
        <v>284</v>
      </c>
      <c r="JW75" s="8">
        <v>-118</v>
      </c>
      <c r="JX75" s="12">
        <v>148</v>
      </c>
      <c r="KE75" s="6">
        <v>689</v>
      </c>
      <c r="KF75" s="12">
        <v>486</v>
      </c>
      <c r="KT75" s="8">
        <v>4</v>
      </c>
      <c r="KU75" s="28">
        <v>46</v>
      </c>
      <c r="KZ75" s="8">
        <v>162</v>
      </c>
      <c r="LA75" s="12">
        <v>445</v>
      </c>
      <c r="LD75" s="8">
        <v>787</v>
      </c>
      <c r="LE75" s="28">
        <v>820</v>
      </c>
      <c r="LF75" s="8">
        <v>-99</v>
      </c>
      <c r="LG75" s="28">
        <v>115</v>
      </c>
      <c r="LH75" s="8">
        <v>-422</v>
      </c>
      <c r="LJ75" s="8">
        <v>475</v>
      </c>
      <c r="LK75" s="28">
        <v>189</v>
      </c>
      <c r="LL75" s="8">
        <v>-142</v>
      </c>
      <c r="LM75" s="28">
        <v>64</v>
      </c>
      <c r="LN75" s="8">
        <v>240</v>
      </c>
      <c r="LO75" s="28">
        <v>99</v>
      </c>
      <c r="LS75" s="8">
        <v>89</v>
      </c>
      <c r="LU75" s="8">
        <v>7</v>
      </c>
      <c r="LV75" s="12">
        <v>150</v>
      </c>
      <c r="LW75" s="8">
        <v>829</v>
      </c>
      <c r="LX75" s="28">
        <v>513</v>
      </c>
      <c r="MF75" s="8">
        <v>416</v>
      </c>
      <c r="MG75" s="12">
        <v>200</v>
      </c>
      <c r="MS75" s="8">
        <v>223</v>
      </c>
      <c r="MT75" s="12">
        <v>527</v>
      </c>
      <c r="NC75" s="8">
        <v>-132</v>
      </c>
      <c r="ND75" s="12">
        <v>652</v>
      </c>
      <c r="NE75" s="8">
        <v>356</v>
      </c>
      <c r="NF75" s="28">
        <v>708</v>
      </c>
      <c r="NG75" s="8">
        <v>35</v>
      </c>
      <c r="NH75" s="28">
        <v>2</v>
      </c>
      <c r="NP75" s="8">
        <v>514</v>
      </c>
      <c r="NQ75" s="12">
        <v>823</v>
      </c>
      <c r="NW75" s="8">
        <v>116</v>
      </c>
      <c r="NX75" s="28">
        <v>698</v>
      </c>
      <c r="NY75" s="8">
        <v>-271</v>
      </c>
      <c r="NZ75" s="12">
        <v>605</v>
      </c>
      <c r="OC75" s="8">
        <v>-290</v>
      </c>
      <c r="OD75" s="12">
        <v>142</v>
      </c>
      <c r="OV75" s="8">
        <v>563</v>
      </c>
      <c r="PJ75" s="8">
        <v>9</v>
      </c>
      <c r="PK75" s="12">
        <v>380</v>
      </c>
      <c r="PP75" s="8">
        <v>-82</v>
      </c>
      <c r="PQ75" s="28">
        <v>20</v>
      </c>
      <c r="PR75" s="28"/>
      <c r="PS75" s="8">
        <v>-1</v>
      </c>
      <c r="PT75" s="12">
        <v>78</v>
      </c>
      <c r="PW75" s="8">
        <v>-839</v>
      </c>
      <c r="PX75" s="28">
        <v>176</v>
      </c>
      <c r="QE75" s="8">
        <v>-138</v>
      </c>
      <c r="QF75" s="12">
        <v>116</v>
      </c>
      <c r="QH75" s="8">
        <v>-175</v>
      </c>
      <c r="QI75" s="12">
        <v>728</v>
      </c>
      <c r="QT75" s="8">
        <v>382</v>
      </c>
      <c r="QU75" s="12">
        <v>811</v>
      </c>
      <c r="QV75" s="6"/>
      <c r="QW75" s="12"/>
      <c r="RC75" s="6">
        <v>12</v>
      </c>
      <c r="RD75" s="12">
        <v>1</v>
      </c>
      <c r="RE75" s="6">
        <v>145</v>
      </c>
      <c r="RF75" s="12">
        <v>928</v>
      </c>
      <c r="RG75" s="8">
        <v>374</v>
      </c>
      <c r="RH75" s="28">
        <v>211</v>
      </c>
      <c r="RL75" s="8">
        <v>6</v>
      </c>
      <c r="RM75" s="12">
        <v>684</v>
      </c>
      <c r="RS75" s="6">
        <v>20</v>
      </c>
      <c r="RT75" s="50">
        <v>961</v>
      </c>
      <c r="SP75" s="8">
        <v>-221</v>
      </c>
      <c r="SQ75" s="12">
        <v>139</v>
      </c>
      <c r="SY75" s="6">
        <v>142</v>
      </c>
      <c r="TH75" s="8">
        <v>37</v>
      </c>
      <c r="TI75" s="28">
        <v>31</v>
      </c>
      <c r="TX75" s="8">
        <v>998</v>
      </c>
      <c r="TY75" s="28">
        <v>211</v>
      </c>
      <c r="TZ75" s="8">
        <v>-122</v>
      </c>
      <c r="UA75" s="12">
        <v>393</v>
      </c>
      <c r="UG75" s="8">
        <v>-427</v>
      </c>
      <c r="UH75" s="12">
        <v>5</v>
      </c>
      <c r="UI75" s="8">
        <v>24</v>
      </c>
      <c r="VF75" s="8">
        <v>136</v>
      </c>
      <c r="VH75" s="8">
        <v>224</v>
      </c>
      <c r="VI75" s="28">
        <v>177</v>
      </c>
      <c r="VL75" s="21"/>
      <c r="VM75" s="8">
        <v>-1594</v>
      </c>
      <c r="VN75" s="12">
        <v>106</v>
      </c>
      <c r="VO75" s="12"/>
      <c r="VP75" s="12"/>
      <c r="VQ75" s="6">
        <v>-338</v>
      </c>
      <c r="VR75" s="28">
        <v>105</v>
      </c>
      <c r="VS75" s="12"/>
      <c r="VT75" s="12"/>
      <c r="VZ75" s="8">
        <v>31</v>
      </c>
      <c r="WA75" s="28">
        <v>745</v>
      </c>
      <c r="WB75" s="8">
        <v>-1035</v>
      </c>
      <c r="WC75" s="12">
        <v>724</v>
      </c>
      <c r="XG75" s="2">
        <v>41</v>
      </c>
      <c r="XH75" s="1">
        <v>18</v>
      </c>
      <c r="XK75">
        <v>81</v>
      </c>
      <c r="XL75" s="1">
        <v>82</v>
      </c>
    </row>
    <row r="76" spans="7:636" x14ac:dyDescent="0.25">
      <c r="G76" s="2">
        <v>-5193</v>
      </c>
      <c r="I76" s="2">
        <v>1876</v>
      </c>
      <c r="K76" s="2">
        <v>2576</v>
      </c>
      <c r="L76" s="1">
        <v>9</v>
      </c>
      <c r="M76">
        <v>24</v>
      </c>
      <c r="N76" s="1">
        <v>6</v>
      </c>
      <c r="O76" s="26"/>
      <c r="R76">
        <v>-245</v>
      </c>
      <c r="S76" s="12">
        <v>2372</v>
      </c>
      <c r="V76">
        <v>-9</v>
      </c>
      <c r="W76" s="10">
        <v>254</v>
      </c>
      <c r="AB76">
        <v>-62</v>
      </c>
      <c r="AC76" s="1">
        <v>66</v>
      </c>
      <c r="AD76">
        <v>49</v>
      </c>
      <c r="AE76" s="1">
        <v>4</v>
      </c>
      <c r="AF76">
        <v>1584</v>
      </c>
      <c r="AG76" s="1">
        <v>174</v>
      </c>
      <c r="AJ76" s="2">
        <v>3057</v>
      </c>
      <c r="AK76" s="10">
        <v>261</v>
      </c>
      <c r="AY76">
        <v>67</v>
      </c>
      <c r="AZ76" s="1">
        <v>2</v>
      </c>
      <c r="BD76" s="8"/>
      <c r="BF76">
        <v>-1126</v>
      </c>
      <c r="BG76" s="1">
        <v>432</v>
      </c>
      <c r="BJ76">
        <v>2</v>
      </c>
      <c r="BL76">
        <v>69</v>
      </c>
      <c r="BM76" s="1">
        <v>9</v>
      </c>
      <c r="BN76">
        <v>172</v>
      </c>
      <c r="BP76">
        <v>2268</v>
      </c>
      <c r="BQ76" s="10">
        <v>6684</v>
      </c>
      <c r="BT76">
        <v>-966</v>
      </c>
      <c r="BU76" s="1">
        <v>176</v>
      </c>
      <c r="CE76" s="8">
        <v>187</v>
      </c>
      <c r="CF76" s="28">
        <v>19</v>
      </c>
      <c r="CG76" s="8">
        <v>-499</v>
      </c>
      <c r="CI76" s="8">
        <v>315</v>
      </c>
      <c r="CJ76" s="12">
        <v>211</v>
      </c>
      <c r="CK76" s="8">
        <v>64</v>
      </c>
      <c r="CL76" s="28">
        <v>36</v>
      </c>
      <c r="CM76" s="6">
        <v>326</v>
      </c>
      <c r="CN76" s="28">
        <v>119</v>
      </c>
      <c r="CO76" s="6">
        <v>-815</v>
      </c>
      <c r="CP76" s="28"/>
      <c r="CQ76" s="6">
        <v>997</v>
      </c>
      <c r="CR76" s="28"/>
      <c r="CS76" s="6">
        <v>55</v>
      </c>
      <c r="CT76" s="28">
        <v>232</v>
      </c>
      <c r="CU76" s="28"/>
      <c r="CV76" s="28"/>
      <c r="CW76" s="28"/>
      <c r="CX76" s="28"/>
      <c r="CZ76" s="23">
        <v>202</v>
      </c>
      <c r="DA76" s="25">
        <v>531</v>
      </c>
      <c r="DB76" s="23">
        <v>186</v>
      </c>
      <c r="DC76" s="25">
        <v>1</v>
      </c>
      <c r="DF76" s="23">
        <v>126</v>
      </c>
      <c r="DG76" s="25">
        <v>528</v>
      </c>
      <c r="DH76" s="23">
        <v>348</v>
      </c>
      <c r="DI76" s="25">
        <v>284</v>
      </c>
      <c r="DJ76" s="23">
        <v>368</v>
      </c>
      <c r="DK76" s="28">
        <v>275</v>
      </c>
      <c r="DL76" s="8">
        <v>-7</v>
      </c>
      <c r="DQ76" s="8">
        <v>-277</v>
      </c>
      <c r="DR76" s="52">
        <v>112</v>
      </c>
      <c r="DS76" s="6">
        <v>252</v>
      </c>
      <c r="DT76" s="52">
        <v>338</v>
      </c>
      <c r="DU76" s="8">
        <v>-175</v>
      </c>
      <c r="DV76" s="28">
        <v>351</v>
      </c>
      <c r="DW76" s="8">
        <v>-45</v>
      </c>
      <c r="DX76" s="28">
        <v>361</v>
      </c>
      <c r="DY76" s="6">
        <v>-235</v>
      </c>
      <c r="DZ76" s="52">
        <v>77</v>
      </c>
      <c r="EA76" s="23">
        <v>151</v>
      </c>
      <c r="EB76" s="52">
        <v>141</v>
      </c>
      <c r="EC76" s="6">
        <v>-2</v>
      </c>
      <c r="ED76" s="28">
        <v>4</v>
      </c>
      <c r="EE76" s="8">
        <v>-7</v>
      </c>
      <c r="EF76" s="52">
        <v>7</v>
      </c>
      <c r="EG76" s="8">
        <v>823</v>
      </c>
      <c r="EH76" s="28">
        <v>348</v>
      </c>
      <c r="EI76" s="8">
        <v>-3</v>
      </c>
      <c r="EJ76" s="52">
        <v>161</v>
      </c>
      <c r="EL76" s="8">
        <v>-46</v>
      </c>
      <c r="EM76" s="28">
        <v>1</v>
      </c>
      <c r="EN76" s="8">
        <v>-16</v>
      </c>
      <c r="EO76" s="28">
        <v>19</v>
      </c>
      <c r="EP76" s="28"/>
      <c r="EQ76" s="28"/>
      <c r="EX76" s="8">
        <v>265</v>
      </c>
      <c r="EY76" s="28">
        <v>149</v>
      </c>
      <c r="FD76" s="6">
        <v>-36</v>
      </c>
      <c r="FE76" s="28">
        <v>226</v>
      </c>
      <c r="FM76" s="8">
        <v>-434</v>
      </c>
      <c r="FN76" s="52">
        <v>233</v>
      </c>
      <c r="FQ76" s="8">
        <v>74</v>
      </c>
      <c r="FR76" s="28">
        <v>4</v>
      </c>
      <c r="FS76" s="8">
        <v>84</v>
      </c>
      <c r="FT76" s="52">
        <v>305</v>
      </c>
      <c r="GC76" s="8">
        <v>113</v>
      </c>
      <c r="GE76" s="8">
        <v>-107</v>
      </c>
      <c r="GF76" s="28">
        <v>123</v>
      </c>
      <c r="GI76" s="8">
        <v>33</v>
      </c>
      <c r="GJ76" s="28">
        <v>28</v>
      </c>
      <c r="GP76" s="8">
        <v>-499</v>
      </c>
      <c r="GQ76" s="52">
        <v>109</v>
      </c>
      <c r="GR76" s="8">
        <v>-1</v>
      </c>
      <c r="GS76" s="28">
        <v>27</v>
      </c>
      <c r="GT76" s="6">
        <v>-367</v>
      </c>
      <c r="GU76" s="52">
        <v>723</v>
      </c>
      <c r="GV76" s="28"/>
      <c r="GW76" s="28"/>
      <c r="GZ76" s="8">
        <v>-345</v>
      </c>
      <c r="HA76" s="28">
        <v>7</v>
      </c>
      <c r="HB76" s="6">
        <v>-77</v>
      </c>
      <c r="HC76" s="28"/>
      <c r="HE76" s="8">
        <v>3</v>
      </c>
      <c r="HF76" s="28">
        <v>44</v>
      </c>
      <c r="HG76" s="8">
        <v>143</v>
      </c>
      <c r="HQ76" s="6">
        <v>-1</v>
      </c>
      <c r="HR76" s="28">
        <v>3</v>
      </c>
      <c r="HS76" s="8">
        <v>8</v>
      </c>
      <c r="HT76" s="52">
        <v>632</v>
      </c>
      <c r="HX76" s="8">
        <v>-126</v>
      </c>
      <c r="HY76" s="28">
        <v>57</v>
      </c>
      <c r="HZ76" s="8">
        <v>52</v>
      </c>
      <c r="IB76" s="8">
        <v>-259</v>
      </c>
      <c r="IC76" s="28">
        <v>109</v>
      </c>
      <c r="ID76" s="8">
        <v>-217</v>
      </c>
      <c r="IE76" s="28">
        <v>333</v>
      </c>
      <c r="IO76">
        <v>-217</v>
      </c>
      <c r="IP76" s="10">
        <v>26</v>
      </c>
      <c r="IW76" s="8">
        <v>167</v>
      </c>
      <c r="IY76" s="8">
        <v>-559</v>
      </c>
      <c r="JA76" s="8">
        <v>-335</v>
      </c>
      <c r="JB76" s="12">
        <v>895</v>
      </c>
      <c r="JH76" s="8">
        <v>512</v>
      </c>
      <c r="JI76" s="28">
        <v>167</v>
      </c>
      <c r="JL76" s="8">
        <v>62</v>
      </c>
      <c r="JN76" s="8">
        <v>-6</v>
      </c>
      <c r="JO76" s="28">
        <v>5</v>
      </c>
      <c r="JP76" s="6">
        <v>57</v>
      </c>
      <c r="JQ76" s="12">
        <v>160</v>
      </c>
      <c r="JW76" s="8">
        <v>-511</v>
      </c>
      <c r="JX76" s="12">
        <v>879</v>
      </c>
      <c r="KE76" s="6">
        <v>-193</v>
      </c>
      <c r="KF76" s="12">
        <v>891</v>
      </c>
      <c r="KT76" s="8">
        <v>-131</v>
      </c>
      <c r="KU76" s="28">
        <v>292</v>
      </c>
      <c r="KZ76" s="8">
        <v>-101</v>
      </c>
      <c r="LA76" s="12">
        <v>280</v>
      </c>
      <c r="LD76" s="8">
        <v>-899</v>
      </c>
      <c r="LE76" s="28">
        <v>677</v>
      </c>
      <c r="LF76" s="8">
        <v>-142</v>
      </c>
      <c r="LG76" s="28">
        <v>101</v>
      </c>
      <c r="LH76" s="8">
        <v>667</v>
      </c>
      <c r="LJ76" s="8">
        <v>695</v>
      </c>
      <c r="LK76" s="28">
        <v>57</v>
      </c>
      <c r="LL76" s="8">
        <v>156</v>
      </c>
      <c r="LM76" s="28">
        <v>71</v>
      </c>
      <c r="LN76" s="8">
        <v>286</v>
      </c>
      <c r="LO76" s="28">
        <v>110</v>
      </c>
      <c r="LS76" s="8">
        <v>23</v>
      </c>
      <c r="LU76" s="8">
        <v>-2</v>
      </c>
      <c r="LV76" s="12">
        <v>52</v>
      </c>
      <c r="LW76" s="8">
        <v>106</v>
      </c>
      <c r="LX76" s="28">
        <v>120</v>
      </c>
      <c r="MF76" s="8">
        <v>135</v>
      </c>
      <c r="MG76" s="12">
        <v>890</v>
      </c>
      <c r="MS76" s="8">
        <v>108</v>
      </c>
      <c r="MT76" s="12">
        <v>317</v>
      </c>
      <c r="NC76" s="8">
        <v>-55</v>
      </c>
      <c r="ND76" s="12">
        <v>203</v>
      </c>
      <c r="NE76" s="8">
        <v>139</v>
      </c>
      <c r="NF76" s="28">
        <v>709</v>
      </c>
      <c r="NG76" s="8">
        <v>-105</v>
      </c>
      <c r="NH76" s="28">
        <v>9</v>
      </c>
      <c r="NP76" s="8">
        <v>108</v>
      </c>
      <c r="NQ76" s="12">
        <v>240</v>
      </c>
      <c r="NW76" s="8">
        <v>836</v>
      </c>
      <c r="NX76" s="28">
        <v>102</v>
      </c>
      <c r="NY76" s="8">
        <v>-77</v>
      </c>
      <c r="NZ76" s="12">
        <v>291</v>
      </c>
      <c r="OV76" s="8">
        <v>107</v>
      </c>
      <c r="PJ76" s="8">
        <v>16</v>
      </c>
      <c r="PK76" s="12">
        <v>348</v>
      </c>
      <c r="PP76" s="8">
        <v>-233</v>
      </c>
      <c r="PQ76" s="28">
        <v>18</v>
      </c>
      <c r="PR76" s="28"/>
      <c r="PS76" s="8">
        <v>603</v>
      </c>
      <c r="PT76" s="12">
        <v>575</v>
      </c>
      <c r="PW76" s="8">
        <v>106</v>
      </c>
      <c r="PX76" s="28">
        <v>352</v>
      </c>
      <c r="QE76" s="8">
        <v>-87</v>
      </c>
      <c r="QF76" s="12">
        <v>301</v>
      </c>
      <c r="QH76" s="8">
        <v>-40</v>
      </c>
      <c r="QI76" s="12">
        <v>113</v>
      </c>
      <c r="QT76" s="8">
        <v>-227</v>
      </c>
      <c r="QU76" s="12">
        <v>50</v>
      </c>
      <c r="QV76" s="6"/>
      <c r="QW76" s="12"/>
      <c r="RC76" s="6">
        <v>-897</v>
      </c>
      <c r="RD76" s="12">
        <v>77</v>
      </c>
      <c r="RE76" s="6">
        <v>-518</v>
      </c>
      <c r="RF76" s="12">
        <v>361</v>
      </c>
      <c r="RG76" s="8">
        <v>108</v>
      </c>
      <c r="RH76" s="28">
        <v>738</v>
      </c>
      <c r="RL76" s="8">
        <v>7</v>
      </c>
      <c r="RM76" s="12">
        <v>860</v>
      </c>
      <c r="RS76" s="6">
        <v>-65</v>
      </c>
      <c r="RT76" s="50">
        <v>392</v>
      </c>
      <c r="SP76" s="8">
        <v>306</v>
      </c>
      <c r="SQ76" s="12">
        <v>139</v>
      </c>
      <c r="SY76" s="6">
        <v>466</v>
      </c>
      <c r="TH76" s="8">
        <v>33</v>
      </c>
      <c r="TI76" s="28">
        <v>39</v>
      </c>
      <c r="TX76" s="8">
        <v>-208</v>
      </c>
      <c r="TY76" s="28">
        <v>143</v>
      </c>
      <c r="TZ76" s="8">
        <v>-81</v>
      </c>
      <c r="UA76" s="12">
        <v>407</v>
      </c>
      <c r="UG76" s="8">
        <v>-29</v>
      </c>
      <c r="UH76" s="12">
        <v>8</v>
      </c>
      <c r="UI76" s="8">
        <v>29</v>
      </c>
      <c r="VF76" s="8">
        <v>-335</v>
      </c>
      <c r="VH76" s="8">
        <v>871</v>
      </c>
      <c r="VI76" s="28">
        <v>298</v>
      </c>
      <c r="VL76" s="21"/>
      <c r="VM76" s="8">
        <v>1618</v>
      </c>
      <c r="VN76" s="12">
        <v>99</v>
      </c>
      <c r="VO76" s="12"/>
      <c r="VP76" s="12"/>
      <c r="VQ76" s="6">
        <v>-374</v>
      </c>
      <c r="VR76" s="28">
        <v>955</v>
      </c>
      <c r="VS76" s="12"/>
      <c r="VT76" s="12"/>
      <c r="VZ76" s="8">
        <v>72</v>
      </c>
      <c r="WA76" s="28">
        <v>214</v>
      </c>
      <c r="WB76" s="8">
        <v>1700</v>
      </c>
      <c r="WC76" s="12">
        <v>121</v>
      </c>
      <c r="XG76" s="2">
        <v>131</v>
      </c>
      <c r="XH76" s="1">
        <v>39</v>
      </c>
      <c r="XK76">
        <v>-25</v>
      </c>
      <c r="XL76" s="1">
        <v>49</v>
      </c>
    </row>
    <row r="77" spans="7:636" x14ac:dyDescent="0.25">
      <c r="G77" s="2">
        <v>-5766</v>
      </c>
      <c r="I77" s="2">
        <v>231</v>
      </c>
      <c r="K77" s="2">
        <v>2229</v>
      </c>
      <c r="L77" s="1">
        <v>9</v>
      </c>
      <c r="M77">
        <v>24</v>
      </c>
      <c r="N77" s="1">
        <v>6</v>
      </c>
      <c r="O77" s="26"/>
      <c r="R77">
        <v>12</v>
      </c>
      <c r="S77" s="12">
        <v>17</v>
      </c>
      <c r="V77">
        <v>-5</v>
      </c>
      <c r="W77" s="10">
        <v>74</v>
      </c>
      <c r="AB77">
        <v>-134</v>
      </c>
      <c r="AC77" s="1">
        <v>75</v>
      </c>
      <c r="AD77">
        <v>51</v>
      </c>
      <c r="AE77" s="1">
        <v>5</v>
      </c>
      <c r="AF77">
        <v>1697</v>
      </c>
      <c r="AG77" s="1">
        <v>2745</v>
      </c>
      <c r="AJ77" s="2">
        <v>59</v>
      </c>
      <c r="AK77" s="10">
        <v>2083</v>
      </c>
      <c r="AY77">
        <v>-4</v>
      </c>
      <c r="AZ77" s="1">
        <v>1</v>
      </c>
      <c r="BD77" s="8"/>
      <c r="BF77">
        <v>790</v>
      </c>
      <c r="BG77" s="1">
        <v>648</v>
      </c>
      <c r="BJ77">
        <v>10</v>
      </c>
      <c r="BL77">
        <v>2264</v>
      </c>
      <c r="BM77" s="1">
        <v>117</v>
      </c>
      <c r="BN77">
        <v>3</v>
      </c>
      <c r="BP77">
        <v>-633</v>
      </c>
      <c r="BQ77" s="10">
        <v>2029</v>
      </c>
      <c r="BT77">
        <v>26</v>
      </c>
      <c r="BU77" s="1">
        <v>10</v>
      </c>
      <c r="CE77" s="8">
        <v>142</v>
      </c>
      <c r="CF77" s="28">
        <v>6</v>
      </c>
      <c r="CG77" s="8">
        <v>-490</v>
      </c>
      <c r="CI77" s="8">
        <v>733</v>
      </c>
      <c r="CJ77" s="12">
        <v>440</v>
      </c>
      <c r="CK77" s="8">
        <v>-23</v>
      </c>
      <c r="CL77" s="28">
        <v>18</v>
      </c>
      <c r="CM77" s="6">
        <v>75</v>
      </c>
      <c r="CN77" s="28">
        <v>31</v>
      </c>
      <c r="CO77" s="6">
        <v>-961</v>
      </c>
      <c r="CP77" s="28"/>
      <c r="CQ77" s="6">
        <v>797</v>
      </c>
      <c r="CR77" s="28"/>
      <c r="CS77" s="6">
        <v>107</v>
      </c>
      <c r="CT77" s="28">
        <v>144</v>
      </c>
      <c r="CU77" s="28"/>
      <c r="CV77" s="28"/>
      <c r="CW77" s="28"/>
      <c r="CX77" s="28"/>
      <c r="CZ77" s="23">
        <v>472</v>
      </c>
      <c r="DA77" s="25">
        <v>242</v>
      </c>
      <c r="DB77" s="23">
        <v>-93</v>
      </c>
      <c r="DC77" s="25">
        <v>27</v>
      </c>
      <c r="DF77" s="23">
        <v>106</v>
      </c>
      <c r="DG77" s="25">
        <v>458</v>
      </c>
      <c r="DH77" s="23">
        <v>222</v>
      </c>
      <c r="DI77" s="25">
        <v>345</v>
      </c>
      <c r="DJ77" s="23">
        <v>234</v>
      </c>
      <c r="DK77" s="28">
        <v>183</v>
      </c>
      <c r="DL77" s="8">
        <v>2</v>
      </c>
      <c r="DQ77" s="8">
        <v>243</v>
      </c>
      <c r="DR77" s="52">
        <v>202</v>
      </c>
      <c r="DS77" s="6">
        <v>85</v>
      </c>
      <c r="DT77" s="52">
        <v>267</v>
      </c>
      <c r="DU77" s="8">
        <v>-117</v>
      </c>
      <c r="DV77" s="28">
        <v>480</v>
      </c>
      <c r="DW77" s="8">
        <v>286</v>
      </c>
      <c r="DX77" s="28">
        <v>456</v>
      </c>
      <c r="DY77" s="6">
        <v>-276</v>
      </c>
      <c r="DZ77" s="52">
        <v>91</v>
      </c>
      <c r="EA77" s="23">
        <v>-189</v>
      </c>
      <c r="EB77" s="52">
        <v>319</v>
      </c>
      <c r="EC77" s="6">
        <v>29</v>
      </c>
      <c r="ED77" s="28">
        <v>25</v>
      </c>
      <c r="EE77" s="8">
        <v>-24</v>
      </c>
      <c r="EF77" s="52">
        <v>43</v>
      </c>
      <c r="EG77" s="8">
        <v>216</v>
      </c>
      <c r="EH77" s="28">
        <v>222</v>
      </c>
      <c r="EI77" s="8">
        <v>-41</v>
      </c>
      <c r="EJ77" s="52">
        <v>840</v>
      </c>
      <c r="EL77" s="8">
        <v>27</v>
      </c>
      <c r="EM77" s="28">
        <v>1</v>
      </c>
      <c r="EN77" s="8">
        <v>-559</v>
      </c>
      <c r="EO77" s="28">
        <v>249</v>
      </c>
      <c r="EP77" s="28"/>
      <c r="EQ77" s="28"/>
      <c r="EX77" s="8">
        <v>169</v>
      </c>
      <c r="EY77" s="28">
        <v>132</v>
      </c>
      <c r="FD77" s="6">
        <v>440</v>
      </c>
      <c r="FE77" s="28">
        <v>77</v>
      </c>
      <c r="FM77" s="8">
        <v>328</v>
      </c>
      <c r="FN77" s="52">
        <v>245</v>
      </c>
      <c r="FQ77" s="8">
        <v>-53</v>
      </c>
      <c r="FR77" s="28">
        <v>4</v>
      </c>
      <c r="FS77" s="8">
        <v>85</v>
      </c>
      <c r="FT77" s="52">
        <v>304</v>
      </c>
      <c r="GC77" s="8">
        <v>-473</v>
      </c>
      <c r="GE77" s="8">
        <v>103</v>
      </c>
      <c r="GF77" s="28">
        <v>331</v>
      </c>
      <c r="GI77" s="8">
        <v>-10</v>
      </c>
      <c r="GJ77" s="28">
        <v>43</v>
      </c>
      <c r="GP77" s="8">
        <v>148</v>
      </c>
      <c r="GQ77" s="52">
        <v>236</v>
      </c>
      <c r="GR77" s="8">
        <v>47</v>
      </c>
      <c r="GS77" s="28">
        <v>23</v>
      </c>
      <c r="GT77" s="6">
        <v>-499</v>
      </c>
      <c r="GU77" s="52">
        <v>109</v>
      </c>
      <c r="GV77" s="28"/>
      <c r="GW77" s="28"/>
      <c r="GZ77" s="8">
        <v>-149</v>
      </c>
      <c r="HA77" s="28">
        <v>4</v>
      </c>
      <c r="HB77" s="6">
        <v>25</v>
      </c>
      <c r="HC77" s="28"/>
      <c r="HE77" s="8">
        <v>94</v>
      </c>
      <c r="HF77" s="28">
        <v>42</v>
      </c>
      <c r="HG77" s="8">
        <v>155</v>
      </c>
      <c r="HQ77" s="6">
        <v>4</v>
      </c>
      <c r="HR77" s="28">
        <v>2</v>
      </c>
      <c r="HS77" s="8">
        <v>-6</v>
      </c>
      <c r="HT77" s="52">
        <v>259</v>
      </c>
      <c r="HX77" s="8">
        <v>-173</v>
      </c>
      <c r="HY77" s="28">
        <v>216</v>
      </c>
      <c r="HZ77" s="8">
        <v>82</v>
      </c>
      <c r="IB77" s="8">
        <v>147</v>
      </c>
      <c r="IC77" s="28">
        <v>124</v>
      </c>
      <c r="ID77" s="8">
        <v>205</v>
      </c>
      <c r="IE77" s="28">
        <v>389</v>
      </c>
      <c r="IO77">
        <v>104</v>
      </c>
      <c r="IP77" s="10">
        <v>12</v>
      </c>
      <c r="IW77" s="8">
        <v>132</v>
      </c>
      <c r="IY77" s="8">
        <v>72</v>
      </c>
      <c r="JA77" s="8">
        <v>205</v>
      </c>
      <c r="JB77" s="12">
        <v>706</v>
      </c>
      <c r="JH77" s="8">
        <v>-30</v>
      </c>
      <c r="JI77" s="28">
        <v>25</v>
      </c>
      <c r="JL77" s="8">
        <v>-265</v>
      </c>
      <c r="JN77" s="8">
        <v>-7</v>
      </c>
      <c r="JO77" s="28">
        <v>5</v>
      </c>
      <c r="JP77" s="6">
        <v>55</v>
      </c>
      <c r="JQ77" s="12">
        <v>163</v>
      </c>
      <c r="JW77" s="8">
        <v>-347</v>
      </c>
      <c r="JX77" s="12">
        <v>602</v>
      </c>
      <c r="KE77" s="6">
        <v>580</v>
      </c>
      <c r="KF77" s="12">
        <v>167</v>
      </c>
      <c r="KT77" s="8">
        <v>-595</v>
      </c>
      <c r="KU77" s="28">
        <v>210</v>
      </c>
      <c r="KZ77" s="8">
        <v>-366</v>
      </c>
      <c r="LA77" s="12">
        <v>420</v>
      </c>
      <c r="LD77" s="8">
        <v>696</v>
      </c>
      <c r="LE77" s="28">
        <v>936</v>
      </c>
      <c r="LF77" s="8">
        <v>2</v>
      </c>
      <c r="LG77" s="28">
        <v>101</v>
      </c>
      <c r="LH77" s="8">
        <v>-129</v>
      </c>
      <c r="LJ77" s="8">
        <v>-206</v>
      </c>
      <c r="LK77" s="28">
        <v>13</v>
      </c>
      <c r="LL77" s="8">
        <v>18</v>
      </c>
      <c r="LM77" s="28">
        <v>32</v>
      </c>
      <c r="LN77" s="8">
        <v>333</v>
      </c>
      <c r="LO77" s="28">
        <v>341</v>
      </c>
      <c r="LS77" s="8">
        <v>48</v>
      </c>
      <c r="LU77" s="8">
        <v>5</v>
      </c>
      <c r="LV77" s="12">
        <v>103</v>
      </c>
      <c r="LW77" s="8">
        <v>59</v>
      </c>
      <c r="LX77" s="28">
        <v>17</v>
      </c>
      <c r="MF77" s="8">
        <v>612</v>
      </c>
      <c r="MG77" s="12">
        <v>294</v>
      </c>
      <c r="MS77" s="8">
        <v>-132</v>
      </c>
      <c r="MT77" s="12">
        <v>201</v>
      </c>
      <c r="NC77" s="8">
        <v>-7</v>
      </c>
      <c r="ND77" s="12">
        <v>70</v>
      </c>
      <c r="NE77" s="8">
        <v>-634</v>
      </c>
      <c r="NF77" s="28">
        <v>613</v>
      </c>
      <c r="NG77" s="8">
        <v>166</v>
      </c>
      <c r="NH77" s="28">
        <v>12</v>
      </c>
      <c r="NP77" s="8">
        <v>-1</v>
      </c>
      <c r="NQ77" s="12">
        <v>211</v>
      </c>
      <c r="NW77" s="8">
        <v>485</v>
      </c>
      <c r="NX77" s="28">
        <v>170</v>
      </c>
      <c r="NY77" s="8">
        <v>697</v>
      </c>
      <c r="NZ77" s="12">
        <v>147</v>
      </c>
      <c r="OV77" s="8">
        <v>157</v>
      </c>
      <c r="PJ77" s="8">
        <v>41</v>
      </c>
      <c r="PK77" s="12">
        <v>139</v>
      </c>
      <c r="PP77" s="8">
        <v>59</v>
      </c>
      <c r="PQ77" s="28">
        <v>17</v>
      </c>
      <c r="PR77" s="28"/>
      <c r="PS77" s="8">
        <v>145</v>
      </c>
      <c r="PT77" s="12">
        <v>138</v>
      </c>
      <c r="PW77" s="8">
        <v>176</v>
      </c>
      <c r="PX77" s="28">
        <v>327</v>
      </c>
      <c r="QE77" s="8">
        <v>513</v>
      </c>
      <c r="QF77" s="12">
        <v>265</v>
      </c>
      <c r="QH77" s="8">
        <v>75</v>
      </c>
      <c r="QI77" s="12">
        <v>137</v>
      </c>
      <c r="QT77" s="8">
        <v>-933</v>
      </c>
      <c r="QU77" s="12">
        <v>663</v>
      </c>
      <c r="QV77" s="6"/>
      <c r="QW77" s="12"/>
      <c r="RC77" s="6">
        <v>-754</v>
      </c>
      <c r="RD77" s="12">
        <v>70</v>
      </c>
      <c r="RE77" s="6">
        <v>119</v>
      </c>
      <c r="RF77" s="12">
        <v>30</v>
      </c>
      <c r="RG77" s="8">
        <v>-114</v>
      </c>
      <c r="RH77" s="28">
        <v>698</v>
      </c>
      <c r="RL77" s="8">
        <v>2</v>
      </c>
      <c r="RM77" s="12">
        <v>322</v>
      </c>
      <c r="SP77" s="8">
        <v>23</v>
      </c>
      <c r="SQ77" s="12">
        <v>234</v>
      </c>
      <c r="SY77" s="6">
        <v>224</v>
      </c>
      <c r="TH77" s="8">
        <v>52</v>
      </c>
      <c r="TI77" s="28">
        <v>55</v>
      </c>
      <c r="TX77" s="8">
        <v>-180</v>
      </c>
      <c r="TY77" s="28">
        <v>128</v>
      </c>
      <c r="TZ77" s="8">
        <v>212</v>
      </c>
      <c r="UA77" s="12">
        <v>121</v>
      </c>
      <c r="UG77" s="8">
        <v>107</v>
      </c>
      <c r="UH77" s="12">
        <v>1</v>
      </c>
      <c r="UI77" s="8">
        <v>22</v>
      </c>
      <c r="VF77" s="8">
        <v>297</v>
      </c>
      <c r="VH77" s="8">
        <v>-26</v>
      </c>
      <c r="VI77" s="28">
        <v>37</v>
      </c>
      <c r="VL77" s="21"/>
      <c r="VM77" s="8">
        <v>-2200</v>
      </c>
      <c r="VN77" s="12">
        <v>107</v>
      </c>
      <c r="VO77" s="12"/>
      <c r="VP77" s="12"/>
      <c r="VQ77" s="6">
        <v>-298</v>
      </c>
      <c r="VR77" s="28">
        <v>109</v>
      </c>
      <c r="VS77" s="12"/>
      <c r="VT77" s="12"/>
      <c r="VZ77" s="8">
        <v>-98</v>
      </c>
      <c r="WA77" s="28">
        <v>139</v>
      </c>
      <c r="WB77" s="8">
        <v>3473</v>
      </c>
      <c r="WC77" s="12">
        <v>290</v>
      </c>
      <c r="XG77" s="2">
        <v>121</v>
      </c>
      <c r="XH77" s="1">
        <v>40</v>
      </c>
      <c r="XK77">
        <v>5</v>
      </c>
      <c r="XL77" s="1">
        <v>37</v>
      </c>
    </row>
    <row r="78" spans="7:636" x14ac:dyDescent="0.25">
      <c r="G78" s="2">
        <v>-5734</v>
      </c>
      <c r="I78" s="2">
        <v>3</v>
      </c>
      <c r="K78" s="2">
        <v>1541</v>
      </c>
      <c r="L78" s="1">
        <v>19</v>
      </c>
      <c r="M78">
        <v>-2</v>
      </c>
      <c r="N78" s="1">
        <v>14</v>
      </c>
      <c r="O78" s="26"/>
      <c r="R78">
        <v>106</v>
      </c>
      <c r="S78" s="12">
        <v>919</v>
      </c>
      <c r="V78">
        <v>-5</v>
      </c>
      <c r="W78" s="10">
        <v>70</v>
      </c>
      <c r="AB78">
        <v>-239</v>
      </c>
      <c r="AC78" s="1">
        <v>79</v>
      </c>
      <c r="AD78">
        <v>29</v>
      </c>
      <c r="AE78" s="1">
        <v>4</v>
      </c>
      <c r="AF78">
        <v>1750</v>
      </c>
      <c r="AG78" s="1">
        <v>2679</v>
      </c>
      <c r="AJ78" s="2">
        <v>61</v>
      </c>
      <c r="AK78" s="10">
        <v>3951</v>
      </c>
      <c r="AY78">
        <v>-12</v>
      </c>
      <c r="AZ78" s="1">
        <v>1</v>
      </c>
      <c r="BD78" s="8"/>
      <c r="BF78">
        <v>1579</v>
      </c>
      <c r="BG78" s="1">
        <v>297</v>
      </c>
      <c r="BJ78">
        <v>16</v>
      </c>
      <c r="BL78">
        <v>-94</v>
      </c>
      <c r="BM78" s="1">
        <v>14</v>
      </c>
      <c r="BN78">
        <v>5</v>
      </c>
      <c r="BP78">
        <v>533</v>
      </c>
      <c r="BQ78" s="10">
        <v>1589</v>
      </c>
      <c r="BT78">
        <v>112</v>
      </c>
      <c r="BU78" s="1">
        <v>14</v>
      </c>
      <c r="CE78" s="8">
        <v>232</v>
      </c>
      <c r="CF78" s="28">
        <v>6</v>
      </c>
      <c r="CG78" s="8">
        <v>-2409</v>
      </c>
      <c r="CI78" s="8">
        <v>358</v>
      </c>
      <c r="CJ78" s="12">
        <v>116</v>
      </c>
      <c r="CK78" s="8">
        <v>-24</v>
      </c>
      <c r="CL78" s="28">
        <v>18</v>
      </c>
      <c r="CM78" s="6">
        <v>129</v>
      </c>
      <c r="CN78" s="28">
        <v>145</v>
      </c>
      <c r="CO78" s="6">
        <v>-107</v>
      </c>
      <c r="CP78" s="28"/>
      <c r="CQ78" s="6">
        <v>834</v>
      </c>
      <c r="CR78" s="28"/>
      <c r="CS78" s="6">
        <v>-422</v>
      </c>
      <c r="CT78" s="28">
        <v>102</v>
      </c>
      <c r="CU78" s="28"/>
      <c r="CV78" s="28"/>
      <c r="CW78" s="28"/>
      <c r="CX78" s="28"/>
      <c r="CZ78" s="23">
        <v>-232</v>
      </c>
      <c r="DA78" s="25">
        <v>145</v>
      </c>
      <c r="DB78" s="23">
        <v>31</v>
      </c>
      <c r="DC78" s="25">
        <v>8</v>
      </c>
      <c r="DF78" s="23">
        <v>112</v>
      </c>
      <c r="DG78" s="25">
        <v>217</v>
      </c>
      <c r="DH78" s="23">
        <v>-865</v>
      </c>
      <c r="DI78" s="25">
        <v>606</v>
      </c>
      <c r="DJ78" s="23">
        <v>131</v>
      </c>
      <c r="DK78" s="28">
        <v>332</v>
      </c>
      <c r="DL78" s="8">
        <v>-4</v>
      </c>
      <c r="DQ78" s="8">
        <v>-199</v>
      </c>
      <c r="DR78" s="52">
        <v>92</v>
      </c>
      <c r="DS78" s="6">
        <v>-15</v>
      </c>
      <c r="DT78" s="52">
        <v>53</v>
      </c>
      <c r="DU78" s="8">
        <v>-140</v>
      </c>
      <c r="DV78" s="28">
        <v>164</v>
      </c>
      <c r="DW78" s="8">
        <v>14</v>
      </c>
      <c r="DX78" s="28">
        <v>68</v>
      </c>
      <c r="DY78" s="6">
        <v>473</v>
      </c>
      <c r="DZ78" s="52">
        <v>155</v>
      </c>
      <c r="EA78" s="23">
        <v>-265</v>
      </c>
      <c r="EB78" s="52">
        <v>143</v>
      </c>
      <c r="EC78" s="6">
        <v>24</v>
      </c>
      <c r="ED78" s="28">
        <v>18</v>
      </c>
      <c r="EE78" s="8">
        <v>365</v>
      </c>
      <c r="EF78" s="52">
        <v>43</v>
      </c>
      <c r="EG78" s="8">
        <v>282</v>
      </c>
      <c r="EH78" s="28">
        <v>214</v>
      </c>
      <c r="EI78" s="8">
        <v>-17</v>
      </c>
      <c r="EJ78" s="52">
        <v>139</v>
      </c>
      <c r="EL78" s="8">
        <v>652</v>
      </c>
      <c r="EM78" s="28">
        <v>475</v>
      </c>
      <c r="EN78" s="8">
        <v>-126</v>
      </c>
      <c r="EO78" s="28">
        <v>20</v>
      </c>
      <c r="EP78" s="28"/>
      <c r="EQ78" s="28"/>
      <c r="EX78" s="8">
        <v>529</v>
      </c>
      <c r="EY78" s="28">
        <v>483</v>
      </c>
      <c r="FD78" s="6">
        <v>173</v>
      </c>
      <c r="FE78" s="28">
        <v>22</v>
      </c>
      <c r="FM78" s="8">
        <v>239</v>
      </c>
      <c r="FN78" s="52">
        <v>189</v>
      </c>
      <c r="FQ78" s="8">
        <v>25</v>
      </c>
      <c r="FR78" s="28">
        <v>6</v>
      </c>
      <c r="FS78" s="8">
        <v>84</v>
      </c>
      <c r="FT78" s="52">
        <v>299</v>
      </c>
      <c r="GC78" s="8">
        <v>-756</v>
      </c>
      <c r="GE78" s="8">
        <v>-496</v>
      </c>
      <c r="GF78" s="28">
        <v>131</v>
      </c>
      <c r="GI78" s="8">
        <v>-58</v>
      </c>
      <c r="GJ78" s="28">
        <v>58</v>
      </c>
      <c r="GP78" s="8">
        <v>-71</v>
      </c>
      <c r="GQ78" s="52">
        <v>179</v>
      </c>
      <c r="GR78" s="8">
        <v>31</v>
      </c>
      <c r="GS78" s="28">
        <v>37</v>
      </c>
      <c r="GT78" s="6">
        <v>67</v>
      </c>
      <c r="GU78" s="52">
        <v>523</v>
      </c>
      <c r="GV78" s="28"/>
      <c r="GW78" s="28"/>
      <c r="GZ78" s="8">
        <v>3</v>
      </c>
      <c r="HA78" s="28">
        <v>34</v>
      </c>
      <c r="HB78" s="6">
        <v>8</v>
      </c>
      <c r="HC78" s="28"/>
      <c r="HE78" s="8">
        <v>65</v>
      </c>
      <c r="HF78" s="28">
        <v>38</v>
      </c>
      <c r="HG78" s="8">
        <v>56</v>
      </c>
      <c r="HQ78" s="6">
        <v>4</v>
      </c>
      <c r="HR78" s="28">
        <v>5</v>
      </c>
      <c r="HS78" s="8">
        <v>-3</v>
      </c>
      <c r="HT78" s="52">
        <v>28</v>
      </c>
      <c r="HX78" s="8">
        <v>-511</v>
      </c>
      <c r="HY78" s="28">
        <v>205</v>
      </c>
      <c r="HZ78" s="8">
        <v>43</v>
      </c>
      <c r="IB78" s="8">
        <v>-158</v>
      </c>
      <c r="IC78" s="28">
        <v>121</v>
      </c>
      <c r="ID78" s="8">
        <v>-486</v>
      </c>
      <c r="IE78" s="28">
        <v>228</v>
      </c>
      <c r="IO78">
        <v>-243</v>
      </c>
      <c r="IP78" s="10">
        <v>9</v>
      </c>
      <c r="IW78" s="8">
        <v>132</v>
      </c>
      <c r="IY78" s="8">
        <v>-60</v>
      </c>
      <c r="JA78" s="8">
        <v>-193</v>
      </c>
      <c r="JB78" s="12">
        <v>819</v>
      </c>
      <c r="JH78" s="8">
        <v>84</v>
      </c>
      <c r="JI78" s="28">
        <v>46</v>
      </c>
      <c r="JL78" s="8">
        <v>12</v>
      </c>
      <c r="JN78" s="8">
        <v>-7</v>
      </c>
      <c r="JO78" s="28">
        <v>6</v>
      </c>
      <c r="JP78" s="6">
        <v>46</v>
      </c>
      <c r="JQ78" s="12">
        <v>136</v>
      </c>
      <c r="JW78" s="8">
        <v>-366</v>
      </c>
      <c r="JX78" s="12">
        <v>63</v>
      </c>
      <c r="KE78" s="6">
        <v>-294</v>
      </c>
      <c r="KF78" s="12">
        <v>164</v>
      </c>
      <c r="KT78" s="8">
        <v>100</v>
      </c>
      <c r="KU78" s="28">
        <v>299</v>
      </c>
      <c r="KZ78" s="8">
        <v>-20</v>
      </c>
      <c r="LA78" s="12">
        <v>481</v>
      </c>
      <c r="LD78" s="8">
        <v>749</v>
      </c>
      <c r="LE78" s="28">
        <v>253</v>
      </c>
      <c r="LF78" s="8">
        <v>-23</v>
      </c>
      <c r="LG78" s="28">
        <v>37</v>
      </c>
      <c r="LH78" s="8">
        <v>-115</v>
      </c>
      <c r="LJ78" s="8">
        <v>-440</v>
      </c>
      <c r="LK78" s="28">
        <v>341</v>
      </c>
      <c r="LL78" s="8">
        <v>-7</v>
      </c>
      <c r="LM78" s="28">
        <v>10</v>
      </c>
      <c r="LN78" s="8">
        <v>470</v>
      </c>
      <c r="LO78" s="28">
        <v>460</v>
      </c>
      <c r="LS78" s="8">
        <v>62</v>
      </c>
      <c r="LU78" s="8">
        <v>-3</v>
      </c>
      <c r="LV78" s="12">
        <v>62</v>
      </c>
      <c r="LW78" s="8">
        <v>-992</v>
      </c>
      <c r="LX78" s="28">
        <v>301</v>
      </c>
      <c r="MF78" s="8">
        <v>116</v>
      </c>
      <c r="MG78" s="12">
        <v>36</v>
      </c>
      <c r="MS78" s="8">
        <v>257</v>
      </c>
      <c r="MT78" s="12">
        <v>372</v>
      </c>
      <c r="NC78" s="8">
        <v>-43</v>
      </c>
      <c r="ND78" s="12">
        <v>180</v>
      </c>
      <c r="NE78" s="8">
        <v>-128</v>
      </c>
      <c r="NF78" s="28">
        <v>949</v>
      </c>
      <c r="NG78" s="8">
        <v>245</v>
      </c>
      <c r="NH78" s="28">
        <v>13</v>
      </c>
      <c r="NP78" s="8">
        <v>784</v>
      </c>
      <c r="NQ78" s="12">
        <v>738</v>
      </c>
      <c r="NW78" s="8">
        <v>106</v>
      </c>
      <c r="NX78" s="28">
        <v>264</v>
      </c>
      <c r="NY78" s="8">
        <v>678</v>
      </c>
      <c r="NZ78" s="12">
        <v>507</v>
      </c>
      <c r="OV78" s="8">
        <v>182</v>
      </c>
      <c r="PJ78" s="8">
        <v>-114</v>
      </c>
      <c r="PK78" s="12">
        <v>948</v>
      </c>
      <c r="PP78" s="8">
        <v>-218</v>
      </c>
      <c r="PQ78" s="28">
        <v>14</v>
      </c>
      <c r="PR78" s="28"/>
      <c r="PS78" s="8">
        <v>10</v>
      </c>
      <c r="PT78" s="12">
        <v>59</v>
      </c>
      <c r="PW78" s="8">
        <v>-197</v>
      </c>
      <c r="PX78" s="28">
        <v>175</v>
      </c>
      <c r="QH78" s="8">
        <v>-112</v>
      </c>
      <c r="QI78" s="12">
        <v>133</v>
      </c>
      <c r="QT78" s="8">
        <v>-49</v>
      </c>
      <c r="QU78" s="12">
        <v>96</v>
      </c>
      <c r="QV78" s="6"/>
      <c r="QW78" s="12"/>
      <c r="RC78" s="6">
        <v>-303</v>
      </c>
      <c r="RD78" s="12">
        <v>277</v>
      </c>
      <c r="RE78" s="6">
        <v>140</v>
      </c>
      <c r="RF78" s="12">
        <v>110</v>
      </c>
      <c r="RG78" s="8">
        <v>787</v>
      </c>
      <c r="RH78" s="28">
        <v>592</v>
      </c>
      <c r="RL78" s="8">
        <v>79</v>
      </c>
      <c r="RM78" s="12">
        <v>143</v>
      </c>
      <c r="SP78" s="8">
        <v>495</v>
      </c>
      <c r="SQ78" s="12">
        <v>352</v>
      </c>
      <c r="SY78" s="6">
        <v>29</v>
      </c>
      <c r="TH78" s="8">
        <v>74</v>
      </c>
      <c r="TI78" s="28">
        <v>50</v>
      </c>
      <c r="TX78" s="8">
        <v>-118</v>
      </c>
      <c r="TY78" s="28">
        <v>151</v>
      </c>
      <c r="TZ78" s="8">
        <v>383</v>
      </c>
      <c r="UA78" s="12">
        <v>547</v>
      </c>
      <c r="UG78" s="8">
        <v>201</v>
      </c>
      <c r="UH78" s="12">
        <v>4</v>
      </c>
      <c r="UI78" s="8">
        <v>15</v>
      </c>
      <c r="VF78" s="8">
        <v>-565</v>
      </c>
      <c r="VH78" s="8">
        <v>309</v>
      </c>
      <c r="VI78" s="28">
        <v>38</v>
      </c>
      <c r="VL78" s="21"/>
      <c r="VM78" s="8">
        <v>-5871</v>
      </c>
      <c r="VN78" s="12">
        <v>249</v>
      </c>
      <c r="VO78" s="12"/>
      <c r="VP78" s="12"/>
      <c r="VQ78" s="6">
        <v>-426</v>
      </c>
      <c r="VR78" s="28">
        <v>949</v>
      </c>
      <c r="VS78" s="12"/>
      <c r="VT78" s="12"/>
      <c r="VZ78" s="8">
        <v>-519</v>
      </c>
      <c r="WA78" s="28">
        <v>381</v>
      </c>
      <c r="WB78" s="8">
        <v>3459</v>
      </c>
      <c r="WC78" s="12">
        <v>1177</v>
      </c>
      <c r="XG78" s="2">
        <v>257</v>
      </c>
      <c r="XH78" s="1">
        <v>65</v>
      </c>
      <c r="XK78">
        <v>4</v>
      </c>
      <c r="XL78" s="1">
        <v>25</v>
      </c>
    </row>
    <row r="79" spans="7:636" x14ac:dyDescent="0.25">
      <c r="G79" s="2">
        <v>-1522</v>
      </c>
      <c r="I79" s="2">
        <v>11</v>
      </c>
      <c r="K79" s="2">
        <v>1500</v>
      </c>
      <c r="L79" s="1">
        <v>10</v>
      </c>
      <c r="M79">
        <v>-2</v>
      </c>
      <c r="N79" s="1">
        <v>14</v>
      </c>
      <c r="O79" s="26"/>
      <c r="R79">
        <v>-75</v>
      </c>
      <c r="S79" s="12">
        <v>63</v>
      </c>
      <c r="V79">
        <v>-9</v>
      </c>
      <c r="W79" s="10">
        <v>292</v>
      </c>
      <c r="AB79">
        <v>-55</v>
      </c>
      <c r="AC79" s="1">
        <v>126</v>
      </c>
      <c r="AD79">
        <v>20</v>
      </c>
      <c r="AE79" s="1">
        <v>3</v>
      </c>
      <c r="AF79">
        <v>1872</v>
      </c>
      <c r="AG79" s="1">
        <v>2537</v>
      </c>
      <c r="AJ79" s="2">
        <v>-718</v>
      </c>
      <c r="AK79" s="10">
        <v>207</v>
      </c>
      <c r="AY79">
        <v>-11</v>
      </c>
      <c r="AZ79" s="1">
        <v>1</v>
      </c>
      <c r="BD79" s="8"/>
      <c r="BF79">
        <v>3215</v>
      </c>
      <c r="BG79" s="1">
        <v>617</v>
      </c>
      <c r="BJ79">
        <v>18</v>
      </c>
      <c r="BL79">
        <v>16</v>
      </c>
      <c r="BM79" s="1">
        <v>2</v>
      </c>
      <c r="BN79">
        <v>3</v>
      </c>
      <c r="BP79">
        <v>-2200</v>
      </c>
      <c r="BQ79" s="10">
        <v>1780</v>
      </c>
      <c r="BT79">
        <v>-1108</v>
      </c>
      <c r="BU79" s="1">
        <v>668</v>
      </c>
      <c r="CE79" s="8">
        <v>192</v>
      </c>
      <c r="CF79" s="28">
        <v>6</v>
      </c>
      <c r="CG79" s="8">
        <v>-4772</v>
      </c>
      <c r="CI79" s="8">
        <v>314</v>
      </c>
      <c r="CJ79" s="12">
        <v>215</v>
      </c>
      <c r="CK79" s="8">
        <v>-19</v>
      </c>
      <c r="CL79" s="28">
        <v>18</v>
      </c>
      <c r="CM79" s="6">
        <v>38</v>
      </c>
      <c r="CN79" s="28">
        <v>15</v>
      </c>
      <c r="CO79" s="6">
        <v>209</v>
      </c>
      <c r="CP79" s="28"/>
      <c r="CQ79" s="6">
        <v>809</v>
      </c>
      <c r="CR79" s="28"/>
      <c r="CS79" s="6">
        <v>115</v>
      </c>
      <c r="CT79" s="28">
        <v>106</v>
      </c>
      <c r="CU79" s="28"/>
      <c r="CV79" s="28"/>
      <c r="CW79" s="28"/>
      <c r="CX79" s="28"/>
      <c r="CZ79" s="23">
        <v>134</v>
      </c>
      <c r="DA79" s="25">
        <v>593</v>
      </c>
      <c r="DB79" s="23">
        <v>22</v>
      </c>
      <c r="DC79" s="25">
        <v>3</v>
      </c>
      <c r="DF79" s="23">
        <v>120</v>
      </c>
      <c r="DG79" s="25">
        <v>360</v>
      </c>
      <c r="DH79" s="23">
        <v>-349</v>
      </c>
      <c r="DI79" s="25">
        <v>272</v>
      </c>
      <c r="DJ79" s="23">
        <v>-288</v>
      </c>
      <c r="DK79" s="28">
        <v>144</v>
      </c>
      <c r="DL79" s="8">
        <v>15</v>
      </c>
      <c r="DQ79" s="8">
        <v>389</v>
      </c>
      <c r="DR79" s="52">
        <v>269</v>
      </c>
      <c r="DS79" s="6">
        <v>-143</v>
      </c>
      <c r="DT79" s="52">
        <v>232</v>
      </c>
      <c r="DU79" s="8">
        <v>261</v>
      </c>
      <c r="DV79" s="28">
        <v>200</v>
      </c>
      <c r="DW79" s="8">
        <v>446</v>
      </c>
      <c r="DX79" s="28">
        <v>188</v>
      </c>
      <c r="DY79" s="6">
        <v>-341</v>
      </c>
      <c r="DZ79" s="52">
        <v>191</v>
      </c>
      <c r="EA79" s="23">
        <v>782</v>
      </c>
      <c r="EB79" s="52">
        <v>822</v>
      </c>
      <c r="EC79" s="6">
        <v>17</v>
      </c>
      <c r="ED79" s="28">
        <v>35</v>
      </c>
      <c r="EE79" s="8">
        <v>116</v>
      </c>
      <c r="EF79" s="52">
        <v>40</v>
      </c>
      <c r="EG79" s="8">
        <v>374</v>
      </c>
      <c r="EH79" s="28">
        <v>216</v>
      </c>
      <c r="EI79" s="8">
        <v>-108</v>
      </c>
      <c r="EJ79" s="52">
        <v>674</v>
      </c>
      <c r="EL79" s="8">
        <v>723</v>
      </c>
      <c r="EM79" s="28">
        <v>506</v>
      </c>
      <c r="EN79" s="8">
        <v>58</v>
      </c>
      <c r="EO79" s="28">
        <v>13</v>
      </c>
      <c r="EP79" s="28"/>
      <c r="EQ79" s="28"/>
      <c r="EX79" s="8">
        <v>202</v>
      </c>
      <c r="EY79" s="28">
        <v>131</v>
      </c>
      <c r="FD79" s="6">
        <v>-779</v>
      </c>
      <c r="FE79" s="28">
        <v>64</v>
      </c>
      <c r="FM79" s="8">
        <v>-299</v>
      </c>
      <c r="FN79" s="52">
        <v>162</v>
      </c>
      <c r="FQ79" s="8">
        <v>79</v>
      </c>
      <c r="FR79" s="28">
        <v>7</v>
      </c>
      <c r="FS79" s="8">
        <v>292</v>
      </c>
      <c r="FT79" s="52">
        <v>108</v>
      </c>
      <c r="GC79" s="8">
        <v>-746</v>
      </c>
      <c r="GE79" s="8">
        <v>-725</v>
      </c>
      <c r="GF79" s="28">
        <v>166</v>
      </c>
      <c r="GI79" s="8">
        <v>24</v>
      </c>
      <c r="GJ79" s="28">
        <v>11</v>
      </c>
      <c r="GP79" s="8">
        <v>88</v>
      </c>
      <c r="GQ79" s="52">
        <v>385</v>
      </c>
      <c r="GR79" s="8">
        <v>56</v>
      </c>
      <c r="GS79" s="28">
        <v>22</v>
      </c>
      <c r="GT79" s="6">
        <v>257</v>
      </c>
      <c r="GU79" s="52">
        <v>169</v>
      </c>
      <c r="GV79" s="28"/>
      <c r="GW79" s="28"/>
      <c r="GZ79" s="8">
        <v>-432</v>
      </c>
      <c r="HA79" s="28">
        <v>139</v>
      </c>
      <c r="HB79" s="6">
        <v>-17</v>
      </c>
      <c r="HC79" s="28"/>
      <c r="HE79" s="8">
        <v>33</v>
      </c>
      <c r="HF79" s="28">
        <v>2</v>
      </c>
      <c r="HG79" s="8">
        <v>-94</v>
      </c>
      <c r="HQ79" s="6">
        <v>-2</v>
      </c>
      <c r="HR79" s="28">
        <v>3</v>
      </c>
      <c r="HS79" s="8">
        <v>9</v>
      </c>
      <c r="HT79" s="52">
        <v>174</v>
      </c>
      <c r="HX79" s="8">
        <v>-43</v>
      </c>
      <c r="HY79" s="28">
        <v>18</v>
      </c>
      <c r="HZ79" s="8">
        <v>-17</v>
      </c>
      <c r="IB79" s="8">
        <v>358</v>
      </c>
      <c r="IC79" s="28">
        <v>129</v>
      </c>
      <c r="ID79" s="8">
        <v>-135</v>
      </c>
      <c r="IE79" s="28">
        <v>732</v>
      </c>
      <c r="IO79">
        <v>297</v>
      </c>
      <c r="IP79" s="10">
        <v>7</v>
      </c>
      <c r="IW79" s="8">
        <v>-347</v>
      </c>
      <c r="IY79" s="8">
        <v>-135</v>
      </c>
      <c r="JA79" s="8">
        <v>26</v>
      </c>
      <c r="JB79" s="12">
        <v>676</v>
      </c>
      <c r="JH79" s="8">
        <v>-308</v>
      </c>
      <c r="JI79" s="28">
        <v>142</v>
      </c>
      <c r="JL79" s="8">
        <v>-21</v>
      </c>
      <c r="JN79" s="8">
        <v>-9</v>
      </c>
      <c r="JO79" s="28">
        <v>6</v>
      </c>
      <c r="JP79" s="6">
        <v>4</v>
      </c>
      <c r="JQ79" s="12">
        <v>117</v>
      </c>
      <c r="JW79" s="8">
        <v>-362</v>
      </c>
      <c r="JX79" s="12">
        <v>622</v>
      </c>
      <c r="KE79" s="6">
        <v>291</v>
      </c>
      <c r="KF79" s="12">
        <v>485</v>
      </c>
      <c r="KT79" s="8">
        <v>-4</v>
      </c>
      <c r="KU79" s="28">
        <v>74</v>
      </c>
      <c r="KZ79" s="8">
        <v>-12</v>
      </c>
      <c r="LA79" s="12">
        <v>312</v>
      </c>
      <c r="LD79" s="8">
        <v>-421</v>
      </c>
      <c r="LE79" s="28">
        <v>483</v>
      </c>
      <c r="LF79" s="8">
        <v>49</v>
      </c>
      <c r="LG79" s="28">
        <v>28</v>
      </c>
      <c r="LH79" s="8">
        <v>-984</v>
      </c>
      <c r="LJ79" s="8">
        <v>104</v>
      </c>
      <c r="LK79" s="28">
        <v>266</v>
      </c>
      <c r="LL79" s="8">
        <v>27</v>
      </c>
      <c r="LM79" s="28">
        <v>19</v>
      </c>
      <c r="LN79" s="8">
        <v>469</v>
      </c>
      <c r="LO79" s="28">
        <v>307</v>
      </c>
      <c r="LS79" s="8">
        <v>12</v>
      </c>
      <c r="LU79" s="8">
        <v>298</v>
      </c>
      <c r="LV79" s="12">
        <v>602</v>
      </c>
      <c r="LW79" s="8">
        <v>-139</v>
      </c>
      <c r="LX79" s="28">
        <v>339</v>
      </c>
      <c r="MF79" s="8">
        <v>293</v>
      </c>
      <c r="MG79" s="12">
        <v>159</v>
      </c>
      <c r="MS79" s="8">
        <v>838</v>
      </c>
      <c r="MT79" s="12">
        <v>121</v>
      </c>
      <c r="NC79" s="8">
        <v>-137</v>
      </c>
      <c r="ND79" s="12">
        <v>508</v>
      </c>
      <c r="NE79" s="8">
        <v>-815</v>
      </c>
      <c r="NF79" s="28">
        <v>264</v>
      </c>
      <c r="NG79" s="8">
        <v>465</v>
      </c>
      <c r="NH79" s="28">
        <v>19</v>
      </c>
      <c r="NP79" s="8">
        <v>220</v>
      </c>
      <c r="NQ79" s="12">
        <v>141</v>
      </c>
      <c r="NW79" s="8">
        <v>773</v>
      </c>
      <c r="NX79" s="28">
        <v>101</v>
      </c>
      <c r="NY79" s="8">
        <v>-608</v>
      </c>
      <c r="NZ79" s="12">
        <v>323</v>
      </c>
      <c r="OV79" s="8">
        <v>263</v>
      </c>
      <c r="PJ79" s="8">
        <v>-41</v>
      </c>
      <c r="PK79" s="12">
        <v>689</v>
      </c>
      <c r="PP79" s="8">
        <v>-127</v>
      </c>
      <c r="PQ79" s="28">
        <v>12</v>
      </c>
      <c r="PR79" s="28"/>
      <c r="PS79" s="8">
        <v>-18</v>
      </c>
      <c r="PT79" s="12">
        <v>228</v>
      </c>
      <c r="PW79" s="8">
        <v>485</v>
      </c>
      <c r="PX79" s="28">
        <v>139</v>
      </c>
      <c r="QH79" s="8">
        <v>-135</v>
      </c>
      <c r="QI79" s="12">
        <v>502</v>
      </c>
      <c r="QT79" s="8">
        <v>134</v>
      </c>
      <c r="QU79" s="12">
        <v>137</v>
      </c>
      <c r="QV79" s="6"/>
      <c r="QW79" s="12"/>
      <c r="RC79" s="6">
        <v>5</v>
      </c>
      <c r="RD79" s="12">
        <v>239</v>
      </c>
      <c r="RE79" s="6">
        <v>252</v>
      </c>
      <c r="RF79" s="12">
        <v>259</v>
      </c>
      <c r="RG79" s="8">
        <v>718</v>
      </c>
      <c r="RH79" s="28">
        <v>524</v>
      </c>
      <c r="RL79" s="8">
        <v>-81</v>
      </c>
      <c r="RM79" s="12">
        <v>407</v>
      </c>
      <c r="SP79" s="8">
        <v>860</v>
      </c>
      <c r="SQ79" s="12">
        <v>230</v>
      </c>
      <c r="SY79" s="6">
        <v>166</v>
      </c>
      <c r="TH79" s="8">
        <v>40</v>
      </c>
      <c r="TI79" s="28">
        <v>35</v>
      </c>
      <c r="TX79" s="8">
        <v>224</v>
      </c>
      <c r="TY79" s="28">
        <v>718</v>
      </c>
      <c r="TZ79" s="8">
        <v>271</v>
      </c>
      <c r="UA79" s="12">
        <v>809</v>
      </c>
      <c r="UG79" s="8">
        <v>-940</v>
      </c>
      <c r="UH79" s="12">
        <v>1</v>
      </c>
      <c r="UI79" s="8">
        <v>8</v>
      </c>
      <c r="VF79" s="8">
        <v>203</v>
      </c>
      <c r="VH79" s="8">
        <v>136</v>
      </c>
      <c r="VI79" s="28">
        <v>108</v>
      </c>
      <c r="VL79" s="21"/>
      <c r="VM79" s="8">
        <v>-9730</v>
      </c>
      <c r="VN79" s="12">
        <v>483</v>
      </c>
      <c r="VO79" s="12"/>
      <c r="VP79" s="12"/>
      <c r="VQ79" s="6">
        <v>-406</v>
      </c>
      <c r="VR79" s="28">
        <v>970</v>
      </c>
      <c r="VS79" s="12"/>
      <c r="VT79" s="12"/>
      <c r="VZ79" s="8">
        <v>-50</v>
      </c>
      <c r="WA79" s="28">
        <v>196</v>
      </c>
      <c r="WB79" s="8">
        <v>91</v>
      </c>
      <c r="WC79" s="12">
        <v>337</v>
      </c>
      <c r="XG79" s="2">
        <v>52</v>
      </c>
      <c r="XH79" s="1">
        <v>7</v>
      </c>
      <c r="XK79">
        <v>23</v>
      </c>
      <c r="XL79" s="1">
        <v>154</v>
      </c>
    </row>
    <row r="80" spans="7:636" x14ac:dyDescent="0.25">
      <c r="G80" s="2">
        <v>-2033</v>
      </c>
      <c r="I80" s="2">
        <v>-6</v>
      </c>
      <c r="K80" s="2">
        <v>2158</v>
      </c>
      <c r="L80" s="1">
        <v>12</v>
      </c>
      <c r="M80">
        <v>-1</v>
      </c>
      <c r="N80" s="1">
        <v>12</v>
      </c>
      <c r="O80" s="26"/>
      <c r="R80">
        <v>-4</v>
      </c>
      <c r="S80" s="12">
        <v>904</v>
      </c>
      <c r="V80">
        <v>-9</v>
      </c>
      <c r="W80" s="10">
        <v>236</v>
      </c>
      <c r="AB80">
        <v>18</v>
      </c>
      <c r="AC80" s="1">
        <v>43</v>
      </c>
      <c r="AD80">
        <v>12</v>
      </c>
      <c r="AE80" s="1">
        <v>3</v>
      </c>
      <c r="AJ80" s="2">
        <v>-665</v>
      </c>
      <c r="AK80" s="10">
        <v>193</v>
      </c>
      <c r="AY80">
        <v>-2</v>
      </c>
      <c r="AZ80" s="1">
        <v>1</v>
      </c>
      <c r="BD80" s="8"/>
      <c r="BF80">
        <v>-2011</v>
      </c>
      <c r="BG80" s="1">
        <v>1576</v>
      </c>
      <c r="BJ80">
        <v>32</v>
      </c>
      <c r="BL80">
        <v>51</v>
      </c>
      <c r="BM80" s="1">
        <v>5</v>
      </c>
      <c r="BN80">
        <v>-62</v>
      </c>
      <c r="BP80">
        <v>209</v>
      </c>
      <c r="BQ80" s="10">
        <v>1904</v>
      </c>
      <c r="BT80">
        <v>-497</v>
      </c>
      <c r="BU80" s="1">
        <v>321</v>
      </c>
      <c r="CE80" s="8">
        <v>286</v>
      </c>
      <c r="CF80" s="28">
        <v>10</v>
      </c>
      <c r="CG80" s="8">
        <v>1081</v>
      </c>
      <c r="CI80" s="8">
        <v>162</v>
      </c>
      <c r="CJ80" s="12">
        <v>728</v>
      </c>
      <c r="CK80" s="8">
        <v>-19</v>
      </c>
      <c r="CL80" s="28">
        <v>19</v>
      </c>
      <c r="CM80" s="6">
        <v>143</v>
      </c>
      <c r="CN80" s="28">
        <v>719</v>
      </c>
      <c r="CO80" s="6">
        <v>-828</v>
      </c>
      <c r="CP80" s="28"/>
      <c r="CQ80" s="6">
        <v>737</v>
      </c>
      <c r="CR80" s="28"/>
      <c r="CS80" s="6">
        <v>715</v>
      </c>
      <c r="CT80" s="28">
        <v>382</v>
      </c>
      <c r="CU80" s="28"/>
      <c r="CV80" s="28"/>
      <c r="CW80" s="28"/>
      <c r="CX80" s="28"/>
      <c r="CZ80" s="23">
        <v>599</v>
      </c>
      <c r="DA80" s="25">
        <v>73</v>
      </c>
      <c r="DB80" s="23">
        <v>-11</v>
      </c>
      <c r="DC80" s="25">
        <v>7</v>
      </c>
      <c r="DF80" s="23">
        <v>114</v>
      </c>
      <c r="DG80" s="25">
        <v>872</v>
      </c>
      <c r="DH80" s="23">
        <v>-622</v>
      </c>
      <c r="DI80" s="25">
        <v>301</v>
      </c>
      <c r="DJ80" s="23">
        <v>-614</v>
      </c>
      <c r="DK80" s="28">
        <v>138</v>
      </c>
      <c r="DL80" s="8">
        <v>5</v>
      </c>
      <c r="DQ80" s="8">
        <v>-538</v>
      </c>
      <c r="DR80" s="52">
        <v>393</v>
      </c>
      <c r="DS80" s="6">
        <v>-125</v>
      </c>
      <c r="DT80" s="52">
        <v>259</v>
      </c>
      <c r="DU80" s="8">
        <v>-142</v>
      </c>
      <c r="DV80" s="28">
        <v>411</v>
      </c>
      <c r="DW80" s="8">
        <v>-149</v>
      </c>
      <c r="DX80" s="28">
        <v>348</v>
      </c>
      <c r="DY80" s="6">
        <v>-623</v>
      </c>
      <c r="DZ80" s="52">
        <v>210</v>
      </c>
      <c r="EA80" s="23">
        <v>555</v>
      </c>
      <c r="EB80" s="52">
        <v>531</v>
      </c>
      <c r="EC80" s="6">
        <v>17</v>
      </c>
      <c r="ED80" s="28">
        <v>35</v>
      </c>
      <c r="EE80" s="8">
        <v>-404</v>
      </c>
      <c r="EF80" s="52">
        <v>39</v>
      </c>
      <c r="EG80" s="8">
        <v>483</v>
      </c>
      <c r="EH80" s="28">
        <v>220</v>
      </c>
      <c r="EI80" s="8">
        <v>392</v>
      </c>
      <c r="EJ80" s="52">
        <v>165</v>
      </c>
      <c r="EL80" s="8">
        <v>-401</v>
      </c>
      <c r="EM80" s="28">
        <v>467</v>
      </c>
      <c r="EN80" s="8">
        <v>-1</v>
      </c>
      <c r="EO80" s="28">
        <v>10</v>
      </c>
      <c r="EP80" s="28"/>
      <c r="EQ80" s="28"/>
      <c r="EX80" s="8">
        <v>232</v>
      </c>
      <c r="EY80" s="28">
        <v>180</v>
      </c>
      <c r="FD80" s="6">
        <v>518</v>
      </c>
      <c r="FE80" s="28">
        <v>32</v>
      </c>
      <c r="FM80" s="8">
        <v>-257</v>
      </c>
      <c r="FN80" s="52">
        <v>210</v>
      </c>
      <c r="FQ80" s="8">
        <v>-51</v>
      </c>
      <c r="FR80" s="28">
        <v>4</v>
      </c>
      <c r="FS80" s="8">
        <v>312</v>
      </c>
      <c r="FT80" s="52">
        <v>113</v>
      </c>
      <c r="GC80" s="8">
        <v>555</v>
      </c>
      <c r="GE80" s="8">
        <v>-223</v>
      </c>
      <c r="GF80" s="28">
        <v>620</v>
      </c>
      <c r="GI80" s="8">
        <v>1</v>
      </c>
      <c r="GJ80" s="28">
        <v>1</v>
      </c>
      <c r="GP80" s="8">
        <v>5</v>
      </c>
      <c r="GQ80" s="52">
        <v>42</v>
      </c>
      <c r="GR80" s="8">
        <v>-5</v>
      </c>
      <c r="GS80" s="28">
        <v>21</v>
      </c>
      <c r="GT80" s="6">
        <v>113</v>
      </c>
      <c r="GU80" s="52">
        <v>227</v>
      </c>
      <c r="GV80" s="28"/>
      <c r="GW80" s="28"/>
      <c r="GZ80" s="8">
        <v>301</v>
      </c>
      <c r="HA80" s="28">
        <v>197</v>
      </c>
      <c r="HB80" s="6">
        <v>178</v>
      </c>
      <c r="HC80" s="28"/>
      <c r="HE80" s="8">
        <v>11</v>
      </c>
      <c r="HF80" s="28">
        <v>30</v>
      </c>
      <c r="HG80" s="8">
        <v>-252</v>
      </c>
      <c r="HQ80" s="6">
        <v>-2</v>
      </c>
      <c r="HR80" s="28">
        <v>2</v>
      </c>
      <c r="HS80" s="8">
        <v>-2</v>
      </c>
      <c r="HT80" s="52">
        <v>863</v>
      </c>
      <c r="HX80" s="8">
        <v>-25</v>
      </c>
      <c r="HY80" s="28">
        <v>40</v>
      </c>
      <c r="HZ80" s="8">
        <v>-49</v>
      </c>
      <c r="IB80" s="8">
        <v>848</v>
      </c>
      <c r="IC80" s="28">
        <v>107</v>
      </c>
      <c r="ID80" s="8">
        <v>-618</v>
      </c>
      <c r="IE80" s="28">
        <v>173</v>
      </c>
      <c r="IO80">
        <v>-465</v>
      </c>
      <c r="IP80" s="10">
        <v>3</v>
      </c>
      <c r="IW80" s="8">
        <v>-750</v>
      </c>
      <c r="IY80" s="8">
        <v>133</v>
      </c>
      <c r="JA80" s="8">
        <v>-25</v>
      </c>
      <c r="JB80" s="12">
        <v>440</v>
      </c>
      <c r="JH80" s="8">
        <v>-50</v>
      </c>
      <c r="JI80" s="28">
        <v>64</v>
      </c>
      <c r="JL80" s="8">
        <v>1</v>
      </c>
      <c r="JN80" s="8">
        <v>-7</v>
      </c>
      <c r="JO80" s="28">
        <v>6</v>
      </c>
      <c r="JP80" s="6">
        <v>5</v>
      </c>
      <c r="JQ80" s="12">
        <v>152</v>
      </c>
      <c r="JW80" s="8">
        <v>-515</v>
      </c>
      <c r="JX80" s="12">
        <v>895</v>
      </c>
      <c r="KE80" s="6">
        <v>-154</v>
      </c>
      <c r="KF80" s="12">
        <v>519</v>
      </c>
      <c r="KT80" s="8">
        <v>-23</v>
      </c>
      <c r="KU80" s="28">
        <v>410</v>
      </c>
      <c r="KZ80" s="8">
        <v>-4</v>
      </c>
      <c r="LA80" s="12">
        <v>126</v>
      </c>
      <c r="LD80" s="8">
        <v>-184</v>
      </c>
      <c r="LE80" s="28">
        <v>343</v>
      </c>
      <c r="LF80" s="8">
        <v>44</v>
      </c>
      <c r="LG80" s="28">
        <v>27</v>
      </c>
      <c r="LH80" s="8">
        <v>-107</v>
      </c>
      <c r="LJ80" s="8">
        <v>-188</v>
      </c>
      <c r="LK80" s="28">
        <v>493</v>
      </c>
      <c r="LL80" s="8">
        <v>-29</v>
      </c>
      <c r="LM80" s="28">
        <v>6</v>
      </c>
      <c r="LN80" s="8">
        <v>340</v>
      </c>
      <c r="LO80" s="28">
        <v>260</v>
      </c>
      <c r="LS80" s="8">
        <v>35</v>
      </c>
      <c r="LU80" s="8">
        <v>5</v>
      </c>
      <c r="LV80" s="12">
        <v>143</v>
      </c>
      <c r="LW80" s="8">
        <v>-194</v>
      </c>
      <c r="LX80" s="28">
        <v>157</v>
      </c>
      <c r="MF80" s="8">
        <v>258</v>
      </c>
      <c r="MG80" s="12">
        <v>127</v>
      </c>
      <c r="MS80" s="8">
        <v>476</v>
      </c>
      <c r="MT80" s="12">
        <v>472</v>
      </c>
      <c r="NC80" s="8">
        <v>-67</v>
      </c>
      <c r="ND80" s="12">
        <v>175</v>
      </c>
      <c r="NE80" s="8">
        <v>-113</v>
      </c>
      <c r="NF80" s="28">
        <v>893</v>
      </c>
      <c r="NG80" s="8">
        <v>597</v>
      </c>
      <c r="NH80" s="28">
        <v>30</v>
      </c>
      <c r="NP80" s="8">
        <v>162</v>
      </c>
      <c r="NQ80" s="12">
        <v>154</v>
      </c>
      <c r="NW80" s="8">
        <v>780</v>
      </c>
      <c r="NX80" s="28">
        <v>83</v>
      </c>
      <c r="OV80" s="8">
        <v>192</v>
      </c>
      <c r="PJ80" s="8">
        <v>18</v>
      </c>
      <c r="PK80" s="12">
        <v>426</v>
      </c>
      <c r="PP80" s="8">
        <v>-303</v>
      </c>
      <c r="PQ80" s="28">
        <v>14</v>
      </c>
      <c r="PR80" s="28"/>
      <c r="PS80" s="8">
        <v>-25</v>
      </c>
      <c r="PT80" s="12">
        <v>366</v>
      </c>
      <c r="PW80" s="8">
        <v>93</v>
      </c>
      <c r="PX80" s="28">
        <v>134</v>
      </c>
      <c r="QH80" s="8">
        <v>302</v>
      </c>
      <c r="QI80" s="12">
        <v>196</v>
      </c>
      <c r="QT80" s="8">
        <v>423</v>
      </c>
      <c r="QU80" s="12">
        <v>277</v>
      </c>
      <c r="QV80" s="6"/>
      <c r="QW80" s="12"/>
      <c r="RC80" s="6">
        <v>66</v>
      </c>
      <c r="RD80" s="12">
        <v>67</v>
      </c>
      <c r="RE80" s="6">
        <v>160</v>
      </c>
      <c r="RF80" s="12">
        <v>102</v>
      </c>
      <c r="RG80" s="8">
        <v>75</v>
      </c>
      <c r="RH80" s="28">
        <v>759</v>
      </c>
      <c r="RL80" s="8">
        <v>16</v>
      </c>
      <c r="RM80" s="12">
        <v>355</v>
      </c>
      <c r="SP80" s="8">
        <v>-809</v>
      </c>
      <c r="SQ80" s="12">
        <v>90</v>
      </c>
      <c r="SY80" s="6">
        <v>252</v>
      </c>
      <c r="TH80" s="8">
        <v>55</v>
      </c>
      <c r="TI80" s="28">
        <v>40</v>
      </c>
      <c r="TX80" s="8">
        <v>251</v>
      </c>
      <c r="TY80" s="28">
        <v>722</v>
      </c>
      <c r="TZ80" s="8">
        <v>176</v>
      </c>
      <c r="UA80" s="12">
        <v>161</v>
      </c>
      <c r="UG80" s="8">
        <v>-432</v>
      </c>
      <c r="UH80" s="12">
        <v>365</v>
      </c>
      <c r="UI80" s="8">
        <v>3</v>
      </c>
      <c r="VF80" s="8">
        <v>767</v>
      </c>
      <c r="VH80" s="8">
        <v>882</v>
      </c>
      <c r="VI80" s="28">
        <v>128</v>
      </c>
      <c r="VL80" s="21"/>
      <c r="VM80" s="8">
        <v>-10657</v>
      </c>
      <c r="VN80" s="12">
        <v>552</v>
      </c>
      <c r="VO80" s="12"/>
      <c r="VP80" s="12"/>
      <c r="VQ80" s="6">
        <v>-396</v>
      </c>
      <c r="VR80" s="28">
        <v>102</v>
      </c>
      <c r="VS80" s="12"/>
      <c r="VT80" s="12"/>
      <c r="VZ80" s="8">
        <v>82</v>
      </c>
      <c r="WA80" s="28">
        <v>144</v>
      </c>
      <c r="WB80" s="8">
        <v>6321</v>
      </c>
      <c r="WC80" s="12">
        <v>2046</v>
      </c>
      <c r="XG80" s="2">
        <v>632</v>
      </c>
      <c r="XH80" s="1">
        <v>84</v>
      </c>
      <c r="XK80">
        <v>-156</v>
      </c>
      <c r="XL80" s="1">
        <v>17</v>
      </c>
    </row>
    <row r="81" spans="7:636" x14ac:dyDescent="0.25">
      <c r="G81" s="2">
        <v>811</v>
      </c>
      <c r="I81" s="2">
        <v>6</v>
      </c>
      <c r="K81" s="2">
        <v>4464</v>
      </c>
      <c r="L81" s="1">
        <v>12</v>
      </c>
      <c r="M81">
        <v>7</v>
      </c>
      <c r="N81" s="1">
        <v>12</v>
      </c>
      <c r="O81" s="26"/>
      <c r="R81">
        <v>329</v>
      </c>
      <c r="S81" s="12">
        <v>106</v>
      </c>
      <c r="V81">
        <v>-6</v>
      </c>
      <c r="W81" s="10">
        <v>129</v>
      </c>
      <c r="AB81">
        <v>45</v>
      </c>
      <c r="AC81" s="1">
        <v>41</v>
      </c>
      <c r="AD81">
        <v>14</v>
      </c>
      <c r="AE81" s="1">
        <v>3</v>
      </c>
      <c r="AJ81" s="2">
        <v>4204</v>
      </c>
      <c r="AK81" s="10">
        <v>891</v>
      </c>
      <c r="AY81">
        <v>2</v>
      </c>
      <c r="AZ81" s="1">
        <v>1</v>
      </c>
      <c r="BD81" s="8"/>
      <c r="BF81">
        <v>362</v>
      </c>
      <c r="BG81" s="1">
        <v>891</v>
      </c>
      <c r="BJ81">
        <v>19</v>
      </c>
      <c r="BL81">
        <v>2460</v>
      </c>
      <c r="BM81" s="1">
        <v>68</v>
      </c>
      <c r="BN81">
        <v>32</v>
      </c>
      <c r="BP81">
        <v>177</v>
      </c>
      <c r="BQ81" s="10">
        <v>1132</v>
      </c>
      <c r="BT81">
        <v>172</v>
      </c>
      <c r="BU81" s="1">
        <v>49</v>
      </c>
      <c r="CE81" s="8">
        <v>217</v>
      </c>
      <c r="CF81" s="28">
        <v>8</v>
      </c>
      <c r="CG81" s="8">
        <v>1653</v>
      </c>
      <c r="CI81" s="8">
        <v>134</v>
      </c>
      <c r="CJ81" s="12">
        <v>46</v>
      </c>
      <c r="CK81" s="8">
        <v>5</v>
      </c>
      <c r="CL81" s="28">
        <v>21</v>
      </c>
      <c r="CM81" s="6">
        <v>151</v>
      </c>
      <c r="CN81" s="28">
        <v>149</v>
      </c>
      <c r="CO81" s="6">
        <v>-820</v>
      </c>
      <c r="CP81" s="28"/>
      <c r="CQ81" s="6">
        <v>851</v>
      </c>
      <c r="CR81" s="28"/>
      <c r="CS81" s="6">
        <v>-979</v>
      </c>
      <c r="CT81" s="28">
        <v>419</v>
      </c>
      <c r="CU81" s="28"/>
      <c r="CV81" s="28"/>
      <c r="CW81" s="28"/>
      <c r="CX81" s="28"/>
      <c r="CZ81" s="23">
        <v>-27</v>
      </c>
      <c r="DA81" s="25">
        <v>7</v>
      </c>
      <c r="DB81" s="23">
        <v>-106</v>
      </c>
      <c r="DC81" s="25">
        <v>9</v>
      </c>
      <c r="DF81" s="23">
        <v>114</v>
      </c>
      <c r="DG81" s="25">
        <v>231</v>
      </c>
      <c r="DH81" s="23">
        <v>-214</v>
      </c>
      <c r="DI81" s="25">
        <v>321</v>
      </c>
      <c r="DJ81" s="23">
        <v>-249</v>
      </c>
      <c r="DK81" s="28">
        <v>121</v>
      </c>
      <c r="DL81" s="8">
        <v>-3</v>
      </c>
      <c r="DQ81" s="8">
        <v>516</v>
      </c>
      <c r="DR81" s="52">
        <v>133</v>
      </c>
      <c r="DS81" s="6">
        <v>-244</v>
      </c>
      <c r="DT81" s="52">
        <v>331</v>
      </c>
      <c r="DU81" s="8">
        <v>299</v>
      </c>
      <c r="DV81" s="28">
        <v>167</v>
      </c>
      <c r="DW81" s="8">
        <v>-283</v>
      </c>
      <c r="DX81" s="28">
        <v>265</v>
      </c>
      <c r="DY81" s="6">
        <v>947</v>
      </c>
      <c r="DZ81" s="52">
        <v>303</v>
      </c>
      <c r="EA81" s="23">
        <v>705</v>
      </c>
      <c r="EB81" s="52">
        <v>102</v>
      </c>
      <c r="EC81" s="6">
        <v>40</v>
      </c>
      <c r="ED81" s="28">
        <v>49</v>
      </c>
      <c r="EE81" s="8">
        <v>-59</v>
      </c>
      <c r="EF81" s="52">
        <v>41</v>
      </c>
      <c r="EG81" s="8">
        <v>573</v>
      </c>
      <c r="EH81" s="28">
        <v>850</v>
      </c>
      <c r="EI81" s="8">
        <v>-22</v>
      </c>
      <c r="EJ81" s="52">
        <v>414</v>
      </c>
      <c r="EL81" s="8">
        <v>-988</v>
      </c>
      <c r="EM81" s="28">
        <v>381</v>
      </c>
      <c r="EN81" s="8">
        <v>-10</v>
      </c>
      <c r="EO81" s="28">
        <v>34</v>
      </c>
      <c r="EP81" s="28"/>
      <c r="EQ81" s="28"/>
      <c r="EX81" s="8">
        <v>309</v>
      </c>
      <c r="EY81" s="28">
        <v>193</v>
      </c>
      <c r="FD81" s="6">
        <v>-13</v>
      </c>
      <c r="FE81" s="28">
        <v>893</v>
      </c>
      <c r="FM81" s="8">
        <v>243</v>
      </c>
      <c r="FN81" s="52">
        <v>416</v>
      </c>
      <c r="FQ81" s="8">
        <v>28</v>
      </c>
      <c r="FR81" s="28">
        <v>2</v>
      </c>
      <c r="FS81" s="8">
        <v>325</v>
      </c>
      <c r="FT81" s="52">
        <v>116</v>
      </c>
      <c r="GC81" s="8">
        <v>-442</v>
      </c>
      <c r="GE81" s="8">
        <v>684</v>
      </c>
      <c r="GF81" s="28">
        <v>329</v>
      </c>
      <c r="GI81" s="8">
        <v>-48</v>
      </c>
      <c r="GJ81" s="28">
        <v>66</v>
      </c>
      <c r="GP81" s="8">
        <v>-109</v>
      </c>
      <c r="GQ81" s="52">
        <v>447</v>
      </c>
      <c r="GR81" s="8">
        <v>9</v>
      </c>
      <c r="GS81" s="28">
        <v>43</v>
      </c>
      <c r="GT81" s="6">
        <v>-882</v>
      </c>
      <c r="GU81" s="52">
        <v>176</v>
      </c>
      <c r="GV81" s="28"/>
      <c r="GW81" s="28"/>
      <c r="GZ81" s="8">
        <v>9</v>
      </c>
      <c r="HA81" s="28">
        <v>29</v>
      </c>
      <c r="HB81" s="6">
        <v>30</v>
      </c>
      <c r="HC81" s="28"/>
      <c r="HE81" s="8">
        <v>44</v>
      </c>
      <c r="HF81" s="28">
        <v>55</v>
      </c>
      <c r="HG81" s="8">
        <v>-391</v>
      </c>
      <c r="HQ81" s="6">
        <v>-188</v>
      </c>
      <c r="HR81" s="28">
        <v>151</v>
      </c>
      <c r="HS81" s="8">
        <v>7</v>
      </c>
      <c r="HT81" s="52">
        <v>280</v>
      </c>
      <c r="HX81" s="8">
        <v>475</v>
      </c>
      <c r="HY81" s="28">
        <v>155</v>
      </c>
      <c r="HZ81" s="8">
        <v>-82</v>
      </c>
      <c r="IB81" s="8">
        <v>-170</v>
      </c>
      <c r="IC81" s="28">
        <v>940</v>
      </c>
      <c r="ID81" s="8">
        <v>494</v>
      </c>
      <c r="IE81" s="28">
        <v>273</v>
      </c>
      <c r="IO81">
        <v>163</v>
      </c>
      <c r="IP81" s="10">
        <v>65</v>
      </c>
      <c r="IW81" s="8">
        <v>-295</v>
      </c>
      <c r="IY81" s="8">
        <v>134</v>
      </c>
      <c r="JA81" s="8">
        <v>982</v>
      </c>
      <c r="JB81" s="12">
        <v>476</v>
      </c>
      <c r="JH81" s="8">
        <v>-14</v>
      </c>
      <c r="JI81" s="28">
        <v>70</v>
      </c>
      <c r="JL81" s="8">
        <v>6</v>
      </c>
      <c r="JN81" s="8">
        <v>121</v>
      </c>
      <c r="JO81" s="28">
        <v>129</v>
      </c>
      <c r="JP81" s="6">
        <v>75</v>
      </c>
      <c r="JQ81" s="12">
        <v>221</v>
      </c>
      <c r="JW81" s="8">
        <v>-331</v>
      </c>
      <c r="JX81" s="12">
        <v>58</v>
      </c>
      <c r="KE81" s="6">
        <v>47</v>
      </c>
      <c r="KF81" s="12">
        <v>989</v>
      </c>
      <c r="KT81" s="8">
        <v>-856</v>
      </c>
      <c r="KU81" s="28">
        <v>381</v>
      </c>
      <c r="KZ81" s="8">
        <v>2</v>
      </c>
      <c r="LA81" s="12">
        <v>78</v>
      </c>
      <c r="LD81" s="8">
        <v>478</v>
      </c>
      <c r="LE81" s="28">
        <v>238</v>
      </c>
      <c r="LF81" s="8">
        <v>27</v>
      </c>
      <c r="LG81" s="28">
        <v>27</v>
      </c>
      <c r="LH81" s="8">
        <v>661</v>
      </c>
      <c r="LJ81" s="8">
        <v>562</v>
      </c>
      <c r="LK81" s="28">
        <v>121</v>
      </c>
      <c r="LL81" s="8">
        <v>44</v>
      </c>
      <c r="LM81" s="28">
        <v>12</v>
      </c>
      <c r="LN81" s="8">
        <v>392</v>
      </c>
      <c r="LO81" s="28">
        <v>76</v>
      </c>
      <c r="LS81" s="8">
        <v>283</v>
      </c>
      <c r="LU81" s="8">
        <v>-2</v>
      </c>
      <c r="LV81" s="12">
        <v>54</v>
      </c>
      <c r="LW81" s="8">
        <v>-789</v>
      </c>
      <c r="LX81" s="28">
        <v>307</v>
      </c>
      <c r="MF81" s="8">
        <v>264</v>
      </c>
      <c r="MG81" s="12">
        <v>133</v>
      </c>
      <c r="MS81" s="8">
        <v>11</v>
      </c>
      <c r="MT81" s="12">
        <v>61</v>
      </c>
      <c r="NC81" s="8">
        <v>-79</v>
      </c>
      <c r="ND81" s="12">
        <v>370</v>
      </c>
      <c r="NE81" s="8">
        <v>378</v>
      </c>
      <c r="NF81" s="28">
        <v>108</v>
      </c>
      <c r="NG81" s="8">
        <v>-57</v>
      </c>
      <c r="NH81" s="28">
        <v>15</v>
      </c>
      <c r="NP81" s="8">
        <v>305</v>
      </c>
      <c r="NQ81" s="12">
        <v>297</v>
      </c>
      <c r="NW81" s="8">
        <v>107</v>
      </c>
      <c r="NX81" s="28">
        <v>79</v>
      </c>
      <c r="OV81" s="8">
        <v>371</v>
      </c>
      <c r="PJ81" s="8">
        <v>45</v>
      </c>
      <c r="PK81" s="12">
        <v>919</v>
      </c>
      <c r="PP81" s="8">
        <v>-126</v>
      </c>
      <c r="PQ81" s="28">
        <v>13</v>
      </c>
      <c r="PR81" s="28"/>
      <c r="PS81" s="8">
        <v>9</v>
      </c>
      <c r="PT81" s="12">
        <v>163</v>
      </c>
      <c r="PW81" s="8">
        <v>-30</v>
      </c>
      <c r="PX81" s="28">
        <v>111</v>
      </c>
      <c r="QH81" s="8">
        <v>-17</v>
      </c>
      <c r="QI81" s="12">
        <v>245</v>
      </c>
      <c r="QT81" s="8">
        <v>170</v>
      </c>
      <c r="QU81" s="12">
        <v>344</v>
      </c>
      <c r="QV81" s="6"/>
      <c r="QW81" s="12"/>
      <c r="RC81" s="6">
        <v>211</v>
      </c>
      <c r="RD81" s="12">
        <v>231</v>
      </c>
      <c r="RE81" s="6">
        <v>-749</v>
      </c>
      <c r="RF81" s="12">
        <v>461</v>
      </c>
      <c r="RG81" s="8">
        <v>322</v>
      </c>
      <c r="RH81" s="28">
        <v>181</v>
      </c>
      <c r="RL81" s="8">
        <v>-44</v>
      </c>
      <c r="RM81" s="12">
        <v>479</v>
      </c>
      <c r="SP81" s="8">
        <v>334</v>
      </c>
      <c r="SQ81" s="12">
        <v>110</v>
      </c>
      <c r="SY81" s="6">
        <v>-5</v>
      </c>
      <c r="TH81" s="8">
        <v>61</v>
      </c>
      <c r="TI81" s="28">
        <v>33</v>
      </c>
      <c r="TX81" s="8">
        <v>198</v>
      </c>
      <c r="TY81" s="28">
        <v>648</v>
      </c>
      <c r="TZ81" s="8">
        <v>100</v>
      </c>
      <c r="UA81" s="12">
        <v>550</v>
      </c>
      <c r="UG81" s="8">
        <v>120</v>
      </c>
      <c r="UH81" s="12">
        <v>543</v>
      </c>
      <c r="UI81" s="8">
        <v>3</v>
      </c>
      <c r="VF81" s="8">
        <v>425</v>
      </c>
      <c r="VH81" s="8">
        <v>725</v>
      </c>
      <c r="VI81" s="28">
        <v>124</v>
      </c>
      <c r="VL81" s="21"/>
      <c r="VM81" s="8">
        <v>-3779</v>
      </c>
      <c r="VN81" s="12">
        <v>246</v>
      </c>
      <c r="VO81" s="12"/>
      <c r="VP81" s="12"/>
      <c r="VQ81" s="6">
        <v>-194</v>
      </c>
      <c r="VR81" s="28">
        <v>976</v>
      </c>
      <c r="VS81" s="12"/>
      <c r="VT81" s="12"/>
      <c r="VZ81" s="8">
        <v>212</v>
      </c>
      <c r="WA81" s="28">
        <v>18</v>
      </c>
      <c r="WB81" s="8">
        <v>-15</v>
      </c>
      <c r="WC81" s="12">
        <v>521</v>
      </c>
      <c r="XG81" s="2">
        <v>626</v>
      </c>
      <c r="XH81" s="1">
        <v>144</v>
      </c>
      <c r="XK81">
        <v>-27</v>
      </c>
      <c r="XL81" s="1">
        <v>39</v>
      </c>
    </row>
    <row r="82" spans="7:636" x14ac:dyDescent="0.25">
      <c r="G82" s="2">
        <v>249</v>
      </c>
      <c r="I82" s="2">
        <v>-9</v>
      </c>
      <c r="K82" s="2">
        <v>2520</v>
      </c>
      <c r="L82" s="1">
        <v>11</v>
      </c>
      <c r="M82">
        <v>13</v>
      </c>
      <c r="N82" s="1">
        <v>13</v>
      </c>
      <c r="O82" s="26"/>
      <c r="R82">
        <v>255</v>
      </c>
      <c r="S82" s="12">
        <v>316</v>
      </c>
      <c r="V82">
        <v>-109</v>
      </c>
      <c r="W82" s="10">
        <v>149</v>
      </c>
      <c r="AB82">
        <v>-20</v>
      </c>
      <c r="AC82" s="1">
        <v>40</v>
      </c>
      <c r="AD82">
        <v>23</v>
      </c>
      <c r="AE82" s="1">
        <v>3</v>
      </c>
      <c r="AJ82" s="2">
        <v>4219</v>
      </c>
      <c r="AK82" s="10">
        <v>1058</v>
      </c>
      <c r="AY82">
        <v>2</v>
      </c>
      <c r="AZ82" s="1">
        <v>1</v>
      </c>
      <c r="BD82" s="8"/>
      <c r="BF82">
        <v>3976</v>
      </c>
      <c r="BG82" s="1">
        <v>2303</v>
      </c>
      <c r="BL82">
        <v>-44</v>
      </c>
      <c r="BM82" s="1">
        <v>8</v>
      </c>
      <c r="BN82">
        <v>39</v>
      </c>
      <c r="BP82">
        <v>-163</v>
      </c>
      <c r="BQ82" s="10">
        <v>862</v>
      </c>
      <c r="BT82">
        <v>-484</v>
      </c>
      <c r="BU82" s="1">
        <v>67</v>
      </c>
      <c r="CE82" s="8">
        <v>185</v>
      </c>
      <c r="CF82" s="28">
        <v>8</v>
      </c>
      <c r="CG82" s="8">
        <v>1684</v>
      </c>
      <c r="CI82" s="8">
        <v>330</v>
      </c>
      <c r="CJ82" s="12">
        <v>292</v>
      </c>
      <c r="CK82" s="8">
        <v>5</v>
      </c>
      <c r="CL82" s="28">
        <v>21</v>
      </c>
      <c r="CM82" s="6">
        <v>-24</v>
      </c>
      <c r="CN82" s="28">
        <v>19</v>
      </c>
      <c r="CO82" s="6">
        <v>-137</v>
      </c>
      <c r="CP82" s="28"/>
      <c r="CQ82" s="6">
        <v>901</v>
      </c>
      <c r="CR82" s="28"/>
      <c r="CS82" s="6">
        <v>128</v>
      </c>
      <c r="CT82" s="28">
        <v>179</v>
      </c>
      <c r="CU82" s="28"/>
      <c r="CV82" s="28"/>
      <c r="CW82" s="28"/>
      <c r="CX82" s="28"/>
      <c r="CZ82" s="23">
        <v>21</v>
      </c>
      <c r="DA82" s="25">
        <v>7</v>
      </c>
      <c r="DB82" s="23">
        <v>313</v>
      </c>
      <c r="DC82" s="25">
        <v>17</v>
      </c>
      <c r="DF82" s="23">
        <v>119</v>
      </c>
      <c r="DG82" s="25">
        <v>385</v>
      </c>
      <c r="DH82" s="23">
        <v>-775</v>
      </c>
      <c r="DI82" s="25">
        <v>349</v>
      </c>
      <c r="DJ82" s="23">
        <v>121</v>
      </c>
      <c r="DK82" s="28">
        <v>881</v>
      </c>
      <c r="DL82" s="8">
        <v>1</v>
      </c>
      <c r="DQ82" s="8">
        <v>-746</v>
      </c>
      <c r="DR82" s="52">
        <v>585</v>
      </c>
      <c r="DS82" s="6">
        <v>-120</v>
      </c>
      <c r="DT82" s="52">
        <v>98</v>
      </c>
      <c r="DU82" s="8">
        <v>-269</v>
      </c>
      <c r="DV82" s="28">
        <v>203</v>
      </c>
      <c r="DW82" s="8">
        <v>285</v>
      </c>
      <c r="DX82" s="28">
        <v>361</v>
      </c>
      <c r="DY82" s="6">
        <v>703</v>
      </c>
      <c r="DZ82" s="52">
        <v>717</v>
      </c>
      <c r="EA82" s="23">
        <v>-142</v>
      </c>
      <c r="EB82" s="52">
        <v>434</v>
      </c>
      <c r="EC82" s="6">
        <v>38</v>
      </c>
      <c r="ED82" s="28">
        <v>50</v>
      </c>
      <c r="EE82" s="8">
        <v>-10</v>
      </c>
      <c r="EF82" s="52">
        <v>47</v>
      </c>
      <c r="EG82" s="8">
        <v>-167</v>
      </c>
      <c r="EH82" s="28">
        <v>537</v>
      </c>
      <c r="EI82" s="8">
        <v>196</v>
      </c>
      <c r="EJ82" s="52">
        <v>768</v>
      </c>
      <c r="EL82" s="8">
        <v>586</v>
      </c>
      <c r="EM82" s="28">
        <v>977</v>
      </c>
      <c r="EN82" s="8">
        <v>132</v>
      </c>
      <c r="EO82" s="28">
        <v>11</v>
      </c>
      <c r="EP82" s="28"/>
      <c r="EQ82" s="28"/>
      <c r="EX82" s="8">
        <v>332</v>
      </c>
      <c r="EY82" s="28">
        <v>133</v>
      </c>
      <c r="FD82" s="6">
        <v>234</v>
      </c>
      <c r="FE82" s="28">
        <v>46</v>
      </c>
      <c r="FM82" s="8">
        <v>-721</v>
      </c>
      <c r="FN82" s="52">
        <v>233</v>
      </c>
      <c r="FQ82" s="8">
        <v>64</v>
      </c>
      <c r="FR82" s="28">
        <v>10</v>
      </c>
      <c r="FS82" s="8">
        <v>290</v>
      </c>
      <c r="FT82" s="52">
        <v>112</v>
      </c>
      <c r="GC82" s="8">
        <v>-335</v>
      </c>
      <c r="GE82" s="8">
        <v>-373</v>
      </c>
      <c r="GF82" s="28">
        <v>158</v>
      </c>
      <c r="GI82" s="8">
        <v>43</v>
      </c>
      <c r="GJ82" s="28">
        <v>54</v>
      </c>
      <c r="GP82" s="8">
        <v>7</v>
      </c>
      <c r="GQ82" s="52">
        <v>206</v>
      </c>
      <c r="GR82" s="8">
        <v>17</v>
      </c>
      <c r="GS82" s="28">
        <v>23</v>
      </c>
      <c r="GT82" s="6">
        <v>-658</v>
      </c>
      <c r="GU82" s="52">
        <v>357</v>
      </c>
      <c r="GV82" s="28"/>
      <c r="GW82" s="28"/>
      <c r="GZ82" s="8">
        <v>890</v>
      </c>
      <c r="HA82" s="28">
        <v>339</v>
      </c>
      <c r="HB82" s="6">
        <v>-81</v>
      </c>
      <c r="HC82" s="28"/>
      <c r="HE82" s="8">
        <v>17</v>
      </c>
      <c r="HF82" s="28">
        <v>58</v>
      </c>
      <c r="HG82" s="8">
        <v>125</v>
      </c>
      <c r="HQ82" s="6">
        <v>42</v>
      </c>
      <c r="HR82" s="28">
        <v>12</v>
      </c>
      <c r="HS82" s="8">
        <v>-4</v>
      </c>
      <c r="HT82" s="52">
        <v>439</v>
      </c>
      <c r="HX82" s="8">
        <v>18</v>
      </c>
      <c r="HY82" s="28">
        <v>20</v>
      </c>
      <c r="HZ82" s="8">
        <v>-1</v>
      </c>
      <c r="IB82" s="8">
        <v>-796</v>
      </c>
      <c r="IC82" s="28">
        <v>567</v>
      </c>
      <c r="ID82" s="8">
        <v>55</v>
      </c>
      <c r="IE82" s="28">
        <v>771</v>
      </c>
      <c r="IO82">
        <v>285</v>
      </c>
      <c r="IP82" s="10">
        <v>49</v>
      </c>
      <c r="IW82" s="8">
        <v>-392</v>
      </c>
      <c r="IY82" s="8">
        <v>-950</v>
      </c>
      <c r="JA82" s="8">
        <v>-14</v>
      </c>
      <c r="JB82" s="12">
        <v>319</v>
      </c>
      <c r="JH82" s="8">
        <v>8</v>
      </c>
      <c r="JI82" s="28">
        <v>243</v>
      </c>
      <c r="JL82" s="8">
        <v>-8</v>
      </c>
      <c r="JN82" s="8">
        <v>203</v>
      </c>
      <c r="JO82" s="28">
        <v>172</v>
      </c>
      <c r="JP82" s="6">
        <v>34</v>
      </c>
      <c r="JQ82" s="12">
        <v>107</v>
      </c>
      <c r="JW82" s="8">
        <v>-368</v>
      </c>
      <c r="JX82" s="12">
        <v>645</v>
      </c>
      <c r="KE82" s="6">
        <v>138</v>
      </c>
      <c r="KF82" s="12">
        <v>476</v>
      </c>
      <c r="KT82" s="8">
        <v>100</v>
      </c>
      <c r="KU82" s="28">
        <v>509</v>
      </c>
      <c r="KZ82" s="8">
        <v>-2</v>
      </c>
      <c r="LA82" s="12">
        <v>122</v>
      </c>
      <c r="LD82" s="8">
        <v>275</v>
      </c>
      <c r="LE82" s="28">
        <v>293</v>
      </c>
      <c r="LF82" s="8">
        <v>-16</v>
      </c>
      <c r="LG82" s="28">
        <v>22</v>
      </c>
      <c r="LH82" s="8">
        <v>-253</v>
      </c>
      <c r="LJ82" s="8">
        <v>-985</v>
      </c>
      <c r="LK82" s="28">
        <v>256</v>
      </c>
      <c r="LL82" s="8">
        <v>-17</v>
      </c>
      <c r="LM82" s="28">
        <v>22</v>
      </c>
      <c r="LN82" s="8">
        <v>224</v>
      </c>
      <c r="LO82" s="28">
        <v>71</v>
      </c>
      <c r="LS82" s="8">
        <v>64</v>
      </c>
      <c r="LU82" s="8">
        <v>3</v>
      </c>
      <c r="LV82" s="12">
        <v>51</v>
      </c>
      <c r="LW82" s="8">
        <v>191</v>
      </c>
      <c r="LX82" s="28">
        <v>367</v>
      </c>
      <c r="MF82" s="8">
        <v>127</v>
      </c>
      <c r="MG82" s="12">
        <v>537</v>
      </c>
      <c r="MS82" s="8">
        <v>-458</v>
      </c>
      <c r="MT82" s="12">
        <v>538</v>
      </c>
      <c r="NC82" s="8">
        <v>-130</v>
      </c>
      <c r="ND82" s="12">
        <v>446</v>
      </c>
      <c r="NE82" s="8">
        <v>411</v>
      </c>
      <c r="NF82" s="28">
        <v>121</v>
      </c>
      <c r="NG82" s="8">
        <v>-70</v>
      </c>
      <c r="NH82" s="28">
        <v>39</v>
      </c>
      <c r="NP82" s="8">
        <v>338</v>
      </c>
      <c r="NQ82" s="12">
        <v>329</v>
      </c>
      <c r="NW82" s="8">
        <v>121</v>
      </c>
      <c r="NX82" s="28">
        <v>79</v>
      </c>
      <c r="OV82" s="8">
        <v>667</v>
      </c>
      <c r="PJ82" s="8">
        <v>4</v>
      </c>
      <c r="PK82" s="12">
        <v>84</v>
      </c>
      <c r="PP82" s="8">
        <v>14</v>
      </c>
      <c r="PQ82" s="28">
        <v>13</v>
      </c>
      <c r="PR82" s="28"/>
      <c r="PS82" s="8">
        <v>-4</v>
      </c>
      <c r="PT82" s="12">
        <v>62</v>
      </c>
      <c r="PW82" s="8">
        <v>7</v>
      </c>
      <c r="PX82" s="28">
        <v>16</v>
      </c>
      <c r="QH82" s="8">
        <v>-239</v>
      </c>
      <c r="QI82" s="12">
        <v>103</v>
      </c>
      <c r="QT82" s="8">
        <v>486</v>
      </c>
      <c r="QU82" s="12">
        <v>310</v>
      </c>
      <c r="QV82" s="6"/>
      <c r="QW82" s="12"/>
      <c r="RC82" s="6">
        <v>-497</v>
      </c>
      <c r="RD82" s="12">
        <v>661</v>
      </c>
      <c r="RE82" s="6">
        <v>-282</v>
      </c>
      <c r="RF82" s="12">
        <v>950</v>
      </c>
      <c r="RG82" s="8">
        <v>-689</v>
      </c>
      <c r="RH82" s="28">
        <v>563</v>
      </c>
      <c r="RL82" s="8">
        <v>-6</v>
      </c>
      <c r="RM82" s="12">
        <v>232</v>
      </c>
      <c r="SP82" s="8">
        <v>50</v>
      </c>
      <c r="SQ82" s="12">
        <v>263</v>
      </c>
      <c r="SY82" s="6">
        <v>543</v>
      </c>
      <c r="TH82" s="8">
        <v>76</v>
      </c>
      <c r="TI82" s="28">
        <v>49</v>
      </c>
      <c r="TX82" s="8">
        <v>222</v>
      </c>
      <c r="TY82" s="28">
        <v>655</v>
      </c>
      <c r="TZ82" s="8">
        <v>46</v>
      </c>
      <c r="UA82" s="12">
        <v>174</v>
      </c>
      <c r="UG82" s="8">
        <v>284</v>
      </c>
      <c r="UH82" s="12">
        <v>6</v>
      </c>
      <c r="UI82" s="8">
        <v>3</v>
      </c>
      <c r="VF82" s="8">
        <v>258</v>
      </c>
      <c r="VH82" s="8">
        <v>206</v>
      </c>
      <c r="VI82" s="28">
        <v>155</v>
      </c>
      <c r="VL82" s="21"/>
      <c r="VM82" s="8">
        <v>-7696</v>
      </c>
      <c r="VN82" s="12">
        <v>448</v>
      </c>
      <c r="VO82" s="12"/>
      <c r="VP82" s="12"/>
      <c r="VQ82" s="6">
        <v>-368</v>
      </c>
      <c r="VR82" s="28">
        <v>989</v>
      </c>
      <c r="VS82" s="12"/>
      <c r="VT82" s="12"/>
      <c r="VZ82" s="8">
        <v>20</v>
      </c>
      <c r="WA82" s="28">
        <v>335</v>
      </c>
      <c r="WB82" s="8">
        <v>-3230</v>
      </c>
      <c r="WC82" s="12">
        <v>1934</v>
      </c>
      <c r="XG82" s="2">
        <v>377</v>
      </c>
      <c r="XH82" s="1">
        <v>191</v>
      </c>
      <c r="XK82">
        <v>70</v>
      </c>
      <c r="XL82" s="1">
        <v>40</v>
      </c>
    </row>
    <row r="83" spans="7:636" x14ac:dyDescent="0.25">
      <c r="G83" s="2">
        <v>-43</v>
      </c>
      <c r="I83" s="2">
        <v>-17</v>
      </c>
      <c r="K83" s="2">
        <v>2684</v>
      </c>
      <c r="L83" s="1">
        <v>7</v>
      </c>
      <c r="M83">
        <v>-8</v>
      </c>
      <c r="N83" s="1">
        <v>13</v>
      </c>
      <c r="O83" s="26"/>
      <c r="R83">
        <v>-505</v>
      </c>
      <c r="S83" s="12">
        <v>101</v>
      </c>
      <c r="V83">
        <v>6</v>
      </c>
      <c r="W83" s="10">
        <v>322</v>
      </c>
      <c r="AB83">
        <v>43</v>
      </c>
      <c r="AC83" s="1">
        <v>42</v>
      </c>
      <c r="AD83">
        <v>29</v>
      </c>
      <c r="AE83" s="1">
        <v>3</v>
      </c>
      <c r="AJ83" s="2">
        <v>4443</v>
      </c>
      <c r="AK83" s="10">
        <v>1103</v>
      </c>
      <c r="AY83">
        <v>-1</v>
      </c>
      <c r="AZ83" s="1">
        <v>1</v>
      </c>
      <c r="BD83" s="8"/>
      <c r="BF83">
        <v>-1248</v>
      </c>
      <c r="BG83" s="1">
        <v>537</v>
      </c>
      <c r="BL83">
        <v>28</v>
      </c>
      <c r="BM83" s="1">
        <v>6</v>
      </c>
      <c r="BN83">
        <v>-3</v>
      </c>
      <c r="BP83">
        <v>297</v>
      </c>
      <c r="BQ83" s="10">
        <v>1811</v>
      </c>
      <c r="BT83">
        <v>-276</v>
      </c>
      <c r="BU83" s="1">
        <v>121</v>
      </c>
      <c r="CE83" s="8">
        <v>158</v>
      </c>
      <c r="CF83" s="28">
        <v>8</v>
      </c>
      <c r="CG83" s="8">
        <v>2278</v>
      </c>
      <c r="CI83" s="8">
        <v>195</v>
      </c>
      <c r="CJ83" s="12">
        <v>962</v>
      </c>
      <c r="CK83" s="8">
        <v>-34</v>
      </c>
      <c r="CL83" s="28">
        <v>24</v>
      </c>
      <c r="CM83" s="6">
        <v>667</v>
      </c>
      <c r="CN83" s="28">
        <v>172</v>
      </c>
      <c r="CO83" s="6">
        <v>218</v>
      </c>
      <c r="CP83" s="28"/>
      <c r="CQ83" s="6">
        <v>907</v>
      </c>
      <c r="CR83" s="28"/>
      <c r="CS83" s="6">
        <v>-177</v>
      </c>
      <c r="CT83" s="28">
        <v>225</v>
      </c>
      <c r="CU83" s="28"/>
      <c r="CV83" s="28"/>
      <c r="CW83" s="28"/>
      <c r="CX83" s="28"/>
      <c r="CZ83" s="23">
        <v>35</v>
      </c>
      <c r="DA83" s="25">
        <v>164</v>
      </c>
      <c r="DB83" s="23">
        <v>186</v>
      </c>
      <c r="DC83" s="25">
        <v>31</v>
      </c>
      <c r="DF83" s="23">
        <v>135</v>
      </c>
      <c r="DG83" s="25">
        <v>969</v>
      </c>
      <c r="DH83" s="23">
        <v>-596</v>
      </c>
      <c r="DI83" s="25">
        <v>342</v>
      </c>
      <c r="DJ83" s="23">
        <v>274</v>
      </c>
      <c r="DK83" s="28">
        <v>103</v>
      </c>
      <c r="DL83" s="8">
        <v>1</v>
      </c>
      <c r="DQ83" s="8">
        <v>208</v>
      </c>
      <c r="DR83" s="52">
        <v>984</v>
      </c>
      <c r="DS83" s="6">
        <v>194</v>
      </c>
      <c r="DT83" s="52">
        <v>101</v>
      </c>
      <c r="DU83" s="8">
        <v>116</v>
      </c>
      <c r="DV83" s="28">
        <v>276</v>
      </c>
      <c r="DW83" s="8">
        <v>-44</v>
      </c>
      <c r="DX83" s="28">
        <v>358</v>
      </c>
      <c r="DY83" s="6">
        <v>-208</v>
      </c>
      <c r="DZ83" s="52">
        <v>116</v>
      </c>
      <c r="EA83" s="23">
        <v>-71</v>
      </c>
      <c r="EB83" s="52">
        <v>482</v>
      </c>
      <c r="EC83" s="6">
        <v>52</v>
      </c>
      <c r="ED83" s="28">
        <v>62</v>
      </c>
      <c r="EE83" s="8">
        <v>-1</v>
      </c>
      <c r="EF83" s="52">
        <v>42</v>
      </c>
      <c r="EG83" s="8">
        <v>258</v>
      </c>
      <c r="EH83" s="28">
        <v>276</v>
      </c>
      <c r="EI83" s="8">
        <v>32</v>
      </c>
      <c r="EJ83" s="52">
        <v>694</v>
      </c>
      <c r="EL83" s="8">
        <v>-334</v>
      </c>
      <c r="EM83" s="28">
        <v>115</v>
      </c>
      <c r="EN83" s="8">
        <v>-142</v>
      </c>
      <c r="EO83" s="28">
        <v>34</v>
      </c>
      <c r="EP83" s="28"/>
      <c r="EQ83" s="28"/>
      <c r="EX83" s="8">
        <v>252</v>
      </c>
      <c r="EY83" s="28">
        <v>167</v>
      </c>
      <c r="FD83" s="6">
        <v>-740</v>
      </c>
      <c r="FE83" s="28">
        <v>920</v>
      </c>
      <c r="FM83" s="8">
        <v>-295</v>
      </c>
      <c r="FN83" s="52">
        <v>248</v>
      </c>
      <c r="FQ83" s="8">
        <v>-20</v>
      </c>
      <c r="FR83" s="28">
        <v>6</v>
      </c>
      <c r="FS83" s="8">
        <v>308</v>
      </c>
      <c r="FT83" s="52">
        <v>116</v>
      </c>
      <c r="GC83" s="8">
        <v>-459</v>
      </c>
      <c r="GE83" s="8">
        <v>834</v>
      </c>
      <c r="GF83" s="28">
        <v>348</v>
      </c>
      <c r="GI83" s="8">
        <v>-72</v>
      </c>
      <c r="GJ83" s="28">
        <v>85</v>
      </c>
      <c r="GP83" s="8">
        <v>-163</v>
      </c>
      <c r="GQ83" s="52">
        <v>204</v>
      </c>
      <c r="GR83" s="8">
        <v>5</v>
      </c>
      <c r="GS83" s="28">
        <v>28</v>
      </c>
      <c r="GT83" s="6">
        <v>-385</v>
      </c>
      <c r="GU83" s="52">
        <v>229</v>
      </c>
      <c r="GV83" s="28"/>
      <c r="GW83" s="28"/>
      <c r="GZ83" s="8">
        <v>169</v>
      </c>
      <c r="HA83" s="28">
        <v>349</v>
      </c>
      <c r="HB83" s="6">
        <v>-27</v>
      </c>
      <c r="HC83" s="28"/>
      <c r="HE83" s="8">
        <v>107</v>
      </c>
      <c r="HF83" s="28">
        <v>61</v>
      </c>
      <c r="HG83" s="8">
        <v>122</v>
      </c>
      <c r="HQ83" s="6">
        <v>13</v>
      </c>
      <c r="HR83" s="28">
        <v>15</v>
      </c>
      <c r="HS83" s="8">
        <v>3</v>
      </c>
      <c r="HT83" s="52">
        <v>251</v>
      </c>
      <c r="HX83" s="8">
        <v>-99</v>
      </c>
      <c r="HY83" s="28">
        <v>203</v>
      </c>
      <c r="HZ83" s="8">
        <v>-1</v>
      </c>
      <c r="IB83" s="8">
        <v>-100</v>
      </c>
      <c r="IC83" s="28">
        <v>112</v>
      </c>
      <c r="ID83" s="8">
        <v>91</v>
      </c>
      <c r="IE83" s="28">
        <v>13</v>
      </c>
      <c r="IO83">
        <v>362</v>
      </c>
      <c r="IP83" s="10">
        <v>93</v>
      </c>
      <c r="IW83" s="8">
        <v>-178</v>
      </c>
      <c r="IY83" s="8">
        <v>-440</v>
      </c>
      <c r="JA83" s="8">
        <v>729</v>
      </c>
      <c r="JB83" s="12">
        <v>949</v>
      </c>
      <c r="JH83" s="8">
        <v>-34</v>
      </c>
      <c r="JI83" s="28">
        <v>25</v>
      </c>
      <c r="JL83" s="8">
        <v>8</v>
      </c>
      <c r="JN83" s="8">
        <v>227</v>
      </c>
      <c r="JO83" s="28">
        <v>233</v>
      </c>
      <c r="JP83" s="6">
        <v>25</v>
      </c>
      <c r="JQ83" s="12">
        <v>786</v>
      </c>
      <c r="JW83" s="8">
        <v>-345</v>
      </c>
      <c r="JX83" s="12">
        <v>605</v>
      </c>
      <c r="KE83" s="6">
        <v>6</v>
      </c>
      <c r="KF83" s="12">
        <v>107</v>
      </c>
      <c r="KT83" s="8">
        <v>-8</v>
      </c>
      <c r="KU83" s="28">
        <v>5</v>
      </c>
      <c r="KZ83" s="8">
        <v>-9</v>
      </c>
      <c r="LA83" s="12">
        <v>336</v>
      </c>
      <c r="LD83" s="8">
        <v>-114</v>
      </c>
      <c r="LE83" s="28">
        <v>688</v>
      </c>
      <c r="LF83" s="8">
        <v>49</v>
      </c>
      <c r="LG83" s="28">
        <v>20</v>
      </c>
      <c r="LH83" s="8">
        <v>106</v>
      </c>
      <c r="LJ83" s="8">
        <v>241</v>
      </c>
      <c r="LK83" s="28">
        <v>173</v>
      </c>
      <c r="LL83" s="8">
        <v>-10</v>
      </c>
      <c r="LM83" s="28">
        <v>10</v>
      </c>
      <c r="LN83" s="8">
        <v>195</v>
      </c>
      <c r="LO83" s="28">
        <v>53</v>
      </c>
      <c r="LS83" s="8">
        <v>83</v>
      </c>
      <c r="LU83" s="8">
        <v>-1</v>
      </c>
      <c r="LV83" s="12">
        <v>50</v>
      </c>
      <c r="LW83" s="8">
        <v>935</v>
      </c>
      <c r="LX83" s="28">
        <v>10</v>
      </c>
      <c r="MF83" s="8">
        <v>113</v>
      </c>
      <c r="MG83" s="12">
        <v>534</v>
      </c>
      <c r="MS83" s="8">
        <v>179</v>
      </c>
      <c r="MT83" s="12">
        <v>422</v>
      </c>
      <c r="NC83" s="8">
        <v>-50</v>
      </c>
      <c r="ND83" s="12">
        <v>137</v>
      </c>
      <c r="NE83" s="8">
        <v>-101</v>
      </c>
      <c r="NF83" s="28">
        <v>110</v>
      </c>
      <c r="NG83" s="8">
        <v>1</v>
      </c>
      <c r="NH83" s="28">
        <v>35</v>
      </c>
      <c r="NP83" s="8">
        <v>468</v>
      </c>
      <c r="NQ83" s="12">
        <v>448</v>
      </c>
      <c r="NW83" s="8">
        <v>117</v>
      </c>
      <c r="NX83" s="28">
        <v>79</v>
      </c>
      <c r="OV83" s="8">
        <v>873</v>
      </c>
      <c r="PJ83" s="8">
        <v>-49</v>
      </c>
      <c r="PK83" s="12">
        <v>248</v>
      </c>
      <c r="PP83" s="8">
        <f>154</f>
        <v>154</v>
      </c>
      <c r="PQ83" s="28">
        <v>13</v>
      </c>
      <c r="PR83" s="28"/>
      <c r="PS83" s="8">
        <v>-7</v>
      </c>
      <c r="PT83" s="12">
        <v>171</v>
      </c>
      <c r="PW83" s="8">
        <v>150</v>
      </c>
      <c r="PX83" s="28">
        <v>317</v>
      </c>
      <c r="QH83" s="8">
        <v>-43</v>
      </c>
      <c r="QI83" s="12">
        <v>125</v>
      </c>
      <c r="QT83" s="8">
        <v>324</v>
      </c>
      <c r="QU83" s="12">
        <v>676</v>
      </c>
      <c r="QV83" s="6"/>
      <c r="QW83" s="12"/>
      <c r="RC83" s="6">
        <v>-11</v>
      </c>
      <c r="RD83" s="12">
        <v>57</v>
      </c>
      <c r="RE83" s="6">
        <v>109</v>
      </c>
      <c r="RF83" s="12">
        <v>578</v>
      </c>
      <c r="RG83" s="8">
        <v>-411</v>
      </c>
      <c r="RH83" s="28">
        <v>972</v>
      </c>
      <c r="RL83" s="8">
        <v>86</v>
      </c>
      <c r="RM83" s="12">
        <v>162</v>
      </c>
      <c r="SP83" s="8">
        <v>767</v>
      </c>
      <c r="SQ83" s="12">
        <v>678</v>
      </c>
      <c r="SY83" s="6">
        <v>162</v>
      </c>
      <c r="TH83" s="8">
        <v>14</v>
      </c>
      <c r="TI83" s="28">
        <v>45</v>
      </c>
      <c r="TX83" s="8">
        <v>116</v>
      </c>
      <c r="TY83" s="28">
        <v>839</v>
      </c>
      <c r="TZ83" s="8">
        <v>13</v>
      </c>
      <c r="UA83" s="12">
        <v>437</v>
      </c>
      <c r="UG83" s="8">
        <v>149</v>
      </c>
      <c r="UH83" s="12">
        <v>166</v>
      </c>
      <c r="UI83" s="8">
        <v>-146</v>
      </c>
      <c r="VF83" s="8">
        <v>-630</v>
      </c>
      <c r="VH83" s="8">
        <v>375</v>
      </c>
      <c r="VI83" s="28">
        <v>187</v>
      </c>
      <c r="VL83" s="21"/>
      <c r="VM83" s="8">
        <v>-2744</v>
      </c>
      <c r="VN83" s="12">
        <v>177</v>
      </c>
      <c r="VO83" s="12"/>
      <c r="VP83" s="12"/>
      <c r="VQ83" s="6">
        <v>146</v>
      </c>
      <c r="VR83" s="28">
        <v>477</v>
      </c>
      <c r="VS83" s="12"/>
      <c r="VT83" s="12"/>
      <c r="VZ83" s="8">
        <v>-488</v>
      </c>
      <c r="WA83" s="28">
        <v>421</v>
      </c>
      <c r="WB83" s="8">
        <v>-59</v>
      </c>
      <c r="WC83" s="12">
        <v>393</v>
      </c>
      <c r="XG83" s="2">
        <v>17701</v>
      </c>
      <c r="XH83" s="1">
        <v>12014</v>
      </c>
      <c r="XK83">
        <v>6</v>
      </c>
      <c r="XL83" s="1">
        <v>55</v>
      </c>
    </row>
    <row r="84" spans="7:636" x14ac:dyDescent="0.25">
      <c r="I84" s="2">
        <v>19</v>
      </c>
      <c r="K84" s="2">
        <v>1835</v>
      </c>
      <c r="L84" s="1">
        <v>11</v>
      </c>
      <c r="M84">
        <v>5</v>
      </c>
      <c r="N84" s="1">
        <v>12</v>
      </c>
      <c r="O84" s="26"/>
      <c r="V84">
        <v>-614</v>
      </c>
      <c r="W84" s="10">
        <v>50</v>
      </c>
      <c r="AB84">
        <v>37</v>
      </c>
      <c r="AC84" s="1">
        <v>44</v>
      </c>
      <c r="AD84">
        <v>2</v>
      </c>
      <c r="AE84" s="1">
        <v>10</v>
      </c>
      <c r="AJ84" s="2">
        <v>5852</v>
      </c>
      <c r="AK84" s="10">
        <v>632</v>
      </c>
      <c r="AY84">
        <v>7</v>
      </c>
      <c r="AZ84" s="1">
        <v>4</v>
      </c>
      <c r="BD84" s="8"/>
      <c r="BF84">
        <v>-23213</v>
      </c>
      <c r="BG84" s="1">
        <v>3261</v>
      </c>
      <c r="BL84">
        <v>60</v>
      </c>
      <c r="BM84" s="1">
        <v>7</v>
      </c>
      <c r="BN84">
        <v>-3</v>
      </c>
      <c r="BP84">
        <v>-82</v>
      </c>
      <c r="BQ84" s="10">
        <v>626</v>
      </c>
      <c r="BT84">
        <v>135</v>
      </c>
      <c r="BU84" s="1">
        <v>37</v>
      </c>
      <c r="CE84" s="8">
        <v>104</v>
      </c>
      <c r="CF84" s="28">
        <v>7</v>
      </c>
      <c r="CI84" s="8">
        <v>227</v>
      </c>
      <c r="CJ84" s="12">
        <v>9</v>
      </c>
      <c r="CK84" s="8">
        <v>-36</v>
      </c>
      <c r="CL84" s="28">
        <v>25</v>
      </c>
      <c r="CM84" s="6">
        <v>131</v>
      </c>
      <c r="CN84" s="28">
        <v>41</v>
      </c>
      <c r="CO84" s="6">
        <v>-683</v>
      </c>
      <c r="CP84" s="28"/>
      <c r="CQ84" s="6">
        <v>935</v>
      </c>
      <c r="CR84" s="28"/>
      <c r="CS84" s="6">
        <v>148</v>
      </c>
      <c r="CT84" s="28">
        <v>119</v>
      </c>
      <c r="CU84" s="28"/>
      <c r="CV84" s="28"/>
      <c r="CW84" s="28"/>
      <c r="CX84" s="28"/>
      <c r="CZ84" s="23">
        <v>-8</v>
      </c>
      <c r="DA84" s="25">
        <v>89</v>
      </c>
      <c r="DB84" s="23">
        <v>80</v>
      </c>
      <c r="DC84" s="25">
        <v>9</v>
      </c>
      <c r="DF84" s="23">
        <v>118</v>
      </c>
      <c r="DG84" s="25">
        <v>105</v>
      </c>
      <c r="DH84" s="23">
        <v>-420</v>
      </c>
      <c r="DI84" s="25">
        <v>339</v>
      </c>
      <c r="DJ84" s="23">
        <v>-248</v>
      </c>
      <c r="DK84" s="28">
        <v>104</v>
      </c>
      <c r="DL84" s="8">
        <v>-15</v>
      </c>
      <c r="DQ84" s="8">
        <v>551</v>
      </c>
      <c r="DR84" s="52">
        <v>163</v>
      </c>
      <c r="DS84" s="6">
        <v>16</v>
      </c>
      <c r="DT84" s="52">
        <v>37</v>
      </c>
      <c r="DU84" s="8">
        <v>106</v>
      </c>
      <c r="DV84" s="28">
        <v>413</v>
      </c>
      <c r="DW84" s="8">
        <v>293</v>
      </c>
      <c r="DX84" s="28">
        <v>450</v>
      </c>
      <c r="DY84" s="6">
        <v>549</v>
      </c>
      <c r="DZ84" s="52">
        <v>34</v>
      </c>
      <c r="EA84" s="23">
        <v>141</v>
      </c>
      <c r="EB84" s="52">
        <v>157</v>
      </c>
      <c r="EC84" s="6">
        <v>5</v>
      </c>
      <c r="ED84" s="28">
        <v>122</v>
      </c>
      <c r="EE84" s="8">
        <v>22</v>
      </c>
      <c r="EF84" s="52">
        <v>18</v>
      </c>
      <c r="EG84" s="8">
        <v>793</v>
      </c>
      <c r="EH84" s="28">
        <v>438</v>
      </c>
      <c r="EI84" s="8">
        <v>86</v>
      </c>
      <c r="EJ84" s="52">
        <v>640</v>
      </c>
      <c r="EL84" s="8">
        <v>356</v>
      </c>
      <c r="EM84" s="28">
        <v>348</v>
      </c>
      <c r="EN84" s="8">
        <v>-20</v>
      </c>
      <c r="EO84" s="28">
        <v>33</v>
      </c>
      <c r="EP84" s="28"/>
      <c r="EQ84" s="28"/>
      <c r="EX84" s="8">
        <v>512</v>
      </c>
      <c r="EY84" s="28">
        <v>979</v>
      </c>
      <c r="FD84" s="6">
        <v>213</v>
      </c>
      <c r="FE84" s="28">
        <v>72</v>
      </c>
      <c r="FM84" s="8">
        <v>-105</v>
      </c>
      <c r="FN84" s="52">
        <v>81</v>
      </c>
      <c r="FQ84" s="8">
        <v>19</v>
      </c>
      <c r="FR84" s="28">
        <v>5</v>
      </c>
      <c r="FS84" s="8">
        <v>320</v>
      </c>
      <c r="FT84" s="52">
        <v>118</v>
      </c>
      <c r="GC84" s="8">
        <v>-340</v>
      </c>
      <c r="GE84" s="8">
        <v>818</v>
      </c>
      <c r="GF84" s="28">
        <v>479</v>
      </c>
      <c r="GI84" s="8">
        <v>-77</v>
      </c>
      <c r="GJ84" s="28">
        <v>37</v>
      </c>
      <c r="GP84" s="8">
        <v>-31</v>
      </c>
      <c r="GQ84" s="52">
        <v>73</v>
      </c>
      <c r="GR84" s="8">
        <v>25</v>
      </c>
      <c r="GS84" s="28">
        <v>22</v>
      </c>
      <c r="GT84" s="6">
        <v>56</v>
      </c>
      <c r="GU84" s="52">
        <v>447</v>
      </c>
      <c r="GV84" s="28"/>
      <c r="GW84" s="28"/>
      <c r="GZ84" s="8">
        <v>502</v>
      </c>
      <c r="HA84" s="28">
        <v>15</v>
      </c>
      <c r="HB84" s="6">
        <v>-77</v>
      </c>
      <c r="HC84" s="28"/>
      <c r="HE84" s="8">
        <v>64</v>
      </c>
      <c r="HF84" s="28">
        <v>49</v>
      </c>
      <c r="HG84" s="8">
        <v>56</v>
      </c>
      <c r="HQ84" s="6">
        <v>8</v>
      </c>
      <c r="HR84" s="28">
        <v>3</v>
      </c>
      <c r="HS84" s="8">
        <v>-10</v>
      </c>
      <c r="HT84" s="52">
        <v>386</v>
      </c>
      <c r="HX84" s="8">
        <v>-71</v>
      </c>
      <c r="HY84" s="28">
        <v>32</v>
      </c>
      <c r="HZ84" s="8">
        <v>-7</v>
      </c>
      <c r="IB84" s="8">
        <v>564</v>
      </c>
      <c r="IC84" s="28">
        <v>531</v>
      </c>
      <c r="ID84" s="8">
        <v>17</v>
      </c>
      <c r="IE84" s="28">
        <v>130</v>
      </c>
      <c r="IO84">
        <v>151</v>
      </c>
      <c r="IP84" s="10">
        <v>129</v>
      </c>
      <c r="IW84" s="8">
        <v>-223</v>
      </c>
      <c r="IY84" s="8">
        <v>-460</v>
      </c>
      <c r="JA84" s="8">
        <v>244</v>
      </c>
      <c r="JB84" s="12">
        <v>971</v>
      </c>
      <c r="JH84" s="8">
        <v>42</v>
      </c>
      <c r="JI84" s="28">
        <v>32</v>
      </c>
      <c r="JL84" s="8">
        <v>-14</v>
      </c>
      <c r="JN84" s="8">
        <v>456</v>
      </c>
      <c r="JO84" s="28">
        <v>113</v>
      </c>
      <c r="JP84" s="6">
        <v>104</v>
      </c>
      <c r="JQ84" s="12">
        <v>532</v>
      </c>
      <c r="JW84" s="8">
        <v>-493</v>
      </c>
      <c r="JX84" s="12">
        <v>106</v>
      </c>
      <c r="KE84" s="6">
        <v>113</v>
      </c>
      <c r="KF84" s="12">
        <v>369</v>
      </c>
      <c r="KT84" s="8">
        <v>-7</v>
      </c>
      <c r="KU84" s="28">
        <v>38</v>
      </c>
      <c r="KZ84" s="8">
        <v>-10</v>
      </c>
      <c r="LA84" s="12">
        <v>189</v>
      </c>
      <c r="LD84" s="8">
        <v>84</v>
      </c>
      <c r="LE84" s="28">
        <v>248</v>
      </c>
      <c r="LF84" s="8">
        <v>40</v>
      </c>
      <c r="LG84" s="28">
        <v>17</v>
      </c>
      <c r="LH84" s="8">
        <v>-795</v>
      </c>
      <c r="LJ84" s="8">
        <v>-288</v>
      </c>
      <c r="LK84" s="28">
        <v>937</v>
      </c>
      <c r="LL84" s="8">
        <v>1</v>
      </c>
      <c r="LM84" s="28">
        <v>1</v>
      </c>
      <c r="LN84" s="8">
        <v>320</v>
      </c>
      <c r="LO84" s="28">
        <v>53</v>
      </c>
      <c r="LS84" s="8">
        <v>97</v>
      </c>
      <c r="LU84" s="8">
        <v>27</v>
      </c>
      <c r="LV84" s="12">
        <v>32</v>
      </c>
      <c r="LW84" s="8">
        <v>54</v>
      </c>
      <c r="LX84" s="28">
        <v>10</v>
      </c>
      <c r="MF84" s="8">
        <v>-283</v>
      </c>
      <c r="MG84" s="12">
        <v>96</v>
      </c>
      <c r="MS84" s="8">
        <v>944</v>
      </c>
      <c r="MT84" s="12">
        <v>260</v>
      </c>
      <c r="NC84" s="8">
        <v>-19</v>
      </c>
      <c r="ND84" s="12">
        <v>113</v>
      </c>
      <c r="NE84" s="8">
        <v>721</v>
      </c>
      <c r="NF84" s="28">
        <v>203</v>
      </c>
      <c r="NG84" s="8">
        <v>-49</v>
      </c>
      <c r="NH84" s="28">
        <v>44</v>
      </c>
      <c r="NP84" s="8">
        <v>455</v>
      </c>
      <c r="NQ84" s="12">
        <v>434</v>
      </c>
      <c r="NW84" s="8">
        <v>130</v>
      </c>
      <c r="NX84" s="28">
        <v>94</v>
      </c>
      <c r="OV84" s="8">
        <v>202</v>
      </c>
      <c r="PJ84" s="8">
        <v>23</v>
      </c>
      <c r="PK84" s="12">
        <v>596</v>
      </c>
      <c r="PP84" s="8">
        <v>-291</v>
      </c>
      <c r="PQ84" s="28">
        <v>13</v>
      </c>
      <c r="PR84" s="28"/>
      <c r="PS84" s="8">
        <v>1</v>
      </c>
      <c r="PT84" s="12">
        <v>36</v>
      </c>
      <c r="PW84" s="8">
        <v>-872</v>
      </c>
      <c r="PX84" s="28">
        <v>615</v>
      </c>
      <c r="QH84" s="8">
        <v>130</v>
      </c>
      <c r="QI84" s="12">
        <v>326</v>
      </c>
      <c r="QT84" s="8">
        <v>-162</v>
      </c>
      <c r="QU84" s="12">
        <v>362</v>
      </c>
      <c r="QV84" s="6"/>
      <c r="QW84" s="12"/>
      <c r="RC84" s="6">
        <v>-196</v>
      </c>
      <c r="RD84" s="12">
        <v>182</v>
      </c>
      <c r="RE84" s="6">
        <v>-905</v>
      </c>
      <c r="RF84" s="12">
        <v>382</v>
      </c>
      <c r="RG84" s="8">
        <v>-144</v>
      </c>
      <c r="RH84" s="28">
        <v>745</v>
      </c>
      <c r="RL84" s="8">
        <v>-45</v>
      </c>
      <c r="RM84" s="12">
        <v>177</v>
      </c>
      <c r="SP84" s="8">
        <v>548</v>
      </c>
      <c r="SQ84" s="12">
        <v>134</v>
      </c>
      <c r="SY84" s="6">
        <v>486</v>
      </c>
      <c r="TH84" s="8">
        <v>67</v>
      </c>
      <c r="TI84" s="28">
        <v>51</v>
      </c>
      <c r="TX84" s="8">
        <v>113</v>
      </c>
      <c r="TY84" s="28">
        <v>773</v>
      </c>
      <c r="TZ84" s="8">
        <v>-1</v>
      </c>
      <c r="UA84" s="12">
        <v>212</v>
      </c>
      <c r="UG84" s="8">
        <v>270</v>
      </c>
      <c r="UH84" s="12">
        <v>1</v>
      </c>
      <c r="UI84" s="8">
        <v>-98</v>
      </c>
      <c r="VF84" s="8">
        <v>-265</v>
      </c>
      <c r="VH84" s="8">
        <v>11</v>
      </c>
      <c r="VI84" s="28">
        <v>32</v>
      </c>
      <c r="VL84" s="21"/>
      <c r="VM84" s="8">
        <v>-1996</v>
      </c>
      <c r="VN84" s="12">
        <v>116</v>
      </c>
      <c r="VO84" s="12"/>
      <c r="VP84" s="12"/>
      <c r="VQ84" s="6">
        <v>199</v>
      </c>
      <c r="VR84" s="28">
        <v>139</v>
      </c>
      <c r="VS84" s="12"/>
      <c r="VT84" s="12"/>
      <c r="VZ84" s="8">
        <v>-474</v>
      </c>
      <c r="WA84" s="28">
        <v>250</v>
      </c>
      <c r="WB84" s="8">
        <v>5567</v>
      </c>
      <c r="WC84" s="12">
        <v>1136</v>
      </c>
      <c r="XG84" s="2">
        <v>-502</v>
      </c>
      <c r="XH84" s="1">
        <v>790</v>
      </c>
      <c r="XK84">
        <v>57</v>
      </c>
      <c r="XL84" s="1">
        <v>21</v>
      </c>
    </row>
    <row r="85" spans="7:636" x14ac:dyDescent="0.25">
      <c r="I85" s="2">
        <v>-111</v>
      </c>
      <c r="K85" s="2">
        <v>2239</v>
      </c>
      <c r="L85" s="1">
        <v>9</v>
      </c>
      <c r="M85">
        <v>-88</v>
      </c>
      <c r="N85" s="1">
        <v>12</v>
      </c>
      <c r="O85" s="26"/>
      <c r="V85">
        <v>-4</v>
      </c>
      <c r="W85" s="10">
        <v>173</v>
      </c>
      <c r="AB85">
        <v>-61</v>
      </c>
      <c r="AC85" s="1">
        <v>69</v>
      </c>
      <c r="AD85">
        <v>23</v>
      </c>
      <c r="AE85" s="1">
        <v>16</v>
      </c>
      <c r="AJ85" s="2">
        <v>-137</v>
      </c>
      <c r="AK85" s="10">
        <v>289</v>
      </c>
      <c r="AY85">
        <v>4</v>
      </c>
      <c r="AZ85" s="1">
        <v>3</v>
      </c>
      <c r="BD85" s="8"/>
      <c r="BF85">
        <v>-7</v>
      </c>
      <c r="BG85" s="1">
        <v>155</v>
      </c>
      <c r="BL85">
        <v>2378</v>
      </c>
      <c r="BM85" s="1">
        <v>93</v>
      </c>
      <c r="BN85">
        <v>1006</v>
      </c>
      <c r="BP85">
        <v>-1633</v>
      </c>
      <c r="BQ85" s="10">
        <v>1113</v>
      </c>
      <c r="BT85">
        <v>-548</v>
      </c>
      <c r="BU85" s="1">
        <v>292</v>
      </c>
      <c r="CE85" s="8">
        <v>64</v>
      </c>
      <c r="CF85" s="28">
        <v>6</v>
      </c>
      <c r="CI85" s="8">
        <v>241</v>
      </c>
      <c r="CJ85" s="12">
        <v>219</v>
      </c>
      <c r="CK85" s="8">
        <v>-42</v>
      </c>
      <c r="CL85" s="28">
        <v>24</v>
      </c>
      <c r="CM85" s="6">
        <v>327</v>
      </c>
      <c r="CN85" s="28">
        <v>63</v>
      </c>
      <c r="CO85" s="6">
        <v>569</v>
      </c>
      <c r="CP85" s="28"/>
      <c r="CQ85" s="6">
        <v>849</v>
      </c>
      <c r="CR85" s="28"/>
      <c r="CS85" s="6">
        <v>-160</v>
      </c>
      <c r="CT85" s="28">
        <v>753</v>
      </c>
      <c r="CU85" s="28"/>
      <c r="CV85" s="28"/>
      <c r="CW85" s="28"/>
      <c r="CX85" s="28"/>
      <c r="CZ85" s="23">
        <v>-17</v>
      </c>
      <c r="DA85" s="25">
        <v>8</v>
      </c>
      <c r="DB85" s="23">
        <v>-62</v>
      </c>
      <c r="DC85" s="25">
        <v>9</v>
      </c>
      <c r="DF85" s="23">
        <v>112</v>
      </c>
      <c r="DG85" s="25">
        <v>208</v>
      </c>
      <c r="DH85" s="23">
        <v>-620</v>
      </c>
      <c r="DI85" s="25">
        <v>362</v>
      </c>
      <c r="DJ85" s="23">
        <v>-129</v>
      </c>
      <c r="DK85" s="28">
        <v>232</v>
      </c>
      <c r="DL85" s="8">
        <v>-11</v>
      </c>
      <c r="DQ85" s="8">
        <v>490</v>
      </c>
      <c r="DR85" s="52">
        <v>799</v>
      </c>
      <c r="DS85" s="6">
        <v>-163</v>
      </c>
      <c r="DT85" s="52">
        <v>64</v>
      </c>
      <c r="DU85" s="8">
        <v>477</v>
      </c>
      <c r="DV85" s="28">
        <v>828</v>
      </c>
      <c r="DW85" s="8">
        <v>23</v>
      </c>
      <c r="DX85" s="28">
        <v>67</v>
      </c>
      <c r="DY85" s="6">
        <v>362</v>
      </c>
      <c r="DZ85" s="52">
        <v>138</v>
      </c>
      <c r="EA85" s="23">
        <v>69</v>
      </c>
      <c r="EB85" s="52">
        <v>101</v>
      </c>
      <c r="EC85" s="6">
        <v>9</v>
      </c>
      <c r="ED85" s="28">
        <v>15</v>
      </c>
      <c r="EE85" s="8">
        <v>-1</v>
      </c>
      <c r="EF85" s="52">
        <v>10</v>
      </c>
      <c r="EG85" s="8">
        <v>-405</v>
      </c>
      <c r="EH85" s="28">
        <v>389</v>
      </c>
      <c r="EI85" s="8">
        <v>123</v>
      </c>
      <c r="EJ85" s="52">
        <v>375</v>
      </c>
      <c r="EL85" s="8">
        <v>-349</v>
      </c>
      <c r="EM85" s="28">
        <v>548</v>
      </c>
      <c r="EN85" s="8">
        <v>24</v>
      </c>
      <c r="EO85" s="28">
        <v>2</v>
      </c>
      <c r="EP85" s="28"/>
      <c r="EQ85" s="28"/>
      <c r="EX85" s="8">
        <v>159</v>
      </c>
      <c r="EY85" s="28">
        <v>327</v>
      </c>
      <c r="FD85" s="6">
        <v>241</v>
      </c>
      <c r="FE85" s="28">
        <v>68</v>
      </c>
      <c r="FM85" s="8">
        <v>-178</v>
      </c>
      <c r="FN85" s="52">
        <v>188</v>
      </c>
      <c r="FQ85" s="8">
        <v>91</v>
      </c>
      <c r="FR85" s="28">
        <v>11</v>
      </c>
      <c r="FS85" s="8">
        <v>205</v>
      </c>
      <c r="FT85" s="52">
        <v>126</v>
      </c>
      <c r="GC85" s="8">
        <v>-11</v>
      </c>
      <c r="GE85" s="8">
        <v>-428</v>
      </c>
      <c r="GF85" s="28">
        <v>203</v>
      </c>
      <c r="GI85" s="8">
        <v>-126</v>
      </c>
      <c r="GJ85" s="28">
        <v>67</v>
      </c>
      <c r="GP85" s="8">
        <v>-32</v>
      </c>
      <c r="GQ85" s="52">
        <v>82</v>
      </c>
      <c r="GR85" s="8">
        <v>4</v>
      </c>
      <c r="GS85" s="28">
        <v>27</v>
      </c>
      <c r="GT85" s="6">
        <v>-171</v>
      </c>
      <c r="GU85" s="52">
        <v>134</v>
      </c>
      <c r="GV85" s="28"/>
      <c r="GW85" s="28"/>
      <c r="GZ85" s="8">
        <v>336</v>
      </c>
      <c r="HA85" s="28">
        <v>8</v>
      </c>
      <c r="HB85" s="6">
        <v>-71</v>
      </c>
      <c r="HC85" s="28"/>
      <c r="HE85" s="8">
        <v>62</v>
      </c>
      <c r="HF85" s="28">
        <v>26</v>
      </c>
      <c r="HG85" s="8">
        <v>77</v>
      </c>
      <c r="HQ85" s="6">
        <v>-4</v>
      </c>
      <c r="HR85" s="28">
        <v>3</v>
      </c>
      <c r="HS85" s="8">
        <v>-2</v>
      </c>
      <c r="HT85" s="52">
        <v>27</v>
      </c>
      <c r="HX85" s="8">
        <v>-44</v>
      </c>
      <c r="HY85" s="28">
        <v>44</v>
      </c>
      <c r="HZ85" s="8">
        <v>-9</v>
      </c>
      <c r="IB85" s="8">
        <v>-121</v>
      </c>
      <c r="IC85" s="28">
        <v>566</v>
      </c>
      <c r="ID85" s="8">
        <v>-487</v>
      </c>
      <c r="IE85" s="28">
        <v>120</v>
      </c>
      <c r="IO85">
        <v>-131</v>
      </c>
      <c r="IP85" s="10">
        <v>77</v>
      </c>
      <c r="IW85" s="8">
        <v>-164</v>
      </c>
      <c r="IY85" s="8">
        <v>312</v>
      </c>
      <c r="JA85" s="8">
        <v>-38</v>
      </c>
      <c r="JB85" s="12">
        <v>213</v>
      </c>
      <c r="JH85" s="8">
        <v>148</v>
      </c>
      <c r="JI85" s="28">
        <v>209</v>
      </c>
      <c r="JL85" s="8">
        <v>1</v>
      </c>
      <c r="JN85" s="8">
        <v>778</v>
      </c>
      <c r="JO85" s="28">
        <v>116</v>
      </c>
      <c r="JP85" s="6">
        <v>-3</v>
      </c>
      <c r="JQ85" s="12">
        <v>481</v>
      </c>
      <c r="JW85" s="8">
        <v>-361</v>
      </c>
      <c r="JX85" s="12">
        <v>765</v>
      </c>
      <c r="KE85" s="6">
        <v>-3</v>
      </c>
      <c r="KF85" s="12">
        <v>71</v>
      </c>
      <c r="KT85" s="8">
        <v>83</v>
      </c>
      <c r="KU85" s="28">
        <v>32</v>
      </c>
      <c r="KZ85" s="8">
        <v>-18</v>
      </c>
      <c r="LA85" s="12">
        <v>481</v>
      </c>
      <c r="LD85" s="8">
        <v>517</v>
      </c>
      <c r="LE85" s="28">
        <v>319</v>
      </c>
      <c r="LF85" s="8">
        <v>27</v>
      </c>
      <c r="LG85" s="28">
        <v>18</v>
      </c>
      <c r="LH85" s="8">
        <v>-118</v>
      </c>
      <c r="LJ85" s="8">
        <v>-774</v>
      </c>
      <c r="LK85" s="28">
        <v>984</v>
      </c>
      <c r="LL85" s="8">
        <v>-39</v>
      </c>
      <c r="LM85" s="28">
        <v>14</v>
      </c>
      <c r="LN85" s="8">
        <v>133</v>
      </c>
      <c r="LO85" s="28">
        <v>35</v>
      </c>
      <c r="LS85" s="8">
        <v>93</v>
      </c>
      <c r="LU85" s="8">
        <v>-284</v>
      </c>
      <c r="LV85" s="12">
        <v>283</v>
      </c>
      <c r="LW85" s="8">
        <v>-182</v>
      </c>
      <c r="LX85" s="28">
        <v>314</v>
      </c>
      <c r="MF85" s="8">
        <v>117</v>
      </c>
      <c r="MG85" s="12">
        <v>621</v>
      </c>
      <c r="MS85" s="8">
        <v>-115</v>
      </c>
      <c r="MT85" s="12">
        <v>164</v>
      </c>
      <c r="NC85" s="8">
        <v>-74</v>
      </c>
      <c r="ND85" s="12">
        <v>333</v>
      </c>
      <c r="NE85" s="8">
        <v>118</v>
      </c>
      <c r="NF85" s="28">
        <v>854</v>
      </c>
      <c r="NG85" s="8">
        <v>-177</v>
      </c>
      <c r="NH85" s="28">
        <v>46</v>
      </c>
      <c r="NP85" s="8">
        <v>511</v>
      </c>
      <c r="NQ85" s="12">
        <v>477</v>
      </c>
      <c r="NW85" s="8">
        <v>247</v>
      </c>
      <c r="NX85" s="28">
        <v>75</v>
      </c>
      <c r="OV85" s="8">
        <v>302</v>
      </c>
      <c r="PJ85" s="8">
        <v>-2</v>
      </c>
      <c r="PK85" s="12">
        <v>157</v>
      </c>
      <c r="PP85" s="8">
        <v>-248</v>
      </c>
      <c r="PQ85" s="28">
        <v>15</v>
      </c>
      <c r="PR85" s="28"/>
      <c r="PS85" s="8">
        <v>2</v>
      </c>
      <c r="PT85" s="12">
        <v>124</v>
      </c>
      <c r="PW85" s="8">
        <v>-124</v>
      </c>
      <c r="PX85" s="28">
        <v>668</v>
      </c>
      <c r="QH85" s="8">
        <v>-123</v>
      </c>
      <c r="QI85" s="12">
        <v>148</v>
      </c>
      <c r="QT85" s="8">
        <v>-152</v>
      </c>
      <c r="QU85" s="12">
        <v>294</v>
      </c>
      <c r="QV85" s="6"/>
      <c r="QW85" s="12"/>
      <c r="RC85" s="6">
        <v>179</v>
      </c>
      <c r="RD85" s="12">
        <v>180</v>
      </c>
      <c r="RE85" s="6">
        <v>-123</v>
      </c>
      <c r="RF85" s="12">
        <v>161</v>
      </c>
      <c r="RG85" s="8">
        <v>448</v>
      </c>
      <c r="RH85" s="28">
        <v>683</v>
      </c>
      <c r="RL85" s="8">
        <v>10</v>
      </c>
      <c r="RM85" s="12">
        <v>179</v>
      </c>
      <c r="SP85" s="8">
        <v>-91</v>
      </c>
      <c r="SQ85" s="12">
        <v>9</v>
      </c>
      <c r="SY85" s="6">
        <v>438</v>
      </c>
      <c r="TH85" s="8">
        <v>126</v>
      </c>
      <c r="TI85" s="28">
        <v>39</v>
      </c>
      <c r="TX85" s="8">
        <v>111</v>
      </c>
      <c r="TY85" s="28">
        <v>439</v>
      </c>
      <c r="TZ85" s="8">
        <v>-11</v>
      </c>
      <c r="UA85" s="12">
        <v>599</v>
      </c>
      <c r="UG85" s="8">
        <v>94</v>
      </c>
      <c r="UH85" s="12">
        <v>96</v>
      </c>
      <c r="UI85" s="8">
        <v>-83</v>
      </c>
      <c r="VH85" s="8">
        <v>270</v>
      </c>
      <c r="VI85" s="28">
        <v>38</v>
      </c>
      <c r="VL85" s="21"/>
      <c r="VM85" s="8">
        <v>-4180</v>
      </c>
      <c r="VN85" s="12">
        <v>232</v>
      </c>
      <c r="VO85" s="12"/>
      <c r="VP85" s="12"/>
      <c r="VQ85" s="6">
        <v>114</v>
      </c>
      <c r="VR85" s="28">
        <v>137</v>
      </c>
      <c r="VS85" s="12"/>
      <c r="VT85" s="12"/>
      <c r="VZ85" s="8">
        <v>295</v>
      </c>
      <c r="WA85" s="28">
        <v>280</v>
      </c>
      <c r="WB85" s="8">
        <v>5116</v>
      </c>
      <c r="WC85" s="12">
        <v>766</v>
      </c>
      <c r="XG85" s="2">
        <v>-382</v>
      </c>
      <c r="XH85" s="1">
        <v>718</v>
      </c>
      <c r="XK85">
        <v>19</v>
      </c>
      <c r="XL85" s="1">
        <v>32</v>
      </c>
    </row>
    <row r="86" spans="7:636" x14ac:dyDescent="0.25">
      <c r="K86" s="2">
        <v>1238</v>
      </c>
      <c r="L86" s="1">
        <v>11</v>
      </c>
      <c r="M86">
        <v>-178</v>
      </c>
      <c r="N86" s="1">
        <v>13</v>
      </c>
      <c r="O86" s="26"/>
      <c r="V86">
        <v>-4</v>
      </c>
      <c r="W86" s="10">
        <v>349</v>
      </c>
      <c r="AB86">
        <v>-48</v>
      </c>
      <c r="AC86" s="1">
        <v>28</v>
      </c>
      <c r="AD86">
        <v>37</v>
      </c>
      <c r="AE86" s="1">
        <v>4</v>
      </c>
      <c r="AJ86" s="2">
        <v>-42</v>
      </c>
      <c r="AK86" s="10">
        <v>1</v>
      </c>
      <c r="AY86">
        <v>-2</v>
      </c>
      <c r="AZ86" s="1">
        <v>5</v>
      </c>
      <c r="BD86" s="8"/>
      <c r="BF86">
        <v>666</v>
      </c>
      <c r="BG86" s="1">
        <v>70</v>
      </c>
      <c r="BL86">
        <v>-81</v>
      </c>
      <c r="BM86" s="1">
        <v>10</v>
      </c>
      <c r="BN86">
        <v>3</v>
      </c>
      <c r="BP86">
        <v>-67</v>
      </c>
      <c r="BQ86" s="10">
        <v>1207</v>
      </c>
      <c r="BT86">
        <v>-60</v>
      </c>
      <c r="BU86" s="1">
        <v>90</v>
      </c>
      <c r="CE86" s="8">
        <v>115</v>
      </c>
      <c r="CF86" s="28">
        <v>9</v>
      </c>
      <c r="CI86" s="8">
        <v>807</v>
      </c>
      <c r="CJ86" s="12">
        <v>397</v>
      </c>
      <c r="CK86" s="8">
        <v>-41</v>
      </c>
      <c r="CL86" s="28">
        <v>24</v>
      </c>
      <c r="CM86" s="6">
        <v>261</v>
      </c>
      <c r="CN86" s="28"/>
      <c r="CO86" s="6"/>
      <c r="CP86" s="28"/>
      <c r="CQ86" s="6">
        <v>933</v>
      </c>
      <c r="CR86" s="28"/>
      <c r="CS86" s="6">
        <v>-183</v>
      </c>
      <c r="CT86" s="28">
        <v>559</v>
      </c>
      <c r="CU86" s="28"/>
      <c r="CV86" s="28"/>
      <c r="CW86" s="28"/>
      <c r="CX86" s="28"/>
      <c r="CZ86" s="23">
        <v>20</v>
      </c>
      <c r="DA86" s="25">
        <v>6</v>
      </c>
      <c r="DB86" s="23">
        <v>-83</v>
      </c>
      <c r="DC86" s="25">
        <v>13</v>
      </c>
      <c r="DF86" s="23">
        <v>107</v>
      </c>
      <c r="DG86" s="25">
        <v>436</v>
      </c>
      <c r="DH86" s="23">
        <v>-481</v>
      </c>
      <c r="DI86" s="25">
        <v>376</v>
      </c>
      <c r="DJ86" s="23">
        <v>674</v>
      </c>
      <c r="DK86" s="28">
        <v>201</v>
      </c>
      <c r="DL86" s="8">
        <v>9</v>
      </c>
      <c r="DQ86" s="8">
        <v>483</v>
      </c>
      <c r="DR86" s="52">
        <v>357</v>
      </c>
      <c r="DS86" s="6">
        <v>-109</v>
      </c>
      <c r="DT86" s="52">
        <v>90</v>
      </c>
      <c r="DU86" s="8">
        <v>-116</v>
      </c>
      <c r="DV86" s="28">
        <v>550</v>
      </c>
      <c r="DW86" s="8">
        <v>479</v>
      </c>
      <c r="DX86" s="28">
        <v>190</v>
      </c>
      <c r="DY86" s="6">
        <v>289</v>
      </c>
      <c r="DZ86" s="52">
        <v>17</v>
      </c>
      <c r="EA86" s="23">
        <v>86</v>
      </c>
      <c r="EB86" s="52">
        <v>511</v>
      </c>
      <c r="EC86" s="6">
        <v>9</v>
      </c>
      <c r="ED86" s="28">
        <v>16</v>
      </c>
      <c r="EE86" s="8">
        <v>4</v>
      </c>
      <c r="EF86" s="52">
        <v>5</v>
      </c>
      <c r="EG86" s="8">
        <v>555</v>
      </c>
      <c r="EH86" s="28">
        <v>341</v>
      </c>
      <c r="EI86" s="8">
        <v>-7</v>
      </c>
      <c r="EJ86" s="52">
        <v>100</v>
      </c>
      <c r="EL86" s="8">
        <v>-508</v>
      </c>
      <c r="EM86" s="28">
        <v>938</v>
      </c>
      <c r="EN86" s="8">
        <v>8</v>
      </c>
      <c r="EO86" s="28">
        <v>8</v>
      </c>
      <c r="EP86" s="28"/>
      <c r="EQ86" s="28"/>
      <c r="EX86" s="8">
        <v>293</v>
      </c>
      <c r="EY86" s="28">
        <v>290</v>
      </c>
      <c r="FD86" s="6">
        <v>144</v>
      </c>
      <c r="FE86" s="28">
        <v>93</v>
      </c>
      <c r="FM86" s="8">
        <v>-979</v>
      </c>
      <c r="FN86" s="52">
        <v>457</v>
      </c>
      <c r="FQ86" s="8">
        <v>-35</v>
      </c>
      <c r="FR86" s="28">
        <v>4</v>
      </c>
      <c r="FS86" s="8">
        <v>215</v>
      </c>
      <c r="FT86" s="52">
        <v>133</v>
      </c>
      <c r="GC86" s="8">
        <v>449</v>
      </c>
      <c r="GE86" s="8">
        <v>725</v>
      </c>
      <c r="GF86" s="28">
        <v>197</v>
      </c>
      <c r="GI86" s="8">
        <v>-32</v>
      </c>
      <c r="GJ86" s="28">
        <v>78</v>
      </c>
      <c r="GP86" s="8">
        <v>585</v>
      </c>
      <c r="GQ86" s="52">
        <v>100</v>
      </c>
      <c r="GR86" s="8">
        <v>107</v>
      </c>
      <c r="GS86" s="28">
        <v>312</v>
      </c>
      <c r="GT86" s="6">
        <v>-418</v>
      </c>
      <c r="GU86" s="52">
        <v>626</v>
      </c>
      <c r="GV86" s="28"/>
      <c r="GW86" s="28"/>
      <c r="GZ86" s="8">
        <v>-80</v>
      </c>
      <c r="HA86" s="28">
        <v>29</v>
      </c>
      <c r="HB86" s="6">
        <v>-71</v>
      </c>
      <c r="HC86" s="28"/>
      <c r="HE86" s="8">
        <v>2</v>
      </c>
      <c r="HF86" s="28">
        <v>29</v>
      </c>
      <c r="HG86" s="8">
        <v>-151</v>
      </c>
      <c r="HQ86" s="6">
        <v>3</v>
      </c>
      <c r="HR86" s="28">
        <v>4</v>
      </c>
      <c r="HS86" s="8">
        <v>4</v>
      </c>
      <c r="HT86" s="52">
        <v>285</v>
      </c>
      <c r="HX86" s="8">
        <v>385</v>
      </c>
      <c r="HY86" s="28">
        <v>165</v>
      </c>
      <c r="HZ86" s="8">
        <v>1</v>
      </c>
      <c r="IB86" s="8">
        <v>-126</v>
      </c>
      <c r="IC86" s="28">
        <v>889</v>
      </c>
      <c r="ID86" s="8">
        <v>-284</v>
      </c>
      <c r="IE86" s="28">
        <v>199</v>
      </c>
      <c r="IO86">
        <v>-372</v>
      </c>
      <c r="IP86" s="10">
        <v>49</v>
      </c>
      <c r="IW86" s="8">
        <v>-893</v>
      </c>
      <c r="IY86" s="8">
        <v>-53</v>
      </c>
      <c r="JA86" s="8">
        <v>-266</v>
      </c>
      <c r="JB86" s="12">
        <v>766</v>
      </c>
      <c r="JH86" s="8">
        <v>-754</v>
      </c>
      <c r="JI86" s="28">
        <v>278</v>
      </c>
      <c r="JL86" s="8">
        <v>1</v>
      </c>
      <c r="JN86" s="8">
        <v>816</v>
      </c>
      <c r="JO86" s="28">
        <v>122</v>
      </c>
      <c r="JP86" s="6">
        <v>-24</v>
      </c>
      <c r="JQ86" s="12">
        <v>309</v>
      </c>
      <c r="JW86" s="8">
        <v>-177</v>
      </c>
      <c r="JX86" s="12">
        <v>228</v>
      </c>
      <c r="KE86" s="6">
        <v>-396</v>
      </c>
      <c r="KF86" s="12">
        <v>130</v>
      </c>
      <c r="KT86" s="8">
        <v>35</v>
      </c>
      <c r="KU86" s="28">
        <v>12</v>
      </c>
      <c r="KZ86" s="8">
        <v>-9</v>
      </c>
      <c r="LA86" s="12">
        <v>376</v>
      </c>
      <c r="LD86" s="8">
        <v>100</v>
      </c>
      <c r="LE86" s="28">
        <v>135</v>
      </c>
      <c r="LF86" s="8">
        <v>-46</v>
      </c>
      <c r="LG86" s="28">
        <v>101</v>
      </c>
      <c r="LH86" s="8">
        <v>711</v>
      </c>
      <c r="LJ86" s="8">
        <v>-930</v>
      </c>
      <c r="LK86" s="28">
        <v>234</v>
      </c>
      <c r="LL86" s="8">
        <v>-14</v>
      </c>
      <c r="LM86" s="28">
        <v>23</v>
      </c>
      <c r="LN86" s="8">
        <v>77</v>
      </c>
      <c r="LO86" s="28">
        <v>28</v>
      </c>
      <c r="LS86" s="8">
        <v>75</v>
      </c>
      <c r="LU86" s="8">
        <v>3</v>
      </c>
      <c r="LV86" s="12">
        <v>5</v>
      </c>
      <c r="LW86" s="8">
        <v>241</v>
      </c>
      <c r="LX86" s="28">
        <v>272</v>
      </c>
      <c r="MF86" s="8">
        <v>605</v>
      </c>
      <c r="MG86" s="12">
        <v>329</v>
      </c>
      <c r="MS86" s="8">
        <v>287</v>
      </c>
      <c r="MT86" s="12">
        <v>394</v>
      </c>
      <c r="NC86" s="8">
        <v>-68</v>
      </c>
      <c r="ND86" s="12">
        <v>264</v>
      </c>
      <c r="NP86" s="8">
        <v>609</v>
      </c>
      <c r="NQ86" s="12">
        <v>574</v>
      </c>
      <c r="NW86" s="8">
        <v>951</v>
      </c>
      <c r="NX86" s="28">
        <v>133</v>
      </c>
      <c r="OV86" s="8">
        <v>249</v>
      </c>
      <c r="PJ86" s="8">
        <v>-37</v>
      </c>
      <c r="PK86" s="12">
        <v>188</v>
      </c>
      <c r="PP86" s="8">
        <v>-89</v>
      </c>
      <c r="PQ86" s="28">
        <v>15</v>
      </c>
      <c r="PR86" s="28"/>
      <c r="PS86" s="8">
        <v>2</v>
      </c>
      <c r="PT86" s="12">
        <v>104</v>
      </c>
      <c r="PW86" s="8">
        <v>-701</v>
      </c>
      <c r="PX86" s="28">
        <v>368</v>
      </c>
      <c r="QH86" s="8">
        <v>-95</v>
      </c>
      <c r="QI86" s="12">
        <v>355</v>
      </c>
      <c r="QT86" s="8">
        <v>-37</v>
      </c>
      <c r="QU86" s="12">
        <v>14</v>
      </c>
      <c r="QV86" s="6"/>
      <c r="QW86" s="12"/>
      <c r="RC86" s="6">
        <v>366</v>
      </c>
      <c r="RD86" s="12">
        <v>384</v>
      </c>
      <c r="RE86" s="6">
        <v>165</v>
      </c>
      <c r="RF86" s="12">
        <v>18</v>
      </c>
      <c r="RG86" s="8">
        <v>12</v>
      </c>
      <c r="RH86" s="28">
        <v>292</v>
      </c>
      <c r="RL86" s="8">
        <v>-56</v>
      </c>
      <c r="RM86" s="12">
        <v>540</v>
      </c>
      <c r="SP86" s="8">
        <v>120</v>
      </c>
      <c r="SQ86" s="12">
        <v>15</v>
      </c>
      <c r="SY86" s="6">
        <v>917</v>
      </c>
      <c r="TH86" s="8">
        <v>121</v>
      </c>
      <c r="TI86" s="28">
        <v>57</v>
      </c>
      <c r="TX86" s="8">
        <v>106</v>
      </c>
      <c r="TY86" s="28">
        <v>431</v>
      </c>
      <c r="TZ86" s="8">
        <v>973</v>
      </c>
      <c r="UA86" s="12">
        <v>258</v>
      </c>
      <c r="UG86" s="8">
        <v>-666</v>
      </c>
      <c r="UH86" s="12">
        <v>11</v>
      </c>
      <c r="VH86" s="8">
        <v>-798</v>
      </c>
      <c r="VI86" s="28">
        <v>733</v>
      </c>
      <c r="VL86" s="21"/>
      <c r="VM86" s="8">
        <v>-1664</v>
      </c>
      <c r="VN86" s="12">
        <v>102</v>
      </c>
      <c r="VO86" s="12"/>
      <c r="VP86" s="12"/>
      <c r="VQ86" s="6">
        <v>-48</v>
      </c>
      <c r="VR86" s="28">
        <v>22</v>
      </c>
      <c r="VS86" s="12"/>
      <c r="VT86" s="12"/>
      <c r="VZ86" s="8">
        <v>-34</v>
      </c>
      <c r="WA86" s="28">
        <v>140</v>
      </c>
      <c r="WB86" s="8">
        <v>5080</v>
      </c>
      <c r="WC86" s="12">
        <v>978</v>
      </c>
      <c r="XG86" s="2">
        <v>-170</v>
      </c>
      <c r="XH86" s="1">
        <v>10120</v>
      </c>
      <c r="XK86">
        <v>330</v>
      </c>
      <c r="XL86" s="1">
        <v>24</v>
      </c>
    </row>
    <row r="87" spans="7:636" x14ac:dyDescent="0.25">
      <c r="K87" s="2">
        <v>1995</v>
      </c>
      <c r="L87" s="1">
        <v>11</v>
      </c>
      <c r="M87">
        <v>-159</v>
      </c>
      <c r="N87" s="1">
        <v>13</v>
      </c>
      <c r="O87" s="26"/>
      <c r="V87">
        <v>-3</v>
      </c>
      <c r="W87" s="10">
        <v>286</v>
      </c>
      <c r="AB87">
        <v>-72</v>
      </c>
      <c r="AC87" s="1">
        <v>21</v>
      </c>
      <c r="AD87">
        <v>28</v>
      </c>
      <c r="AE87" s="1">
        <v>4</v>
      </c>
      <c r="AJ87" s="2">
        <v>-507</v>
      </c>
      <c r="AK87" s="10">
        <v>177</v>
      </c>
      <c r="AY87">
        <v>-1</v>
      </c>
      <c r="AZ87" s="1">
        <v>1</v>
      </c>
      <c r="BD87" s="8"/>
      <c r="BF87">
        <v>112</v>
      </c>
      <c r="BG87" s="1">
        <v>73</v>
      </c>
      <c r="BL87">
        <v>-11</v>
      </c>
      <c r="BM87" s="1">
        <v>6</v>
      </c>
      <c r="BN87">
        <v>77</v>
      </c>
      <c r="BP87">
        <v>-106</v>
      </c>
      <c r="BQ87" s="10">
        <v>1174</v>
      </c>
      <c r="BT87">
        <v>995</v>
      </c>
      <c r="BU87" s="1">
        <v>617</v>
      </c>
      <c r="CE87" s="8">
        <v>169</v>
      </c>
      <c r="CF87" s="28">
        <v>8</v>
      </c>
      <c r="CI87" s="8">
        <v>731</v>
      </c>
      <c r="CJ87" s="12">
        <v>19</v>
      </c>
      <c r="CK87" s="8">
        <v>-48</v>
      </c>
      <c r="CL87" s="28">
        <v>24</v>
      </c>
      <c r="CM87" s="6">
        <v>129</v>
      </c>
      <c r="CN87" s="28"/>
      <c r="CO87" s="6"/>
      <c r="CP87" s="28"/>
      <c r="CQ87" s="6">
        <v>918</v>
      </c>
      <c r="CR87" s="28"/>
      <c r="CS87" s="6">
        <v>169</v>
      </c>
      <c r="CT87" s="28">
        <v>934</v>
      </c>
      <c r="CU87" s="28"/>
      <c r="CV87" s="28"/>
      <c r="CW87" s="28"/>
      <c r="CX87" s="28"/>
      <c r="CZ87" s="23">
        <v>668</v>
      </c>
      <c r="DA87" s="25">
        <v>179</v>
      </c>
      <c r="DB87" s="23">
        <v>-94</v>
      </c>
      <c r="DC87" s="25">
        <v>13</v>
      </c>
      <c r="DF87" s="23">
        <v>109</v>
      </c>
      <c r="DG87" s="25">
        <v>390</v>
      </c>
      <c r="DH87" s="23">
        <v>392</v>
      </c>
      <c r="DI87" s="25">
        <v>373</v>
      </c>
      <c r="DJ87" s="23">
        <v>157</v>
      </c>
      <c r="DK87" s="28">
        <v>141</v>
      </c>
      <c r="DL87" s="8">
        <v>-1</v>
      </c>
      <c r="DQ87" s="8">
        <v>232</v>
      </c>
      <c r="DR87" s="52">
        <v>71</v>
      </c>
      <c r="DS87" s="6">
        <v>175</v>
      </c>
      <c r="DT87" s="52">
        <v>92</v>
      </c>
      <c r="DU87" s="8">
        <v>-279</v>
      </c>
      <c r="DV87" s="28">
        <v>510</v>
      </c>
      <c r="DW87" s="8">
        <v>-44</v>
      </c>
      <c r="DX87" s="28">
        <v>14</v>
      </c>
      <c r="DY87" s="6">
        <v>814</v>
      </c>
      <c r="DZ87" s="52">
        <v>25</v>
      </c>
      <c r="EA87" s="23">
        <v>80</v>
      </c>
      <c r="EB87" s="52">
        <v>575</v>
      </c>
      <c r="EC87" s="6">
        <v>12</v>
      </c>
      <c r="ED87" s="28">
        <v>18</v>
      </c>
      <c r="EE87" s="8">
        <v>-45</v>
      </c>
      <c r="EF87" s="52">
        <v>419</v>
      </c>
      <c r="EG87" s="8">
        <v>200</v>
      </c>
      <c r="EH87" s="28">
        <v>449</v>
      </c>
      <c r="EI87" s="8">
        <v>-4</v>
      </c>
      <c r="EJ87" s="52">
        <v>153</v>
      </c>
      <c r="EL87" s="8">
        <v>-268</v>
      </c>
      <c r="EM87" s="28">
        <v>861</v>
      </c>
      <c r="EN87" s="8">
        <v>53</v>
      </c>
      <c r="EO87" s="28">
        <v>14</v>
      </c>
      <c r="EP87" s="28"/>
      <c r="EQ87" s="28"/>
      <c r="EX87" s="8">
        <v>942</v>
      </c>
      <c r="EY87" s="28">
        <v>756</v>
      </c>
      <c r="FD87" s="6">
        <v>299</v>
      </c>
      <c r="FE87" s="28">
        <v>45</v>
      </c>
      <c r="FM87" s="8">
        <v>-517</v>
      </c>
      <c r="FN87" s="52">
        <v>275</v>
      </c>
      <c r="FQ87" s="8">
        <v>81</v>
      </c>
      <c r="FR87" s="28">
        <v>10</v>
      </c>
      <c r="FS87" s="8">
        <v>223</v>
      </c>
      <c r="FT87" s="52">
        <v>136</v>
      </c>
      <c r="GC87" s="8">
        <v>527</v>
      </c>
      <c r="GE87" s="8">
        <v>238</v>
      </c>
      <c r="GF87" s="28">
        <v>912</v>
      </c>
      <c r="GI87" s="8">
        <v>-48</v>
      </c>
      <c r="GJ87" s="28">
        <v>80</v>
      </c>
      <c r="GP87" s="8">
        <v>-35</v>
      </c>
      <c r="GQ87" s="52">
        <v>160</v>
      </c>
      <c r="GR87" s="8">
        <v>449</v>
      </c>
      <c r="GS87" s="28">
        <v>209</v>
      </c>
      <c r="GT87" s="6">
        <v>-53</v>
      </c>
      <c r="GU87" s="52">
        <v>78</v>
      </c>
      <c r="GV87" s="28"/>
      <c r="GW87" s="28"/>
      <c r="GZ87" s="8">
        <v>35</v>
      </c>
      <c r="HA87" s="28">
        <v>34</v>
      </c>
      <c r="HB87" s="6">
        <v>-51</v>
      </c>
      <c r="HC87" s="28"/>
      <c r="HE87" s="8">
        <v>17</v>
      </c>
      <c r="HF87" s="28">
        <v>49</v>
      </c>
      <c r="HG87" s="8">
        <v>164</v>
      </c>
      <c r="HQ87" s="6">
        <v>-6</v>
      </c>
      <c r="HR87" s="28">
        <v>3</v>
      </c>
      <c r="HS87" s="8">
        <v>16</v>
      </c>
      <c r="HT87" s="52">
        <v>225</v>
      </c>
      <c r="HX87" s="8">
        <v>-533</v>
      </c>
      <c r="HY87" s="28">
        <v>274</v>
      </c>
      <c r="HZ87" s="8">
        <v>-23</v>
      </c>
      <c r="IB87" s="8">
        <v>-175</v>
      </c>
      <c r="IC87" s="28">
        <v>124</v>
      </c>
      <c r="ID87" s="8">
        <v>190</v>
      </c>
      <c r="IE87" s="28">
        <v>425</v>
      </c>
      <c r="IO87">
        <v>-417</v>
      </c>
      <c r="IP87" s="10">
        <v>191</v>
      </c>
      <c r="IW87" s="8">
        <v>-152</v>
      </c>
      <c r="IY87" s="8">
        <v>-990</v>
      </c>
      <c r="JA87" s="8">
        <v>-227</v>
      </c>
      <c r="JB87" s="12">
        <v>695</v>
      </c>
      <c r="JH87" s="8">
        <v>761</v>
      </c>
      <c r="JI87" s="28">
        <v>309</v>
      </c>
      <c r="JL87" s="8">
        <v>28</v>
      </c>
      <c r="JN87" s="8">
        <v>831</v>
      </c>
      <c r="JO87" s="28">
        <v>137</v>
      </c>
      <c r="JP87" s="6">
        <v>4</v>
      </c>
      <c r="JQ87" s="12">
        <v>273</v>
      </c>
      <c r="JW87" s="8">
        <v>-632</v>
      </c>
      <c r="JX87" s="12">
        <v>112</v>
      </c>
      <c r="KE87" s="6">
        <v>77</v>
      </c>
      <c r="KF87" s="12">
        <v>145</v>
      </c>
      <c r="KT87" s="8">
        <v>3</v>
      </c>
      <c r="KU87" s="28">
        <v>6</v>
      </c>
      <c r="KZ87" s="8">
        <v>-5</v>
      </c>
      <c r="LA87" s="12">
        <v>462</v>
      </c>
      <c r="LD87" s="8">
        <v>-218</v>
      </c>
      <c r="LE87" s="28">
        <v>630</v>
      </c>
      <c r="LF87" s="8">
        <v>110</v>
      </c>
      <c r="LG87" s="28">
        <v>90</v>
      </c>
      <c r="LH87" s="8">
        <v>323</v>
      </c>
      <c r="LJ87" s="8">
        <v>310</v>
      </c>
      <c r="LK87" s="28">
        <v>338</v>
      </c>
      <c r="LL87" s="8">
        <v>-4</v>
      </c>
      <c r="LM87" s="28">
        <v>31</v>
      </c>
      <c r="LN87" s="8">
        <v>84</v>
      </c>
      <c r="LO87" s="28">
        <v>28</v>
      </c>
      <c r="LS87" s="8">
        <v>57</v>
      </c>
      <c r="LU87" s="8">
        <v>59</v>
      </c>
      <c r="LV87" s="12">
        <v>58</v>
      </c>
      <c r="LW87" s="8">
        <v>93</v>
      </c>
      <c r="LX87" s="28">
        <v>147</v>
      </c>
      <c r="MF87" s="8">
        <v>-224</v>
      </c>
      <c r="MG87" s="12">
        <v>84</v>
      </c>
      <c r="MS87" s="8">
        <v>951</v>
      </c>
      <c r="MT87" s="12">
        <v>129</v>
      </c>
      <c r="NC87" s="8">
        <v>6</v>
      </c>
      <c r="ND87" s="12">
        <v>53</v>
      </c>
      <c r="NP87" s="8">
        <v>765</v>
      </c>
      <c r="NQ87" s="12">
        <v>707</v>
      </c>
      <c r="NW87" s="8">
        <v>124</v>
      </c>
      <c r="NX87" s="28">
        <v>107</v>
      </c>
      <c r="OV87" s="8">
        <v>447</v>
      </c>
      <c r="PJ87" s="8">
        <v>-15</v>
      </c>
      <c r="PK87" s="12">
        <v>164</v>
      </c>
      <c r="PP87" s="8">
        <v>-204</v>
      </c>
      <c r="PQ87" s="28">
        <v>22</v>
      </c>
      <c r="PR87" s="28"/>
      <c r="PS87" s="8">
        <v>1</v>
      </c>
      <c r="PT87" s="12">
        <v>55</v>
      </c>
      <c r="PW87" s="8">
        <v>106</v>
      </c>
      <c r="PX87" s="28">
        <v>93</v>
      </c>
      <c r="QH87" s="8">
        <v>418</v>
      </c>
      <c r="QI87" s="12">
        <v>150</v>
      </c>
      <c r="QT87" s="8">
        <v>21</v>
      </c>
      <c r="QU87" s="12">
        <v>546</v>
      </c>
      <c r="QV87" s="6"/>
      <c r="QW87" s="12"/>
      <c r="RC87" s="6">
        <v>111</v>
      </c>
      <c r="RD87" s="12">
        <v>99</v>
      </c>
      <c r="RE87" s="6">
        <v>847</v>
      </c>
      <c r="RF87" s="12">
        <v>85</v>
      </c>
      <c r="RG87" s="8">
        <v>-57</v>
      </c>
      <c r="RH87" s="28">
        <v>759</v>
      </c>
      <c r="RL87" s="8">
        <v>-5</v>
      </c>
      <c r="RM87" s="12">
        <v>161</v>
      </c>
      <c r="SP87" s="8">
        <v>4</v>
      </c>
      <c r="SQ87" s="12">
        <v>65</v>
      </c>
      <c r="SY87" s="6">
        <v>146</v>
      </c>
      <c r="TH87" s="8">
        <v>46</v>
      </c>
      <c r="TI87" s="28">
        <v>50</v>
      </c>
      <c r="TX87" s="8">
        <v>126</v>
      </c>
      <c r="TY87" s="28">
        <v>510</v>
      </c>
      <c r="TZ87" s="8">
        <v>862</v>
      </c>
      <c r="UA87" s="12">
        <v>627</v>
      </c>
      <c r="UG87" s="8">
        <v>-116</v>
      </c>
      <c r="UH87" s="12">
        <v>4</v>
      </c>
      <c r="VH87" s="8">
        <v>138</v>
      </c>
      <c r="VI87" s="28">
        <v>109</v>
      </c>
      <c r="VL87" s="21"/>
      <c r="VM87" s="8">
        <v>5618</v>
      </c>
      <c r="VN87" s="12">
        <v>271</v>
      </c>
      <c r="VO87" s="12"/>
      <c r="VP87" s="12"/>
      <c r="VQ87" s="6">
        <v>-53</v>
      </c>
      <c r="VR87" s="28">
        <v>21</v>
      </c>
      <c r="VS87" s="12"/>
      <c r="VT87" s="12"/>
      <c r="VZ87" s="8">
        <v>742</v>
      </c>
      <c r="WA87" s="28">
        <v>134</v>
      </c>
      <c r="WB87" s="8">
        <v>7098</v>
      </c>
      <c r="WC87" s="12">
        <v>1074</v>
      </c>
      <c r="XG87" s="2">
        <v>-1382</v>
      </c>
      <c r="XH87" s="1">
        <v>1674</v>
      </c>
      <c r="XK87">
        <v>44</v>
      </c>
      <c r="XL87" s="1">
        <v>176</v>
      </c>
    </row>
    <row r="88" spans="7:636" x14ac:dyDescent="0.25">
      <c r="K88" s="2">
        <v>3732</v>
      </c>
      <c r="L88" s="1">
        <v>11</v>
      </c>
      <c r="M88">
        <v>-172</v>
      </c>
      <c r="N88" s="1">
        <v>13</v>
      </c>
      <c r="O88" s="26"/>
      <c r="V88">
        <v>-1</v>
      </c>
      <c r="W88" s="10">
        <v>49</v>
      </c>
      <c r="AB88">
        <v>-79</v>
      </c>
      <c r="AC88" s="1">
        <v>41</v>
      </c>
      <c r="AD88">
        <v>27</v>
      </c>
      <c r="AE88" s="1">
        <v>4</v>
      </c>
      <c r="AJ88" s="2">
        <v>114</v>
      </c>
      <c r="AK88" s="10">
        <v>159</v>
      </c>
      <c r="AY88">
        <v>4</v>
      </c>
      <c r="AZ88" s="1">
        <v>3</v>
      </c>
      <c r="BD88" s="8"/>
      <c r="BF88">
        <v>6908</v>
      </c>
      <c r="BG88" s="1">
        <v>2011</v>
      </c>
      <c r="BL88">
        <v>-2</v>
      </c>
      <c r="BM88" s="1">
        <v>11</v>
      </c>
      <c r="BN88">
        <v>88</v>
      </c>
      <c r="BP88">
        <v>-262</v>
      </c>
      <c r="BQ88" s="10">
        <v>3174</v>
      </c>
      <c r="BT88">
        <v>834</v>
      </c>
      <c r="BU88" s="1">
        <v>346</v>
      </c>
      <c r="CE88" s="8">
        <v>62</v>
      </c>
      <c r="CF88" s="28">
        <v>8</v>
      </c>
      <c r="CI88" s="8">
        <v>398</v>
      </c>
      <c r="CJ88" s="12">
        <v>226</v>
      </c>
      <c r="CK88" s="8">
        <v>-48</v>
      </c>
      <c r="CL88" s="28">
        <v>24</v>
      </c>
      <c r="CM88" s="6">
        <v>45</v>
      </c>
      <c r="CN88" s="28"/>
      <c r="CO88" s="28"/>
      <c r="CP88" s="28"/>
      <c r="CQ88" s="6">
        <v>926</v>
      </c>
      <c r="CR88" s="28"/>
      <c r="CS88" s="6">
        <v>-640</v>
      </c>
      <c r="CT88" s="28">
        <v>275</v>
      </c>
      <c r="CU88" s="28"/>
      <c r="CV88" s="28"/>
      <c r="CW88" s="28"/>
      <c r="CX88" s="28"/>
      <c r="CZ88" s="23">
        <v>-302</v>
      </c>
      <c r="DA88" s="25">
        <v>107</v>
      </c>
      <c r="DB88" s="23">
        <v>98</v>
      </c>
      <c r="DC88" s="25">
        <v>11</v>
      </c>
      <c r="DF88" s="23">
        <v>105</v>
      </c>
      <c r="DG88" s="25">
        <v>724</v>
      </c>
      <c r="DH88" s="23">
        <v>891</v>
      </c>
      <c r="DI88" s="25">
        <v>407</v>
      </c>
      <c r="DJ88" s="23">
        <v>653</v>
      </c>
      <c r="DK88" s="28">
        <v>405</v>
      </c>
      <c r="DL88" s="8">
        <v>-15</v>
      </c>
      <c r="DQ88" s="8">
        <v>-487</v>
      </c>
      <c r="DR88" s="52">
        <v>578</v>
      </c>
      <c r="DS88" s="6">
        <v>98</v>
      </c>
      <c r="DT88" s="52">
        <v>105</v>
      </c>
      <c r="DU88" s="8">
        <v>-347</v>
      </c>
      <c r="DV88" s="28">
        <v>450</v>
      </c>
      <c r="DW88" s="8">
        <v>-24</v>
      </c>
      <c r="DX88" s="28">
        <v>15</v>
      </c>
      <c r="DY88" s="6">
        <v>153</v>
      </c>
      <c r="DZ88" s="52">
        <v>49</v>
      </c>
      <c r="EA88" s="23">
        <v>-45</v>
      </c>
      <c r="EB88" s="52">
        <v>667</v>
      </c>
      <c r="EC88" s="6">
        <v>15</v>
      </c>
      <c r="ED88" s="28">
        <v>22</v>
      </c>
      <c r="EE88" s="8">
        <v>394</v>
      </c>
      <c r="EF88" s="52">
        <v>525</v>
      </c>
      <c r="EG88" s="8">
        <v>764</v>
      </c>
      <c r="EH88" s="28">
        <v>344</v>
      </c>
      <c r="EI88" s="8">
        <v>-42</v>
      </c>
      <c r="EJ88" s="52">
        <v>779</v>
      </c>
      <c r="EL88" s="8">
        <v>-497</v>
      </c>
      <c r="EM88" s="28">
        <v>139</v>
      </c>
      <c r="EN88" s="8">
        <v>61</v>
      </c>
      <c r="EO88" s="28">
        <v>15</v>
      </c>
      <c r="EP88" s="28"/>
      <c r="EQ88" s="28"/>
      <c r="EX88" s="8">
        <v>789</v>
      </c>
      <c r="EY88" s="28">
        <v>112</v>
      </c>
      <c r="FD88" s="6">
        <v>-210</v>
      </c>
      <c r="FE88" s="28">
        <v>133</v>
      </c>
      <c r="FM88" s="8">
        <v>-167</v>
      </c>
      <c r="FN88" s="52">
        <v>13</v>
      </c>
      <c r="FQ88" s="8">
        <v>66</v>
      </c>
      <c r="FR88" s="28">
        <v>7</v>
      </c>
      <c r="FS88" s="8">
        <v>-13</v>
      </c>
      <c r="FT88" s="52">
        <v>245</v>
      </c>
      <c r="GC88" s="8">
        <v>744</v>
      </c>
      <c r="GE88" s="8">
        <v>542</v>
      </c>
      <c r="GF88" s="28">
        <v>233</v>
      </c>
      <c r="GI88" s="8">
        <v>-117</v>
      </c>
      <c r="GJ88" s="28">
        <v>76</v>
      </c>
      <c r="GP88" s="8">
        <v>-181</v>
      </c>
      <c r="GQ88" s="52">
        <v>647</v>
      </c>
      <c r="GR88" s="8">
        <v>109</v>
      </c>
      <c r="GS88" s="28">
        <v>392</v>
      </c>
      <c r="GT88" s="6">
        <v>-56</v>
      </c>
      <c r="GU88" s="52">
        <v>44</v>
      </c>
      <c r="GV88" s="28"/>
      <c r="GW88" s="28"/>
      <c r="GZ88" s="8">
        <v>-153</v>
      </c>
      <c r="HA88" s="28">
        <v>401</v>
      </c>
      <c r="HB88" s="6">
        <v>132</v>
      </c>
      <c r="HC88" s="28"/>
      <c r="HE88" s="8">
        <v>9</v>
      </c>
      <c r="HF88" s="28">
        <v>50</v>
      </c>
      <c r="HG88" s="8">
        <v>145</v>
      </c>
      <c r="HQ88" s="6">
        <v>2</v>
      </c>
      <c r="HR88" s="28">
        <v>3</v>
      </c>
      <c r="HS88" s="8">
        <v>-4</v>
      </c>
      <c r="HT88" s="52">
        <v>86</v>
      </c>
      <c r="HX88" s="8">
        <v>-14</v>
      </c>
      <c r="HY88" s="28">
        <v>26</v>
      </c>
      <c r="HZ88" s="8">
        <v>11</v>
      </c>
      <c r="IB88" s="8">
        <v>387</v>
      </c>
      <c r="IC88" s="28">
        <v>200</v>
      </c>
      <c r="ID88" s="8">
        <v>-553</v>
      </c>
      <c r="IE88" s="28">
        <v>195</v>
      </c>
      <c r="IO88">
        <v>-425</v>
      </c>
      <c r="IP88" s="10">
        <v>142</v>
      </c>
      <c r="IY88" s="8">
        <v>150</v>
      </c>
      <c r="JA88" s="8">
        <v>12</v>
      </c>
      <c r="JB88" s="12">
        <v>133</v>
      </c>
      <c r="JH88" s="8">
        <v>-981</v>
      </c>
      <c r="JI88" s="28">
        <v>463</v>
      </c>
      <c r="JL88" s="8">
        <v>-35</v>
      </c>
      <c r="JN88" s="8">
        <v>821</v>
      </c>
      <c r="JO88" s="28">
        <v>162</v>
      </c>
      <c r="JP88" s="6">
        <v>7</v>
      </c>
      <c r="JQ88" s="12">
        <v>324</v>
      </c>
      <c r="JW88" s="8">
        <v>-509</v>
      </c>
      <c r="JX88" s="12">
        <v>886</v>
      </c>
      <c r="KE88" s="6">
        <v>549</v>
      </c>
      <c r="KF88" s="12">
        <v>275</v>
      </c>
      <c r="KT88" s="8">
        <v>14</v>
      </c>
      <c r="KU88" s="28">
        <v>38</v>
      </c>
      <c r="KZ88" s="8">
        <v>-2</v>
      </c>
      <c r="LA88" s="12">
        <v>347</v>
      </c>
      <c r="LD88" s="8">
        <v>630</v>
      </c>
      <c r="LE88" s="28">
        <v>553</v>
      </c>
      <c r="LF88" s="8">
        <v>38</v>
      </c>
      <c r="LG88" s="28">
        <v>78</v>
      </c>
      <c r="LH88" s="8">
        <v>942</v>
      </c>
      <c r="LJ88" s="8">
        <v>-327</v>
      </c>
      <c r="LK88" s="28">
        <v>241</v>
      </c>
      <c r="LL88" s="8">
        <v>18</v>
      </c>
      <c r="LM88" s="28">
        <v>15</v>
      </c>
      <c r="LN88" s="8">
        <v>118</v>
      </c>
      <c r="LO88" s="28">
        <v>27</v>
      </c>
      <c r="LS88" s="8">
        <v>278</v>
      </c>
      <c r="LU88" s="8">
        <v>-68</v>
      </c>
      <c r="LV88" s="12">
        <v>80</v>
      </c>
      <c r="LW88" s="8">
        <v>-109</v>
      </c>
      <c r="LX88" s="28">
        <v>316</v>
      </c>
      <c r="MF88" s="8">
        <v>-503</v>
      </c>
      <c r="MG88" s="12">
        <v>245</v>
      </c>
      <c r="MS88" s="8">
        <v>396</v>
      </c>
      <c r="MT88" s="12">
        <v>380</v>
      </c>
      <c r="NC88" s="8">
        <v>19</v>
      </c>
      <c r="ND88" s="12">
        <v>587</v>
      </c>
      <c r="NP88" s="8">
        <v>890</v>
      </c>
      <c r="NQ88" s="12">
        <v>795</v>
      </c>
      <c r="NW88" s="8">
        <v>108</v>
      </c>
      <c r="NX88" s="28">
        <v>89</v>
      </c>
      <c r="OV88" s="8">
        <v>837</v>
      </c>
      <c r="PJ88" s="8">
        <v>655</v>
      </c>
      <c r="PK88" s="12">
        <v>691</v>
      </c>
      <c r="PP88" s="8">
        <v>-242</v>
      </c>
      <c r="PQ88" s="28">
        <v>16</v>
      </c>
      <c r="PR88" s="28"/>
      <c r="PS88" s="8">
        <v>-4</v>
      </c>
      <c r="PT88" s="12">
        <v>403</v>
      </c>
      <c r="PW88" s="8">
        <v>435</v>
      </c>
      <c r="PX88" s="28">
        <v>165</v>
      </c>
      <c r="QH88" s="8">
        <v>-49</v>
      </c>
      <c r="QI88" s="12">
        <v>673</v>
      </c>
      <c r="QT88" s="8">
        <v>40</v>
      </c>
      <c r="QU88" s="12">
        <v>90</v>
      </c>
      <c r="QV88" s="6"/>
      <c r="QW88" s="12"/>
      <c r="RC88" s="6">
        <v>726</v>
      </c>
      <c r="RD88" s="12">
        <v>74</v>
      </c>
      <c r="RE88" s="6">
        <v>-674</v>
      </c>
      <c r="RF88" s="12">
        <v>613</v>
      </c>
      <c r="RG88" s="8">
        <v>-229</v>
      </c>
      <c r="RH88" s="28">
        <v>122</v>
      </c>
      <c r="RL88" s="8">
        <v>70</v>
      </c>
      <c r="SP88" s="8">
        <v>754</v>
      </c>
      <c r="SQ88" s="12">
        <v>433</v>
      </c>
      <c r="SY88" s="6">
        <v>470</v>
      </c>
      <c r="TH88" s="8">
        <v>-16</v>
      </c>
      <c r="TI88" s="28">
        <v>57</v>
      </c>
      <c r="TX88" s="8">
        <v>133</v>
      </c>
      <c r="TY88" s="28">
        <v>512</v>
      </c>
      <c r="TZ88" s="8">
        <v>466</v>
      </c>
      <c r="UA88" s="12">
        <v>747</v>
      </c>
      <c r="UG88" s="8">
        <v>-418</v>
      </c>
      <c r="UH88" s="12">
        <v>11</v>
      </c>
      <c r="VH88" s="8">
        <v>122</v>
      </c>
      <c r="VI88" s="28">
        <v>164</v>
      </c>
      <c r="VL88" s="21"/>
      <c r="VM88" s="8">
        <v>2058</v>
      </c>
      <c r="VN88" s="12">
        <v>108</v>
      </c>
      <c r="VO88" s="12"/>
      <c r="VP88" s="12"/>
      <c r="VQ88" s="6">
        <v>-21</v>
      </c>
      <c r="VR88" s="28">
        <v>22</v>
      </c>
      <c r="VS88" s="12"/>
      <c r="VT88" s="12"/>
      <c r="VZ88" s="8">
        <v>309</v>
      </c>
      <c r="WA88" s="28">
        <v>69</v>
      </c>
      <c r="WB88" s="8">
        <v>5143</v>
      </c>
      <c r="WC88" s="12">
        <v>1201</v>
      </c>
      <c r="XG88" s="2">
        <v>-100</v>
      </c>
      <c r="XH88" s="1">
        <v>1718</v>
      </c>
      <c r="XK88">
        <v>21</v>
      </c>
      <c r="XL88" s="1">
        <v>8</v>
      </c>
    </row>
    <row r="89" spans="7:636" x14ac:dyDescent="0.25">
      <c r="K89" s="2">
        <v>1402</v>
      </c>
      <c r="L89" s="1">
        <v>10</v>
      </c>
      <c r="M89">
        <v>-114</v>
      </c>
      <c r="N89" s="1">
        <v>13</v>
      </c>
      <c r="O89" s="26"/>
      <c r="V89">
        <v>3</v>
      </c>
      <c r="W89" s="10">
        <v>83</v>
      </c>
      <c r="AB89">
        <v>-82</v>
      </c>
      <c r="AC89" s="1">
        <v>35</v>
      </c>
      <c r="AD89">
        <v>39</v>
      </c>
      <c r="AE89" s="1">
        <v>4</v>
      </c>
      <c r="AJ89" s="2">
        <v>-994</v>
      </c>
      <c r="AK89" s="10">
        <v>450</v>
      </c>
      <c r="AY89">
        <v>4</v>
      </c>
      <c r="AZ89" s="1">
        <v>3</v>
      </c>
      <c r="BD89" s="8"/>
      <c r="BF89">
        <v>4369</v>
      </c>
      <c r="BG89" s="1">
        <v>1921</v>
      </c>
      <c r="BL89">
        <v>-27</v>
      </c>
      <c r="BM89" s="1">
        <v>10</v>
      </c>
      <c r="BN89">
        <v>-149</v>
      </c>
      <c r="BP89">
        <v>-109</v>
      </c>
      <c r="BQ89" s="10">
        <v>1456</v>
      </c>
      <c r="BT89">
        <v>161</v>
      </c>
      <c r="BU89" s="1">
        <v>352</v>
      </c>
      <c r="CE89" s="8">
        <v>78</v>
      </c>
      <c r="CF89" s="28">
        <v>8</v>
      </c>
      <c r="CI89" s="8">
        <v>914</v>
      </c>
      <c r="CJ89" s="12">
        <v>577</v>
      </c>
      <c r="CK89" s="8">
        <v>1</v>
      </c>
      <c r="CL89" s="28">
        <v>15</v>
      </c>
      <c r="CM89" s="6">
        <v>9</v>
      </c>
      <c r="CN89" s="28"/>
      <c r="CO89" s="28"/>
      <c r="CP89" s="28"/>
      <c r="CQ89" s="6">
        <v>923</v>
      </c>
      <c r="CR89" s="28"/>
      <c r="CS89" s="6">
        <v>871</v>
      </c>
      <c r="CT89" s="28">
        <v>338</v>
      </c>
      <c r="CU89" s="28"/>
      <c r="CV89" s="28"/>
      <c r="CW89" s="28"/>
      <c r="CX89" s="28"/>
      <c r="CZ89" s="23">
        <v>133</v>
      </c>
      <c r="DA89" s="25">
        <v>639</v>
      </c>
      <c r="DB89" s="23">
        <v>128</v>
      </c>
      <c r="DC89" s="25">
        <v>32</v>
      </c>
      <c r="DF89" s="23">
        <v>111</v>
      </c>
      <c r="DG89" s="25">
        <v>730</v>
      </c>
      <c r="DH89" s="23">
        <v>152</v>
      </c>
      <c r="DI89" s="25">
        <v>811</v>
      </c>
      <c r="DJ89" s="23">
        <v>-386</v>
      </c>
      <c r="DK89" s="28">
        <v>176</v>
      </c>
      <c r="DL89" s="8">
        <v>-1</v>
      </c>
      <c r="DQ89" s="8">
        <v>211</v>
      </c>
      <c r="DR89" s="52">
        <v>157</v>
      </c>
      <c r="DS89" s="6">
        <v>90</v>
      </c>
      <c r="DT89" s="52">
        <v>85</v>
      </c>
      <c r="DU89" s="8">
        <v>-259</v>
      </c>
      <c r="DV89" s="28">
        <v>410</v>
      </c>
      <c r="DW89" s="8">
        <v>-40</v>
      </c>
      <c r="DX89" s="28">
        <v>11</v>
      </c>
      <c r="DY89" s="6">
        <v>103</v>
      </c>
      <c r="DZ89" s="52">
        <v>34</v>
      </c>
      <c r="EA89" s="23">
        <v>-18</v>
      </c>
      <c r="EB89" s="52">
        <v>185</v>
      </c>
      <c r="EC89" s="6">
        <v>1</v>
      </c>
      <c r="ED89" s="28">
        <v>3</v>
      </c>
      <c r="EE89" s="8">
        <v>622</v>
      </c>
      <c r="EF89" s="52">
        <v>139</v>
      </c>
      <c r="EG89" s="8">
        <v>-326</v>
      </c>
      <c r="EH89" s="28">
        <v>669</v>
      </c>
      <c r="EI89" s="8">
        <v>-4</v>
      </c>
      <c r="EJ89" s="52">
        <v>39</v>
      </c>
      <c r="EL89" s="8">
        <v>776</v>
      </c>
      <c r="EM89" s="28">
        <v>748</v>
      </c>
      <c r="EN89" s="8">
        <v>71</v>
      </c>
      <c r="EO89" s="28">
        <v>15</v>
      </c>
      <c r="EP89" s="28"/>
      <c r="EQ89" s="28"/>
      <c r="EX89" s="8">
        <v>908</v>
      </c>
      <c r="EY89" s="28">
        <v>112</v>
      </c>
      <c r="FD89" s="6">
        <v>173</v>
      </c>
      <c r="FE89" s="28">
        <v>141</v>
      </c>
      <c r="FM89" s="8">
        <v>-748</v>
      </c>
      <c r="FN89" s="52">
        <v>495</v>
      </c>
      <c r="FQ89" s="8">
        <v>-44</v>
      </c>
      <c r="FR89" s="28">
        <v>4</v>
      </c>
      <c r="FS89" s="8">
        <v>-13</v>
      </c>
      <c r="FT89" s="52">
        <v>244</v>
      </c>
      <c r="GC89" s="8">
        <v>-161</v>
      </c>
      <c r="GE89" s="8">
        <v>119</v>
      </c>
      <c r="GF89" s="28">
        <v>524</v>
      </c>
      <c r="GI89" s="8">
        <v>-114</v>
      </c>
      <c r="GJ89" s="28">
        <v>79</v>
      </c>
      <c r="GP89" s="8">
        <v>27</v>
      </c>
      <c r="GQ89" s="52">
        <v>102</v>
      </c>
      <c r="GR89" s="8">
        <v>379</v>
      </c>
      <c r="GS89" s="28">
        <v>297</v>
      </c>
      <c r="GT89" s="6">
        <v>116</v>
      </c>
      <c r="GU89" s="52">
        <v>102</v>
      </c>
      <c r="GV89" s="28"/>
      <c r="GW89" s="28"/>
      <c r="GZ89" s="8">
        <v>224</v>
      </c>
      <c r="HA89" s="28">
        <v>262</v>
      </c>
      <c r="HB89" s="6">
        <v>43</v>
      </c>
      <c r="HC89" s="28"/>
      <c r="HE89" s="8">
        <v>8</v>
      </c>
      <c r="HF89" s="28">
        <v>41</v>
      </c>
      <c r="HG89" s="8">
        <v>66</v>
      </c>
      <c r="HQ89" s="6">
        <v>-114</v>
      </c>
      <c r="HR89" s="28">
        <v>81</v>
      </c>
      <c r="HS89" s="8">
        <v>34</v>
      </c>
      <c r="HT89" s="52">
        <v>47</v>
      </c>
      <c r="HX89" s="8">
        <v>-129</v>
      </c>
      <c r="HY89" s="28">
        <v>58</v>
      </c>
      <c r="HZ89" s="8">
        <v>2</v>
      </c>
      <c r="IB89" s="8">
        <v>116</v>
      </c>
      <c r="IC89" s="28">
        <v>821</v>
      </c>
      <c r="ID89" s="8">
        <v>-154</v>
      </c>
      <c r="IE89" s="28">
        <v>711</v>
      </c>
      <c r="IO89">
        <v>8</v>
      </c>
      <c r="IP89" s="10">
        <v>46</v>
      </c>
      <c r="IY89" s="8">
        <v>-70</v>
      </c>
      <c r="JA89" s="8">
        <v>172</v>
      </c>
      <c r="JB89" s="12">
        <v>599</v>
      </c>
      <c r="JH89" s="8">
        <v>721</v>
      </c>
      <c r="JI89" s="28">
        <v>104</v>
      </c>
      <c r="JL89" s="8">
        <v>10</v>
      </c>
      <c r="JN89" s="8">
        <v>906</v>
      </c>
      <c r="JO89" s="28">
        <v>168</v>
      </c>
      <c r="JP89" s="6">
        <v>6</v>
      </c>
      <c r="JQ89" s="12">
        <v>306</v>
      </c>
      <c r="JW89" s="8">
        <v>-403</v>
      </c>
      <c r="JX89" s="12">
        <v>596</v>
      </c>
      <c r="KE89" s="6">
        <v>-587</v>
      </c>
      <c r="KF89" s="12">
        <v>638</v>
      </c>
      <c r="KT89" s="8">
        <v>-308</v>
      </c>
      <c r="KU89" s="28">
        <v>44</v>
      </c>
      <c r="KZ89" s="8">
        <v>-14</v>
      </c>
      <c r="LA89" s="12">
        <v>465</v>
      </c>
      <c r="LD89" s="8">
        <v>-423</v>
      </c>
      <c r="LE89" s="28">
        <v>126</v>
      </c>
      <c r="LF89" s="8">
        <v>-30</v>
      </c>
      <c r="LG89" s="28">
        <v>89</v>
      </c>
      <c r="LH89" s="8">
        <v>925</v>
      </c>
      <c r="LJ89" s="8">
        <v>157</v>
      </c>
      <c r="LK89" s="28">
        <v>967</v>
      </c>
      <c r="LL89" s="8">
        <v>6</v>
      </c>
      <c r="LM89" s="28">
        <v>7</v>
      </c>
      <c r="LS89" s="8">
        <v>65</v>
      </c>
      <c r="LU89" s="8">
        <v>217</v>
      </c>
      <c r="LV89" s="12">
        <v>22</v>
      </c>
      <c r="LW89" s="8">
        <v>371</v>
      </c>
      <c r="LX89" s="28">
        <v>104</v>
      </c>
      <c r="MF89" s="8">
        <v>-273</v>
      </c>
      <c r="MG89" s="12">
        <v>213</v>
      </c>
      <c r="MS89" s="8">
        <v>37</v>
      </c>
      <c r="MT89" s="12">
        <v>208</v>
      </c>
      <c r="NC89" s="8">
        <v>-26</v>
      </c>
      <c r="ND89" s="12">
        <v>651</v>
      </c>
      <c r="NP89" s="8">
        <v>768</v>
      </c>
      <c r="NQ89" s="12">
        <v>616</v>
      </c>
      <c r="NW89" s="8">
        <v>128</v>
      </c>
      <c r="NX89" s="28">
        <v>102</v>
      </c>
      <c r="OV89" s="8">
        <v>107</v>
      </c>
      <c r="PJ89" s="8">
        <v>201</v>
      </c>
      <c r="PK89" s="12">
        <v>413</v>
      </c>
      <c r="PP89" s="8">
        <v>-145</v>
      </c>
      <c r="PQ89" s="28">
        <v>23</v>
      </c>
      <c r="PR89" s="28"/>
      <c r="PS89" s="8">
        <v>1</v>
      </c>
      <c r="PT89" s="12">
        <v>75</v>
      </c>
      <c r="PW89" s="8">
        <v>-105</v>
      </c>
      <c r="PX89" s="28">
        <v>410</v>
      </c>
      <c r="QH89" s="8">
        <v>-315</v>
      </c>
      <c r="QI89" s="12">
        <v>123</v>
      </c>
      <c r="QT89" s="8">
        <v>-132</v>
      </c>
      <c r="QU89" s="12">
        <v>215</v>
      </c>
      <c r="QV89" s="6"/>
      <c r="QW89" s="12"/>
      <c r="RC89" s="6">
        <v>-760</v>
      </c>
      <c r="RD89" s="12">
        <v>80</v>
      </c>
      <c r="RE89" s="6">
        <v>-171</v>
      </c>
      <c r="RF89" s="12">
        <v>126</v>
      </c>
      <c r="RG89" s="8">
        <v>-379</v>
      </c>
      <c r="RH89" s="28">
        <v>161</v>
      </c>
      <c r="RL89" s="8">
        <v>-93</v>
      </c>
      <c r="SP89" s="8">
        <v>-244</v>
      </c>
      <c r="SY89" s="6">
        <v>232</v>
      </c>
      <c r="TH89" s="8">
        <v>58</v>
      </c>
      <c r="TI89" s="28">
        <v>40</v>
      </c>
      <c r="TX89" s="8">
        <v>262</v>
      </c>
      <c r="TY89" s="28">
        <v>611</v>
      </c>
      <c r="TZ89" s="8">
        <v>213</v>
      </c>
      <c r="UA89" s="12">
        <v>152</v>
      </c>
      <c r="UG89" s="8">
        <v>-836</v>
      </c>
      <c r="VH89" s="8">
        <v>708</v>
      </c>
      <c r="VI89" s="28">
        <v>126</v>
      </c>
      <c r="VL89" s="21"/>
      <c r="VM89" s="8">
        <v>3112</v>
      </c>
      <c r="VN89" s="12">
        <v>199</v>
      </c>
      <c r="VO89" s="12"/>
      <c r="VP89" s="12"/>
      <c r="VQ89" s="6">
        <v>15</v>
      </c>
      <c r="VR89" s="28">
        <v>40</v>
      </c>
      <c r="VS89" s="12"/>
      <c r="VT89" s="12"/>
      <c r="VU89" s="30">
        <v>199</v>
      </c>
      <c r="VZ89" s="8">
        <v>579</v>
      </c>
      <c r="WA89" s="28">
        <v>128</v>
      </c>
      <c r="WB89" s="8">
        <v>4915</v>
      </c>
      <c r="WC89" s="12">
        <v>1343</v>
      </c>
      <c r="XG89" s="2">
        <v>1318</v>
      </c>
      <c r="XH89" s="1">
        <v>7609</v>
      </c>
      <c r="XK89">
        <v>28</v>
      </c>
      <c r="XL89" s="1">
        <v>32</v>
      </c>
    </row>
    <row r="90" spans="7:636" x14ac:dyDescent="0.25">
      <c r="K90" s="2">
        <v>3370</v>
      </c>
      <c r="L90" s="1">
        <v>11</v>
      </c>
      <c r="M90">
        <v>-282</v>
      </c>
      <c r="N90" s="1">
        <v>9</v>
      </c>
      <c r="O90" s="26"/>
      <c r="V90">
        <v>7</v>
      </c>
      <c r="W90" s="10">
        <v>507</v>
      </c>
      <c r="AB90">
        <v>-27</v>
      </c>
      <c r="AC90" s="1">
        <v>71</v>
      </c>
      <c r="AD90">
        <v>44</v>
      </c>
      <c r="AE90" s="1">
        <v>4</v>
      </c>
      <c r="AJ90" s="2">
        <v>-3137</v>
      </c>
      <c r="AK90" s="10">
        <v>249</v>
      </c>
      <c r="AY90">
        <v>-1</v>
      </c>
      <c r="AZ90" s="1">
        <v>1</v>
      </c>
      <c r="BD90" s="8"/>
      <c r="BF90">
        <v>3187</v>
      </c>
      <c r="BG90" s="1">
        <v>1030</v>
      </c>
      <c r="BL90">
        <v>9</v>
      </c>
      <c r="BM90" s="1">
        <v>7</v>
      </c>
      <c r="BN90">
        <v>93</v>
      </c>
      <c r="BP90">
        <v>-265</v>
      </c>
      <c r="BQ90" s="10">
        <v>2123</v>
      </c>
      <c r="BT90">
        <v>-855</v>
      </c>
      <c r="BU90" s="1">
        <v>560</v>
      </c>
      <c r="CE90" s="8">
        <v>94</v>
      </c>
      <c r="CF90" s="28">
        <v>9</v>
      </c>
      <c r="CI90" s="8">
        <v>212</v>
      </c>
      <c r="CJ90" s="12">
        <v>63</v>
      </c>
      <c r="CK90" s="8">
        <v>3</v>
      </c>
      <c r="CL90" s="28">
        <v>15</v>
      </c>
      <c r="CM90" s="6">
        <v>16</v>
      </c>
      <c r="CN90" s="28"/>
      <c r="CO90" s="28"/>
      <c r="CP90" s="28"/>
      <c r="CQ90" s="6">
        <v>866</v>
      </c>
      <c r="CR90" s="28"/>
      <c r="CS90" s="6">
        <v>260</v>
      </c>
      <c r="CT90" s="28">
        <v>424</v>
      </c>
      <c r="CU90" s="28"/>
      <c r="CV90" s="28"/>
      <c r="CW90" s="28"/>
      <c r="CX90" s="28"/>
      <c r="CZ90" s="23">
        <v>491</v>
      </c>
      <c r="DA90" s="25">
        <v>79</v>
      </c>
      <c r="DC90" s="25"/>
      <c r="DF90" s="23">
        <v>104</v>
      </c>
      <c r="DG90" s="25">
        <v>433</v>
      </c>
      <c r="DH90" s="23">
        <v>-306</v>
      </c>
      <c r="DI90" s="25">
        <v>280</v>
      </c>
      <c r="DJ90" s="23">
        <v>-721</v>
      </c>
      <c r="DK90" s="28">
        <v>169</v>
      </c>
      <c r="DL90" s="8">
        <v>-11</v>
      </c>
      <c r="DQ90" s="8">
        <v>-114</v>
      </c>
      <c r="DR90" s="52">
        <v>214</v>
      </c>
      <c r="DS90" s="6">
        <v>-153</v>
      </c>
      <c r="DT90" s="52">
        <v>54</v>
      </c>
      <c r="DU90" s="8">
        <v>-141</v>
      </c>
      <c r="DV90" s="28">
        <v>426</v>
      </c>
      <c r="DW90" s="8">
        <v>-1</v>
      </c>
      <c r="DX90" s="28">
        <v>9</v>
      </c>
      <c r="DY90" s="6">
        <v>142</v>
      </c>
      <c r="DZ90" s="52">
        <v>77</v>
      </c>
      <c r="EA90" s="23">
        <v>-106</v>
      </c>
      <c r="EB90" s="52">
        <v>170</v>
      </c>
      <c r="EC90" s="6">
        <v>-7</v>
      </c>
      <c r="ED90" s="28">
        <v>4</v>
      </c>
      <c r="EE90" s="8">
        <v>-17</v>
      </c>
      <c r="EF90" s="52">
        <v>610</v>
      </c>
      <c r="EG90" s="8">
        <v>262</v>
      </c>
      <c r="EH90" s="28">
        <v>126</v>
      </c>
      <c r="EI90" s="8">
        <v>-107</v>
      </c>
      <c r="EJ90" s="52">
        <v>665</v>
      </c>
      <c r="EL90" s="8">
        <v>-573</v>
      </c>
      <c r="EM90" s="28">
        <v>510</v>
      </c>
      <c r="EN90" s="8">
        <v>74</v>
      </c>
      <c r="EO90" s="28">
        <v>10</v>
      </c>
      <c r="EP90" s="28"/>
      <c r="EQ90" s="28"/>
      <c r="EX90" s="8">
        <v>-231</v>
      </c>
      <c r="EY90" s="28">
        <v>753</v>
      </c>
      <c r="FD90" s="6">
        <v>-86</v>
      </c>
      <c r="FE90" s="28">
        <v>42</v>
      </c>
      <c r="FM90" s="8">
        <v>-632</v>
      </c>
      <c r="FN90" s="52">
        <v>320</v>
      </c>
      <c r="FQ90" s="8">
        <v>98</v>
      </c>
      <c r="FR90" s="28">
        <v>15</v>
      </c>
      <c r="FS90" s="8">
        <v>-13</v>
      </c>
      <c r="FT90" s="52">
        <v>242</v>
      </c>
      <c r="GC90" s="8">
        <v>-118</v>
      </c>
      <c r="GE90" s="8">
        <v>119</v>
      </c>
      <c r="GF90" s="28">
        <v>167</v>
      </c>
      <c r="GI90" s="8">
        <v>-60</v>
      </c>
      <c r="GJ90" s="28">
        <v>77</v>
      </c>
      <c r="GP90" s="8">
        <v>-21</v>
      </c>
      <c r="GQ90" s="52">
        <v>47</v>
      </c>
      <c r="GR90" s="8">
        <v>-97</v>
      </c>
      <c r="GS90" s="28">
        <v>226</v>
      </c>
      <c r="GT90" s="6">
        <v>-363</v>
      </c>
      <c r="GU90" s="52">
        <v>206</v>
      </c>
      <c r="GV90" s="28"/>
      <c r="GW90" s="28"/>
      <c r="GZ90" s="8">
        <v>639</v>
      </c>
      <c r="HA90" s="28">
        <v>17</v>
      </c>
      <c r="HB90" s="6">
        <v>186</v>
      </c>
      <c r="HC90" s="28"/>
      <c r="HE90" s="8">
        <v>-24</v>
      </c>
      <c r="HF90" s="28">
        <v>27</v>
      </c>
      <c r="HG90" s="8">
        <v>-86</v>
      </c>
      <c r="HQ90" s="6">
        <v>1</v>
      </c>
      <c r="HR90" s="28">
        <v>3</v>
      </c>
      <c r="HS90" s="8">
        <v>-3</v>
      </c>
      <c r="HT90" s="52">
        <v>110</v>
      </c>
      <c r="HX90" s="8">
        <v>-56</v>
      </c>
      <c r="HY90" s="28">
        <v>397</v>
      </c>
      <c r="HZ90" s="8">
        <v>5</v>
      </c>
      <c r="IB90" s="8">
        <v>174</v>
      </c>
      <c r="IC90" s="28">
        <v>978</v>
      </c>
      <c r="ID90" s="8">
        <v>-618</v>
      </c>
      <c r="IE90" s="28">
        <v>190</v>
      </c>
      <c r="IO90">
        <v>25</v>
      </c>
      <c r="IP90" s="10">
        <v>156</v>
      </c>
      <c r="IY90" s="8">
        <v>-323</v>
      </c>
      <c r="JA90" s="8">
        <v>210</v>
      </c>
      <c r="JB90" s="12">
        <v>347</v>
      </c>
      <c r="JH90" s="8">
        <v>-388</v>
      </c>
      <c r="JI90" s="28">
        <v>60</v>
      </c>
      <c r="JL90" s="8">
        <v>-61</v>
      </c>
      <c r="JN90" s="8">
        <v>831</v>
      </c>
      <c r="JO90" s="28">
        <v>164</v>
      </c>
      <c r="JP90" s="6">
        <v>111</v>
      </c>
      <c r="JQ90" s="12">
        <v>237</v>
      </c>
      <c r="JW90" s="8">
        <v>-255</v>
      </c>
      <c r="JX90" s="12">
        <v>916</v>
      </c>
      <c r="KE90" s="6">
        <v>-628</v>
      </c>
      <c r="KF90" s="12">
        <v>204</v>
      </c>
      <c r="KT90" s="8">
        <v>28</v>
      </c>
      <c r="KU90" s="28">
        <v>11</v>
      </c>
      <c r="KZ90" s="8">
        <v>-19</v>
      </c>
      <c r="LA90" s="12">
        <v>490</v>
      </c>
      <c r="LD90" s="8">
        <v>-46</v>
      </c>
      <c r="LE90" s="28">
        <v>220</v>
      </c>
      <c r="LF90" s="8">
        <v>-14</v>
      </c>
      <c r="LG90" s="28">
        <v>93</v>
      </c>
      <c r="LH90" s="8">
        <v>-224</v>
      </c>
      <c r="LJ90" s="8">
        <v>-936</v>
      </c>
      <c r="LK90" s="28">
        <v>548</v>
      </c>
      <c r="LL90" s="8">
        <v>1</v>
      </c>
      <c r="LM90" s="28">
        <v>1</v>
      </c>
      <c r="LS90" s="8">
        <v>69</v>
      </c>
      <c r="LU90" s="8">
        <v>179</v>
      </c>
      <c r="LV90" s="12">
        <v>250</v>
      </c>
      <c r="LW90" s="8">
        <v>-214</v>
      </c>
      <c r="LX90" s="28">
        <v>646</v>
      </c>
      <c r="MF90" s="8">
        <v>-124</v>
      </c>
      <c r="MG90" s="12">
        <v>211</v>
      </c>
      <c r="MS90" s="8">
        <v>-112</v>
      </c>
      <c r="MT90" s="12">
        <v>383</v>
      </c>
      <c r="NC90" s="8">
        <v>12</v>
      </c>
      <c r="ND90" s="12">
        <v>622</v>
      </c>
      <c r="NP90" s="8">
        <v>933</v>
      </c>
      <c r="NQ90" s="12">
        <v>521</v>
      </c>
      <c r="NW90" s="8">
        <v>255</v>
      </c>
      <c r="NX90" s="28">
        <v>68</v>
      </c>
      <c r="OV90" s="8">
        <v>242</v>
      </c>
      <c r="PJ90" s="8">
        <v>-114</v>
      </c>
      <c r="PK90" s="12">
        <v>945</v>
      </c>
      <c r="PP90" s="8">
        <v>-1</v>
      </c>
      <c r="PQ90" s="28">
        <v>26</v>
      </c>
      <c r="PR90" s="28"/>
      <c r="PS90" s="8">
        <v>127</v>
      </c>
      <c r="PT90" s="12">
        <v>238</v>
      </c>
      <c r="PW90" s="8">
        <v>-849</v>
      </c>
      <c r="PX90" s="28">
        <v>354</v>
      </c>
      <c r="QH90" s="8">
        <v>59</v>
      </c>
      <c r="QI90" s="12">
        <v>133</v>
      </c>
      <c r="QT90" s="8">
        <v>-100</v>
      </c>
      <c r="QU90" s="12">
        <v>203</v>
      </c>
      <c r="QV90" s="6"/>
      <c r="QW90" s="12"/>
      <c r="RC90" s="6">
        <v>-199</v>
      </c>
      <c r="RD90" s="12">
        <v>210</v>
      </c>
      <c r="RE90" s="6">
        <v>-384</v>
      </c>
      <c r="RF90" s="12">
        <v>641</v>
      </c>
      <c r="RG90" s="8">
        <v>290</v>
      </c>
      <c r="RH90" s="28">
        <v>130</v>
      </c>
      <c r="RL90" s="8">
        <v>19</v>
      </c>
      <c r="SP90" s="8">
        <v>-789</v>
      </c>
      <c r="SY90" s="6">
        <v>28</v>
      </c>
      <c r="TH90" s="8">
        <v>31</v>
      </c>
      <c r="TI90" s="28">
        <v>54</v>
      </c>
      <c r="TX90" s="8">
        <v>245</v>
      </c>
      <c r="TY90" s="28">
        <v>376</v>
      </c>
      <c r="TZ90" s="8">
        <v>5</v>
      </c>
      <c r="UA90" s="12">
        <v>204</v>
      </c>
      <c r="UG90" s="8">
        <v>-117</v>
      </c>
      <c r="VH90" s="8">
        <v>235</v>
      </c>
      <c r="VI90" s="28">
        <v>116</v>
      </c>
      <c r="VL90" s="21"/>
      <c r="VM90" s="8">
        <v>-2846</v>
      </c>
      <c r="VN90" s="12">
        <v>187</v>
      </c>
      <c r="VO90" s="12"/>
      <c r="VP90" s="12"/>
      <c r="VQ90" s="6">
        <v>20</v>
      </c>
      <c r="VR90" s="28">
        <v>40</v>
      </c>
      <c r="VS90" s="12"/>
      <c r="VT90" s="12"/>
      <c r="VZ90" s="8">
        <v>512</v>
      </c>
      <c r="WA90" s="28">
        <v>76</v>
      </c>
      <c r="WB90" s="8">
        <v>4710</v>
      </c>
      <c r="WC90" s="12">
        <v>1229</v>
      </c>
      <c r="XG90" s="2">
        <v>32</v>
      </c>
      <c r="XH90" s="1">
        <v>55</v>
      </c>
      <c r="XK90">
        <v>386</v>
      </c>
      <c r="XL90" s="1">
        <v>20</v>
      </c>
    </row>
    <row r="91" spans="7:636" x14ac:dyDescent="0.25">
      <c r="K91" s="2">
        <v>2878</v>
      </c>
      <c r="L91" s="1">
        <v>7</v>
      </c>
      <c r="M91">
        <v>34</v>
      </c>
      <c r="N91" s="1">
        <v>9</v>
      </c>
      <c r="O91" s="26"/>
      <c r="V91">
        <v>-1</v>
      </c>
      <c r="W91" s="10">
        <v>39</v>
      </c>
      <c r="AB91">
        <v>-35</v>
      </c>
      <c r="AC91" s="1">
        <v>32</v>
      </c>
      <c r="AD91">
        <v>25</v>
      </c>
      <c r="AE91" s="1">
        <v>17</v>
      </c>
      <c r="AJ91" s="2">
        <v>-1389</v>
      </c>
      <c r="AK91" s="10">
        <v>397</v>
      </c>
      <c r="AY91">
        <v>-1</v>
      </c>
      <c r="AZ91" s="1">
        <v>1</v>
      </c>
      <c r="BD91" s="8"/>
      <c r="BF91">
        <v>-1524</v>
      </c>
      <c r="BG91" s="1">
        <v>457</v>
      </c>
      <c r="BL91">
        <v>41</v>
      </c>
      <c r="BM91" s="1">
        <v>2</v>
      </c>
      <c r="BN91">
        <v>-1</v>
      </c>
      <c r="BP91">
        <v>-164</v>
      </c>
      <c r="BQ91" s="10">
        <v>1039</v>
      </c>
      <c r="BT91">
        <v>-250</v>
      </c>
      <c r="BU91" s="1">
        <v>456</v>
      </c>
      <c r="CE91" s="8">
        <v>123</v>
      </c>
      <c r="CF91" s="28">
        <v>11</v>
      </c>
      <c r="CI91" s="8">
        <v>315</v>
      </c>
      <c r="CJ91" s="12">
        <v>242</v>
      </c>
      <c r="CK91" s="8">
        <v>7</v>
      </c>
      <c r="CL91" s="28">
        <v>15</v>
      </c>
      <c r="CM91" s="6">
        <v>13</v>
      </c>
      <c r="CN91" s="28"/>
      <c r="CO91" s="28"/>
      <c r="CP91" s="28"/>
      <c r="CQ91" s="6">
        <v>897</v>
      </c>
      <c r="CR91" s="28"/>
      <c r="CS91" s="6">
        <v>-8</v>
      </c>
      <c r="CT91" s="28">
        <v>5</v>
      </c>
      <c r="CU91" s="28"/>
      <c r="CV91" s="28"/>
      <c r="CW91" s="28"/>
      <c r="CX91" s="28"/>
      <c r="CZ91" s="23">
        <v>-3</v>
      </c>
      <c r="DA91" s="25">
        <v>6</v>
      </c>
      <c r="DC91" s="25"/>
      <c r="DF91" s="23">
        <v>108</v>
      </c>
      <c r="DG91" s="25">
        <v>360</v>
      </c>
      <c r="DH91" s="23">
        <v>-404</v>
      </c>
      <c r="DI91" s="25">
        <v>309</v>
      </c>
      <c r="DJ91" s="23">
        <v>-313</v>
      </c>
      <c r="DK91" s="28">
        <v>147</v>
      </c>
      <c r="DL91" s="8">
        <v>8</v>
      </c>
      <c r="DQ91" s="8">
        <v>-873</v>
      </c>
      <c r="DR91" s="52">
        <v>165</v>
      </c>
      <c r="DS91" s="6">
        <v>33</v>
      </c>
      <c r="DT91" s="52">
        <v>62</v>
      </c>
      <c r="DU91" s="8">
        <v>-130</v>
      </c>
      <c r="DV91" s="28">
        <v>409</v>
      </c>
      <c r="DW91" s="8">
        <v>-68</v>
      </c>
      <c r="DX91" s="28">
        <v>271</v>
      </c>
      <c r="DY91" s="6">
        <v>-4</v>
      </c>
      <c r="DZ91" s="52">
        <v>129</v>
      </c>
      <c r="EA91" s="23">
        <v>-5</v>
      </c>
      <c r="EB91" s="52">
        <v>320</v>
      </c>
      <c r="EC91" s="6">
        <v>-5</v>
      </c>
      <c r="ED91" s="28">
        <v>5</v>
      </c>
      <c r="EE91" s="8">
        <v>813</v>
      </c>
      <c r="EF91" s="52">
        <v>847</v>
      </c>
      <c r="EG91" s="8">
        <v>274</v>
      </c>
      <c r="EH91" s="28">
        <v>233</v>
      </c>
      <c r="EI91" s="8">
        <v>405</v>
      </c>
      <c r="EJ91" s="52">
        <v>171</v>
      </c>
      <c r="EL91" s="8">
        <v>-301</v>
      </c>
      <c r="EM91" s="28">
        <v>461</v>
      </c>
      <c r="EN91" s="8">
        <v>233</v>
      </c>
      <c r="EO91" s="28">
        <v>15</v>
      </c>
      <c r="EP91" s="28"/>
      <c r="EQ91" s="28"/>
      <c r="EX91" s="8">
        <v>-375</v>
      </c>
      <c r="EY91" s="28">
        <v>695</v>
      </c>
      <c r="FD91" s="6">
        <v>661</v>
      </c>
      <c r="FE91" s="28">
        <v>162</v>
      </c>
      <c r="FM91" s="8">
        <v>-154</v>
      </c>
      <c r="FN91" s="52">
        <v>429</v>
      </c>
      <c r="FQ91" s="8">
        <v>95</v>
      </c>
      <c r="FR91" s="28">
        <v>21</v>
      </c>
      <c r="FS91" s="8">
        <v>-30</v>
      </c>
      <c r="FT91" s="52">
        <v>170</v>
      </c>
      <c r="GC91" s="8">
        <v>-170</v>
      </c>
      <c r="GE91" s="8">
        <v>183</v>
      </c>
      <c r="GF91" s="28">
        <v>136</v>
      </c>
      <c r="GI91" s="8">
        <v>19</v>
      </c>
      <c r="GJ91" s="28">
        <v>9</v>
      </c>
      <c r="GP91" s="8">
        <v>103</v>
      </c>
      <c r="GQ91" s="52">
        <v>581</v>
      </c>
      <c r="GR91" s="8">
        <v>574</v>
      </c>
      <c r="GS91" s="28">
        <v>351</v>
      </c>
      <c r="GT91" s="6">
        <v>85</v>
      </c>
      <c r="GU91" s="52">
        <v>413</v>
      </c>
      <c r="GV91" s="28"/>
      <c r="GW91" s="28"/>
      <c r="GZ91" s="8">
        <v>245</v>
      </c>
      <c r="HA91" s="28">
        <v>12</v>
      </c>
      <c r="HB91" s="6">
        <v>-135</v>
      </c>
      <c r="HC91" s="28"/>
      <c r="HE91" s="8">
        <v>60</v>
      </c>
      <c r="HF91" s="28">
        <v>23</v>
      </c>
      <c r="HG91" s="8">
        <v>-331</v>
      </c>
      <c r="HQ91" s="6">
        <v>21</v>
      </c>
      <c r="HR91" s="28">
        <v>5</v>
      </c>
      <c r="HS91" s="8">
        <v>7</v>
      </c>
      <c r="HT91" s="52">
        <v>193</v>
      </c>
      <c r="HX91" s="8">
        <v>5</v>
      </c>
      <c r="HY91" s="28">
        <v>206</v>
      </c>
      <c r="HZ91" s="8">
        <v>-40</v>
      </c>
      <c r="IB91" s="8">
        <v>252</v>
      </c>
      <c r="IC91" s="28">
        <v>484</v>
      </c>
      <c r="ID91" s="8">
        <v>401</v>
      </c>
      <c r="IE91" s="28">
        <v>390</v>
      </c>
      <c r="IO91">
        <v>-46</v>
      </c>
      <c r="IP91" s="10">
        <v>133</v>
      </c>
      <c r="IY91" s="8">
        <v>-214</v>
      </c>
      <c r="JA91" s="8">
        <v>-26</v>
      </c>
      <c r="JB91" s="12">
        <v>39</v>
      </c>
      <c r="JH91" s="8">
        <v>92</v>
      </c>
      <c r="JI91" s="28">
        <v>59</v>
      </c>
      <c r="JN91" s="8">
        <v>-43</v>
      </c>
      <c r="JO91" s="28">
        <v>130</v>
      </c>
      <c r="JP91" s="6">
        <v>55</v>
      </c>
      <c r="JQ91" s="12">
        <v>132</v>
      </c>
      <c r="JW91" s="8">
        <v>-15</v>
      </c>
      <c r="JX91" s="12">
        <v>583</v>
      </c>
      <c r="KE91" s="6">
        <v>-142</v>
      </c>
      <c r="KF91" s="12">
        <v>132</v>
      </c>
      <c r="KT91" s="8">
        <v>-160</v>
      </c>
      <c r="KU91" s="28">
        <v>83</v>
      </c>
      <c r="KZ91" s="8">
        <v>-27</v>
      </c>
      <c r="LA91" s="12">
        <v>478</v>
      </c>
      <c r="LD91" s="8">
        <v>375</v>
      </c>
      <c r="LE91" s="28">
        <v>125</v>
      </c>
      <c r="LF91" s="8">
        <v>122</v>
      </c>
      <c r="LG91" s="28">
        <v>82</v>
      </c>
      <c r="LH91" s="8">
        <v>171</v>
      </c>
      <c r="LJ91" s="8">
        <v>164</v>
      </c>
      <c r="LK91" s="28">
        <v>107</v>
      </c>
      <c r="LL91" s="8">
        <v>-5</v>
      </c>
      <c r="LM91" s="28">
        <v>1</v>
      </c>
      <c r="LS91" s="8">
        <v>201</v>
      </c>
      <c r="LU91" s="8">
        <v>46</v>
      </c>
      <c r="LV91" s="12">
        <v>61</v>
      </c>
      <c r="LW91" s="8">
        <v>-941</v>
      </c>
      <c r="LX91" s="28">
        <v>641</v>
      </c>
      <c r="MF91" s="8">
        <v>-201</v>
      </c>
      <c r="MG91" s="12">
        <v>327</v>
      </c>
      <c r="MS91" s="8">
        <v>-514</v>
      </c>
      <c r="MT91" s="12">
        <v>659</v>
      </c>
      <c r="NC91" s="8">
        <v>38</v>
      </c>
      <c r="ND91" s="12">
        <v>325</v>
      </c>
      <c r="NP91" s="8">
        <v>104</v>
      </c>
      <c r="NQ91" s="12">
        <v>702</v>
      </c>
      <c r="NW91" s="8">
        <v>112</v>
      </c>
      <c r="NX91" s="28">
        <v>153</v>
      </c>
      <c r="OV91" s="8">
        <v>438</v>
      </c>
      <c r="PJ91" s="8">
        <v>-41</v>
      </c>
      <c r="PK91" s="12">
        <v>682</v>
      </c>
      <c r="PP91" s="8">
        <v>-297</v>
      </c>
      <c r="PQ91" s="28">
        <v>49</v>
      </c>
      <c r="PR91" s="28"/>
      <c r="PS91" s="8">
        <v>574</v>
      </c>
      <c r="PT91" s="12">
        <v>777</v>
      </c>
      <c r="PW91" s="8">
        <v>-320</v>
      </c>
      <c r="PX91" s="28">
        <v>183</v>
      </c>
      <c r="QH91" s="8">
        <v>63</v>
      </c>
      <c r="QI91" s="12">
        <v>110</v>
      </c>
      <c r="QT91" s="8">
        <v>-526</v>
      </c>
      <c r="QU91" s="12">
        <v>410</v>
      </c>
      <c r="QV91" s="6"/>
      <c r="QW91" s="12"/>
      <c r="RC91" s="6">
        <v>-287</v>
      </c>
      <c r="RD91" s="12">
        <v>24</v>
      </c>
      <c r="RE91" s="6">
        <v>-131</v>
      </c>
      <c r="RF91" s="12">
        <v>124</v>
      </c>
      <c r="RG91" s="8">
        <v>357</v>
      </c>
      <c r="RH91" s="28">
        <v>173</v>
      </c>
      <c r="RL91" s="8">
        <v>-40</v>
      </c>
      <c r="SP91" s="8">
        <v>-469</v>
      </c>
      <c r="SY91" s="6">
        <v>168</v>
      </c>
      <c r="TH91" s="8">
        <v>-720</v>
      </c>
      <c r="TI91" s="28">
        <v>308</v>
      </c>
      <c r="TX91" s="8">
        <v>246</v>
      </c>
      <c r="TY91" s="28">
        <v>363</v>
      </c>
      <c r="TZ91" s="8">
        <v>-127</v>
      </c>
      <c r="UA91" s="12">
        <v>262</v>
      </c>
      <c r="UG91" s="8">
        <v>-939</v>
      </c>
      <c r="VH91" s="8">
        <v>777</v>
      </c>
      <c r="VI91" s="28">
        <v>762</v>
      </c>
      <c r="VL91" s="21"/>
      <c r="VM91" s="8">
        <v>6611</v>
      </c>
      <c r="VN91" s="12">
        <v>346</v>
      </c>
      <c r="VO91" s="12"/>
      <c r="VP91" s="12"/>
      <c r="VQ91" s="6">
        <v>-41</v>
      </c>
      <c r="VR91" s="28">
        <v>30</v>
      </c>
      <c r="VS91" s="12"/>
      <c r="VT91" s="12"/>
      <c r="VZ91" s="8">
        <v>316</v>
      </c>
      <c r="WA91" s="28">
        <v>266</v>
      </c>
      <c r="WB91" s="8">
        <v>4620</v>
      </c>
      <c r="WC91" s="12">
        <v>1344</v>
      </c>
      <c r="XG91" s="2">
        <v>-45</v>
      </c>
      <c r="XH91" s="1">
        <v>55</v>
      </c>
      <c r="XK91">
        <v>33</v>
      </c>
      <c r="XL91" s="1">
        <v>274</v>
      </c>
    </row>
    <row r="92" spans="7:636" x14ac:dyDescent="0.25">
      <c r="K92" s="2">
        <v>3022</v>
      </c>
      <c r="L92" s="1">
        <v>14</v>
      </c>
      <c r="M92">
        <v>41</v>
      </c>
      <c r="N92" s="1">
        <v>14</v>
      </c>
      <c r="O92" s="26"/>
      <c r="V92">
        <v>3</v>
      </c>
      <c r="W92" s="10">
        <v>83</v>
      </c>
      <c r="AB92">
        <v>-84</v>
      </c>
      <c r="AC92" s="1">
        <v>24</v>
      </c>
      <c r="AD92">
        <v>39</v>
      </c>
      <c r="AE92" s="1">
        <v>4</v>
      </c>
      <c r="AJ92" s="2">
        <v>-5107</v>
      </c>
      <c r="AK92" s="10">
        <v>228</v>
      </c>
      <c r="AY92">
        <v>1</v>
      </c>
      <c r="AZ92" s="1">
        <v>1</v>
      </c>
      <c r="BD92" s="8"/>
      <c r="BF92">
        <v>1243</v>
      </c>
      <c r="BG92" s="1">
        <v>719</v>
      </c>
      <c r="BL92">
        <v>2339</v>
      </c>
      <c r="BM92" s="1">
        <v>29</v>
      </c>
      <c r="BN92">
        <v>1139</v>
      </c>
      <c r="BP92">
        <v>-121</v>
      </c>
      <c r="BQ92" s="10">
        <v>2989</v>
      </c>
      <c r="BT92">
        <v>-282</v>
      </c>
      <c r="BU92" s="1">
        <v>99</v>
      </c>
      <c r="CE92" s="8">
        <v>132</v>
      </c>
      <c r="CF92" s="28">
        <v>12</v>
      </c>
      <c r="CI92" s="8">
        <v>223</v>
      </c>
      <c r="CJ92" s="12">
        <v>265</v>
      </c>
      <c r="CK92" s="8">
        <v>5</v>
      </c>
      <c r="CL92" s="28">
        <v>15</v>
      </c>
      <c r="CM92" s="6">
        <v>356</v>
      </c>
      <c r="CN92" s="28"/>
      <c r="CO92" s="28"/>
      <c r="CP92" s="28"/>
      <c r="CQ92" s="6">
        <v>888</v>
      </c>
      <c r="CR92" s="28"/>
      <c r="CS92" s="6">
        <v>-499</v>
      </c>
      <c r="CT92" s="28">
        <v>300</v>
      </c>
      <c r="CU92" s="28"/>
      <c r="CV92" s="28"/>
      <c r="CW92" s="28"/>
      <c r="CX92" s="28"/>
      <c r="CZ92" s="23">
        <v>115</v>
      </c>
      <c r="DA92" s="25">
        <v>45</v>
      </c>
      <c r="DC92" s="25"/>
      <c r="DF92" s="23">
        <v>110</v>
      </c>
      <c r="DG92" s="25">
        <v>107</v>
      </c>
      <c r="DH92" s="23">
        <v>471</v>
      </c>
      <c r="DI92" s="25">
        <v>340</v>
      </c>
      <c r="DJ92" s="23">
        <v>133</v>
      </c>
      <c r="DK92" s="28">
        <v>107</v>
      </c>
      <c r="DL92" s="8">
        <v>5</v>
      </c>
      <c r="DQ92" s="8">
        <v>496</v>
      </c>
      <c r="DR92" s="52">
        <v>779</v>
      </c>
      <c r="DS92" s="6">
        <v>29</v>
      </c>
      <c r="DT92" s="52">
        <v>6</v>
      </c>
      <c r="DU92" s="8">
        <v>-354</v>
      </c>
      <c r="DV92" s="28">
        <v>418</v>
      </c>
      <c r="DW92" s="8">
        <v>-9</v>
      </c>
      <c r="DX92" s="28">
        <v>3</v>
      </c>
      <c r="DY92" s="6">
        <v>908</v>
      </c>
      <c r="DZ92" s="52">
        <v>21</v>
      </c>
      <c r="EA92" s="23">
        <v>8</v>
      </c>
      <c r="EB92" s="52">
        <v>665</v>
      </c>
      <c r="EC92" s="6">
        <v>-12</v>
      </c>
      <c r="ED92" s="28">
        <v>6</v>
      </c>
      <c r="EE92" s="8">
        <v>-137</v>
      </c>
      <c r="EF92" s="52">
        <v>114</v>
      </c>
      <c r="EG92" s="8">
        <v>354</v>
      </c>
      <c r="EH92" s="28">
        <v>232</v>
      </c>
      <c r="EI92" s="8">
        <v>-23</v>
      </c>
      <c r="EJ92" s="52">
        <v>427</v>
      </c>
      <c r="EL92" s="8">
        <v>-233</v>
      </c>
      <c r="EM92" s="28">
        <v>132</v>
      </c>
      <c r="EN92" s="8">
        <v>320</v>
      </c>
      <c r="EO92" s="28">
        <v>18</v>
      </c>
      <c r="EP92" s="28"/>
      <c r="EQ92" s="28"/>
      <c r="EX92" s="8">
        <v>-869</v>
      </c>
      <c r="EY92" s="28">
        <v>957</v>
      </c>
      <c r="FD92" s="6">
        <v>-141</v>
      </c>
      <c r="FE92" s="28">
        <v>232</v>
      </c>
      <c r="FM92" s="8">
        <v>-773</v>
      </c>
      <c r="FN92" s="52">
        <v>424</v>
      </c>
      <c r="FQ92" s="8">
        <v>-48</v>
      </c>
      <c r="FR92" s="28">
        <v>3</v>
      </c>
      <c r="FS92" s="8">
        <v>-31</v>
      </c>
      <c r="FT92" s="52">
        <v>167</v>
      </c>
      <c r="GC92" s="8">
        <v>251</v>
      </c>
      <c r="GE92" s="8">
        <v>253</v>
      </c>
      <c r="GF92" s="28">
        <v>202</v>
      </c>
      <c r="GI92" s="8">
        <v>20</v>
      </c>
      <c r="GJ92" s="28">
        <v>6</v>
      </c>
      <c r="GP92" s="8">
        <v>72</v>
      </c>
      <c r="GQ92" s="52">
        <v>282</v>
      </c>
      <c r="GR92" s="8">
        <v>-69</v>
      </c>
      <c r="GS92" s="28">
        <v>222</v>
      </c>
      <c r="GT92" s="6">
        <v>204</v>
      </c>
      <c r="GU92" s="52">
        <v>301</v>
      </c>
      <c r="GV92" s="28"/>
      <c r="GW92" s="28"/>
      <c r="GZ92" s="8">
        <v>-54</v>
      </c>
      <c r="HA92" s="28">
        <v>40</v>
      </c>
      <c r="HB92" s="6">
        <v>-53</v>
      </c>
      <c r="HC92" s="28"/>
      <c r="HE92" s="8">
        <v>-16</v>
      </c>
      <c r="HF92" s="28">
        <v>35</v>
      </c>
      <c r="HG92" s="8">
        <v>-828</v>
      </c>
      <c r="HQ92" s="6">
        <v>9</v>
      </c>
      <c r="HR92" s="28">
        <v>8</v>
      </c>
      <c r="HS92" s="8">
        <v>-3</v>
      </c>
      <c r="HT92" s="52">
        <v>450</v>
      </c>
      <c r="HX92" s="8">
        <v>-26</v>
      </c>
      <c r="HY92" s="28">
        <v>19</v>
      </c>
      <c r="HZ92" s="8">
        <v>8</v>
      </c>
      <c r="IB92" s="8">
        <v>-361</v>
      </c>
      <c r="IC92" s="28">
        <v>946</v>
      </c>
      <c r="ID92" s="8">
        <v>-387</v>
      </c>
      <c r="IE92" s="28">
        <v>170</v>
      </c>
      <c r="IO92">
        <v>278</v>
      </c>
      <c r="IP92" s="10">
        <v>143</v>
      </c>
      <c r="IY92" s="8">
        <v>19</v>
      </c>
      <c r="JA92" s="8">
        <v>-325</v>
      </c>
      <c r="JB92" s="12">
        <v>576</v>
      </c>
      <c r="JH92" s="8">
        <v>-159</v>
      </c>
      <c r="JI92" s="28">
        <v>639</v>
      </c>
      <c r="JN92" s="8">
        <v>-31</v>
      </c>
      <c r="JO92" s="28">
        <v>83</v>
      </c>
      <c r="JP92" s="6">
        <v>53</v>
      </c>
      <c r="JQ92" s="12">
        <v>131</v>
      </c>
      <c r="JW92" s="8">
        <v>-279</v>
      </c>
      <c r="JX92" s="12">
        <v>10</v>
      </c>
      <c r="KE92" s="6">
        <v>-653</v>
      </c>
      <c r="KF92" s="12">
        <v>794</v>
      </c>
      <c r="KT92" s="8">
        <v>-185</v>
      </c>
      <c r="KU92" s="28">
        <v>466</v>
      </c>
      <c r="KZ92" s="8">
        <v>-13</v>
      </c>
      <c r="LA92" s="12">
        <v>375</v>
      </c>
      <c r="LD92" s="8">
        <v>439</v>
      </c>
      <c r="LE92" s="28">
        <v>137</v>
      </c>
      <c r="LF92" s="8">
        <v>76</v>
      </c>
      <c r="LG92" s="28">
        <v>78</v>
      </c>
      <c r="LH92" s="8">
        <v>-836</v>
      </c>
      <c r="LJ92" s="8">
        <v>194</v>
      </c>
      <c r="LK92" s="28">
        <v>141</v>
      </c>
      <c r="LL92" s="8">
        <v>38</v>
      </c>
      <c r="LM92" s="28">
        <v>7</v>
      </c>
      <c r="LS92" s="8">
        <v>96</v>
      </c>
      <c r="LU92" s="8">
        <v>-6</v>
      </c>
      <c r="LV92" s="12">
        <v>100</v>
      </c>
      <c r="LW92" s="8">
        <v>-189</v>
      </c>
      <c r="LX92" s="28">
        <v>648</v>
      </c>
      <c r="MF92" s="8">
        <v>967</v>
      </c>
      <c r="MG92" s="12">
        <v>158</v>
      </c>
      <c r="MS92" s="8">
        <v>238</v>
      </c>
      <c r="MT92" s="12">
        <v>578</v>
      </c>
      <c r="NC92" s="8">
        <v>1</v>
      </c>
      <c r="ND92" s="12">
        <v>775</v>
      </c>
      <c r="NP92" s="8">
        <v>51</v>
      </c>
      <c r="NQ92" s="12">
        <v>947</v>
      </c>
      <c r="NW92" s="8">
        <v>110</v>
      </c>
      <c r="NX92" s="28">
        <v>96</v>
      </c>
      <c r="OV92" s="8">
        <v>280</v>
      </c>
      <c r="PJ92" s="8">
        <v>18</v>
      </c>
      <c r="PK92" s="12">
        <v>425</v>
      </c>
      <c r="PP92" s="8">
        <v>-8</v>
      </c>
      <c r="PQ92" s="28">
        <v>46</v>
      </c>
      <c r="PR92" s="28"/>
      <c r="PS92" s="8">
        <v>171</v>
      </c>
      <c r="PT92" s="12">
        <v>439</v>
      </c>
      <c r="PW92" s="8">
        <v>25</v>
      </c>
      <c r="PX92" s="28">
        <v>163</v>
      </c>
      <c r="QH92" s="8">
        <v>-180</v>
      </c>
      <c r="QI92" s="12">
        <v>161</v>
      </c>
      <c r="QT92" s="8">
        <v>201</v>
      </c>
      <c r="QU92" s="12">
        <v>336</v>
      </c>
      <c r="QV92" s="6"/>
      <c r="QW92" s="12"/>
      <c r="RC92" s="6">
        <v>-463</v>
      </c>
      <c r="RD92" s="12">
        <v>391</v>
      </c>
      <c r="RE92" s="6">
        <v>-528</v>
      </c>
      <c r="RF92" s="12">
        <v>437</v>
      </c>
      <c r="RG92" s="8">
        <v>11</v>
      </c>
      <c r="RH92" s="28">
        <v>115</v>
      </c>
      <c r="RL92" s="8">
        <v>-4</v>
      </c>
      <c r="SP92" s="8">
        <v>-276</v>
      </c>
      <c r="SY92" s="6">
        <v>245</v>
      </c>
      <c r="TH92" s="8">
        <v>-218</v>
      </c>
      <c r="TI92" s="28">
        <v>137</v>
      </c>
      <c r="TX92" s="8">
        <v>229</v>
      </c>
      <c r="TY92" s="28">
        <v>323</v>
      </c>
      <c r="TZ92" s="8">
        <v>-185</v>
      </c>
      <c r="UA92" s="12">
        <v>339</v>
      </c>
      <c r="UG92" s="8">
        <v>-900</v>
      </c>
      <c r="VH92" s="8">
        <v>198</v>
      </c>
      <c r="VI92" s="28">
        <v>179</v>
      </c>
      <c r="VL92" s="21"/>
      <c r="VM92" s="8">
        <v>5398</v>
      </c>
      <c r="VN92" s="12">
        <v>298</v>
      </c>
      <c r="VO92" s="12"/>
      <c r="VP92" s="12"/>
      <c r="VQ92" s="6">
        <v>-25</v>
      </c>
      <c r="VR92" s="28">
        <v>23</v>
      </c>
      <c r="VS92" s="12"/>
      <c r="VT92" s="12"/>
      <c r="VZ92" s="8">
        <v>489</v>
      </c>
      <c r="WA92" s="28">
        <v>227</v>
      </c>
      <c r="WB92" s="8">
        <v>6232</v>
      </c>
      <c r="WC92" s="12">
        <v>1830</v>
      </c>
      <c r="XG92" s="2">
        <v>388</v>
      </c>
      <c r="XH92" s="1">
        <v>204</v>
      </c>
      <c r="XK92">
        <v>2</v>
      </c>
      <c r="XL92" s="1">
        <v>15</v>
      </c>
    </row>
    <row r="93" spans="7:636" x14ac:dyDescent="0.25">
      <c r="K93" s="2">
        <v>3545</v>
      </c>
      <c r="L93" s="1">
        <v>9</v>
      </c>
      <c r="M93">
        <v>247</v>
      </c>
      <c r="N93" s="1">
        <v>14</v>
      </c>
      <c r="O93" s="26"/>
      <c r="V93">
        <v>4</v>
      </c>
      <c r="W93" s="10">
        <v>188</v>
      </c>
      <c r="AB93">
        <v>5</v>
      </c>
      <c r="AC93" s="1">
        <v>45</v>
      </c>
      <c r="AD93">
        <v>34</v>
      </c>
      <c r="AE93" s="1">
        <v>5</v>
      </c>
      <c r="AJ93" s="2">
        <v>-532</v>
      </c>
      <c r="AK93" s="10">
        <v>105</v>
      </c>
      <c r="AY93">
        <v>2</v>
      </c>
      <c r="AZ93" s="1">
        <v>1</v>
      </c>
      <c r="BD93" s="8"/>
      <c r="BF93">
        <v>1691</v>
      </c>
      <c r="BG93" s="1">
        <v>315</v>
      </c>
      <c r="BL93">
        <v>-26</v>
      </c>
      <c r="BM93" s="1">
        <v>9</v>
      </c>
      <c r="BN93">
        <v>61</v>
      </c>
      <c r="BP93">
        <v>90</v>
      </c>
      <c r="BQ93" s="10">
        <v>972</v>
      </c>
      <c r="BT93">
        <v>899</v>
      </c>
      <c r="BU93" s="1">
        <v>64</v>
      </c>
      <c r="CE93" s="8">
        <v>127</v>
      </c>
      <c r="CF93" s="28">
        <v>9</v>
      </c>
      <c r="CI93" s="8">
        <v>796</v>
      </c>
      <c r="CJ93" s="12">
        <v>313</v>
      </c>
      <c r="CK93" s="8">
        <v>11</v>
      </c>
      <c r="CL93" s="28">
        <v>15</v>
      </c>
      <c r="CM93" s="6">
        <v>208</v>
      </c>
      <c r="CN93" s="28"/>
      <c r="CO93" s="28"/>
      <c r="CP93" s="28"/>
      <c r="CQ93" s="6">
        <v>895</v>
      </c>
      <c r="CR93" s="28"/>
      <c r="CS93" s="6">
        <v>-714</v>
      </c>
      <c r="CT93" s="28">
        <v>520</v>
      </c>
      <c r="CU93" s="28"/>
      <c r="CV93" s="28"/>
      <c r="CW93" s="28"/>
      <c r="CX93" s="28"/>
      <c r="CZ93" s="23">
        <v>-126</v>
      </c>
      <c r="DA93" s="25">
        <v>49</v>
      </c>
      <c r="DC93" s="25"/>
      <c r="DF93" s="23">
        <v>110</v>
      </c>
      <c r="DG93" s="25">
        <v>355</v>
      </c>
      <c r="DH93" s="23">
        <v>-250</v>
      </c>
      <c r="DI93" s="25">
        <v>379</v>
      </c>
      <c r="DJ93" s="23">
        <v>130</v>
      </c>
      <c r="DK93" s="28">
        <v>125</v>
      </c>
      <c r="DL93" s="8">
        <v>102</v>
      </c>
      <c r="DQ93" s="8">
        <v>-738</v>
      </c>
      <c r="DR93" s="52">
        <v>140</v>
      </c>
      <c r="DS93" s="6">
        <v>-43</v>
      </c>
      <c r="DT93" s="52">
        <v>91</v>
      </c>
      <c r="DU93" s="8">
        <v>-292</v>
      </c>
      <c r="DV93" s="28">
        <v>376</v>
      </c>
      <c r="DW93" s="8">
        <v>-33</v>
      </c>
      <c r="DX93" s="28">
        <v>82</v>
      </c>
      <c r="DY93" s="6">
        <v>-497</v>
      </c>
      <c r="DZ93" s="52">
        <v>126</v>
      </c>
      <c r="EA93" s="23">
        <v>2</v>
      </c>
      <c r="EB93" s="52">
        <v>345</v>
      </c>
      <c r="EC93" s="6">
        <v>-5</v>
      </c>
      <c r="ED93" s="28">
        <v>7</v>
      </c>
      <c r="EE93" s="8">
        <v>-1</v>
      </c>
      <c r="EF93" s="52">
        <v>44</v>
      </c>
      <c r="EG93" s="8">
        <v>405</v>
      </c>
      <c r="EH93" s="28">
        <v>232</v>
      </c>
      <c r="EI93" s="8">
        <v>191</v>
      </c>
      <c r="EJ93" s="52">
        <v>750</v>
      </c>
      <c r="EL93" s="8">
        <v>127</v>
      </c>
      <c r="EM93" s="28">
        <v>504</v>
      </c>
      <c r="EN93" s="8">
        <v>-38</v>
      </c>
      <c r="EO93" s="28">
        <v>11</v>
      </c>
      <c r="EP93" s="28"/>
      <c r="EQ93" s="28"/>
      <c r="EX93" s="8">
        <v>-595</v>
      </c>
      <c r="EY93" s="28">
        <v>682</v>
      </c>
      <c r="FD93" s="6">
        <v>105</v>
      </c>
      <c r="FE93" s="28">
        <v>466</v>
      </c>
      <c r="FM93" s="8">
        <v>-885</v>
      </c>
      <c r="FN93" s="52">
        <v>214</v>
      </c>
      <c r="FS93" s="8">
        <v>-33</v>
      </c>
      <c r="FT93" s="52">
        <v>167</v>
      </c>
      <c r="GC93" s="8">
        <v>-180</v>
      </c>
      <c r="GE93" s="8">
        <v>280</v>
      </c>
      <c r="GF93" s="28">
        <v>139</v>
      </c>
      <c r="GI93" s="8">
        <v>-14</v>
      </c>
      <c r="GJ93" s="28">
        <v>7</v>
      </c>
      <c r="GP93" s="8">
        <v>42</v>
      </c>
      <c r="GQ93" s="52">
        <v>325</v>
      </c>
      <c r="GR93" s="8">
        <v>478</v>
      </c>
      <c r="GS93" s="28">
        <v>323</v>
      </c>
      <c r="GT93" s="6">
        <v>149</v>
      </c>
      <c r="GU93" s="52">
        <v>218</v>
      </c>
      <c r="GV93" s="28"/>
      <c r="GW93" s="28"/>
      <c r="GZ93" s="8">
        <v>-303</v>
      </c>
      <c r="HA93" s="28">
        <v>325</v>
      </c>
      <c r="HB93" s="6">
        <v>178</v>
      </c>
      <c r="HC93" s="28"/>
      <c r="HE93" s="8">
        <v>4</v>
      </c>
      <c r="HF93" s="28">
        <v>57</v>
      </c>
      <c r="HQ93" s="6">
        <v>8</v>
      </c>
      <c r="HR93" s="28">
        <v>4</v>
      </c>
      <c r="HS93" s="8">
        <v>4</v>
      </c>
      <c r="HT93" s="52">
        <v>244</v>
      </c>
      <c r="HX93" s="8">
        <v>17</v>
      </c>
      <c r="HY93" s="28">
        <v>26</v>
      </c>
      <c r="HZ93" s="8">
        <v>-74</v>
      </c>
      <c r="IB93" s="8">
        <v>-115</v>
      </c>
      <c r="IC93" s="28">
        <v>458</v>
      </c>
      <c r="ID93" s="8">
        <v>92</v>
      </c>
      <c r="IE93" s="28">
        <v>11</v>
      </c>
      <c r="IO93">
        <v>293</v>
      </c>
      <c r="IP93" s="10">
        <v>631</v>
      </c>
      <c r="IY93" s="8">
        <v>-84</v>
      </c>
      <c r="JA93" s="8">
        <v>-34</v>
      </c>
      <c r="JB93" s="12">
        <v>92</v>
      </c>
      <c r="JH93" s="8">
        <v>906</v>
      </c>
      <c r="JI93" s="28">
        <v>151</v>
      </c>
      <c r="JN93" s="8">
        <v>-47</v>
      </c>
      <c r="JO93" s="28">
        <v>29</v>
      </c>
      <c r="JP93" s="6">
        <v>47</v>
      </c>
      <c r="JQ93" s="12">
        <v>119</v>
      </c>
      <c r="JW93" s="8">
        <v>-78</v>
      </c>
      <c r="JX93" s="12">
        <v>185</v>
      </c>
      <c r="KE93" s="6">
        <v>337</v>
      </c>
      <c r="KF93" s="12">
        <v>787</v>
      </c>
      <c r="KT93" s="8">
        <v>-459</v>
      </c>
      <c r="KU93" s="28">
        <v>580</v>
      </c>
      <c r="KZ93" s="8">
        <v>-5</v>
      </c>
      <c r="LA93" s="12">
        <v>297</v>
      </c>
      <c r="LD93" s="8">
        <v>219</v>
      </c>
      <c r="LE93" s="28">
        <v>219</v>
      </c>
      <c r="LF93" s="8">
        <v>24</v>
      </c>
      <c r="LG93" s="28">
        <v>90</v>
      </c>
      <c r="LH93" s="8">
        <v>-551</v>
      </c>
      <c r="LJ93" s="8">
        <v>403</v>
      </c>
      <c r="LK93" s="28">
        <v>13</v>
      </c>
      <c r="LL93" s="8">
        <v>-29</v>
      </c>
      <c r="LM93" s="28">
        <v>10</v>
      </c>
      <c r="LS93" s="8">
        <v>23</v>
      </c>
      <c r="LU93" s="8">
        <v>2</v>
      </c>
      <c r="LV93" s="12">
        <v>187</v>
      </c>
      <c r="LW93" s="8">
        <v>-126</v>
      </c>
      <c r="LX93" s="28">
        <v>575</v>
      </c>
      <c r="MF93" s="8">
        <v>-876</v>
      </c>
      <c r="MG93" s="12">
        <v>288</v>
      </c>
      <c r="MS93" s="8">
        <v>161</v>
      </c>
      <c r="MT93" s="12">
        <v>435</v>
      </c>
      <c r="NC93" s="8">
        <v>4</v>
      </c>
      <c r="ND93" s="12">
        <v>110</v>
      </c>
      <c r="NP93" s="8">
        <v>-1</v>
      </c>
      <c r="NQ93" s="12">
        <v>833</v>
      </c>
      <c r="NW93" s="8">
        <v>855</v>
      </c>
      <c r="NX93" s="28">
        <v>61</v>
      </c>
      <c r="OV93" s="8">
        <v>421</v>
      </c>
      <c r="PJ93" s="8">
        <v>45</v>
      </c>
      <c r="PK93" s="12">
        <v>908</v>
      </c>
      <c r="PP93" s="8">
        <v>37</v>
      </c>
      <c r="PQ93" s="28">
        <v>34</v>
      </c>
      <c r="PR93" s="28"/>
      <c r="PS93" s="8">
        <v>-107</v>
      </c>
      <c r="PT93" s="12">
        <v>503</v>
      </c>
      <c r="PW93" s="8">
        <v>-312</v>
      </c>
      <c r="PX93" s="28">
        <v>156</v>
      </c>
      <c r="QH93" s="8">
        <v>-74</v>
      </c>
      <c r="QI93" s="12">
        <v>260</v>
      </c>
      <c r="QT93" s="8">
        <v>339</v>
      </c>
      <c r="QU93" s="12">
        <v>294</v>
      </c>
      <c r="QV93" s="6"/>
      <c r="QW93" s="12"/>
      <c r="RC93" s="6">
        <v>-84</v>
      </c>
      <c r="RD93" s="12">
        <v>55</v>
      </c>
      <c r="RE93" s="6">
        <v>-247</v>
      </c>
      <c r="RF93" s="12">
        <v>102</v>
      </c>
      <c r="RG93" s="8">
        <v>383</v>
      </c>
      <c r="RH93" s="28">
        <v>112</v>
      </c>
      <c r="RL93" s="8">
        <v>75</v>
      </c>
      <c r="SP93" s="8">
        <v>-408</v>
      </c>
      <c r="SY93" s="6">
        <v>-7</v>
      </c>
      <c r="TH93" s="8">
        <v>-559</v>
      </c>
      <c r="TI93" s="28">
        <v>205</v>
      </c>
      <c r="TX93" s="8">
        <v>189</v>
      </c>
      <c r="TY93" s="28">
        <v>340</v>
      </c>
      <c r="TZ93" s="8">
        <v>-193</v>
      </c>
      <c r="UA93" s="12">
        <v>374</v>
      </c>
      <c r="UG93" s="8">
        <v>-289</v>
      </c>
      <c r="VH93" s="8">
        <v>264</v>
      </c>
      <c r="VI93" s="28">
        <v>142</v>
      </c>
      <c r="VL93" s="21"/>
      <c r="VM93" s="8">
        <v>1529</v>
      </c>
      <c r="VN93" s="12">
        <v>1117</v>
      </c>
      <c r="VO93" s="12"/>
      <c r="VP93" s="12"/>
      <c r="VQ93" s="6">
        <v>-53</v>
      </c>
      <c r="VR93" s="28">
        <v>22</v>
      </c>
      <c r="VS93" s="12"/>
      <c r="VT93" s="12"/>
      <c r="VZ93" s="8">
        <v>428</v>
      </c>
      <c r="WA93" s="28">
        <v>28</v>
      </c>
      <c r="WB93" s="8">
        <v>6073</v>
      </c>
      <c r="WC93" s="12">
        <v>1848</v>
      </c>
      <c r="XK93">
        <v>14</v>
      </c>
      <c r="XL93" s="1">
        <v>26</v>
      </c>
    </row>
    <row r="94" spans="7:636" x14ac:dyDescent="0.25">
      <c r="K94" s="2">
        <v>2724</v>
      </c>
      <c r="L94" s="1">
        <v>6</v>
      </c>
      <c r="M94">
        <v>24</v>
      </c>
      <c r="N94" s="1">
        <v>10</v>
      </c>
      <c r="O94" s="26"/>
      <c r="V94">
        <v>9</v>
      </c>
      <c r="W94" s="10">
        <v>768</v>
      </c>
      <c r="AB94">
        <v>-1</v>
      </c>
      <c r="AC94" s="1">
        <v>36</v>
      </c>
      <c r="AD94">
        <v>25</v>
      </c>
      <c r="AE94" s="1">
        <v>5</v>
      </c>
      <c r="AJ94" s="2">
        <v>-1830</v>
      </c>
      <c r="AK94" s="10">
        <v>168</v>
      </c>
      <c r="AY94">
        <v>4</v>
      </c>
      <c r="AZ94" s="1">
        <v>1</v>
      </c>
      <c r="BD94" s="8"/>
      <c r="BF94">
        <v>3022</v>
      </c>
      <c r="BG94" s="1">
        <v>576</v>
      </c>
      <c r="BL94">
        <v>-5</v>
      </c>
      <c r="BM94" s="1">
        <v>7</v>
      </c>
      <c r="BN94">
        <v>3</v>
      </c>
      <c r="BP94">
        <v>182</v>
      </c>
      <c r="BQ94" s="10">
        <v>2042</v>
      </c>
      <c r="BT94">
        <v>-147</v>
      </c>
      <c r="BU94" s="1">
        <v>889</v>
      </c>
      <c r="CE94" s="8">
        <v>122</v>
      </c>
      <c r="CF94" s="28">
        <v>14</v>
      </c>
      <c r="CI94" s="8">
        <v>-522</v>
      </c>
      <c r="CJ94" s="12">
        <v>80</v>
      </c>
      <c r="CK94" s="8">
        <v>11</v>
      </c>
      <c r="CL94" s="28">
        <v>15</v>
      </c>
      <c r="CM94" s="6">
        <v>120</v>
      </c>
      <c r="CN94" s="28"/>
      <c r="CO94" s="28"/>
      <c r="CP94" s="28"/>
      <c r="CQ94" s="6">
        <v>888</v>
      </c>
      <c r="CR94" s="28"/>
      <c r="CS94" s="6">
        <v>152</v>
      </c>
      <c r="CT94" s="28">
        <v>139</v>
      </c>
      <c r="CU94" s="28"/>
      <c r="CV94" s="28"/>
      <c r="CW94" s="28"/>
      <c r="CX94" s="28"/>
      <c r="CZ94" s="23">
        <v>-68</v>
      </c>
      <c r="DA94" s="25">
        <v>54</v>
      </c>
      <c r="DC94" s="25"/>
      <c r="DF94" s="23">
        <v>113</v>
      </c>
      <c r="DG94" s="25">
        <v>907</v>
      </c>
      <c r="DH94" s="23">
        <v>-56</v>
      </c>
      <c r="DI94" s="25">
        <v>375</v>
      </c>
      <c r="DJ94" s="23">
        <v>178</v>
      </c>
      <c r="DK94" s="28">
        <v>128</v>
      </c>
      <c r="DL94" s="8">
        <v>958</v>
      </c>
      <c r="DQ94" s="8">
        <v>-439</v>
      </c>
      <c r="DR94" s="52">
        <v>767</v>
      </c>
      <c r="DS94" s="6">
        <v>-208</v>
      </c>
      <c r="DT94" s="52">
        <v>14</v>
      </c>
      <c r="DU94" s="8">
        <v>-384</v>
      </c>
      <c r="DV94" s="28">
        <v>354</v>
      </c>
      <c r="DW94" s="8">
        <v>-703</v>
      </c>
      <c r="DX94" s="28">
        <v>152</v>
      </c>
      <c r="DY94" s="6">
        <v>881</v>
      </c>
      <c r="DZ94" s="52">
        <v>1</v>
      </c>
      <c r="EA94" s="23">
        <v>-1</v>
      </c>
      <c r="EB94" s="52">
        <v>141</v>
      </c>
      <c r="EC94" s="6">
        <v>-6</v>
      </c>
      <c r="ED94" s="28">
        <v>8</v>
      </c>
      <c r="EE94" s="8">
        <v>51</v>
      </c>
      <c r="EF94" s="52">
        <v>53</v>
      </c>
      <c r="EG94" s="8">
        <v>470</v>
      </c>
      <c r="EH94" s="28">
        <v>234</v>
      </c>
      <c r="EI94" s="8">
        <v>32</v>
      </c>
      <c r="EJ94" s="52">
        <v>700</v>
      </c>
      <c r="EL94" s="8">
        <v>-624</v>
      </c>
      <c r="EM94" s="28">
        <v>138</v>
      </c>
      <c r="EN94" s="8">
        <v>-157</v>
      </c>
      <c r="EO94" s="28">
        <v>14</v>
      </c>
      <c r="EP94" s="28"/>
      <c r="EQ94" s="28"/>
      <c r="EX94" s="8">
        <v>-203</v>
      </c>
      <c r="EY94" s="28">
        <v>348</v>
      </c>
      <c r="FD94" s="6">
        <v>196</v>
      </c>
      <c r="FE94" s="28">
        <v>657</v>
      </c>
      <c r="FM94" s="8">
        <v>-184</v>
      </c>
      <c r="FN94" s="52">
        <v>298</v>
      </c>
      <c r="FS94" s="8">
        <v>-29</v>
      </c>
      <c r="FT94" s="52">
        <v>163</v>
      </c>
      <c r="GC94" s="8">
        <v>-183</v>
      </c>
      <c r="GE94" s="8">
        <v>144</v>
      </c>
      <c r="GF94" s="28">
        <v>161</v>
      </c>
      <c r="GI94" s="8">
        <v>-12</v>
      </c>
      <c r="GJ94" s="28">
        <v>16</v>
      </c>
      <c r="GP94" s="8">
        <v>21</v>
      </c>
      <c r="GQ94" s="52">
        <v>251</v>
      </c>
      <c r="GR94" s="8">
        <v>336</v>
      </c>
      <c r="GS94" s="28">
        <v>244</v>
      </c>
      <c r="GT94" s="6">
        <v>179</v>
      </c>
      <c r="GU94" s="52">
        <v>711</v>
      </c>
      <c r="GV94" s="28"/>
      <c r="GW94" s="28"/>
      <c r="GZ94" s="8">
        <v>126</v>
      </c>
      <c r="HA94" s="28">
        <v>662</v>
      </c>
      <c r="HB94" s="6">
        <v>21</v>
      </c>
      <c r="HC94" s="28"/>
      <c r="HE94" s="8">
        <v>-3</v>
      </c>
      <c r="HF94" s="28">
        <v>55</v>
      </c>
      <c r="HQ94" s="6">
        <v>6</v>
      </c>
      <c r="HR94" s="28">
        <v>5</v>
      </c>
      <c r="HS94" s="8">
        <v>5</v>
      </c>
      <c r="HT94" s="52">
        <v>324</v>
      </c>
      <c r="HX94" s="8">
        <v>299</v>
      </c>
      <c r="HY94" s="28">
        <v>171</v>
      </c>
      <c r="HZ94" s="8">
        <v>3</v>
      </c>
      <c r="IB94" s="8">
        <v>221</v>
      </c>
      <c r="IC94" s="28">
        <v>184</v>
      </c>
      <c r="ID94" s="8">
        <v>18</v>
      </c>
      <c r="IE94" s="28">
        <v>101</v>
      </c>
      <c r="IO94">
        <v>205</v>
      </c>
      <c r="IP94" s="10">
        <v>222</v>
      </c>
      <c r="IY94" s="8">
        <v>7</v>
      </c>
      <c r="JA94" s="8">
        <v>-568</v>
      </c>
      <c r="JB94" s="12">
        <v>103</v>
      </c>
      <c r="JH94" s="8">
        <v>-479</v>
      </c>
      <c r="JI94" s="28">
        <v>80</v>
      </c>
      <c r="JN94" s="8">
        <v>53</v>
      </c>
      <c r="JO94" s="28">
        <v>40</v>
      </c>
      <c r="JP94" s="6">
        <v>36</v>
      </c>
      <c r="JQ94" s="12">
        <v>886</v>
      </c>
      <c r="JW94" s="8">
        <v>-186</v>
      </c>
      <c r="JX94" s="12">
        <v>527</v>
      </c>
      <c r="KE94" s="6">
        <v>-158</v>
      </c>
      <c r="KF94" s="12">
        <v>225</v>
      </c>
      <c r="KT94" s="8">
        <v>312</v>
      </c>
      <c r="KU94" s="28">
        <v>524</v>
      </c>
      <c r="KZ94" s="8">
        <v>778</v>
      </c>
      <c r="LA94" s="12">
        <v>746</v>
      </c>
      <c r="LD94" s="8">
        <v>630</v>
      </c>
      <c r="LE94" s="28">
        <v>569</v>
      </c>
      <c r="LF94" s="8">
        <v>30</v>
      </c>
      <c r="LG94" s="28">
        <v>43</v>
      </c>
      <c r="LH94" s="8">
        <v>665</v>
      </c>
      <c r="LJ94" s="8">
        <v>787</v>
      </c>
      <c r="LK94" s="28">
        <v>104</v>
      </c>
      <c r="LL94" s="8">
        <v>-62</v>
      </c>
      <c r="LM94" s="28">
        <v>22</v>
      </c>
      <c r="LS94" s="8">
        <v>78</v>
      </c>
      <c r="LU94" s="8">
        <v>131</v>
      </c>
      <c r="LV94" s="12">
        <v>170</v>
      </c>
      <c r="LW94" s="8">
        <v>-566</v>
      </c>
      <c r="LX94" s="28">
        <v>554</v>
      </c>
      <c r="MF94" s="8">
        <v>154</v>
      </c>
      <c r="MG94" s="12">
        <v>244</v>
      </c>
      <c r="MS94" s="8">
        <v>-115</v>
      </c>
      <c r="MT94" s="12">
        <v>184</v>
      </c>
      <c r="NC94" s="8">
        <v>-49</v>
      </c>
      <c r="ND94" s="12">
        <v>340</v>
      </c>
      <c r="NP94" s="8">
        <v>840</v>
      </c>
      <c r="NQ94" s="12">
        <v>602</v>
      </c>
      <c r="NW94" s="8">
        <v>261</v>
      </c>
      <c r="NX94" s="28">
        <v>71</v>
      </c>
      <c r="OV94" s="8">
        <v>721</v>
      </c>
      <c r="PJ94" s="8">
        <v>4</v>
      </c>
      <c r="PK94" s="12">
        <v>84</v>
      </c>
      <c r="PP94" s="8">
        <v>945</v>
      </c>
      <c r="PQ94" s="28">
        <v>21</v>
      </c>
      <c r="PR94" s="28"/>
      <c r="PS94" s="8">
        <v>29</v>
      </c>
      <c r="PT94" s="12">
        <v>265</v>
      </c>
      <c r="PW94" s="8">
        <v>-183</v>
      </c>
      <c r="PX94" s="28">
        <v>130</v>
      </c>
      <c r="QH94" s="8">
        <v>193</v>
      </c>
      <c r="QI94" s="12">
        <v>105</v>
      </c>
      <c r="QT94" s="8">
        <v>-924</v>
      </c>
      <c r="QU94" s="12">
        <v>301</v>
      </c>
      <c r="QV94" s="6"/>
      <c r="QW94" s="12"/>
      <c r="RC94" s="6">
        <v>4</v>
      </c>
      <c r="RD94" s="12">
        <v>237</v>
      </c>
      <c r="RE94" s="6">
        <v>-205</v>
      </c>
      <c r="RF94" s="12">
        <v>155</v>
      </c>
      <c r="RG94" s="8">
        <v>-147</v>
      </c>
      <c r="RH94" s="28">
        <v>173</v>
      </c>
      <c r="RL94" s="8">
        <v>-61</v>
      </c>
      <c r="SP94" s="8">
        <v>-179</v>
      </c>
      <c r="SY94" s="6">
        <v>537</v>
      </c>
      <c r="TH94" s="8">
        <v>-797</v>
      </c>
      <c r="TI94" s="28">
        <v>210</v>
      </c>
      <c r="TX94" s="8">
        <v>170</v>
      </c>
      <c r="TY94" s="28">
        <v>216</v>
      </c>
      <c r="TZ94" s="8">
        <v>-132</v>
      </c>
      <c r="UA94" s="12">
        <v>395</v>
      </c>
      <c r="UG94" s="8">
        <v>122</v>
      </c>
      <c r="VH94" s="8">
        <v>633</v>
      </c>
      <c r="VI94" s="28">
        <v>217</v>
      </c>
      <c r="VL94" s="21"/>
      <c r="VM94" s="8">
        <v>1400</v>
      </c>
      <c r="VN94" s="12">
        <v>938</v>
      </c>
      <c r="VO94" s="12"/>
      <c r="VP94" s="12"/>
      <c r="VQ94" s="6">
        <v>-51</v>
      </c>
      <c r="VR94" s="28">
        <v>26</v>
      </c>
      <c r="VS94" s="12"/>
      <c r="VT94" s="12"/>
      <c r="VZ94" s="8">
        <v>718</v>
      </c>
      <c r="WA94" s="28">
        <v>127</v>
      </c>
      <c r="WB94" s="8">
        <v>5766</v>
      </c>
      <c r="WC94" s="12">
        <v>1707</v>
      </c>
      <c r="XK94">
        <v>72</v>
      </c>
      <c r="XL94" s="1">
        <v>17</v>
      </c>
    </row>
    <row r="95" spans="7:636" x14ac:dyDescent="0.25">
      <c r="K95" s="2">
        <v>661</v>
      </c>
      <c r="L95" s="1">
        <v>7</v>
      </c>
      <c r="M95">
        <v>209</v>
      </c>
      <c r="N95" s="1">
        <v>10</v>
      </c>
      <c r="O95" s="26"/>
      <c r="V95">
        <v>7</v>
      </c>
      <c r="W95" s="10">
        <v>411</v>
      </c>
      <c r="AB95">
        <v>-13</v>
      </c>
      <c r="AC95" s="1">
        <v>74</v>
      </c>
      <c r="AD95">
        <v>40</v>
      </c>
      <c r="AE95" s="1">
        <v>4</v>
      </c>
      <c r="AJ95" s="2">
        <v>-6199</v>
      </c>
      <c r="AK95" s="10">
        <v>197</v>
      </c>
      <c r="AY95">
        <v>1</v>
      </c>
      <c r="AZ95" s="1">
        <v>1</v>
      </c>
      <c r="BD95" s="8"/>
      <c r="BF95">
        <v>-2548</v>
      </c>
      <c r="BG95" s="1">
        <v>1645</v>
      </c>
      <c r="BL95">
        <v>-6</v>
      </c>
      <c r="BM95" s="1">
        <v>10</v>
      </c>
      <c r="BN95">
        <v>4</v>
      </c>
      <c r="BP95">
        <v>1328</v>
      </c>
      <c r="BQ95" s="10">
        <v>1804</v>
      </c>
      <c r="BT95">
        <v>-715</v>
      </c>
      <c r="BU95" s="1">
        <v>461</v>
      </c>
      <c r="CE95" s="8">
        <v>136</v>
      </c>
      <c r="CF95" s="28">
        <v>9</v>
      </c>
      <c r="CI95" s="8">
        <v>143</v>
      </c>
      <c r="CJ95" s="12">
        <v>71</v>
      </c>
      <c r="CM95" s="6">
        <v>9</v>
      </c>
      <c r="CQ95" s="6">
        <v>891</v>
      </c>
      <c r="CS95" s="6">
        <v>349</v>
      </c>
      <c r="CT95" s="28">
        <v>944</v>
      </c>
      <c r="CZ95" s="23">
        <v>227</v>
      </c>
      <c r="DA95" s="25">
        <v>177</v>
      </c>
      <c r="DC95" s="25"/>
      <c r="DF95" s="23">
        <v>112</v>
      </c>
      <c r="DG95" s="25">
        <v>528</v>
      </c>
      <c r="DH95" s="23">
        <v>762</v>
      </c>
      <c r="DI95" s="25">
        <v>374</v>
      </c>
      <c r="DJ95" s="23">
        <v>-363</v>
      </c>
      <c r="DK95" s="28">
        <v>283</v>
      </c>
      <c r="DL95" s="8">
        <v>939</v>
      </c>
      <c r="DQ95" s="8">
        <v>-281</v>
      </c>
      <c r="DR95" s="52">
        <v>560</v>
      </c>
      <c r="DS95" s="6">
        <v>173</v>
      </c>
      <c r="DT95" s="52">
        <v>540</v>
      </c>
      <c r="DU95" s="8">
        <v>207</v>
      </c>
      <c r="DV95" s="28">
        <v>641</v>
      </c>
      <c r="DW95" s="8">
        <v>-2</v>
      </c>
      <c r="DX95" s="28">
        <v>1</v>
      </c>
      <c r="DY95" s="6">
        <v>141</v>
      </c>
      <c r="DZ95" s="52">
        <v>618</v>
      </c>
      <c r="EA95" s="23">
        <v>-54</v>
      </c>
      <c r="EB95" s="52">
        <v>527</v>
      </c>
      <c r="EC95" s="6">
        <v>-15</v>
      </c>
      <c r="ED95" s="28">
        <v>9</v>
      </c>
      <c r="EE95" s="8">
        <v>18</v>
      </c>
      <c r="EF95" s="52">
        <v>19</v>
      </c>
      <c r="EG95" s="8">
        <v>370</v>
      </c>
      <c r="EH95" s="28">
        <v>612</v>
      </c>
      <c r="EI95" s="8">
        <v>85</v>
      </c>
      <c r="EJ95" s="52">
        <v>636</v>
      </c>
      <c r="EL95" s="8">
        <v>-141</v>
      </c>
      <c r="EM95" s="28">
        <v>378</v>
      </c>
      <c r="EN95" s="8">
        <v>-129</v>
      </c>
      <c r="EO95" s="28">
        <v>17</v>
      </c>
      <c r="EP95" s="28"/>
      <c r="EQ95" s="28"/>
      <c r="EX95" s="8">
        <v>-637</v>
      </c>
      <c r="EY95" s="28">
        <v>779</v>
      </c>
      <c r="FD95" s="6">
        <v>118</v>
      </c>
      <c r="FE95" s="28">
        <v>937</v>
      </c>
      <c r="FM95" s="8">
        <v>131</v>
      </c>
      <c r="FN95" s="52">
        <v>51</v>
      </c>
      <c r="FS95" s="8">
        <v>-31</v>
      </c>
      <c r="FT95" s="52">
        <v>164</v>
      </c>
      <c r="GC95" s="8">
        <v>172</v>
      </c>
      <c r="GE95" s="8">
        <v>224</v>
      </c>
      <c r="GF95" s="28">
        <v>122</v>
      </c>
      <c r="GI95" s="8">
        <v>-21</v>
      </c>
      <c r="GJ95" s="28">
        <v>29</v>
      </c>
      <c r="GP95" s="8">
        <v>12</v>
      </c>
      <c r="GQ95" s="52">
        <v>315</v>
      </c>
      <c r="GR95" s="8">
        <v>541</v>
      </c>
      <c r="GS95" s="28">
        <v>298</v>
      </c>
      <c r="GT95" s="6">
        <v>886</v>
      </c>
      <c r="GU95" s="52">
        <v>386</v>
      </c>
      <c r="GV95" s="28"/>
      <c r="GW95" s="28"/>
      <c r="GZ95" s="8">
        <v>-742</v>
      </c>
      <c r="HA95" s="28">
        <v>168</v>
      </c>
      <c r="HB95" s="6">
        <v>110</v>
      </c>
      <c r="HC95" s="28"/>
      <c r="HE95" s="8">
        <v>45</v>
      </c>
      <c r="HF95" s="28">
        <v>45</v>
      </c>
      <c r="HQ95" s="6">
        <v>-12</v>
      </c>
      <c r="HR95" s="28">
        <v>6</v>
      </c>
      <c r="HS95" s="8">
        <v>-2</v>
      </c>
      <c r="HT95" s="52">
        <v>104</v>
      </c>
      <c r="HX95" s="8">
        <v>21</v>
      </c>
      <c r="HY95" s="28">
        <v>16</v>
      </c>
      <c r="HZ95" s="8">
        <v>20</v>
      </c>
      <c r="IB95" s="8">
        <v>-404</v>
      </c>
      <c r="IC95" s="28">
        <v>139</v>
      </c>
      <c r="ID95" s="8">
        <v>-463</v>
      </c>
      <c r="IE95" s="28">
        <v>139</v>
      </c>
      <c r="IO95">
        <v>-907</v>
      </c>
      <c r="IP95" s="10">
        <v>75</v>
      </c>
      <c r="IY95" s="8">
        <v>-137</v>
      </c>
      <c r="JA95" s="8">
        <v>450</v>
      </c>
      <c r="JB95" s="12">
        <v>684</v>
      </c>
      <c r="JH95" s="8">
        <v>-168</v>
      </c>
      <c r="JI95" s="28">
        <v>243</v>
      </c>
      <c r="JN95" s="8">
        <v>478</v>
      </c>
      <c r="JO95" s="28">
        <v>44</v>
      </c>
      <c r="JP95" s="6">
        <v>52</v>
      </c>
      <c r="JQ95" s="12">
        <v>132</v>
      </c>
      <c r="JW95" s="8">
        <v>-25</v>
      </c>
      <c r="JX95" s="12">
        <v>111</v>
      </c>
      <c r="KE95" s="6">
        <v>-393</v>
      </c>
      <c r="KF95" s="12">
        <v>146</v>
      </c>
      <c r="KT95" s="8">
        <v>-109</v>
      </c>
      <c r="KU95" s="28">
        <v>125</v>
      </c>
      <c r="LD95" s="8">
        <v>666</v>
      </c>
      <c r="LE95" s="28">
        <v>387</v>
      </c>
      <c r="LF95" s="8">
        <v>-9</v>
      </c>
      <c r="LG95" s="28">
        <v>40</v>
      </c>
      <c r="LH95" s="8">
        <v>-972</v>
      </c>
      <c r="LJ95" s="8">
        <v>949</v>
      </c>
      <c r="LK95" s="28">
        <v>35</v>
      </c>
      <c r="LL95" s="8">
        <v>25</v>
      </c>
      <c r="LM95" s="28">
        <v>5</v>
      </c>
      <c r="LS95" s="8">
        <v>65</v>
      </c>
      <c r="LU95" s="8">
        <v>-226</v>
      </c>
      <c r="LV95" s="12">
        <v>240</v>
      </c>
      <c r="LW95" s="8">
        <v>203</v>
      </c>
      <c r="LX95" s="28">
        <v>557</v>
      </c>
      <c r="MF95" s="8">
        <v>273</v>
      </c>
      <c r="MG95" s="12">
        <v>85</v>
      </c>
      <c r="MS95" s="8">
        <v>286</v>
      </c>
      <c r="MT95" s="12">
        <v>436</v>
      </c>
      <c r="NC95" s="8">
        <v>-56</v>
      </c>
      <c r="ND95" s="12">
        <v>359</v>
      </c>
      <c r="NP95" s="8">
        <v>222</v>
      </c>
      <c r="NQ95" s="12">
        <v>148</v>
      </c>
      <c r="NW95" s="8">
        <v>994</v>
      </c>
      <c r="NX95" s="28">
        <v>92</v>
      </c>
      <c r="OV95" s="8">
        <v>103</v>
      </c>
      <c r="PJ95" s="8">
        <v>-49</v>
      </c>
      <c r="PK95" s="12">
        <v>248</v>
      </c>
      <c r="PP95" s="8">
        <v>598</v>
      </c>
      <c r="PQ95" s="28">
        <v>24</v>
      </c>
      <c r="PR95" s="28"/>
      <c r="PS95" s="8">
        <v>-5</v>
      </c>
      <c r="PT95" s="12">
        <v>50</v>
      </c>
      <c r="PW95" s="8">
        <v>-36</v>
      </c>
      <c r="PX95" s="28">
        <v>19</v>
      </c>
      <c r="QH95" s="8">
        <v>-33</v>
      </c>
      <c r="QI95" s="12">
        <v>462</v>
      </c>
      <c r="QT95" s="8">
        <v>82</v>
      </c>
      <c r="QU95" s="12">
        <v>255</v>
      </c>
      <c r="QV95" s="6"/>
      <c r="QW95" s="12"/>
      <c r="RC95" s="6">
        <v>4</v>
      </c>
      <c r="RD95" s="12">
        <v>233</v>
      </c>
      <c r="RE95" s="6">
        <v>-269</v>
      </c>
      <c r="RF95" s="12">
        <v>970</v>
      </c>
      <c r="RG95" s="8">
        <v>364</v>
      </c>
      <c r="RH95" s="28">
        <v>935</v>
      </c>
      <c r="RL95" s="8">
        <v>-130</v>
      </c>
      <c r="SP95" s="8">
        <v>-3</v>
      </c>
      <c r="SY95" s="6">
        <v>159</v>
      </c>
      <c r="TH95" s="8">
        <v>-497</v>
      </c>
      <c r="TI95" s="28">
        <v>183</v>
      </c>
      <c r="TX95" s="8">
        <v>131</v>
      </c>
      <c r="TY95" s="28">
        <v>294</v>
      </c>
      <c r="TZ95" s="8">
        <v>911</v>
      </c>
      <c r="UA95" s="12">
        <v>404</v>
      </c>
      <c r="UG95" s="8">
        <v>-104</v>
      </c>
      <c r="VH95" s="8">
        <v>11</v>
      </c>
      <c r="VI95" s="28">
        <v>21</v>
      </c>
      <c r="VL95" s="21"/>
      <c r="VM95" s="8">
        <v>1766</v>
      </c>
      <c r="VN95" s="12">
        <v>1271</v>
      </c>
      <c r="VO95" s="12"/>
      <c r="VP95" s="12"/>
      <c r="VQ95" s="6">
        <v>-75</v>
      </c>
      <c r="VR95" s="28">
        <v>35</v>
      </c>
      <c r="VS95" s="12"/>
      <c r="VT95" s="12"/>
      <c r="VZ95" s="8">
        <v>785</v>
      </c>
      <c r="WA95" s="28">
        <v>104</v>
      </c>
      <c r="WB95" s="8">
        <v>5450</v>
      </c>
      <c r="WC95" s="12">
        <v>1578</v>
      </c>
      <c r="XK95">
        <v>-2</v>
      </c>
      <c r="XL95" s="1">
        <v>104</v>
      </c>
    </row>
    <row r="96" spans="7:636" x14ac:dyDescent="0.25">
      <c r="K96" s="2">
        <v>1961</v>
      </c>
      <c r="L96" s="1">
        <v>10</v>
      </c>
      <c r="M96">
        <v>24</v>
      </c>
      <c r="N96" s="1">
        <v>13</v>
      </c>
      <c r="O96" s="26"/>
      <c r="V96">
        <v>5</v>
      </c>
      <c r="W96" s="10">
        <v>190</v>
      </c>
      <c r="AB96">
        <v>-45</v>
      </c>
      <c r="AC96" s="1">
        <v>18</v>
      </c>
      <c r="AD96">
        <v>45</v>
      </c>
      <c r="AE96" s="1">
        <v>4</v>
      </c>
      <c r="AJ96" s="2">
        <v>-9506</v>
      </c>
      <c r="AK96" s="10">
        <v>188</v>
      </c>
      <c r="AY96">
        <v>-1</v>
      </c>
      <c r="AZ96" s="1">
        <v>4</v>
      </c>
      <c r="BD96" s="8"/>
      <c r="BF96">
        <v>245</v>
      </c>
      <c r="BG96" s="1">
        <v>1012</v>
      </c>
      <c r="BL96">
        <v>-8</v>
      </c>
      <c r="BM96" s="1">
        <v>8</v>
      </c>
      <c r="BN96">
        <v>-12</v>
      </c>
      <c r="BP96">
        <v>304</v>
      </c>
      <c r="BQ96" s="10">
        <v>1566</v>
      </c>
      <c r="BT96">
        <v>338</v>
      </c>
      <c r="BU96" s="1">
        <v>96</v>
      </c>
      <c r="CE96" s="8">
        <v>201</v>
      </c>
      <c r="CF96" s="28">
        <v>11</v>
      </c>
      <c r="CM96" s="6">
        <v>11</v>
      </c>
      <c r="CQ96" s="6">
        <v>873</v>
      </c>
      <c r="CS96" s="6">
        <v>-128</v>
      </c>
      <c r="CT96" s="28">
        <v>405</v>
      </c>
      <c r="CZ96" s="23">
        <v>-64</v>
      </c>
      <c r="DA96" s="25">
        <v>81</v>
      </c>
      <c r="DC96" s="25"/>
      <c r="DF96" s="23">
        <v>103</v>
      </c>
      <c r="DG96" s="25">
        <v>473</v>
      </c>
      <c r="DH96" s="23">
        <v>-544</v>
      </c>
      <c r="DI96" s="25">
        <v>414</v>
      </c>
      <c r="DJ96" s="23">
        <v>193</v>
      </c>
      <c r="DK96" s="28">
        <v>245</v>
      </c>
      <c r="DL96" s="8">
        <v>907</v>
      </c>
      <c r="DQ96" s="8">
        <v>-252</v>
      </c>
      <c r="DR96" s="52">
        <v>4</v>
      </c>
      <c r="DS96" s="6">
        <v>-209</v>
      </c>
      <c r="DT96" s="52">
        <v>101</v>
      </c>
      <c r="DU96" s="8">
        <v>806</v>
      </c>
      <c r="DV96" s="28">
        <v>552</v>
      </c>
      <c r="DW96" s="8">
        <v>-3</v>
      </c>
      <c r="DX96" s="28">
        <v>2</v>
      </c>
      <c r="DY96" s="6">
        <v>939</v>
      </c>
      <c r="DZ96" s="52">
        <v>449</v>
      </c>
      <c r="EA96" s="23">
        <v>-387</v>
      </c>
      <c r="EB96" s="52">
        <v>536</v>
      </c>
      <c r="EC96" s="6">
        <v>-12</v>
      </c>
      <c r="ED96" s="28">
        <v>8</v>
      </c>
      <c r="EE96" s="8">
        <v>-2</v>
      </c>
      <c r="EF96" s="52">
        <v>24</v>
      </c>
      <c r="EG96" s="8">
        <v>155</v>
      </c>
      <c r="EH96" s="28">
        <v>195</v>
      </c>
      <c r="EI96" s="8">
        <v>123</v>
      </c>
      <c r="EJ96" s="52">
        <v>374</v>
      </c>
      <c r="EL96" s="8">
        <v>-318</v>
      </c>
      <c r="EM96" s="28">
        <v>461</v>
      </c>
      <c r="EN96" s="8">
        <v>-130</v>
      </c>
      <c r="EO96" s="28">
        <v>50</v>
      </c>
      <c r="EP96" s="28"/>
      <c r="EQ96" s="28"/>
      <c r="EX96" s="8">
        <v>-286</v>
      </c>
      <c r="EY96" s="28">
        <v>850</v>
      </c>
      <c r="FD96" s="6">
        <v>305</v>
      </c>
      <c r="FE96" s="28">
        <v>451</v>
      </c>
      <c r="FM96" s="8">
        <v>-354</v>
      </c>
      <c r="FN96" s="52">
        <v>80</v>
      </c>
      <c r="FS96" s="8">
        <v>-32</v>
      </c>
      <c r="FT96" s="52">
        <v>163</v>
      </c>
      <c r="GC96" s="8">
        <v>-407</v>
      </c>
      <c r="GI96" s="8">
        <v>-37</v>
      </c>
      <c r="GJ96" s="28">
        <v>44</v>
      </c>
      <c r="GP96" s="8">
        <v>752</v>
      </c>
      <c r="GQ96" s="52">
        <v>343</v>
      </c>
      <c r="GR96" s="8">
        <v>-145</v>
      </c>
      <c r="GS96" s="28">
        <v>61</v>
      </c>
      <c r="GT96" s="6">
        <v>-414</v>
      </c>
      <c r="GU96" s="52">
        <v>243</v>
      </c>
      <c r="GV96" s="28"/>
      <c r="GW96" s="28"/>
      <c r="GZ96" s="8">
        <v>340</v>
      </c>
      <c r="HA96" s="28">
        <v>24</v>
      </c>
      <c r="HB96" s="6">
        <v>255</v>
      </c>
      <c r="HC96" s="28"/>
      <c r="HE96" s="8">
        <v>19</v>
      </c>
      <c r="HF96" s="28">
        <v>39</v>
      </c>
      <c r="HQ96" s="6">
        <v>-13</v>
      </c>
      <c r="HR96" s="28">
        <v>7</v>
      </c>
      <c r="HS96" s="8">
        <v>1</v>
      </c>
      <c r="HT96" s="52">
        <v>236</v>
      </c>
      <c r="HX96" s="8">
        <v>-125</v>
      </c>
      <c r="HY96" s="28">
        <v>47</v>
      </c>
      <c r="HZ96" s="8">
        <v>-25</v>
      </c>
      <c r="IB96" s="8">
        <v>-955</v>
      </c>
      <c r="IC96" s="28">
        <v>170</v>
      </c>
      <c r="ID96" s="8">
        <v>-253</v>
      </c>
      <c r="IE96" s="28">
        <v>254</v>
      </c>
      <c r="IO96">
        <v>154</v>
      </c>
      <c r="IP96" s="10">
        <v>124</v>
      </c>
      <c r="IY96" s="8">
        <v>164</v>
      </c>
      <c r="JA96" s="8">
        <v>-12</v>
      </c>
      <c r="JB96" s="12">
        <v>325</v>
      </c>
      <c r="JH96" s="8">
        <v>60</v>
      </c>
      <c r="JI96" s="28">
        <v>242</v>
      </c>
      <c r="JN96" s="8">
        <v>111</v>
      </c>
      <c r="JO96" s="28">
        <v>316</v>
      </c>
      <c r="JP96" s="6">
        <v>78</v>
      </c>
      <c r="JQ96" s="12">
        <v>192</v>
      </c>
      <c r="JW96" s="8">
        <v>-163</v>
      </c>
      <c r="JX96" s="12">
        <v>772</v>
      </c>
      <c r="KE96" s="6">
        <v>-271</v>
      </c>
      <c r="KF96" s="12">
        <v>305</v>
      </c>
      <c r="KT96" s="8">
        <v>576</v>
      </c>
      <c r="KU96" s="28">
        <v>697</v>
      </c>
      <c r="LD96" s="8">
        <v>127</v>
      </c>
      <c r="LE96" s="28">
        <v>134</v>
      </c>
      <c r="LF96" s="8">
        <v>11</v>
      </c>
      <c r="LG96" s="28">
        <v>33</v>
      </c>
      <c r="LH96" s="8">
        <v>16</v>
      </c>
      <c r="LJ96" s="8">
        <v>-191</v>
      </c>
      <c r="LK96" s="28">
        <v>7</v>
      </c>
      <c r="LL96" s="8">
        <v>8</v>
      </c>
      <c r="LM96" s="28">
        <v>3</v>
      </c>
      <c r="LS96" s="8">
        <v>12</v>
      </c>
      <c r="LU96" s="8">
        <v>-69</v>
      </c>
      <c r="LV96" s="12">
        <v>116</v>
      </c>
      <c r="LW96" s="8">
        <v>-233</v>
      </c>
      <c r="LX96" s="28">
        <v>693</v>
      </c>
      <c r="MF96" s="8">
        <v>166</v>
      </c>
      <c r="MG96" s="12">
        <v>87</v>
      </c>
      <c r="MS96" s="8">
        <v>108</v>
      </c>
      <c r="MT96" s="12">
        <v>163</v>
      </c>
      <c r="NC96" s="8">
        <v>-153</v>
      </c>
      <c r="ND96" s="12">
        <v>479</v>
      </c>
      <c r="NP96" s="8">
        <v>170</v>
      </c>
      <c r="NQ96" s="12">
        <v>168</v>
      </c>
      <c r="NW96" s="8">
        <v>838</v>
      </c>
      <c r="NX96" s="28">
        <v>69</v>
      </c>
      <c r="OV96" s="8">
        <v>247</v>
      </c>
      <c r="PJ96" s="8">
        <v>23</v>
      </c>
      <c r="PK96" s="12">
        <v>596</v>
      </c>
      <c r="PP96" s="8">
        <v>714</v>
      </c>
      <c r="PQ96" s="28">
        <v>31</v>
      </c>
      <c r="PR96" s="28"/>
      <c r="PS96" s="8">
        <v>1</v>
      </c>
      <c r="PT96" s="12">
        <v>5</v>
      </c>
      <c r="PW96" s="8">
        <v>192</v>
      </c>
      <c r="PX96" s="28">
        <v>331</v>
      </c>
      <c r="QH96" s="8">
        <v>-409</v>
      </c>
      <c r="QI96" s="12">
        <v>166</v>
      </c>
      <c r="QT96" s="8">
        <v>205</v>
      </c>
      <c r="QU96" s="12">
        <v>112</v>
      </c>
      <c r="QV96" s="6"/>
      <c r="QW96" s="12"/>
      <c r="RC96" s="6">
        <v>-4</v>
      </c>
      <c r="RD96" s="12">
        <v>248</v>
      </c>
      <c r="RE96" s="6">
        <v>284</v>
      </c>
      <c r="RF96" s="12">
        <v>258</v>
      </c>
      <c r="RG96" s="8">
        <v>-484</v>
      </c>
      <c r="RH96" s="28">
        <v>497</v>
      </c>
      <c r="RL96" s="8">
        <v>8</v>
      </c>
      <c r="SP96" s="8">
        <v>-167</v>
      </c>
      <c r="SY96" s="6">
        <v>613</v>
      </c>
      <c r="TH96" s="8">
        <v>-677</v>
      </c>
      <c r="TI96" s="28">
        <v>148</v>
      </c>
      <c r="TX96" s="8">
        <v>142</v>
      </c>
      <c r="TY96" s="28">
        <v>207</v>
      </c>
      <c r="TZ96" s="8">
        <v>377</v>
      </c>
      <c r="UA96" s="12">
        <v>651</v>
      </c>
      <c r="UG96" s="8">
        <v>-98</v>
      </c>
      <c r="VH96" s="8">
        <v>271</v>
      </c>
      <c r="VI96" s="28">
        <v>21</v>
      </c>
      <c r="VL96" s="21"/>
      <c r="VM96" s="8">
        <v>1708</v>
      </c>
      <c r="VN96" s="12">
        <v>1265</v>
      </c>
      <c r="VO96" s="12"/>
      <c r="VP96" s="12"/>
      <c r="VQ96" s="6">
        <v>25</v>
      </c>
      <c r="VR96" s="28">
        <v>26</v>
      </c>
      <c r="VS96" s="12"/>
      <c r="VT96" s="12"/>
      <c r="VZ96" s="8">
        <v>265</v>
      </c>
      <c r="WA96" s="28">
        <v>229</v>
      </c>
      <c r="WB96" s="8">
        <v>5691</v>
      </c>
      <c r="WC96" s="12">
        <v>1440</v>
      </c>
      <c r="XK96">
        <v>5</v>
      </c>
      <c r="XL96" s="1">
        <v>22</v>
      </c>
    </row>
    <row r="97" spans="11:636" x14ac:dyDescent="0.25">
      <c r="K97" s="2">
        <v>2070</v>
      </c>
      <c r="L97" s="1">
        <v>11</v>
      </c>
      <c r="M97">
        <v>-2</v>
      </c>
      <c r="N97" s="1">
        <v>13</v>
      </c>
      <c r="O97" s="26"/>
      <c r="V97">
        <v>13</v>
      </c>
      <c r="W97" s="10">
        <v>295</v>
      </c>
      <c r="AB97">
        <v>-59</v>
      </c>
      <c r="AC97" s="1">
        <v>14</v>
      </c>
      <c r="AD97">
        <v>-1</v>
      </c>
      <c r="AE97" s="1">
        <v>15</v>
      </c>
      <c r="AJ97" s="2">
        <v>368</v>
      </c>
      <c r="AK97" s="10">
        <v>190</v>
      </c>
      <c r="AY97">
        <v>2</v>
      </c>
      <c r="AZ97" s="1">
        <v>1</v>
      </c>
      <c r="BD97" s="8"/>
      <c r="BF97">
        <v>4697</v>
      </c>
      <c r="BG97" s="1">
        <v>1626</v>
      </c>
      <c r="BL97">
        <v>-3</v>
      </c>
      <c r="BM97" s="1">
        <v>7</v>
      </c>
      <c r="BN97">
        <v>-166</v>
      </c>
      <c r="BP97">
        <v>-295</v>
      </c>
      <c r="BQ97" s="10">
        <v>2512</v>
      </c>
      <c r="BT97">
        <v>-882</v>
      </c>
      <c r="BU97" s="1">
        <v>122</v>
      </c>
      <c r="CE97" s="8">
        <v>166</v>
      </c>
      <c r="CF97" s="28">
        <v>8</v>
      </c>
      <c r="CM97" s="6">
        <v>8</v>
      </c>
      <c r="CQ97" s="6">
        <v>867</v>
      </c>
      <c r="CS97" s="6">
        <v>168</v>
      </c>
      <c r="CT97" s="28">
        <v>223</v>
      </c>
      <c r="CZ97" s="23">
        <v>228</v>
      </c>
      <c r="DA97" s="25">
        <v>676</v>
      </c>
      <c r="DC97" s="25"/>
      <c r="DF97" s="23">
        <v>112</v>
      </c>
      <c r="DG97" s="25">
        <v>189</v>
      </c>
      <c r="DH97" s="23">
        <v>334</v>
      </c>
      <c r="DI97" s="25">
        <v>444</v>
      </c>
      <c r="DJ97" s="23">
        <v>374</v>
      </c>
      <c r="DK97" s="28">
        <v>172</v>
      </c>
      <c r="DL97" s="8">
        <v>100</v>
      </c>
      <c r="DQ97" s="8">
        <v>128</v>
      </c>
      <c r="DR97" s="52">
        <v>230</v>
      </c>
      <c r="DS97" s="6">
        <v>-144</v>
      </c>
      <c r="DT97" s="52">
        <v>299</v>
      </c>
      <c r="DU97" s="8">
        <v>560</v>
      </c>
      <c r="DV97" s="28">
        <v>329</v>
      </c>
      <c r="DW97" s="8">
        <v>-25</v>
      </c>
      <c r="DX97" s="28">
        <v>29</v>
      </c>
      <c r="DY97" s="6">
        <v>401</v>
      </c>
      <c r="DZ97" s="52">
        <v>168</v>
      </c>
      <c r="EA97" s="23">
        <v>362</v>
      </c>
      <c r="EB97" s="52">
        <v>213</v>
      </c>
      <c r="EC97" s="6">
        <v>9</v>
      </c>
      <c r="ED97" s="28">
        <v>10</v>
      </c>
      <c r="EE97" s="8">
        <v>62</v>
      </c>
      <c r="EF97" s="52">
        <v>30</v>
      </c>
      <c r="EG97" s="8">
        <v>144</v>
      </c>
      <c r="EH97" s="28">
        <v>227</v>
      </c>
      <c r="EI97" s="8">
        <v>-7</v>
      </c>
      <c r="EJ97" s="52">
        <v>103</v>
      </c>
      <c r="EL97" s="8">
        <v>-430</v>
      </c>
      <c r="EM97" s="28">
        <v>779</v>
      </c>
      <c r="EN97" s="8">
        <v>-94</v>
      </c>
      <c r="EO97" s="28">
        <v>23</v>
      </c>
      <c r="EP97" s="28"/>
      <c r="EQ97" s="28"/>
      <c r="EX97" s="8">
        <v>132</v>
      </c>
      <c r="EY97" s="28">
        <v>714</v>
      </c>
      <c r="FD97" s="6">
        <v>135</v>
      </c>
      <c r="FE97" s="28">
        <v>123</v>
      </c>
      <c r="FM97" s="8">
        <v>-150</v>
      </c>
      <c r="FN97" s="52">
        <v>223</v>
      </c>
      <c r="FS97" s="8">
        <v>-27</v>
      </c>
      <c r="FT97" s="52">
        <v>119</v>
      </c>
      <c r="GC97" s="8">
        <v>-388</v>
      </c>
      <c r="GI97" s="8">
        <v>-55</v>
      </c>
      <c r="GJ97" s="28">
        <v>44</v>
      </c>
      <c r="GP97" s="8">
        <v>79</v>
      </c>
      <c r="GQ97" s="52">
        <v>323</v>
      </c>
      <c r="GR97" s="8">
        <v>-45</v>
      </c>
      <c r="GS97" s="28">
        <v>53</v>
      </c>
      <c r="GT97" s="6">
        <v>-123</v>
      </c>
      <c r="GU97" s="52">
        <v>712</v>
      </c>
      <c r="GV97" s="28"/>
      <c r="GW97" s="28"/>
      <c r="GZ97" s="8">
        <v>379</v>
      </c>
      <c r="HA97" s="28">
        <v>11</v>
      </c>
      <c r="HB97" s="6">
        <v>174</v>
      </c>
      <c r="HC97" s="28"/>
      <c r="HE97" s="8">
        <v>49</v>
      </c>
      <c r="HF97" s="28">
        <v>25</v>
      </c>
      <c r="HQ97" s="6">
        <v>12</v>
      </c>
      <c r="HR97" s="28">
        <v>7</v>
      </c>
      <c r="HS97" s="8">
        <v>-5</v>
      </c>
      <c r="HT97" s="52">
        <v>190</v>
      </c>
      <c r="HX97" s="8">
        <v>7</v>
      </c>
      <c r="HY97" s="28">
        <v>150</v>
      </c>
      <c r="HZ97" s="8">
        <v>1</v>
      </c>
      <c r="IB97" s="8">
        <v>-193</v>
      </c>
      <c r="IC97" s="28">
        <v>184</v>
      </c>
      <c r="ID97" s="8">
        <v>224</v>
      </c>
      <c r="IE97" s="28">
        <v>349</v>
      </c>
      <c r="IO97">
        <v>139</v>
      </c>
      <c r="IP97" s="10">
        <v>156</v>
      </c>
      <c r="IY97" s="8">
        <v>-175</v>
      </c>
      <c r="JA97" s="8">
        <v>277</v>
      </c>
      <c r="JB97" s="12">
        <v>302</v>
      </c>
      <c r="JH97" s="8">
        <v>165</v>
      </c>
      <c r="JI97" s="28">
        <v>80</v>
      </c>
      <c r="JN97" s="8">
        <v>-108</v>
      </c>
      <c r="JO97" s="28">
        <v>256</v>
      </c>
      <c r="JP97" s="6">
        <v>34</v>
      </c>
      <c r="JQ97" s="12">
        <v>885</v>
      </c>
      <c r="JW97" s="8">
        <v>-233</v>
      </c>
      <c r="JX97" s="12">
        <v>104</v>
      </c>
      <c r="KE97" s="6">
        <v>-204</v>
      </c>
      <c r="KF97" s="12">
        <v>347</v>
      </c>
      <c r="KT97" s="8">
        <v>-597</v>
      </c>
      <c r="KU97" s="28">
        <v>670</v>
      </c>
      <c r="LD97" s="8">
        <v>138</v>
      </c>
      <c r="LE97" s="28">
        <v>333</v>
      </c>
      <c r="LF97" s="8">
        <v>25</v>
      </c>
      <c r="LG97" s="28">
        <v>32</v>
      </c>
      <c r="LH97" s="8">
        <v>-537</v>
      </c>
      <c r="LJ97" s="8">
        <v>-780</v>
      </c>
      <c r="LK97" s="28">
        <v>134</v>
      </c>
      <c r="LL97" s="8">
        <v>-13</v>
      </c>
      <c r="LM97" s="28">
        <v>1</v>
      </c>
      <c r="LS97" s="8">
        <v>34</v>
      </c>
      <c r="LU97" s="8">
        <v>-19</v>
      </c>
      <c r="LV97" s="12">
        <v>20</v>
      </c>
      <c r="LW97" s="8">
        <v>200</v>
      </c>
      <c r="LX97" s="28">
        <v>758</v>
      </c>
      <c r="MF97" s="8">
        <v>478</v>
      </c>
      <c r="MG97" s="12">
        <v>310</v>
      </c>
      <c r="MS97" s="8">
        <v>363</v>
      </c>
      <c r="MT97" s="12">
        <v>387</v>
      </c>
      <c r="NC97" s="8">
        <v>-148</v>
      </c>
      <c r="ND97" s="12">
        <v>866</v>
      </c>
      <c r="NP97" s="8">
        <v>252</v>
      </c>
      <c r="NQ97" s="12">
        <v>255</v>
      </c>
      <c r="NW97" s="8">
        <v>109</v>
      </c>
      <c r="NX97" s="28">
        <v>229</v>
      </c>
      <c r="OV97" s="8">
        <v>460</v>
      </c>
      <c r="PJ97" s="8">
        <v>-2</v>
      </c>
      <c r="PK97" s="12">
        <v>156</v>
      </c>
      <c r="PP97" s="8">
        <v>602</v>
      </c>
      <c r="PQ97" s="28">
        <v>26</v>
      </c>
      <c r="PR97" s="28"/>
      <c r="PS97" s="8">
        <v>7</v>
      </c>
      <c r="PT97" s="12">
        <v>44</v>
      </c>
      <c r="PW97" s="8">
        <v>-237</v>
      </c>
      <c r="PX97" s="28">
        <v>621</v>
      </c>
      <c r="QH97" s="8">
        <v>54</v>
      </c>
      <c r="QI97" s="12">
        <v>123</v>
      </c>
      <c r="QT97" s="8">
        <v>-467</v>
      </c>
      <c r="QU97" s="12">
        <v>421</v>
      </c>
      <c r="QV97" s="6"/>
      <c r="QW97" s="12"/>
      <c r="RC97" s="6">
        <v>-382</v>
      </c>
      <c r="RE97" s="6">
        <v>249</v>
      </c>
      <c r="RF97" s="12">
        <v>969</v>
      </c>
      <c r="RG97" s="8">
        <v>-588</v>
      </c>
      <c r="RH97" s="28">
        <v>133</v>
      </c>
      <c r="RL97" s="8">
        <v>347</v>
      </c>
      <c r="SP97" s="8">
        <v>311</v>
      </c>
      <c r="SY97" s="6">
        <v>445</v>
      </c>
      <c r="TH97" s="8">
        <v>-843</v>
      </c>
      <c r="TI97" s="28">
        <v>171</v>
      </c>
      <c r="TX97" s="8">
        <v>138</v>
      </c>
      <c r="TY97" s="28">
        <v>282</v>
      </c>
      <c r="TZ97" s="8">
        <v>269</v>
      </c>
      <c r="UA97" s="12">
        <v>969</v>
      </c>
      <c r="UG97" s="8">
        <v>-158</v>
      </c>
      <c r="VH97" s="8">
        <v>193</v>
      </c>
      <c r="VI97" s="28">
        <v>154</v>
      </c>
      <c r="VL97" s="21"/>
      <c r="VM97" s="8">
        <v>1189</v>
      </c>
      <c r="VN97" s="12">
        <v>1747</v>
      </c>
      <c r="VO97" s="12"/>
      <c r="VP97" s="12"/>
      <c r="VQ97" s="6">
        <v>-13</v>
      </c>
      <c r="VR97" s="28">
        <v>20</v>
      </c>
      <c r="VS97" s="12"/>
      <c r="VT97" s="12"/>
      <c r="VZ97" s="8">
        <v>331</v>
      </c>
      <c r="WA97" s="28">
        <v>179</v>
      </c>
      <c r="WB97" s="8">
        <v>6040</v>
      </c>
      <c r="WC97" s="12">
        <v>1572</v>
      </c>
      <c r="XK97">
        <v>-12</v>
      </c>
      <c r="XL97" s="1">
        <v>20</v>
      </c>
    </row>
    <row r="98" spans="11:636" x14ac:dyDescent="0.25">
      <c r="K98" s="2">
        <v>3079</v>
      </c>
      <c r="L98" s="1">
        <v>12</v>
      </c>
      <c r="M98">
        <v>-5</v>
      </c>
      <c r="N98" s="1">
        <v>9</v>
      </c>
      <c r="O98" s="26"/>
      <c r="V98">
        <v>15</v>
      </c>
      <c r="W98" s="10">
        <v>452</v>
      </c>
      <c r="AB98">
        <v>-3</v>
      </c>
      <c r="AC98" s="1">
        <v>26</v>
      </c>
      <c r="AD98">
        <v>43</v>
      </c>
      <c r="AE98" s="1">
        <v>21</v>
      </c>
      <c r="AJ98" s="2">
        <v>-19</v>
      </c>
      <c r="AK98" s="10">
        <v>151</v>
      </c>
      <c r="AY98">
        <v>3</v>
      </c>
      <c r="AZ98" s="1">
        <v>5</v>
      </c>
      <c r="BD98" s="8"/>
      <c r="BF98">
        <v>-1380</v>
      </c>
      <c r="BG98" s="1">
        <v>586</v>
      </c>
      <c r="BL98">
        <v>23</v>
      </c>
      <c r="BM98" s="1">
        <v>4</v>
      </c>
      <c r="BN98">
        <v>2</v>
      </c>
      <c r="BP98">
        <v>-215</v>
      </c>
      <c r="BQ98" s="10">
        <v>1765</v>
      </c>
      <c r="BT98">
        <v>-464</v>
      </c>
      <c r="BU98" s="1">
        <v>202</v>
      </c>
      <c r="CE98" s="8">
        <v>155</v>
      </c>
      <c r="CF98" s="28">
        <v>10</v>
      </c>
      <c r="CM98" s="6">
        <v>439</v>
      </c>
      <c r="CQ98" s="6">
        <v>858</v>
      </c>
      <c r="CS98" s="6">
        <v>-209</v>
      </c>
      <c r="CT98" s="28">
        <v>593</v>
      </c>
      <c r="CZ98" s="23">
        <v>-7</v>
      </c>
      <c r="DA98" s="25">
        <v>6</v>
      </c>
      <c r="DC98" s="25"/>
      <c r="DF98" s="23">
        <v>111</v>
      </c>
      <c r="DG98" s="25">
        <v>342</v>
      </c>
      <c r="DH98" s="23">
        <v>195</v>
      </c>
      <c r="DI98" s="25">
        <v>378</v>
      </c>
      <c r="DJ98" s="23">
        <v>-437</v>
      </c>
      <c r="DK98" s="28">
        <v>188</v>
      </c>
      <c r="DL98" s="8">
        <v>895</v>
      </c>
      <c r="DQ98" s="8">
        <v>-374</v>
      </c>
      <c r="DR98" s="52">
        <v>645</v>
      </c>
      <c r="DS98" s="6">
        <v>2</v>
      </c>
      <c r="DT98" s="52">
        <v>4</v>
      </c>
      <c r="DU98" s="8">
        <v>779</v>
      </c>
      <c r="DV98" s="28">
        <v>645</v>
      </c>
      <c r="DW98" s="8">
        <v>437</v>
      </c>
      <c r="DX98" s="28">
        <v>381</v>
      </c>
      <c r="DY98" s="6">
        <v>-285</v>
      </c>
      <c r="DZ98" s="52">
        <v>172</v>
      </c>
      <c r="EA98" s="23">
        <v>-131</v>
      </c>
      <c r="EB98" s="52">
        <v>110</v>
      </c>
      <c r="EC98" s="6">
        <v>6</v>
      </c>
      <c r="ED98" s="28">
        <v>12</v>
      </c>
      <c r="EE98" s="8">
        <v>21</v>
      </c>
      <c r="EF98" s="52">
        <v>306</v>
      </c>
      <c r="EG98" s="8">
        <v>-262</v>
      </c>
      <c r="EH98" s="28">
        <v>359</v>
      </c>
      <c r="EI98" s="8">
        <v>-4</v>
      </c>
      <c r="EJ98" s="52">
        <v>157</v>
      </c>
      <c r="EL98" s="8">
        <v>-661</v>
      </c>
      <c r="EM98" s="28">
        <v>141</v>
      </c>
      <c r="EN98" s="8">
        <v>-93</v>
      </c>
      <c r="EO98" s="28">
        <v>14</v>
      </c>
      <c r="EP98" s="28"/>
      <c r="EQ98" s="28"/>
      <c r="EX98" s="8">
        <v>-510</v>
      </c>
      <c r="EY98" s="28">
        <v>346</v>
      </c>
      <c r="FD98" s="6">
        <v>-84</v>
      </c>
      <c r="FE98" s="28">
        <v>416</v>
      </c>
      <c r="FM98" s="8">
        <v>-251</v>
      </c>
      <c r="FN98" s="52">
        <v>190</v>
      </c>
      <c r="FS98" s="8">
        <v>-28</v>
      </c>
      <c r="FT98" s="52">
        <v>123</v>
      </c>
      <c r="GC98" s="8">
        <v>-131</v>
      </c>
      <c r="GI98" s="8">
        <v>13</v>
      </c>
      <c r="GJ98" s="28">
        <v>22</v>
      </c>
      <c r="GP98" s="8">
        <v>77</v>
      </c>
      <c r="GQ98" s="52">
        <v>238</v>
      </c>
      <c r="GR98" s="8">
        <v>-101</v>
      </c>
      <c r="GS98" s="28">
        <v>56</v>
      </c>
      <c r="GT98" s="6">
        <v>496</v>
      </c>
      <c r="GU98" s="52">
        <v>544</v>
      </c>
      <c r="GV98" s="28"/>
      <c r="GW98" s="28"/>
      <c r="GZ98" s="8">
        <v>-55</v>
      </c>
      <c r="HA98" s="28">
        <v>76</v>
      </c>
      <c r="HB98" s="6">
        <v>-99</v>
      </c>
      <c r="HC98" s="28"/>
      <c r="HE98" s="8">
        <v>-16</v>
      </c>
      <c r="HF98" s="28">
        <v>35</v>
      </c>
      <c r="HQ98" s="6">
        <v>-188</v>
      </c>
      <c r="HR98" s="28">
        <v>94</v>
      </c>
      <c r="HS98" s="8">
        <v>-4</v>
      </c>
      <c r="HT98" s="52">
        <v>412</v>
      </c>
      <c r="HZ98" s="8">
        <v>1</v>
      </c>
      <c r="IB98" s="8">
        <v>-257</v>
      </c>
      <c r="IC98" s="28">
        <v>179</v>
      </c>
      <c r="ID98" s="8">
        <v>-544</v>
      </c>
      <c r="IE98" s="28">
        <v>202</v>
      </c>
      <c r="IO98">
        <v>-171</v>
      </c>
      <c r="IP98" s="10">
        <v>138</v>
      </c>
      <c r="IY98" s="8">
        <v>280</v>
      </c>
      <c r="JA98" s="8">
        <v>-49</v>
      </c>
      <c r="JB98" s="12">
        <v>271</v>
      </c>
      <c r="JH98" s="8">
        <v>72</v>
      </c>
      <c r="JI98" s="28">
        <v>281</v>
      </c>
      <c r="JN98" s="8">
        <v>151</v>
      </c>
      <c r="JO98" s="28">
        <v>709</v>
      </c>
      <c r="JP98" s="6">
        <v>25</v>
      </c>
      <c r="JQ98" s="12">
        <v>653</v>
      </c>
      <c r="JW98" s="8">
        <v>-169</v>
      </c>
      <c r="JX98" s="12">
        <v>643</v>
      </c>
      <c r="KE98" s="6">
        <v>463</v>
      </c>
      <c r="KF98" s="12">
        <v>614</v>
      </c>
      <c r="KT98" s="8">
        <v>192</v>
      </c>
      <c r="KU98" s="28">
        <v>783</v>
      </c>
      <c r="LD98" s="8">
        <v>-145</v>
      </c>
      <c r="LE98" s="28">
        <v>744</v>
      </c>
      <c r="LF98" s="8">
        <v>10</v>
      </c>
      <c r="LG98" s="28">
        <v>23</v>
      </c>
      <c r="LH98" s="8">
        <v>-425</v>
      </c>
      <c r="LJ98" s="8">
        <v>954</v>
      </c>
      <c r="LK98" s="28">
        <v>103</v>
      </c>
      <c r="LL98" s="8">
        <v>5</v>
      </c>
      <c r="LM98" s="28">
        <v>16</v>
      </c>
      <c r="LS98" s="8">
        <v>276</v>
      </c>
      <c r="LU98" s="8">
        <v>-37</v>
      </c>
      <c r="LV98" s="12">
        <v>47</v>
      </c>
      <c r="LW98" s="8">
        <v>-256</v>
      </c>
      <c r="LX98" s="28">
        <v>661</v>
      </c>
      <c r="MF98" s="8">
        <v>576</v>
      </c>
      <c r="MG98" s="12">
        <v>92</v>
      </c>
      <c r="MS98" s="8">
        <v>-89</v>
      </c>
      <c r="MT98" s="12">
        <v>320</v>
      </c>
      <c r="NC98" s="8">
        <v>-115</v>
      </c>
      <c r="ND98" s="12">
        <v>655</v>
      </c>
      <c r="NP98" s="8">
        <v>196</v>
      </c>
      <c r="NQ98" s="12">
        <v>196</v>
      </c>
      <c r="NW98" s="8">
        <v>991</v>
      </c>
      <c r="NX98" s="28">
        <v>236</v>
      </c>
      <c r="OV98" s="8">
        <v>322</v>
      </c>
      <c r="PJ98" s="8">
        <v>-37</v>
      </c>
      <c r="PK98" s="12">
        <v>188</v>
      </c>
      <c r="PP98" s="8">
        <v>-102</v>
      </c>
      <c r="PQ98" s="28">
        <v>20</v>
      </c>
      <c r="PR98" s="28"/>
      <c r="PS98" s="8">
        <v>2</v>
      </c>
      <c r="PT98" s="12">
        <v>120</v>
      </c>
      <c r="PW98" s="8">
        <v>-107</v>
      </c>
      <c r="PX98" s="28">
        <v>618</v>
      </c>
      <c r="QH98" s="8">
        <v>124</v>
      </c>
      <c r="QI98" s="12">
        <v>292</v>
      </c>
      <c r="QT98" s="8">
        <v>-144</v>
      </c>
      <c r="QU98" s="12">
        <v>605</v>
      </c>
      <c r="QV98" s="6"/>
      <c r="QW98" s="12"/>
      <c r="RC98" s="6">
        <v>188</v>
      </c>
      <c r="RE98" s="6">
        <v>-251</v>
      </c>
      <c r="RF98" s="12">
        <v>140</v>
      </c>
      <c r="RG98" s="8">
        <v>810</v>
      </c>
      <c r="RH98" s="28">
        <v>193</v>
      </c>
      <c r="RL98" s="8">
        <v>-16</v>
      </c>
      <c r="SP98" s="8">
        <v>762</v>
      </c>
      <c r="SY98" s="6">
        <v>909</v>
      </c>
      <c r="TH98" s="8">
        <v>-759</v>
      </c>
      <c r="TI98" s="28">
        <v>144</v>
      </c>
      <c r="TX98" s="8">
        <v>134</v>
      </c>
      <c r="TY98" s="28">
        <v>292</v>
      </c>
      <c r="TZ98" s="8">
        <v>177</v>
      </c>
      <c r="UA98" s="12">
        <v>196</v>
      </c>
      <c r="UG98" s="8">
        <v>33</v>
      </c>
      <c r="VH98" s="8">
        <v>255</v>
      </c>
      <c r="VI98" s="28">
        <v>573</v>
      </c>
      <c r="VL98" s="21"/>
      <c r="VM98" s="8">
        <v>1417</v>
      </c>
      <c r="VN98" s="12">
        <v>1093</v>
      </c>
      <c r="VO98" s="12"/>
      <c r="VP98" s="12"/>
      <c r="VQ98" s="6">
        <v>-35</v>
      </c>
      <c r="VR98" s="28">
        <v>12</v>
      </c>
      <c r="VS98" s="12"/>
      <c r="VT98" s="12"/>
      <c r="VZ98" s="8">
        <v>12</v>
      </c>
      <c r="WA98" s="28">
        <v>152</v>
      </c>
      <c r="WB98" s="8">
        <v>4096</v>
      </c>
      <c r="WC98" s="12">
        <v>852</v>
      </c>
      <c r="XK98">
        <v>24</v>
      </c>
      <c r="XL98" s="1">
        <v>13</v>
      </c>
    </row>
    <row r="99" spans="11:636" x14ac:dyDescent="0.25">
      <c r="K99" s="2">
        <v>2899</v>
      </c>
      <c r="L99" s="1">
        <v>10</v>
      </c>
      <c r="M99">
        <v>10</v>
      </c>
      <c r="N99" s="1">
        <v>9</v>
      </c>
      <c r="O99" s="26"/>
      <c r="V99">
        <v>12</v>
      </c>
      <c r="W99" s="10">
        <v>276</v>
      </c>
      <c r="AB99">
        <v>-32</v>
      </c>
      <c r="AC99" s="1">
        <v>22</v>
      </c>
      <c r="AD99">
        <v>21</v>
      </c>
      <c r="AE99" s="1">
        <v>4</v>
      </c>
      <c r="AJ99" s="2">
        <v>554</v>
      </c>
      <c r="AK99" s="10">
        <v>163</v>
      </c>
      <c r="AY99">
        <v>-2</v>
      </c>
      <c r="AZ99" s="1">
        <v>3</v>
      </c>
      <c r="BD99" s="8"/>
      <c r="BF99">
        <v>-25044</v>
      </c>
      <c r="BG99" s="1">
        <v>3439</v>
      </c>
      <c r="BL99">
        <v>2825</v>
      </c>
      <c r="BM99" s="1">
        <v>58</v>
      </c>
      <c r="BN99">
        <v>10</v>
      </c>
      <c r="BP99">
        <v>-391</v>
      </c>
      <c r="BQ99" s="10">
        <v>2596</v>
      </c>
      <c r="BT99">
        <v>132</v>
      </c>
      <c r="BU99" s="1">
        <v>37</v>
      </c>
      <c r="CE99" s="8">
        <v>153</v>
      </c>
      <c r="CF99" s="28">
        <v>10</v>
      </c>
      <c r="CM99" s="6">
        <v>269</v>
      </c>
      <c r="CQ99" s="6">
        <v>866</v>
      </c>
      <c r="CS99" s="6">
        <v>-381</v>
      </c>
      <c r="CT99" s="28">
        <v>157</v>
      </c>
      <c r="CZ99" s="23">
        <v>62</v>
      </c>
      <c r="DA99" s="25">
        <v>45</v>
      </c>
      <c r="DC99" s="25"/>
      <c r="DF99" s="23">
        <v>110</v>
      </c>
      <c r="DG99" s="25">
        <v>301</v>
      </c>
      <c r="DH99" s="23">
        <v>73</v>
      </c>
      <c r="DI99" s="25">
        <v>13</v>
      </c>
      <c r="DJ99" s="23">
        <v>-683</v>
      </c>
      <c r="DK99" s="28">
        <v>180</v>
      </c>
      <c r="DL99" s="8">
        <v>958</v>
      </c>
      <c r="DQ99" s="8">
        <v>234</v>
      </c>
      <c r="DR99" s="52">
        <v>438</v>
      </c>
      <c r="DS99" s="6">
        <v>115</v>
      </c>
      <c r="DT99" s="52">
        <v>18</v>
      </c>
      <c r="DU99" s="8">
        <v>-763</v>
      </c>
      <c r="DV99" s="28">
        <v>346</v>
      </c>
      <c r="DW99" s="8">
        <v>-367</v>
      </c>
      <c r="DX99" s="28">
        <v>89</v>
      </c>
      <c r="DY99" s="6">
        <v>-531</v>
      </c>
      <c r="DZ99" s="52">
        <v>239</v>
      </c>
      <c r="EA99" s="23">
        <v>-596</v>
      </c>
      <c r="EB99" s="52">
        <v>103</v>
      </c>
      <c r="EC99" s="6">
        <v>18</v>
      </c>
      <c r="ED99" s="28">
        <v>13</v>
      </c>
      <c r="EE99" s="8">
        <v>-167</v>
      </c>
      <c r="EF99" s="52">
        <v>326</v>
      </c>
      <c r="EG99" s="8">
        <v>293</v>
      </c>
      <c r="EH99" s="28">
        <v>354</v>
      </c>
      <c r="EI99" s="8">
        <v>-47</v>
      </c>
      <c r="EJ99" s="52">
        <v>621</v>
      </c>
      <c r="EL99" s="8">
        <v>-264</v>
      </c>
      <c r="EM99" s="28">
        <v>422</v>
      </c>
      <c r="EN99" s="8">
        <v>-100</v>
      </c>
      <c r="EO99" s="28">
        <v>17</v>
      </c>
      <c r="EP99" s="28"/>
      <c r="EQ99" s="28"/>
      <c r="EX99" s="8">
        <v>-138</v>
      </c>
      <c r="EY99" s="28">
        <v>453</v>
      </c>
      <c r="FD99" s="6">
        <v>663</v>
      </c>
      <c r="FE99" s="28">
        <v>162</v>
      </c>
      <c r="FM99" s="8">
        <v>-148</v>
      </c>
      <c r="FN99" s="52">
        <v>206</v>
      </c>
      <c r="FS99" s="8">
        <v>-28</v>
      </c>
      <c r="FT99" s="52">
        <v>135</v>
      </c>
      <c r="GC99" s="8">
        <v>-230</v>
      </c>
      <c r="GI99" s="8">
        <v>1</v>
      </c>
      <c r="GJ99" s="28">
        <v>1</v>
      </c>
      <c r="GP99" s="8">
        <v>43</v>
      </c>
      <c r="GQ99" s="52">
        <v>200</v>
      </c>
      <c r="GR99" s="8">
        <v>-88</v>
      </c>
      <c r="GS99" s="28">
        <v>54</v>
      </c>
      <c r="GT99" s="6">
        <v>126</v>
      </c>
      <c r="GU99" s="52">
        <v>136</v>
      </c>
      <c r="GV99" s="28"/>
      <c r="GW99" s="28"/>
      <c r="GZ99" s="8">
        <v>84</v>
      </c>
      <c r="HA99" s="28">
        <v>69</v>
      </c>
      <c r="HB99" s="6">
        <v>195</v>
      </c>
      <c r="HC99" s="28"/>
      <c r="HE99" s="8">
        <v>-21</v>
      </c>
      <c r="HF99" s="28">
        <v>63</v>
      </c>
      <c r="HQ99" s="6">
        <v>-1</v>
      </c>
      <c r="HR99" s="28">
        <v>2</v>
      </c>
      <c r="HS99" s="8">
        <v>-13</v>
      </c>
      <c r="HT99" s="52">
        <v>122</v>
      </c>
      <c r="HZ99" s="8">
        <v>-2</v>
      </c>
      <c r="IB99" s="8">
        <v>-469</v>
      </c>
      <c r="IC99" s="28">
        <v>197</v>
      </c>
      <c r="ID99" s="8">
        <v>-150</v>
      </c>
      <c r="IE99" s="28">
        <v>719</v>
      </c>
      <c r="IO99">
        <v>-332</v>
      </c>
      <c r="IP99" s="10">
        <v>175</v>
      </c>
      <c r="IY99" s="8">
        <f>104</f>
        <v>104</v>
      </c>
      <c r="JA99" s="8">
        <v>43</v>
      </c>
      <c r="JB99" s="12">
        <v>273</v>
      </c>
      <c r="JH99" s="8">
        <v>-127</v>
      </c>
      <c r="JI99" s="28">
        <v>703</v>
      </c>
      <c r="JN99" s="8">
        <v>273</v>
      </c>
      <c r="JO99" s="28">
        <v>192</v>
      </c>
      <c r="JP99" s="6">
        <v>1</v>
      </c>
      <c r="JQ99" s="12">
        <v>10</v>
      </c>
      <c r="JW99" s="8">
        <v>-226</v>
      </c>
      <c r="JX99" s="12">
        <v>866</v>
      </c>
      <c r="KE99" s="6">
        <v>-90</v>
      </c>
      <c r="KF99" s="12">
        <v>253</v>
      </c>
      <c r="KT99" s="8">
        <v>-4</v>
      </c>
      <c r="KU99" s="28">
        <v>9</v>
      </c>
      <c r="LD99" s="8">
        <v>127</v>
      </c>
      <c r="LE99" s="28">
        <v>499</v>
      </c>
      <c r="LF99" s="8">
        <v>-13</v>
      </c>
      <c r="LG99" s="28">
        <v>25</v>
      </c>
      <c r="LH99" s="8">
        <v>125</v>
      </c>
      <c r="LJ99" s="8">
        <v>-25</v>
      </c>
      <c r="LK99" s="28">
        <v>190</v>
      </c>
      <c r="LL99" s="8">
        <v>-2</v>
      </c>
      <c r="LM99" s="28">
        <v>20</v>
      </c>
      <c r="LS99" s="8">
        <v>84</v>
      </c>
      <c r="LU99" s="8">
        <v>-955</v>
      </c>
      <c r="LV99" s="12">
        <v>101</v>
      </c>
      <c r="LW99" s="8">
        <v>138</v>
      </c>
      <c r="LX99" s="28">
        <v>752</v>
      </c>
      <c r="MF99" s="8">
        <v>-7</v>
      </c>
      <c r="MG99" s="12">
        <v>2</v>
      </c>
      <c r="MS99" s="8">
        <v>-488</v>
      </c>
      <c r="MT99" s="12">
        <v>617</v>
      </c>
      <c r="NC99" s="8">
        <v>-143</v>
      </c>
      <c r="ND99" s="12">
        <v>777</v>
      </c>
      <c r="NP99" s="8">
        <v>283</v>
      </c>
      <c r="NQ99" s="12">
        <v>275</v>
      </c>
      <c r="NW99" s="8">
        <v>871</v>
      </c>
      <c r="NX99" s="28">
        <v>10</v>
      </c>
      <c r="OV99" s="8">
        <v>503</v>
      </c>
      <c r="PJ99" s="8">
        <v>-15</v>
      </c>
      <c r="PK99" s="12">
        <v>163</v>
      </c>
      <c r="PP99" s="8">
        <v>512</v>
      </c>
      <c r="PQ99" s="28">
        <v>25</v>
      </c>
      <c r="PR99" s="28"/>
      <c r="PS99" s="8">
        <v>14</v>
      </c>
      <c r="PT99" s="12">
        <v>287</v>
      </c>
      <c r="PW99" s="8">
        <v>847</v>
      </c>
      <c r="PX99" s="28">
        <v>281</v>
      </c>
      <c r="QH99" s="8">
        <v>-211</v>
      </c>
      <c r="QI99" s="12">
        <v>191</v>
      </c>
      <c r="QT99" s="8">
        <v>-118</v>
      </c>
      <c r="QU99" s="12">
        <v>142</v>
      </c>
      <c r="QV99" s="6"/>
      <c r="QW99" s="12"/>
      <c r="RC99" s="6">
        <v>-49</v>
      </c>
      <c r="RE99" s="6">
        <v>-276</v>
      </c>
      <c r="RF99" s="12">
        <v>141</v>
      </c>
      <c r="RG99" s="8">
        <v>416</v>
      </c>
      <c r="RH99" s="28">
        <v>673</v>
      </c>
      <c r="RL99" s="8">
        <v>-1</v>
      </c>
      <c r="SP99" s="8">
        <v>102</v>
      </c>
      <c r="SY99" s="6">
        <v>149</v>
      </c>
      <c r="TH99" s="8">
        <v>-870</v>
      </c>
      <c r="TI99" s="28">
        <v>286</v>
      </c>
      <c r="TX99" s="8">
        <v>-429</v>
      </c>
      <c r="TY99" s="28">
        <v>266</v>
      </c>
      <c r="TZ99" s="8">
        <v>103</v>
      </c>
      <c r="UA99" s="12">
        <v>680</v>
      </c>
      <c r="UG99" s="8">
        <v>-915</v>
      </c>
      <c r="VH99" s="8">
        <v>437</v>
      </c>
      <c r="VI99" s="28">
        <v>124</v>
      </c>
      <c r="VL99" s="21"/>
      <c r="VM99" s="8">
        <v>897</v>
      </c>
      <c r="VN99" s="12">
        <v>565</v>
      </c>
      <c r="VO99" s="12"/>
      <c r="VP99" s="12"/>
      <c r="VQ99" s="6">
        <v>-33</v>
      </c>
      <c r="VR99" s="28">
        <v>12</v>
      </c>
      <c r="VS99" s="12"/>
      <c r="VT99" s="12"/>
      <c r="VZ99" s="8">
        <v>-534</v>
      </c>
      <c r="WA99" s="28">
        <v>956</v>
      </c>
      <c r="WB99" s="8">
        <v>3728</v>
      </c>
      <c r="WC99" s="12">
        <v>632</v>
      </c>
      <c r="XK99">
        <v>-68</v>
      </c>
      <c r="XL99" s="1">
        <v>166</v>
      </c>
    </row>
    <row r="100" spans="11:636" x14ac:dyDescent="0.25">
      <c r="K100" s="2">
        <v>2551</v>
      </c>
      <c r="L100" s="1">
        <v>15</v>
      </c>
      <c r="M100">
        <v>22</v>
      </c>
      <c r="N100" s="1">
        <v>7</v>
      </c>
      <c r="O100" s="26"/>
      <c r="V100">
        <v>14</v>
      </c>
      <c r="W100" s="10">
        <v>279</v>
      </c>
      <c r="AB100">
        <v>18</v>
      </c>
      <c r="AC100" s="1">
        <v>45</v>
      </c>
      <c r="AD100">
        <v>22</v>
      </c>
      <c r="AE100" s="1">
        <v>4</v>
      </c>
      <c r="AJ100" s="2">
        <v>-91</v>
      </c>
      <c r="AK100" s="10">
        <v>89</v>
      </c>
      <c r="AY100">
        <v>3</v>
      </c>
      <c r="AZ100" s="1">
        <v>1</v>
      </c>
      <c r="BD100" s="8"/>
      <c r="BF100">
        <v>-154</v>
      </c>
      <c r="BG100" s="1">
        <v>665</v>
      </c>
      <c r="BL100">
        <v>-110</v>
      </c>
      <c r="BM100" s="1">
        <v>30</v>
      </c>
      <c r="BN100">
        <v>-66</v>
      </c>
      <c r="BP100">
        <v>387</v>
      </c>
      <c r="BQ100" s="10">
        <v>7356</v>
      </c>
      <c r="BT100">
        <v>-975</v>
      </c>
      <c r="BU100" s="1">
        <v>519</v>
      </c>
      <c r="CE100" s="8">
        <v>161</v>
      </c>
      <c r="CF100" s="28">
        <v>16</v>
      </c>
      <c r="CM100" s="6">
        <v>150</v>
      </c>
      <c r="CQ100" s="6">
        <v>860</v>
      </c>
      <c r="CS100" s="6">
        <v>463</v>
      </c>
      <c r="CT100" s="28">
        <v>320</v>
      </c>
      <c r="CZ100" s="23">
        <v>-40</v>
      </c>
      <c r="DA100" s="25">
        <v>43</v>
      </c>
      <c r="DC100" s="25"/>
      <c r="DF100" s="23">
        <v>937</v>
      </c>
      <c r="DG100" s="25">
        <v>876</v>
      </c>
      <c r="DH100" s="23">
        <v>-72</v>
      </c>
      <c r="DI100" s="25">
        <v>18</v>
      </c>
      <c r="DJ100" s="23">
        <v>-480</v>
      </c>
      <c r="DK100" s="28">
        <v>157</v>
      </c>
      <c r="DL100" s="8">
        <v>102</v>
      </c>
      <c r="DQ100" s="8">
        <v>-384</v>
      </c>
      <c r="DR100" s="52">
        <v>6</v>
      </c>
      <c r="DS100" s="6">
        <v>35</v>
      </c>
      <c r="DT100" s="52">
        <v>141</v>
      </c>
      <c r="DU100" s="8">
        <v>-352</v>
      </c>
      <c r="DV100" s="28">
        <v>474</v>
      </c>
      <c r="DW100" s="8">
        <v>-1</v>
      </c>
      <c r="DX100" s="28">
        <v>1</v>
      </c>
      <c r="DY100" s="6">
        <v>-139</v>
      </c>
      <c r="DZ100" s="52">
        <v>57</v>
      </c>
      <c r="EA100" s="23">
        <v>140</v>
      </c>
      <c r="EB100" s="52">
        <v>230</v>
      </c>
      <c r="EC100" s="6">
        <v>20</v>
      </c>
      <c r="ED100" s="28">
        <v>14</v>
      </c>
      <c r="EE100" s="8">
        <v>-535</v>
      </c>
      <c r="EF100" s="52">
        <v>113</v>
      </c>
      <c r="EG100" s="8">
        <v>-106</v>
      </c>
      <c r="EH100" s="28">
        <v>397</v>
      </c>
      <c r="EI100" s="8">
        <v>-22</v>
      </c>
      <c r="EJ100" s="52">
        <v>123</v>
      </c>
      <c r="EL100" s="8">
        <v>412</v>
      </c>
      <c r="EM100" s="28">
        <v>395</v>
      </c>
      <c r="EN100" s="8">
        <v>-122</v>
      </c>
      <c r="EO100" s="28">
        <v>16</v>
      </c>
      <c r="EP100" s="28"/>
      <c r="EQ100" s="28"/>
      <c r="EX100" s="8">
        <v>-687</v>
      </c>
      <c r="EY100" s="28">
        <v>339</v>
      </c>
      <c r="FD100" s="6">
        <v>-141</v>
      </c>
      <c r="FE100" s="28">
        <v>232</v>
      </c>
      <c r="FM100" s="8">
        <v>-787</v>
      </c>
      <c r="FN100" s="52">
        <v>248</v>
      </c>
      <c r="FS100" s="8">
        <v>-11</v>
      </c>
      <c r="FT100" s="52">
        <v>207</v>
      </c>
      <c r="GC100" s="8">
        <v>-461</v>
      </c>
      <c r="GI100" s="8">
        <v>-51</v>
      </c>
      <c r="GJ100" s="28">
        <v>72</v>
      </c>
      <c r="GP100" s="8">
        <v>-29</v>
      </c>
      <c r="GQ100" s="52">
        <v>262</v>
      </c>
      <c r="GR100" s="8">
        <v>-35</v>
      </c>
      <c r="GS100" s="28">
        <v>31</v>
      </c>
      <c r="GT100" s="6">
        <v>-112</v>
      </c>
      <c r="GU100" s="52">
        <v>650</v>
      </c>
      <c r="GV100" s="28"/>
      <c r="GW100" s="28"/>
      <c r="GZ100" s="8">
        <v>-24</v>
      </c>
      <c r="HA100" s="28">
        <v>344</v>
      </c>
      <c r="HB100" s="6">
        <v>-65</v>
      </c>
      <c r="HC100" s="28"/>
      <c r="HE100" s="8">
        <v>6</v>
      </c>
      <c r="HF100" s="28">
        <v>52</v>
      </c>
      <c r="HQ100" s="6">
        <v>29</v>
      </c>
      <c r="HR100" s="28">
        <v>8</v>
      </c>
      <c r="HS100" s="8">
        <v>3</v>
      </c>
      <c r="HT100" s="52">
        <v>3</v>
      </c>
      <c r="HZ100" s="8">
        <v>-28</v>
      </c>
      <c r="IB100" s="8">
        <v>-359</v>
      </c>
      <c r="IC100" s="28">
        <v>372</v>
      </c>
      <c r="ID100" s="8">
        <v>-202</v>
      </c>
      <c r="IE100" s="28">
        <v>720</v>
      </c>
      <c r="IO100">
        <v>-313</v>
      </c>
      <c r="IP100" s="10">
        <v>163</v>
      </c>
      <c r="IY100" s="8">
        <v>90</v>
      </c>
      <c r="JA100" s="8">
        <v>-220</v>
      </c>
      <c r="JB100" s="12">
        <v>156</v>
      </c>
      <c r="JH100" s="8">
        <v>810</v>
      </c>
      <c r="JI100" s="28">
        <v>141</v>
      </c>
      <c r="JN100" s="8">
        <v>-753</v>
      </c>
      <c r="JO100" s="28">
        <v>195</v>
      </c>
      <c r="JP100" s="6">
        <v>110</v>
      </c>
      <c r="JQ100" s="12">
        <v>234</v>
      </c>
      <c r="JW100" s="8">
        <v>-695</v>
      </c>
      <c r="JX100" s="12">
        <v>771</v>
      </c>
      <c r="KE100" s="6">
        <v>69</v>
      </c>
      <c r="KF100" s="12">
        <v>119</v>
      </c>
      <c r="KT100" s="8">
        <v>89</v>
      </c>
      <c r="KU100" s="28">
        <v>57</v>
      </c>
      <c r="LD100" s="8">
        <v>210</v>
      </c>
      <c r="LE100" s="28">
        <v>727</v>
      </c>
      <c r="LF100" s="8">
        <v>12</v>
      </c>
      <c r="LG100" s="28">
        <v>19</v>
      </c>
      <c r="LH100" s="8">
        <v>-313</v>
      </c>
      <c r="LJ100" s="8">
        <v>-210</v>
      </c>
      <c r="LK100" s="28">
        <v>425</v>
      </c>
      <c r="LL100" s="8">
        <v>6</v>
      </c>
      <c r="LM100" s="28">
        <v>27</v>
      </c>
      <c r="LS100" s="8">
        <v>76</v>
      </c>
      <c r="LU100" s="8">
        <v>34</v>
      </c>
      <c r="LV100" s="12">
        <v>50</v>
      </c>
      <c r="LW100" s="8">
        <v>-379</v>
      </c>
      <c r="LX100" s="28">
        <v>491</v>
      </c>
      <c r="MF100" s="8">
        <v>-620</v>
      </c>
      <c r="MG100" s="12">
        <v>512</v>
      </c>
      <c r="MS100" s="8">
        <v>186</v>
      </c>
      <c r="MT100" s="12">
        <v>554</v>
      </c>
      <c r="NC100" s="8">
        <v>83</v>
      </c>
      <c r="ND100" s="12">
        <v>96</v>
      </c>
      <c r="NP100" s="8">
        <v>253</v>
      </c>
      <c r="NQ100" s="12">
        <v>242</v>
      </c>
      <c r="NW100" s="8">
        <v>838</v>
      </c>
      <c r="NX100" s="28">
        <v>82</v>
      </c>
      <c r="OV100" s="8">
        <v>957</v>
      </c>
      <c r="PJ100" s="8">
        <v>655</v>
      </c>
      <c r="PK100" s="12">
        <v>165</v>
      </c>
      <c r="PP100" s="8">
        <v>682</v>
      </c>
      <c r="PQ100" s="28">
        <v>28</v>
      </c>
      <c r="PR100" s="28"/>
      <c r="PS100" s="8">
        <v>-8</v>
      </c>
      <c r="PT100" s="12">
        <v>145</v>
      </c>
      <c r="PW100" s="8">
        <v>98</v>
      </c>
      <c r="PX100" s="28">
        <v>227</v>
      </c>
      <c r="QH100" s="8">
        <v>-68</v>
      </c>
      <c r="QI100" s="12">
        <v>239</v>
      </c>
      <c r="QT100" s="8">
        <v>125</v>
      </c>
      <c r="QU100" s="12">
        <v>138</v>
      </c>
      <c r="QV100" s="6"/>
      <c r="QW100" s="12"/>
      <c r="RC100" s="6">
        <v>-219</v>
      </c>
      <c r="RE100" s="6">
        <v>-180</v>
      </c>
      <c r="RF100" s="12">
        <v>84</v>
      </c>
      <c r="RG100" s="8">
        <v>-249</v>
      </c>
      <c r="RH100" s="28">
        <v>637</v>
      </c>
      <c r="RL100" s="8">
        <v>72</v>
      </c>
      <c r="SP100" s="8">
        <v>246</v>
      </c>
      <c r="SY100" s="6">
        <v>473</v>
      </c>
      <c r="TH100" s="8">
        <v>-105</v>
      </c>
      <c r="TI100" s="28">
        <v>217</v>
      </c>
      <c r="TX100" s="8">
        <v>-613</v>
      </c>
      <c r="TY100" s="28">
        <v>241</v>
      </c>
      <c r="TZ100" s="8">
        <v>49</v>
      </c>
      <c r="UA100" s="12">
        <v>225</v>
      </c>
      <c r="UG100" s="8">
        <v>-132</v>
      </c>
      <c r="VH100" s="8">
        <v>-612</v>
      </c>
      <c r="VI100" s="28">
        <v>295</v>
      </c>
      <c r="VL100" s="21"/>
      <c r="VM100" s="8">
        <v>1539</v>
      </c>
      <c r="VN100" s="12">
        <v>1035</v>
      </c>
      <c r="VO100" s="12"/>
      <c r="VP100" s="12"/>
      <c r="VQ100" s="6">
        <v>-40</v>
      </c>
      <c r="VR100" s="28">
        <v>11</v>
      </c>
      <c r="VS100" s="12"/>
      <c r="VT100" s="12"/>
      <c r="VZ100" s="8">
        <v>-155</v>
      </c>
      <c r="WA100" s="28">
        <v>145</v>
      </c>
      <c r="WB100" s="8">
        <v>3988</v>
      </c>
      <c r="WC100" s="12">
        <v>698</v>
      </c>
      <c r="XK100">
        <v>-94</v>
      </c>
      <c r="XL100" s="1">
        <v>81</v>
      </c>
    </row>
    <row r="101" spans="11:636" x14ac:dyDescent="0.25">
      <c r="K101" s="2">
        <v>1521</v>
      </c>
      <c r="L101" s="1">
        <v>11</v>
      </c>
      <c r="M101">
        <v>5</v>
      </c>
      <c r="N101" s="1">
        <v>7</v>
      </c>
      <c r="O101" s="26"/>
      <c r="V101">
        <v>13</v>
      </c>
      <c r="W101" s="10">
        <v>386</v>
      </c>
      <c r="AB101">
        <v>-77</v>
      </c>
      <c r="AC101" s="1">
        <v>29</v>
      </c>
      <c r="AD101">
        <v>8</v>
      </c>
      <c r="AE101" s="1">
        <v>5</v>
      </c>
      <c r="AJ101" s="2">
        <v>3380</v>
      </c>
      <c r="AK101" s="10">
        <v>237</v>
      </c>
      <c r="AY101">
        <v>4</v>
      </c>
      <c r="AZ101" s="1">
        <v>1</v>
      </c>
      <c r="BD101" s="8"/>
      <c r="BF101">
        <v>159</v>
      </c>
      <c r="BG101" s="1">
        <v>658</v>
      </c>
      <c r="BL101">
        <v>-35</v>
      </c>
      <c r="BM101" s="1">
        <v>12</v>
      </c>
      <c r="BN101">
        <v>-62</v>
      </c>
      <c r="BP101">
        <v>497</v>
      </c>
      <c r="BQ101" s="10">
        <v>1063</v>
      </c>
      <c r="BT101">
        <v>-126</v>
      </c>
      <c r="BU101" s="1">
        <v>189</v>
      </c>
      <c r="CE101" s="8">
        <v>153</v>
      </c>
      <c r="CF101" s="28">
        <v>8</v>
      </c>
      <c r="CM101" s="6">
        <v>297</v>
      </c>
      <c r="CQ101" s="6">
        <v>873</v>
      </c>
      <c r="CS101" s="6">
        <v>207</v>
      </c>
      <c r="CT101" s="28">
        <v>337</v>
      </c>
      <c r="CZ101" s="23">
        <v>48</v>
      </c>
      <c r="DA101" s="25">
        <v>68</v>
      </c>
      <c r="DC101" s="25"/>
      <c r="DF101" s="23">
        <v>108</v>
      </c>
      <c r="DG101" s="25">
        <v>456</v>
      </c>
      <c r="DH101" s="23">
        <v>108</v>
      </c>
      <c r="DI101" s="25">
        <v>102</v>
      </c>
      <c r="DJ101" s="23">
        <v>2</v>
      </c>
      <c r="DK101" s="28">
        <v>114</v>
      </c>
      <c r="DL101" s="8">
        <v>104</v>
      </c>
      <c r="DQ101" s="8">
        <v>621</v>
      </c>
      <c r="DR101" s="52">
        <v>919</v>
      </c>
      <c r="DS101" s="6">
        <v>17</v>
      </c>
      <c r="DT101" s="52">
        <v>68</v>
      </c>
      <c r="DU101" s="8">
        <v>-763</v>
      </c>
      <c r="DV101" s="28">
        <v>376</v>
      </c>
      <c r="DW101" s="8">
        <v>-4</v>
      </c>
      <c r="DX101" s="28">
        <v>1</v>
      </c>
      <c r="DY101" s="6">
        <v>-662</v>
      </c>
      <c r="DZ101" s="52">
        <v>220</v>
      </c>
      <c r="EA101" s="23">
        <v>-391</v>
      </c>
      <c r="EB101" s="52">
        <v>416</v>
      </c>
      <c r="EC101" s="6">
        <v>19</v>
      </c>
      <c r="ED101" s="28">
        <v>20</v>
      </c>
      <c r="EE101" s="8">
        <v>752</v>
      </c>
      <c r="EF101" s="52">
        <v>339</v>
      </c>
      <c r="EG101" s="8">
        <v>-204</v>
      </c>
      <c r="EH101" s="28">
        <v>393</v>
      </c>
      <c r="EI101" s="8">
        <v>-717</v>
      </c>
      <c r="EJ101" s="52">
        <v>460</v>
      </c>
      <c r="EL101" s="8">
        <v>-185</v>
      </c>
      <c r="EM101" s="28">
        <v>220</v>
      </c>
      <c r="EN101" s="8">
        <v>-78</v>
      </c>
      <c r="EO101" s="28">
        <v>17</v>
      </c>
      <c r="EP101" s="28"/>
      <c r="EQ101" s="28"/>
      <c r="EX101" s="8">
        <v>374</v>
      </c>
      <c r="EY101" s="28">
        <v>14</v>
      </c>
      <c r="FD101" s="6">
        <v>157</v>
      </c>
      <c r="FE101" s="28">
        <v>551</v>
      </c>
      <c r="FM101" s="8">
        <v>426</v>
      </c>
      <c r="FN101" s="52">
        <v>98</v>
      </c>
      <c r="FS101" s="8">
        <v>-11</v>
      </c>
      <c r="FT101" s="52">
        <v>205</v>
      </c>
      <c r="GC101" s="8">
        <v>1</v>
      </c>
      <c r="GI101" s="8">
        <v>37</v>
      </c>
      <c r="GJ101" s="28">
        <v>59</v>
      </c>
      <c r="GP101" s="8">
        <v>-438</v>
      </c>
      <c r="GQ101" s="52">
        <v>171</v>
      </c>
      <c r="GR101" s="8">
        <v>-71</v>
      </c>
      <c r="GS101" s="28">
        <v>51</v>
      </c>
      <c r="GT101" s="6">
        <v>175</v>
      </c>
      <c r="GU101" s="52">
        <v>113</v>
      </c>
      <c r="GV101" s="28"/>
      <c r="GW101" s="28"/>
      <c r="GZ101" s="8">
        <v>618</v>
      </c>
      <c r="HA101" s="28">
        <v>354</v>
      </c>
      <c r="HB101" s="6">
        <v>-250</v>
      </c>
      <c r="HC101" s="28"/>
      <c r="HE101" s="8">
        <v>116</v>
      </c>
      <c r="HF101" s="28">
        <v>53</v>
      </c>
      <c r="HQ101" s="6">
        <v>19</v>
      </c>
      <c r="HR101" s="28">
        <v>12</v>
      </c>
      <c r="HS101" s="8">
        <v>4</v>
      </c>
      <c r="HT101" s="52">
        <v>356</v>
      </c>
      <c r="HZ101" s="8">
        <v>10</v>
      </c>
      <c r="IB101" s="8">
        <v>149</v>
      </c>
      <c r="IC101" s="28">
        <v>145</v>
      </c>
      <c r="ID101" s="8">
        <v>387</v>
      </c>
      <c r="IE101" s="28">
        <v>406</v>
      </c>
      <c r="IO101">
        <v>-56</v>
      </c>
      <c r="IP101" s="10">
        <v>8</v>
      </c>
      <c r="IY101" s="8">
        <v>-176</v>
      </c>
      <c r="JA101" s="8">
        <v>340</v>
      </c>
      <c r="JB101" s="12">
        <v>373</v>
      </c>
      <c r="JH101" s="8">
        <v>-420</v>
      </c>
      <c r="JI101" s="28">
        <v>74</v>
      </c>
      <c r="JN101" s="8">
        <v>-53</v>
      </c>
      <c r="JO101" s="28">
        <v>15</v>
      </c>
      <c r="JP101" s="6">
        <v>54</v>
      </c>
      <c r="JQ101" s="12">
        <v>131</v>
      </c>
      <c r="JW101" s="8">
        <v>-456</v>
      </c>
      <c r="JX101" s="12">
        <v>577</v>
      </c>
      <c r="KE101" s="6">
        <v>354</v>
      </c>
      <c r="KF101" s="12">
        <v>102</v>
      </c>
      <c r="KT101" s="8">
        <v>-507</v>
      </c>
      <c r="KU101" s="28">
        <v>31</v>
      </c>
      <c r="LD101" s="8">
        <v>-181</v>
      </c>
      <c r="LE101" s="28">
        <v>900</v>
      </c>
      <c r="LF101" s="8">
        <v>17</v>
      </c>
      <c r="LG101" s="28">
        <v>18</v>
      </c>
      <c r="LH101" s="8">
        <v>-4</v>
      </c>
      <c r="LJ101" s="8">
        <v>507</v>
      </c>
      <c r="LK101" s="28">
        <v>897</v>
      </c>
      <c r="LL101" s="8">
        <v>-19</v>
      </c>
      <c r="LM101" s="28">
        <v>9</v>
      </c>
      <c r="LS101" s="8">
        <v>83</v>
      </c>
      <c r="LU101" s="8">
        <v>216</v>
      </c>
      <c r="LV101" s="12">
        <v>305</v>
      </c>
      <c r="LW101" s="8">
        <v>-276</v>
      </c>
      <c r="LX101" s="28">
        <v>148</v>
      </c>
      <c r="MF101" s="8">
        <v>349</v>
      </c>
      <c r="MG101" s="12">
        <v>141</v>
      </c>
      <c r="MS101" s="8">
        <v>134</v>
      </c>
      <c r="MT101" s="12">
        <v>376</v>
      </c>
      <c r="NC101" s="8">
        <v>-10</v>
      </c>
      <c r="ND101" s="12">
        <v>26</v>
      </c>
      <c r="NP101" s="8">
        <v>286</v>
      </c>
      <c r="NQ101" s="12">
        <v>266</v>
      </c>
      <c r="NW101" s="8">
        <v>219</v>
      </c>
      <c r="NX101" s="28">
        <v>239</v>
      </c>
      <c r="OV101" s="8">
        <v>135</v>
      </c>
      <c r="PJ101" s="8">
        <v>201</v>
      </c>
      <c r="PK101" s="12">
        <v>390</v>
      </c>
      <c r="PP101" s="8">
        <v>137</v>
      </c>
      <c r="PQ101" s="28">
        <v>20</v>
      </c>
      <c r="PR101" s="28"/>
      <c r="PS101" s="8">
        <v>-8</v>
      </c>
      <c r="PT101" s="12">
        <v>190</v>
      </c>
      <c r="PW101" s="8">
        <v>-101</v>
      </c>
      <c r="PX101" s="28">
        <v>223</v>
      </c>
      <c r="QH101" s="8">
        <v>469</v>
      </c>
      <c r="QI101" s="12">
        <v>673</v>
      </c>
      <c r="QT101" s="8">
        <v>368</v>
      </c>
      <c r="QU101" s="12">
        <v>410</v>
      </c>
      <c r="QV101" s="6"/>
      <c r="QW101" s="12"/>
      <c r="RC101" s="6">
        <v>351</v>
      </c>
      <c r="RE101" s="6">
        <v>-214</v>
      </c>
      <c r="RF101" s="12">
        <v>119</v>
      </c>
      <c r="RG101" s="8">
        <v>135</v>
      </c>
      <c r="RH101" s="28">
        <v>539</v>
      </c>
      <c r="RL101" s="8">
        <v>-59</v>
      </c>
      <c r="SP101" s="8">
        <v>940</v>
      </c>
      <c r="SY101" s="6">
        <v>239</v>
      </c>
      <c r="TH101" s="8">
        <v>-128</v>
      </c>
      <c r="TI101" s="28">
        <v>270</v>
      </c>
      <c r="TX101" s="8">
        <v>-342</v>
      </c>
      <c r="TY101" s="28">
        <v>249</v>
      </c>
      <c r="TZ101" s="8">
        <v>17</v>
      </c>
      <c r="UA101" s="12">
        <v>665</v>
      </c>
      <c r="VH101" s="8">
        <v>-798</v>
      </c>
      <c r="VI101" s="28">
        <v>733</v>
      </c>
      <c r="VL101" s="21"/>
      <c r="VM101" s="8">
        <v>1045</v>
      </c>
      <c r="VN101" s="12">
        <v>450</v>
      </c>
      <c r="VO101" s="12"/>
      <c r="VP101" s="12"/>
      <c r="VQ101" s="6">
        <v>-42</v>
      </c>
      <c r="VR101" s="28">
        <v>11</v>
      </c>
      <c r="VS101" s="12"/>
      <c r="VT101" s="12"/>
      <c r="VZ101" s="8">
        <v>291</v>
      </c>
      <c r="WA101" s="28">
        <v>212</v>
      </c>
      <c r="WB101" s="8">
        <v>3763</v>
      </c>
      <c r="WC101" s="12">
        <v>771</v>
      </c>
      <c r="XK101">
        <v>-301</v>
      </c>
      <c r="XL101" s="1">
        <v>48</v>
      </c>
    </row>
    <row r="102" spans="11:636" x14ac:dyDescent="0.25">
      <c r="K102" s="2">
        <v>3028</v>
      </c>
      <c r="L102" s="1">
        <v>9</v>
      </c>
      <c r="M102">
        <v>19</v>
      </c>
      <c r="N102" s="1">
        <v>2</v>
      </c>
      <c r="O102" s="26"/>
      <c r="V102">
        <v>11</v>
      </c>
      <c r="W102" s="10">
        <v>275</v>
      </c>
      <c r="AB102">
        <v>-60</v>
      </c>
      <c r="AC102" s="1">
        <v>22</v>
      </c>
      <c r="AD102">
        <v>22</v>
      </c>
      <c r="AE102" s="1">
        <v>4</v>
      </c>
      <c r="AJ102" s="2">
        <v>5392</v>
      </c>
      <c r="AK102" s="10">
        <v>215</v>
      </c>
      <c r="AY102">
        <v>-4</v>
      </c>
      <c r="AZ102" s="1">
        <v>3</v>
      </c>
      <c r="BD102" s="8"/>
      <c r="BF102">
        <v>678</v>
      </c>
      <c r="BG102" s="1">
        <v>91</v>
      </c>
      <c r="BL102">
        <v>-28</v>
      </c>
      <c r="BM102" s="1">
        <v>12</v>
      </c>
      <c r="BN102">
        <v>-30</v>
      </c>
      <c r="BP102">
        <v>321</v>
      </c>
      <c r="BQ102" s="10">
        <v>5080</v>
      </c>
      <c r="BT102">
        <v>191</v>
      </c>
      <c r="BU102" s="1">
        <v>148</v>
      </c>
      <c r="CE102" s="8">
        <v>117</v>
      </c>
      <c r="CF102" s="28">
        <v>12</v>
      </c>
      <c r="CM102" s="6">
        <v>112</v>
      </c>
      <c r="CQ102" s="6">
        <v>-252</v>
      </c>
      <c r="CS102" s="6">
        <v>336</v>
      </c>
      <c r="CT102" s="28">
        <v>532</v>
      </c>
      <c r="CZ102" s="23">
        <v>515</v>
      </c>
      <c r="DA102" s="25">
        <v>229</v>
      </c>
      <c r="DC102" s="25"/>
      <c r="DF102" s="23">
        <v>126</v>
      </c>
      <c r="DG102" s="25">
        <v>711</v>
      </c>
      <c r="DH102" s="23">
        <v>74</v>
      </c>
      <c r="DI102" s="25">
        <v>14</v>
      </c>
      <c r="DJ102" s="23">
        <v>319</v>
      </c>
      <c r="DK102" s="28">
        <v>133</v>
      </c>
      <c r="DL102" s="8">
        <v>104</v>
      </c>
      <c r="DQ102" s="8">
        <v>-866</v>
      </c>
      <c r="DR102" s="52">
        <v>143</v>
      </c>
      <c r="DS102" s="6">
        <v>80</v>
      </c>
      <c r="DT102" s="52">
        <v>189</v>
      </c>
      <c r="DU102" s="8">
        <v>114</v>
      </c>
      <c r="DV102" s="28">
        <v>432</v>
      </c>
      <c r="DW102" s="8">
        <v>-44</v>
      </c>
      <c r="DX102" s="28">
        <v>20</v>
      </c>
      <c r="DY102" s="6">
        <v>129</v>
      </c>
      <c r="DZ102" s="52">
        <v>6</v>
      </c>
      <c r="EA102" s="23">
        <v>342</v>
      </c>
      <c r="EB102" s="52">
        <v>328</v>
      </c>
      <c r="EC102" s="6">
        <v>1</v>
      </c>
      <c r="ED102" s="28">
        <v>5</v>
      </c>
      <c r="EE102" s="8">
        <v>360</v>
      </c>
      <c r="EF102" s="52">
        <v>565</v>
      </c>
      <c r="EG102" s="8">
        <v>-159</v>
      </c>
      <c r="EH102" s="28">
        <v>415</v>
      </c>
      <c r="EI102" s="8">
        <v>746</v>
      </c>
      <c r="EJ102" s="52">
        <v>405</v>
      </c>
      <c r="EL102" s="8">
        <v>-1409</v>
      </c>
      <c r="EM102" s="28">
        <v>691</v>
      </c>
      <c r="EN102" s="8">
        <v>-140</v>
      </c>
      <c r="EO102" s="28">
        <v>14</v>
      </c>
      <c r="EP102" s="28"/>
      <c r="EQ102" s="28"/>
      <c r="EX102" s="8">
        <v>-39</v>
      </c>
      <c r="EY102" s="28">
        <v>2</v>
      </c>
      <c r="FD102" s="6">
        <v>178</v>
      </c>
      <c r="FE102" s="28">
        <v>667</v>
      </c>
      <c r="FM102" s="8">
        <v>-354</v>
      </c>
      <c r="FN102" s="52">
        <v>266</v>
      </c>
      <c r="FS102" s="8">
        <v>-11</v>
      </c>
      <c r="FT102" s="52">
        <v>204</v>
      </c>
      <c r="GC102" s="8">
        <v>735</v>
      </c>
      <c r="GI102" s="8">
        <v>-92</v>
      </c>
      <c r="GJ102" s="28">
        <v>85</v>
      </c>
      <c r="GP102" s="8">
        <v>-33</v>
      </c>
      <c r="GQ102" s="52">
        <v>335</v>
      </c>
      <c r="GR102" s="8">
        <v>-97</v>
      </c>
      <c r="GS102" s="28">
        <v>47</v>
      </c>
      <c r="GT102" s="6">
        <v>49</v>
      </c>
      <c r="GU102" s="52">
        <v>147</v>
      </c>
      <c r="GV102" s="28"/>
      <c r="GW102" s="28"/>
      <c r="GZ102" s="8">
        <v>648</v>
      </c>
      <c r="HA102" s="28">
        <v>13</v>
      </c>
      <c r="HB102" s="6">
        <v>-99</v>
      </c>
      <c r="HC102" s="28"/>
      <c r="HE102" s="8">
        <v>54</v>
      </c>
      <c r="HF102" s="28">
        <v>47</v>
      </c>
      <c r="HQ102" s="6">
        <v>9</v>
      </c>
      <c r="HR102" s="28">
        <v>3</v>
      </c>
      <c r="HS102" s="8">
        <v>-4</v>
      </c>
      <c r="HT102" s="52">
        <v>474</v>
      </c>
      <c r="HZ102" s="8">
        <v>1</v>
      </c>
      <c r="IB102" s="8">
        <v>-673</v>
      </c>
      <c r="IC102" s="28">
        <v>212</v>
      </c>
      <c r="ID102" s="8">
        <v>171</v>
      </c>
      <c r="IE102" s="28">
        <v>204</v>
      </c>
      <c r="IO102">
        <v>-253</v>
      </c>
      <c r="IP102" s="10">
        <v>28</v>
      </c>
      <c r="IY102" s="8">
        <v>175</v>
      </c>
      <c r="JA102" s="8">
        <v>-629</v>
      </c>
      <c r="JB102" s="12">
        <v>409</v>
      </c>
      <c r="JH102" s="8">
        <v>193</v>
      </c>
      <c r="JI102" s="28">
        <v>80</v>
      </c>
      <c r="JN102" s="8">
        <v>-35</v>
      </c>
      <c r="JO102" s="28">
        <v>15</v>
      </c>
      <c r="JP102" s="6">
        <v>53</v>
      </c>
      <c r="JQ102" s="12">
        <v>130</v>
      </c>
      <c r="JW102" s="8">
        <v>-73</v>
      </c>
      <c r="JX102" s="12">
        <v>816</v>
      </c>
      <c r="KE102" s="6">
        <v>6</v>
      </c>
      <c r="KF102" s="12">
        <v>91</v>
      </c>
      <c r="KT102" s="8">
        <v>1</v>
      </c>
      <c r="KU102" s="28">
        <v>15</v>
      </c>
      <c r="LD102" s="8">
        <v>953</v>
      </c>
      <c r="LE102" s="28">
        <v>266</v>
      </c>
      <c r="LF102" s="8">
        <v>-510</v>
      </c>
      <c r="LG102" s="28">
        <v>426</v>
      </c>
      <c r="LH102" s="8">
        <v>-282</v>
      </c>
      <c r="LJ102" s="8">
        <v>-336</v>
      </c>
      <c r="LK102" s="28">
        <v>606</v>
      </c>
      <c r="LL102" s="8">
        <v>6</v>
      </c>
      <c r="LM102" s="28">
        <v>5</v>
      </c>
      <c r="LS102" s="8">
        <v>91</v>
      </c>
      <c r="LU102" s="8">
        <v>-9</v>
      </c>
      <c r="LV102" s="12">
        <v>138</v>
      </c>
      <c r="LW102" s="8">
        <v>641</v>
      </c>
      <c r="LX102" s="28">
        <v>105</v>
      </c>
      <c r="MF102" s="8">
        <v>704</v>
      </c>
      <c r="MG102" s="12">
        <v>532</v>
      </c>
      <c r="MS102" s="8">
        <v>-107</v>
      </c>
      <c r="MT102" s="12">
        <v>166</v>
      </c>
      <c r="NC102" s="8">
        <v>112</v>
      </c>
      <c r="ND102" s="12">
        <v>173</v>
      </c>
      <c r="NP102" s="8">
        <v>316</v>
      </c>
      <c r="NQ102" s="12">
        <v>293</v>
      </c>
      <c r="NW102" s="8">
        <v>994</v>
      </c>
      <c r="NX102" s="28">
        <v>120</v>
      </c>
      <c r="PJ102" s="8">
        <v>-28</v>
      </c>
      <c r="PK102" s="12">
        <v>531</v>
      </c>
      <c r="PP102" s="8">
        <v>821</v>
      </c>
      <c r="PQ102" s="28">
        <v>14</v>
      </c>
      <c r="PR102" s="28"/>
      <c r="PS102" s="8">
        <v>-470</v>
      </c>
      <c r="PT102" s="12">
        <v>332</v>
      </c>
      <c r="PW102" s="8">
        <v>173</v>
      </c>
      <c r="PX102" s="28">
        <v>444</v>
      </c>
      <c r="QH102" s="8">
        <v>239</v>
      </c>
      <c r="QI102" s="12">
        <v>153</v>
      </c>
      <c r="QT102" s="8">
        <v>113</v>
      </c>
      <c r="QU102" s="12">
        <v>129</v>
      </c>
      <c r="QV102" s="6"/>
      <c r="QW102" s="12"/>
      <c r="RC102" s="6">
        <v>-1</v>
      </c>
      <c r="RE102" s="6">
        <v>255</v>
      </c>
      <c r="RF102" s="12">
        <v>80</v>
      </c>
      <c r="RG102" s="8">
        <v>162</v>
      </c>
      <c r="RH102" s="28">
        <v>478</v>
      </c>
      <c r="RL102" s="8">
        <v>-52</v>
      </c>
      <c r="SP102" s="8">
        <v>511</v>
      </c>
      <c r="SY102" s="6">
        <v>28</v>
      </c>
      <c r="TH102" s="8">
        <v>-186</v>
      </c>
      <c r="TI102" s="28">
        <v>250</v>
      </c>
      <c r="TX102" s="8">
        <v>-511</v>
      </c>
      <c r="TY102" s="28">
        <v>174</v>
      </c>
      <c r="TZ102" s="8">
        <v>-3</v>
      </c>
      <c r="UA102" s="12">
        <v>123</v>
      </c>
      <c r="VH102" s="8">
        <v>259</v>
      </c>
      <c r="VI102" s="28">
        <v>225</v>
      </c>
      <c r="VL102" s="21"/>
      <c r="VM102" s="8">
        <v>1034</v>
      </c>
      <c r="VN102" s="12">
        <v>347</v>
      </c>
      <c r="VO102" s="12"/>
      <c r="VP102" s="12"/>
      <c r="VQ102" s="6">
        <v>-48</v>
      </c>
      <c r="VR102" s="28">
        <v>14</v>
      </c>
      <c r="VS102" s="12"/>
      <c r="VT102" s="12"/>
      <c r="VZ102" s="8">
        <v>456</v>
      </c>
      <c r="WA102" s="28">
        <v>128</v>
      </c>
      <c r="WB102" s="8">
        <v>8090</v>
      </c>
      <c r="WC102" s="12">
        <v>359</v>
      </c>
      <c r="XK102">
        <v>63</v>
      </c>
      <c r="XL102" s="1">
        <v>97</v>
      </c>
    </row>
    <row r="103" spans="11:636" x14ac:dyDescent="0.25">
      <c r="K103" s="2">
        <v>3340</v>
      </c>
      <c r="L103" s="1">
        <v>9</v>
      </c>
      <c r="M103">
        <v>-74</v>
      </c>
      <c r="N103" s="1">
        <v>2</v>
      </c>
      <c r="O103" s="26"/>
      <c r="V103">
        <v>12</v>
      </c>
      <c r="W103" s="10">
        <v>232</v>
      </c>
      <c r="AB103">
        <v>-122</v>
      </c>
      <c r="AC103" s="1">
        <v>39</v>
      </c>
      <c r="AD103">
        <v>29</v>
      </c>
      <c r="AE103" s="1">
        <v>4</v>
      </c>
      <c r="AJ103" s="2">
        <v>1417</v>
      </c>
      <c r="AK103" s="10">
        <v>177</v>
      </c>
      <c r="AY103">
        <v>-2</v>
      </c>
      <c r="AZ103" s="1">
        <v>1</v>
      </c>
      <c r="BD103" s="8"/>
      <c r="BF103">
        <v>109</v>
      </c>
      <c r="BG103" s="1">
        <v>78</v>
      </c>
      <c r="BL103">
        <v>-26</v>
      </c>
      <c r="BM103" s="1">
        <v>10</v>
      </c>
      <c r="BN103">
        <v>-173</v>
      </c>
      <c r="BP103">
        <v>299</v>
      </c>
      <c r="BQ103" s="10">
        <v>3312</v>
      </c>
      <c r="BT103">
        <v>182</v>
      </c>
      <c r="BU103" s="1">
        <v>136</v>
      </c>
      <c r="CE103" s="8">
        <v>144</v>
      </c>
      <c r="CF103" s="28">
        <v>11</v>
      </c>
      <c r="CM103" s="6">
        <v>75</v>
      </c>
      <c r="CQ103" s="6">
        <v>-239</v>
      </c>
      <c r="CS103" s="6">
        <v>175</v>
      </c>
      <c r="CT103" s="28">
        <v>418</v>
      </c>
      <c r="CZ103" s="23">
        <v>-288</v>
      </c>
      <c r="DA103" s="25">
        <v>100</v>
      </c>
      <c r="DC103" s="25"/>
      <c r="DF103" s="23">
        <v>114</v>
      </c>
      <c r="DG103" s="25">
        <v>362</v>
      </c>
      <c r="DH103" s="23">
        <v>-71</v>
      </c>
      <c r="DI103" s="25">
        <v>21</v>
      </c>
      <c r="DJ103" s="23">
        <v>330</v>
      </c>
      <c r="DK103" s="28">
        <v>136</v>
      </c>
      <c r="DL103" s="8">
        <v>112</v>
      </c>
      <c r="DQ103" s="8">
        <v>-779</v>
      </c>
      <c r="DR103" s="52">
        <v>107</v>
      </c>
      <c r="DS103" s="6">
        <v>4</v>
      </c>
      <c r="DT103" s="52">
        <v>6</v>
      </c>
      <c r="DU103" s="8">
        <v>120</v>
      </c>
      <c r="DV103" s="28">
        <v>567</v>
      </c>
      <c r="DW103" s="8">
        <v>319</v>
      </c>
      <c r="DX103" s="28">
        <v>281</v>
      </c>
      <c r="DY103" s="6">
        <v>398</v>
      </c>
      <c r="DZ103" s="52">
        <v>153</v>
      </c>
      <c r="EA103" s="23">
        <v>46</v>
      </c>
      <c r="EB103" s="52">
        <v>160</v>
      </c>
      <c r="EC103" s="6">
        <v>-4</v>
      </c>
      <c r="ED103" s="28">
        <v>7</v>
      </c>
      <c r="EE103" s="8">
        <v>-659</v>
      </c>
      <c r="EF103" s="52">
        <v>236</v>
      </c>
      <c r="EG103" s="8">
        <v>-165</v>
      </c>
      <c r="EH103" s="28">
        <v>414</v>
      </c>
      <c r="EI103" s="8">
        <v>-17</v>
      </c>
      <c r="EJ103" s="52">
        <v>358</v>
      </c>
      <c r="EL103" s="8">
        <v>-126</v>
      </c>
      <c r="EM103" s="28">
        <v>1</v>
      </c>
      <c r="EN103" s="8">
        <v>-61</v>
      </c>
      <c r="EO103" s="28">
        <v>13</v>
      </c>
      <c r="EP103" s="28"/>
      <c r="EQ103" s="28"/>
      <c r="EX103" s="8">
        <v>-153</v>
      </c>
      <c r="EY103" s="28">
        <v>471</v>
      </c>
      <c r="FD103" s="6">
        <v>121</v>
      </c>
      <c r="FE103" s="28">
        <v>951</v>
      </c>
      <c r="FM103" s="8">
        <v>-177</v>
      </c>
      <c r="FN103" s="52">
        <v>273</v>
      </c>
      <c r="FS103" s="8">
        <v>-136</v>
      </c>
      <c r="FT103" s="52">
        <v>197</v>
      </c>
      <c r="GC103" s="8">
        <v>23</v>
      </c>
      <c r="GI103" s="8">
        <v>-60</v>
      </c>
      <c r="GJ103" s="28">
        <v>39</v>
      </c>
      <c r="GP103" s="8">
        <v>-28</v>
      </c>
      <c r="GQ103" s="52">
        <v>220</v>
      </c>
      <c r="GR103" s="8">
        <v>-16</v>
      </c>
      <c r="GS103" s="28">
        <v>40</v>
      </c>
      <c r="GT103" s="6">
        <v>30</v>
      </c>
      <c r="GU103" s="52">
        <v>769</v>
      </c>
      <c r="GV103" s="28"/>
      <c r="GW103" s="28"/>
      <c r="GZ103" s="8">
        <v>271</v>
      </c>
      <c r="HA103" s="28">
        <v>10</v>
      </c>
      <c r="HB103" s="6">
        <v>32</v>
      </c>
      <c r="HC103" s="28"/>
      <c r="HE103" s="8">
        <v>58</v>
      </c>
      <c r="HF103" s="28">
        <v>29</v>
      </c>
      <c r="HQ103" s="6">
        <v>-4</v>
      </c>
      <c r="HR103" s="28">
        <v>4</v>
      </c>
      <c r="HS103" s="8">
        <v>1</v>
      </c>
      <c r="HT103" s="52">
        <v>401</v>
      </c>
      <c r="HZ103" s="8">
        <v>-60</v>
      </c>
      <c r="IB103" s="8">
        <v>-546</v>
      </c>
      <c r="IC103" s="28">
        <v>198</v>
      </c>
      <c r="ID103" s="8">
        <v>147</v>
      </c>
      <c r="IE103" s="28">
        <v>48</v>
      </c>
      <c r="IO103">
        <v>344</v>
      </c>
      <c r="IP103" s="10">
        <v>7</v>
      </c>
      <c r="IY103" s="8">
        <v>45</v>
      </c>
      <c r="JA103" s="8">
        <v>249</v>
      </c>
      <c r="JB103" s="12">
        <v>544</v>
      </c>
      <c r="JH103" s="8">
        <v>73</v>
      </c>
      <c r="JI103" s="28">
        <v>282</v>
      </c>
      <c r="JN103" s="8">
        <v>-71</v>
      </c>
      <c r="JO103" s="28">
        <v>19</v>
      </c>
      <c r="JP103" s="6">
        <v>47</v>
      </c>
      <c r="JQ103" s="12">
        <v>119</v>
      </c>
      <c r="JW103" s="8">
        <v>-483</v>
      </c>
      <c r="JX103" s="12">
        <v>405</v>
      </c>
      <c r="KE103" s="6">
        <v>19</v>
      </c>
      <c r="KF103" s="12">
        <v>51</v>
      </c>
      <c r="KT103" s="8">
        <v>11</v>
      </c>
      <c r="KU103" s="28">
        <v>8</v>
      </c>
      <c r="LD103" s="8">
        <v>-111</v>
      </c>
      <c r="LE103" s="28">
        <v>411</v>
      </c>
      <c r="LF103" s="8">
        <v>-506</v>
      </c>
      <c r="LG103" s="28">
        <v>327</v>
      </c>
      <c r="LH103" s="8">
        <v>-540</v>
      </c>
      <c r="LJ103" s="8">
        <v>-137</v>
      </c>
      <c r="LK103" s="28">
        <v>314</v>
      </c>
      <c r="LL103" s="8">
        <v>-5</v>
      </c>
      <c r="LM103" s="28">
        <v>1</v>
      </c>
      <c r="LS103" s="8">
        <v>197</v>
      </c>
      <c r="LU103" s="8">
        <v>352</v>
      </c>
      <c r="LV103" s="12">
        <v>457</v>
      </c>
      <c r="LW103" s="8">
        <v>187</v>
      </c>
      <c r="LX103" s="28">
        <v>194</v>
      </c>
      <c r="MF103" s="8">
        <v>531</v>
      </c>
      <c r="MG103" s="12">
        <v>168</v>
      </c>
      <c r="MS103" s="8">
        <v>260</v>
      </c>
      <c r="MT103" s="12">
        <v>392</v>
      </c>
      <c r="NC103" s="8">
        <v>-34</v>
      </c>
      <c r="ND103" s="12">
        <v>80</v>
      </c>
      <c r="NP103" s="8">
        <v>387</v>
      </c>
      <c r="NQ103" s="12">
        <v>349</v>
      </c>
      <c r="NW103" s="8">
        <v>258</v>
      </c>
      <c r="NX103" s="28">
        <v>77</v>
      </c>
      <c r="PJ103" s="8">
        <v>14</v>
      </c>
      <c r="PK103" s="12">
        <v>385</v>
      </c>
      <c r="PP103" s="8">
        <v>675</v>
      </c>
      <c r="PQ103" s="28">
        <v>21</v>
      </c>
      <c r="PR103" s="28"/>
      <c r="PS103" s="8">
        <v>-388</v>
      </c>
      <c r="PT103" s="12">
        <v>498</v>
      </c>
      <c r="PW103" s="8">
        <v>149</v>
      </c>
      <c r="PX103" s="28">
        <v>413</v>
      </c>
      <c r="QH103" s="8">
        <v>-421</v>
      </c>
      <c r="QI103" s="12">
        <v>257</v>
      </c>
      <c r="QT103" s="8">
        <v>595</v>
      </c>
      <c r="QU103" s="12">
        <v>390</v>
      </c>
      <c r="QV103" s="6"/>
      <c r="QW103" s="12"/>
      <c r="RC103" s="6">
        <v>1</v>
      </c>
      <c r="RE103" s="6">
        <v>23</v>
      </c>
      <c r="RF103" s="12">
        <v>7</v>
      </c>
      <c r="RG103" s="8">
        <v>118</v>
      </c>
      <c r="RH103" s="28">
        <v>692</v>
      </c>
      <c r="RL103" s="8">
        <v>11</v>
      </c>
      <c r="SP103" s="8">
        <v>339</v>
      </c>
      <c r="SY103" s="6">
        <v>170</v>
      </c>
      <c r="TH103" s="8">
        <v>-431</v>
      </c>
      <c r="TI103" s="28">
        <v>490</v>
      </c>
      <c r="TX103" s="8">
        <v>-435</v>
      </c>
      <c r="TY103" s="28">
        <v>170</v>
      </c>
      <c r="TZ103" s="8">
        <v>-9</v>
      </c>
      <c r="UA103" s="12">
        <v>592</v>
      </c>
      <c r="VH103" s="8">
        <v>181</v>
      </c>
      <c r="VI103" s="28">
        <v>704</v>
      </c>
      <c r="VL103" s="21"/>
      <c r="VM103" s="8">
        <v>583</v>
      </c>
      <c r="VN103" s="12">
        <v>235</v>
      </c>
      <c r="VO103" s="12"/>
      <c r="VP103" s="12"/>
      <c r="VQ103" s="6">
        <v>-28</v>
      </c>
      <c r="VR103" s="28">
        <v>13</v>
      </c>
      <c r="VS103" s="12"/>
      <c r="VT103" s="12"/>
      <c r="VZ103" s="8">
        <v>202</v>
      </c>
      <c r="WA103" s="28">
        <v>267</v>
      </c>
      <c r="WB103" s="8">
        <v>9785</v>
      </c>
      <c r="WC103" s="12">
        <v>306</v>
      </c>
      <c r="XK103">
        <v>33</v>
      </c>
      <c r="XL103" s="1">
        <v>17</v>
      </c>
    </row>
    <row r="104" spans="11:636" x14ac:dyDescent="0.25">
      <c r="K104" s="2">
        <v>2826</v>
      </c>
      <c r="L104" s="1">
        <v>11</v>
      </c>
      <c r="M104">
        <v>-178</v>
      </c>
      <c r="N104" s="1">
        <v>7</v>
      </c>
      <c r="O104" s="26"/>
      <c r="V104">
        <v>15</v>
      </c>
      <c r="W104" s="10">
        <v>592</v>
      </c>
      <c r="AB104">
        <v>-70</v>
      </c>
      <c r="AC104" s="1">
        <v>35</v>
      </c>
      <c r="AD104">
        <v>-2</v>
      </c>
      <c r="AE104" s="1">
        <v>15</v>
      </c>
      <c r="AJ104" s="2">
        <v>31510</v>
      </c>
      <c r="AK104" s="10">
        <v>213</v>
      </c>
      <c r="AY104">
        <v>-2</v>
      </c>
      <c r="AZ104" s="1">
        <v>1</v>
      </c>
      <c r="BD104" s="8"/>
      <c r="BF104">
        <v>5771</v>
      </c>
      <c r="BG104" s="1">
        <v>1939</v>
      </c>
      <c r="BL104">
        <v>-20</v>
      </c>
      <c r="BM104" s="1">
        <v>9</v>
      </c>
      <c r="BN104">
        <v>1165</v>
      </c>
      <c r="BP104">
        <v>267</v>
      </c>
      <c r="BQ104" s="10">
        <v>1005</v>
      </c>
      <c r="BT104">
        <v>887</v>
      </c>
      <c r="BU104" s="1">
        <v>137</v>
      </c>
      <c r="CE104" s="8">
        <v>145</v>
      </c>
      <c r="CF104" s="28">
        <v>9</v>
      </c>
      <c r="CQ104" s="6">
        <v>-228</v>
      </c>
      <c r="CS104" s="6">
        <v>-385</v>
      </c>
      <c r="CT104" s="28">
        <v>719</v>
      </c>
      <c r="CZ104" s="23">
        <v>-35</v>
      </c>
      <c r="DA104" s="25">
        <v>770</v>
      </c>
      <c r="DC104" s="25"/>
      <c r="DF104" s="23">
        <v>111</v>
      </c>
      <c r="DG104" s="25">
        <v>300</v>
      </c>
      <c r="DH104" s="23">
        <v>-123</v>
      </c>
      <c r="DI104" s="25">
        <v>104</v>
      </c>
      <c r="DJ104" s="23">
        <v>-338</v>
      </c>
      <c r="DK104" s="28">
        <v>301</v>
      </c>
      <c r="DL104" s="8">
        <v>102</v>
      </c>
      <c r="DQ104" s="8">
        <v>195</v>
      </c>
      <c r="DR104" s="52">
        <v>32</v>
      </c>
      <c r="DS104" s="6">
        <v>64</v>
      </c>
      <c r="DT104" s="52">
        <v>104</v>
      </c>
      <c r="DU104" s="8">
        <v>-566</v>
      </c>
      <c r="DV104" s="28">
        <v>532</v>
      </c>
      <c r="DW104" s="8">
        <v>-143</v>
      </c>
      <c r="DX104" s="28">
        <v>102</v>
      </c>
      <c r="DY104" s="6">
        <v>507</v>
      </c>
      <c r="DZ104" s="52">
        <v>285</v>
      </c>
      <c r="EA104" s="23">
        <v>9</v>
      </c>
      <c r="EB104" s="52">
        <v>221</v>
      </c>
      <c r="EC104" s="6">
        <v>-1</v>
      </c>
      <c r="ED104" s="28">
        <v>8</v>
      </c>
      <c r="EE104" s="8">
        <v>-22</v>
      </c>
      <c r="EF104" s="52">
        <v>59</v>
      </c>
      <c r="EG104" s="8">
        <v>-256</v>
      </c>
      <c r="EH104" s="28">
        <v>950</v>
      </c>
      <c r="EI104" s="8">
        <v>134</v>
      </c>
      <c r="EJ104" s="52">
        <v>645</v>
      </c>
      <c r="EL104" s="8">
        <v>4</v>
      </c>
      <c r="EM104" s="28">
        <v>1</v>
      </c>
      <c r="EN104" s="8">
        <v>-104</v>
      </c>
      <c r="EO104" s="28">
        <v>15</v>
      </c>
      <c r="EP104" s="28"/>
      <c r="EQ104" s="28"/>
      <c r="EX104" s="8">
        <v>-294</v>
      </c>
      <c r="EY104" s="28">
        <v>461</v>
      </c>
      <c r="FD104" s="6">
        <v>309</v>
      </c>
      <c r="FE104" s="28">
        <v>451</v>
      </c>
      <c r="FM104" s="8">
        <v>-262</v>
      </c>
      <c r="FN104" s="52">
        <v>268</v>
      </c>
      <c r="FS104" s="48">
        <v>-135</v>
      </c>
      <c r="FT104" s="52">
        <v>197</v>
      </c>
      <c r="GC104" s="8">
        <v>187</v>
      </c>
      <c r="GI104" s="8">
        <v>-130</v>
      </c>
      <c r="GJ104" s="28">
        <v>73</v>
      </c>
      <c r="GP104" s="8">
        <v>-30</v>
      </c>
      <c r="GQ104" s="52">
        <v>267</v>
      </c>
      <c r="GR104" s="8">
        <v>-127</v>
      </c>
      <c r="GS104" s="28">
        <v>52</v>
      </c>
      <c r="GT104" s="6">
        <v>-111</v>
      </c>
      <c r="GU104" s="52">
        <v>862</v>
      </c>
      <c r="GV104" s="28"/>
      <c r="GW104" s="28"/>
      <c r="GZ104" s="8">
        <v>-434</v>
      </c>
      <c r="HA104" s="28">
        <v>143</v>
      </c>
      <c r="HB104" s="6">
        <v>35</v>
      </c>
      <c r="HC104" s="28"/>
      <c r="HE104" s="8">
        <v>-9</v>
      </c>
      <c r="HF104" s="28">
        <v>36</v>
      </c>
      <c r="HQ104" s="6">
        <v>-3</v>
      </c>
      <c r="HR104" s="28">
        <v>2</v>
      </c>
      <c r="HS104" s="8">
        <v>78</v>
      </c>
      <c r="HT104" s="52">
        <v>396</v>
      </c>
      <c r="HZ104" s="8">
        <v>9</v>
      </c>
      <c r="IB104" s="8">
        <v>-166</v>
      </c>
      <c r="IC104" s="28">
        <v>162</v>
      </c>
      <c r="ID104" s="8">
        <v>155</v>
      </c>
      <c r="IE104" s="28">
        <v>89</v>
      </c>
      <c r="IO104">
        <v>-818</v>
      </c>
      <c r="IP104" s="10">
        <v>52</v>
      </c>
      <c r="IY104" s="8">
        <v>320</v>
      </c>
      <c r="JA104" s="8">
        <v>52</v>
      </c>
      <c r="JB104" s="12">
        <v>396</v>
      </c>
      <c r="JH104" s="8">
        <v>-129</v>
      </c>
      <c r="JI104" s="28">
        <v>783</v>
      </c>
      <c r="JN104" s="8">
        <v>-49</v>
      </c>
      <c r="JO104" s="28">
        <v>17</v>
      </c>
      <c r="JP104" s="6">
        <v>37</v>
      </c>
      <c r="JQ104" s="12">
        <v>891</v>
      </c>
      <c r="JW104" s="8">
        <v>-514</v>
      </c>
      <c r="JX104" s="12">
        <v>433</v>
      </c>
      <c r="KE104" s="6">
        <v>51</v>
      </c>
      <c r="KF104" s="12">
        <v>847</v>
      </c>
      <c r="KT104" s="8">
        <v>96</v>
      </c>
      <c r="KU104" s="28">
        <v>60</v>
      </c>
      <c r="LD104" s="8">
        <v>-144</v>
      </c>
      <c r="LE104" s="28">
        <v>235</v>
      </c>
      <c r="LF104" s="8">
        <v>-471</v>
      </c>
      <c r="LG104" s="28">
        <v>284</v>
      </c>
      <c r="LH104" s="8">
        <v>320</v>
      </c>
      <c r="LJ104" s="8">
        <v>-945</v>
      </c>
      <c r="LK104" s="28">
        <v>329</v>
      </c>
      <c r="LL104" s="8">
        <v>12</v>
      </c>
      <c r="LM104" s="28">
        <v>1</v>
      </c>
      <c r="LS104" s="8">
        <v>35</v>
      </c>
      <c r="LU104" s="8">
        <v>63</v>
      </c>
      <c r="LV104" s="12">
        <v>67</v>
      </c>
      <c r="LW104" s="8">
        <v>55</v>
      </c>
      <c r="LX104" s="28">
        <v>313</v>
      </c>
      <c r="MF104" s="8">
        <v>623</v>
      </c>
      <c r="MG104" s="12">
        <v>183</v>
      </c>
      <c r="MS104" s="8">
        <v>634</v>
      </c>
      <c r="MT104" s="12">
        <v>98</v>
      </c>
      <c r="NC104" s="8">
        <v>-19</v>
      </c>
      <c r="ND104" s="12">
        <v>48</v>
      </c>
      <c r="NP104" s="8">
        <v>464</v>
      </c>
      <c r="NQ104" s="12">
        <v>401</v>
      </c>
      <c r="NW104" s="8">
        <v>346</v>
      </c>
      <c r="NX104" s="28">
        <v>177</v>
      </c>
      <c r="PJ104" s="8">
        <v>60</v>
      </c>
      <c r="PK104" s="12">
        <v>141</v>
      </c>
      <c r="PP104" s="8">
        <v>800</v>
      </c>
      <c r="PQ104" s="28">
        <v>15</v>
      </c>
      <c r="PR104" s="28"/>
      <c r="PS104" s="8">
        <v>-176</v>
      </c>
      <c r="PT104" s="12">
        <v>230</v>
      </c>
      <c r="PW104" s="8">
        <v>-593</v>
      </c>
      <c r="PX104" s="28">
        <v>221</v>
      </c>
      <c r="QH104" s="8">
        <v>486</v>
      </c>
      <c r="QI104" s="12">
        <v>694</v>
      </c>
      <c r="QT104" s="8">
        <v>257</v>
      </c>
      <c r="QU104" s="12">
        <v>255</v>
      </c>
      <c r="QV104" s="6"/>
      <c r="QW104" s="12"/>
      <c r="RC104" s="6">
        <v>1</v>
      </c>
      <c r="RE104" s="6">
        <v>443</v>
      </c>
      <c r="RF104" s="12">
        <v>50</v>
      </c>
      <c r="RG104" s="8">
        <v>903</v>
      </c>
      <c r="RH104" s="28">
        <v>165</v>
      </c>
      <c r="RL104" s="8">
        <v>-135</v>
      </c>
      <c r="SP104" s="8">
        <v>-178</v>
      </c>
      <c r="SY104" s="6">
        <v>239</v>
      </c>
      <c r="TH104" s="8">
        <v>-416</v>
      </c>
      <c r="TI104" s="28">
        <v>549</v>
      </c>
      <c r="TX104" s="8">
        <v>-371</v>
      </c>
      <c r="TY104" s="28">
        <v>170</v>
      </c>
      <c r="TZ104" s="8">
        <v>980</v>
      </c>
      <c r="UA104" s="12">
        <v>954</v>
      </c>
      <c r="VH104" s="8">
        <v>545</v>
      </c>
      <c r="VI104" s="28">
        <v>158</v>
      </c>
      <c r="VL104" s="21"/>
      <c r="VM104" s="8">
        <v>878</v>
      </c>
      <c r="VN104" s="12">
        <v>341</v>
      </c>
      <c r="VO104" s="12"/>
      <c r="VP104" s="12"/>
      <c r="VQ104" s="6">
        <v>-23</v>
      </c>
      <c r="VR104" s="28">
        <v>14</v>
      </c>
      <c r="VS104" s="12"/>
      <c r="VT104" s="12"/>
      <c r="VZ104" s="8">
        <v>129</v>
      </c>
      <c r="WA104" s="28">
        <v>110</v>
      </c>
      <c r="WB104" s="8">
        <v>6838</v>
      </c>
      <c r="WC104" s="12">
        <v>260</v>
      </c>
      <c r="XK104">
        <v>-32</v>
      </c>
      <c r="XL104" s="1">
        <v>40</v>
      </c>
    </row>
    <row r="105" spans="11:636" x14ac:dyDescent="0.25">
      <c r="K105" s="2">
        <v>2215</v>
      </c>
      <c r="L105" s="1">
        <v>12</v>
      </c>
      <c r="M105">
        <v>-155</v>
      </c>
      <c r="N105" s="1">
        <v>7</v>
      </c>
      <c r="O105" s="26"/>
      <c r="V105">
        <v>-11</v>
      </c>
      <c r="W105" s="10">
        <v>182</v>
      </c>
      <c r="AB105">
        <v>-69</v>
      </c>
      <c r="AC105" s="1">
        <v>69</v>
      </c>
      <c r="AD105">
        <v>53</v>
      </c>
      <c r="AE105" s="1">
        <v>20</v>
      </c>
      <c r="AJ105" s="2">
        <v>9</v>
      </c>
      <c r="AK105" s="10">
        <v>61</v>
      </c>
      <c r="AY105">
        <v>-3</v>
      </c>
      <c r="AZ105" s="1">
        <v>1</v>
      </c>
      <c r="BD105" s="8"/>
      <c r="BF105">
        <v>4055</v>
      </c>
      <c r="BG105" s="1">
        <v>2420</v>
      </c>
      <c r="BL105">
        <v>26</v>
      </c>
      <c r="BM105" s="1">
        <v>4</v>
      </c>
      <c r="BN105">
        <v>11</v>
      </c>
      <c r="BP105">
        <v>407</v>
      </c>
      <c r="BQ105" s="10">
        <v>6423</v>
      </c>
      <c r="BT105">
        <v>48</v>
      </c>
      <c r="BU105" s="1">
        <v>285</v>
      </c>
      <c r="CE105" s="8">
        <v>125</v>
      </c>
      <c r="CF105" s="28">
        <v>14</v>
      </c>
      <c r="CQ105" s="6">
        <v>-232</v>
      </c>
      <c r="CS105" s="6">
        <v>-176</v>
      </c>
      <c r="CT105" s="28">
        <v>332</v>
      </c>
      <c r="CZ105" s="23">
        <v>673</v>
      </c>
      <c r="DA105" s="25">
        <v>82</v>
      </c>
      <c r="DC105" s="25"/>
      <c r="DF105" s="23">
        <v>117</v>
      </c>
      <c r="DG105" s="25">
        <v>589</v>
      </c>
      <c r="DH105" s="23">
        <v>-290</v>
      </c>
      <c r="DI105" s="25">
        <v>114</v>
      </c>
      <c r="DJ105" s="23">
        <v>433</v>
      </c>
      <c r="DK105" s="28">
        <v>261</v>
      </c>
      <c r="DL105" s="8">
        <v>119</v>
      </c>
      <c r="DQ105" s="8">
        <v>-473</v>
      </c>
      <c r="DR105" s="52">
        <v>590</v>
      </c>
      <c r="DS105" s="6">
        <v>-179</v>
      </c>
      <c r="DT105" s="52">
        <v>184</v>
      </c>
      <c r="DU105" s="8">
        <v>-222</v>
      </c>
      <c r="DV105" s="28">
        <v>351</v>
      </c>
      <c r="DW105" s="8">
        <v>-2</v>
      </c>
      <c r="DX105" s="28">
        <v>1</v>
      </c>
      <c r="DY105" s="6">
        <v>-103</v>
      </c>
      <c r="DZ105" s="52">
        <v>357</v>
      </c>
      <c r="EA105" s="23">
        <v>5</v>
      </c>
      <c r="EB105" s="52">
        <v>291</v>
      </c>
      <c r="EC105" s="6">
        <v>-4</v>
      </c>
      <c r="ED105" s="28">
        <v>9</v>
      </c>
      <c r="EE105" s="8">
        <v>-8</v>
      </c>
      <c r="EF105" s="52">
        <v>31</v>
      </c>
      <c r="EG105" s="8">
        <v>482</v>
      </c>
      <c r="EH105" s="28">
        <v>358</v>
      </c>
      <c r="EI105" s="8">
        <v>25</v>
      </c>
      <c r="EJ105" s="52">
        <v>532</v>
      </c>
      <c r="EL105" s="8">
        <v>703</v>
      </c>
      <c r="EM105" s="28">
        <v>725</v>
      </c>
      <c r="EN105" s="8">
        <v>-89</v>
      </c>
      <c r="EO105" s="28">
        <v>12</v>
      </c>
      <c r="EP105" s="28"/>
      <c r="EQ105" s="28"/>
      <c r="EX105" s="8">
        <v>703</v>
      </c>
      <c r="EY105" s="28">
        <v>125</v>
      </c>
      <c r="FD105" s="6">
        <v>-746</v>
      </c>
      <c r="FE105" s="28">
        <v>882</v>
      </c>
      <c r="FM105" s="8">
        <v>-168</v>
      </c>
      <c r="FN105" s="52">
        <v>180</v>
      </c>
      <c r="FS105" s="8">
        <v>-134</v>
      </c>
      <c r="FT105" s="52">
        <v>196</v>
      </c>
      <c r="GC105" s="8">
        <v>-456</v>
      </c>
      <c r="GI105" s="8">
        <v>-34</v>
      </c>
      <c r="GJ105" s="28">
        <v>81</v>
      </c>
      <c r="GP105" s="8">
        <v>-54</v>
      </c>
      <c r="GQ105" s="52">
        <v>275</v>
      </c>
      <c r="GR105" s="8">
        <v>-13</v>
      </c>
      <c r="GS105" s="28">
        <v>43</v>
      </c>
      <c r="GT105" s="6">
        <v>-120</v>
      </c>
      <c r="GU105" s="52">
        <v>926</v>
      </c>
      <c r="GV105" s="28"/>
      <c r="GW105" s="28"/>
      <c r="GZ105" s="8">
        <v>6</v>
      </c>
      <c r="HA105" s="28">
        <v>23</v>
      </c>
      <c r="HB105" s="6">
        <v>-190</v>
      </c>
      <c r="HC105" s="28"/>
      <c r="HE105" s="8">
        <v>36</v>
      </c>
      <c r="HF105" s="28">
        <v>61</v>
      </c>
      <c r="HQ105" s="6">
        <v>-11</v>
      </c>
      <c r="HR105" s="28">
        <v>5</v>
      </c>
      <c r="HS105" s="8">
        <v>1</v>
      </c>
      <c r="HT105" s="52">
        <v>103</v>
      </c>
      <c r="HZ105" s="8">
        <v>-5</v>
      </c>
      <c r="IB105" s="8">
        <v>-420</v>
      </c>
      <c r="IC105" s="28">
        <v>180</v>
      </c>
      <c r="ID105" s="8">
        <v>-562</v>
      </c>
      <c r="IE105" s="28">
        <v>176</v>
      </c>
      <c r="IO105">
        <v>917</v>
      </c>
      <c r="IP105" s="10">
        <v>90</v>
      </c>
      <c r="IY105" s="8">
        <v>-681</v>
      </c>
      <c r="JA105" s="8">
        <v>637</v>
      </c>
      <c r="JB105" s="12">
        <v>350</v>
      </c>
      <c r="JH105" s="8">
        <v>811</v>
      </c>
      <c r="JI105" s="28">
        <v>141</v>
      </c>
      <c r="JN105" s="8">
        <v>371</v>
      </c>
      <c r="JO105" s="28">
        <v>232</v>
      </c>
      <c r="JP105" s="6">
        <v>51</v>
      </c>
      <c r="JQ105" s="12">
        <v>131</v>
      </c>
      <c r="JW105" s="8">
        <v>-234</v>
      </c>
      <c r="JX105" s="12">
        <v>334</v>
      </c>
      <c r="KE105" s="8">
        <f>350</f>
        <v>350</v>
      </c>
      <c r="KF105" s="12">
        <v>974</v>
      </c>
      <c r="KT105" s="8">
        <v>-869</v>
      </c>
      <c r="KU105" s="28">
        <v>39</v>
      </c>
      <c r="LD105" s="8">
        <v>524</v>
      </c>
      <c r="LE105" s="28">
        <v>205</v>
      </c>
      <c r="LF105" s="8">
        <v>-471</v>
      </c>
      <c r="LG105" s="28">
        <v>311</v>
      </c>
      <c r="LH105" s="8">
        <v>369</v>
      </c>
      <c r="LJ105" s="8">
        <v>-334</v>
      </c>
      <c r="LK105" s="28">
        <v>694</v>
      </c>
      <c r="LL105" s="8">
        <v>-3</v>
      </c>
      <c r="LM105" s="28">
        <v>5</v>
      </c>
      <c r="LS105" s="8">
        <v>29</v>
      </c>
      <c r="LU105" s="8">
        <v>-102</v>
      </c>
      <c r="LV105" s="12">
        <v>172</v>
      </c>
      <c r="LW105" s="8">
        <v>832</v>
      </c>
      <c r="LX105" s="28">
        <v>730</v>
      </c>
      <c r="MF105" s="8">
        <v>349</v>
      </c>
      <c r="MG105" s="12">
        <v>171</v>
      </c>
      <c r="MS105" s="8">
        <v>507</v>
      </c>
      <c r="MT105" s="12">
        <v>778</v>
      </c>
      <c r="NC105" s="8">
        <v>34</v>
      </c>
      <c r="ND105" s="12">
        <v>76</v>
      </c>
      <c r="NP105" s="8">
        <v>305</v>
      </c>
      <c r="NQ105" s="12">
        <v>236</v>
      </c>
      <c r="NW105" s="8">
        <v>547</v>
      </c>
      <c r="NX105" s="28">
        <v>203</v>
      </c>
      <c r="PJ105" s="8">
        <v>-6</v>
      </c>
      <c r="PK105" s="12">
        <v>151</v>
      </c>
      <c r="PP105" s="8">
        <v>778</v>
      </c>
      <c r="PQ105" s="28">
        <v>15</v>
      </c>
      <c r="PR105" s="28"/>
      <c r="PS105" s="8">
        <v>170</v>
      </c>
      <c r="PT105" s="12">
        <v>225</v>
      </c>
      <c r="PW105" s="8">
        <v>123</v>
      </c>
      <c r="PX105" s="28">
        <v>176</v>
      </c>
      <c r="QH105" s="8">
        <v>247</v>
      </c>
      <c r="QI105" s="12">
        <v>161</v>
      </c>
      <c r="QT105" s="8">
        <v>93</v>
      </c>
      <c r="QU105" s="12">
        <v>39</v>
      </c>
      <c r="QV105" s="6"/>
      <c r="QW105" s="12"/>
      <c r="RC105" s="6">
        <v>-4</v>
      </c>
      <c r="RE105" s="6">
        <v>307</v>
      </c>
      <c r="RF105" s="12">
        <v>38</v>
      </c>
      <c r="RG105" s="8">
        <v>45</v>
      </c>
      <c r="RH105" s="28">
        <v>514</v>
      </c>
      <c r="RL105" s="8">
        <v>-24</v>
      </c>
      <c r="SP105" s="8">
        <v>-215</v>
      </c>
      <c r="SY105" s="6">
        <v>-8</v>
      </c>
      <c r="TH105" s="8">
        <v>-588</v>
      </c>
      <c r="TI105" s="28">
        <v>943</v>
      </c>
      <c r="TX105" s="8">
        <v>-404</v>
      </c>
      <c r="TY105" s="28">
        <v>165</v>
      </c>
      <c r="TZ105" s="8">
        <v>999</v>
      </c>
      <c r="UA105" s="12">
        <v>814</v>
      </c>
      <c r="VH105" s="8">
        <v>-433</v>
      </c>
      <c r="VI105" s="28">
        <v>224</v>
      </c>
      <c r="VL105" s="21"/>
      <c r="VM105" s="8">
        <v>886</v>
      </c>
      <c r="VN105" s="12">
        <v>339</v>
      </c>
      <c r="VO105" s="12"/>
      <c r="VP105" s="12"/>
      <c r="VQ105" s="6">
        <v>-41</v>
      </c>
      <c r="VR105" s="28">
        <v>11</v>
      </c>
      <c r="VS105" s="12"/>
      <c r="VT105" s="12"/>
      <c r="VZ105" s="8">
        <v>-194</v>
      </c>
      <c r="WA105" s="28">
        <v>314</v>
      </c>
      <c r="WB105" s="8">
        <v>3509</v>
      </c>
      <c r="WC105" s="12">
        <v>474</v>
      </c>
      <c r="XK105">
        <v>8</v>
      </c>
      <c r="XL105" s="1">
        <v>27</v>
      </c>
    </row>
    <row r="106" spans="11:636" x14ac:dyDescent="0.25">
      <c r="K106" s="2">
        <v>1568</v>
      </c>
      <c r="L106" s="1">
        <v>10</v>
      </c>
      <c r="M106">
        <v>-170</v>
      </c>
      <c r="N106" s="1">
        <v>18</v>
      </c>
      <c r="O106" s="26"/>
      <c r="V106">
        <v>4</v>
      </c>
      <c r="W106" s="10">
        <v>211</v>
      </c>
      <c r="AB106">
        <v>-72</v>
      </c>
      <c r="AC106" s="1">
        <v>33</v>
      </c>
      <c r="AD106">
        <v>20</v>
      </c>
      <c r="AE106" s="1">
        <v>3</v>
      </c>
      <c r="AJ106" s="2">
        <v>-8</v>
      </c>
      <c r="AK106" s="10">
        <v>65</v>
      </c>
      <c r="AY106">
        <v>1</v>
      </c>
      <c r="AZ106" s="1">
        <v>1</v>
      </c>
      <c r="BD106" s="8"/>
      <c r="BF106">
        <v>3231</v>
      </c>
      <c r="BG106" s="1">
        <v>1083</v>
      </c>
      <c r="BL106">
        <v>2818</v>
      </c>
      <c r="BM106" s="1">
        <v>58</v>
      </c>
      <c r="BN106">
        <v>28</v>
      </c>
      <c r="BP106">
        <v>578</v>
      </c>
      <c r="BQ106" s="10">
        <v>1820</v>
      </c>
      <c r="BT106">
        <v>-828</v>
      </c>
      <c r="BU106" s="1">
        <v>151</v>
      </c>
      <c r="CE106" s="8">
        <v>185</v>
      </c>
      <c r="CF106" s="28">
        <v>9</v>
      </c>
      <c r="CQ106" s="6">
        <v>-212</v>
      </c>
      <c r="CS106" s="6">
        <v>-208</v>
      </c>
      <c r="CT106" s="28">
        <v>322</v>
      </c>
      <c r="CZ106" s="23">
        <v>-33</v>
      </c>
      <c r="DA106" s="25">
        <v>9</v>
      </c>
      <c r="DC106" s="25"/>
      <c r="DF106" s="23">
        <v>155</v>
      </c>
      <c r="DG106" s="25">
        <v>245</v>
      </c>
      <c r="DH106" s="23">
        <v>-140</v>
      </c>
      <c r="DI106" s="25">
        <v>122</v>
      </c>
      <c r="DJ106" s="23">
        <v>234</v>
      </c>
      <c r="DK106" s="28">
        <v>183</v>
      </c>
      <c r="DL106" s="8">
        <v>121</v>
      </c>
      <c r="DQ106" s="8">
        <v>412</v>
      </c>
      <c r="DR106" s="52">
        <v>734</v>
      </c>
      <c r="DS106" s="6">
        <v>-24</v>
      </c>
      <c r="DT106" s="52">
        <v>79</v>
      </c>
      <c r="DU106" s="8">
        <v>376</v>
      </c>
      <c r="DV106" s="28">
        <v>514</v>
      </c>
      <c r="DW106" s="8">
        <v>-4</v>
      </c>
      <c r="DX106" s="28">
        <v>1</v>
      </c>
      <c r="DY106" s="6">
        <v>128</v>
      </c>
      <c r="DZ106" s="52">
        <v>454</v>
      </c>
      <c r="EA106" s="23">
        <v>534</v>
      </c>
      <c r="EB106" s="52">
        <v>462</v>
      </c>
      <c r="EC106" s="6">
        <v>5</v>
      </c>
      <c r="ED106" s="28">
        <v>10</v>
      </c>
      <c r="EE106" s="8">
        <v>32</v>
      </c>
      <c r="EF106" s="52">
        <v>31</v>
      </c>
      <c r="EG106" s="8">
        <v>369</v>
      </c>
      <c r="EH106" s="28">
        <v>307</v>
      </c>
      <c r="EI106" s="8">
        <v>11</v>
      </c>
      <c r="EJ106" s="52">
        <v>101</v>
      </c>
      <c r="EL106" s="8">
        <v>-253</v>
      </c>
      <c r="EM106" s="28">
        <v>713</v>
      </c>
      <c r="EN106" s="8">
        <v>-123</v>
      </c>
      <c r="EO106" s="28">
        <v>15</v>
      </c>
      <c r="EP106" s="28"/>
      <c r="EQ106" s="28"/>
      <c r="EX106" s="8">
        <v>-691</v>
      </c>
      <c r="EY106" s="28">
        <v>136</v>
      </c>
      <c r="FD106" s="6">
        <v>797</v>
      </c>
      <c r="FE106" s="28">
        <v>508</v>
      </c>
      <c r="FM106" s="8">
        <v>-194</v>
      </c>
      <c r="FN106" s="52">
        <v>144</v>
      </c>
      <c r="FS106" s="8">
        <v>-136</v>
      </c>
      <c r="FT106" s="52">
        <v>197</v>
      </c>
      <c r="GC106" s="8">
        <v>-410</v>
      </c>
      <c r="GI106" s="8">
        <v>-47</v>
      </c>
      <c r="GJ106" s="28">
        <v>84</v>
      </c>
      <c r="GP106" s="6">
        <v>-6</v>
      </c>
      <c r="GQ106" s="52">
        <v>60</v>
      </c>
      <c r="GR106" s="8">
        <v>-1</v>
      </c>
      <c r="GS106" s="28">
        <v>127</v>
      </c>
      <c r="GT106" s="6">
        <v>-50</v>
      </c>
      <c r="GU106" s="52">
        <v>105</v>
      </c>
      <c r="GV106" s="28"/>
      <c r="GW106" s="28"/>
      <c r="GZ106" s="8">
        <v>-333</v>
      </c>
      <c r="HA106" s="28">
        <v>535</v>
      </c>
      <c r="HB106" s="6">
        <v>-47</v>
      </c>
      <c r="HC106" s="28"/>
      <c r="HE106" s="8">
        <v>23</v>
      </c>
      <c r="HF106" s="28">
        <v>60</v>
      </c>
      <c r="HQ106" s="6">
        <v>9</v>
      </c>
      <c r="HR106" s="28">
        <v>5</v>
      </c>
      <c r="HS106" s="8">
        <v>2</v>
      </c>
      <c r="HT106" s="52">
        <v>181</v>
      </c>
      <c r="HZ106" s="8">
        <v>-32</v>
      </c>
      <c r="IB106" s="8">
        <v>-241</v>
      </c>
      <c r="IC106" s="28">
        <v>144</v>
      </c>
      <c r="ID106" s="8">
        <v>-140</v>
      </c>
      <c r="IE106" s="28">
        <v>299</v>
      </c>
      <c r="IO106">
        <v>-220</v>
      </c>
      <c r="IP106" s="10">
        <v>13</v>
      </c>
      <c r="IY106" s="8">
        <v>278</v>
      </c>
      <c r="JA106" s="8">
        <v>46</v>
      </c>
      <c r="JB106" s="12">
        <v>384</v>
      </c>
      <c r="JH106" s="8">
        <v>420</v>
      </c>
      <c r="JI106" s="28">
        <v>74</v>
      </c>
      <c r="JN106" s="8">
        <v>759</v>
      </c>
      <c r="JO106" s="28">
        <v>206</v>
      </c>
      <c r="JP106" s="6">
        <v>78</v>
      </c>
      <c r="JQ106" s="12">
        <v>190</v>
      </c>
      <c r="JW106" s="8">
        <v>-156</v>
      </c>
      <c r="JX106" s="12">
        <v>26</v>
      </c>
      <c r="KE106" s="6">
        <v>55</v>
      </c>
      <c r="KF106" s="12">
        <v>842</v>
      </c>
      <c r="KT106" s="8">
        <v>12</v>
      </c>
      <c r="KU106" s="28">
        <v>17</v>
      </c>
      <c r="LD106" s="8">
        <v>190</v>
      </c>
      <c r="LE106" s="28">
        <v>263</v>
      </c>
      <c r="LF106" s="8">
        <v>-42</v>
      </c>
      <c r="LG106" s="28">
        <v>23</v>
      </c>
      <c r="LH106" s="8">
        <v>466</v>
      </c>
      <c r="LJ106" s="8">
        <v>326</v>
      </c>
      <c r="LK106" s="28">
        <v>119</v>
      </c>
      <c r="LL106" s="8">
        <v>-7</v>
      </c>
      <c r="LM106" s="28">
        <v>10</v>
      </c>
      <c r="LS106" s="8">
        <v>124</v>
      </c>
      <c r="LU106" s="8">
        <v>38</v>
      </c>
      <c r="LV106" s="12">
        <v>41</v>
      </c>
      <c r="LW106" s="8">
        <v>-547</v>
      </c>
      <c r="LX106" s="28">
        <v>524</v>
      </c>
      <c r="MF106" s="8">
        <v>383</v>
      </c>
      <c r="MG106" s="12">
        <v>195</v>
      </c>
      <c r="MS106" s="8">
        <v>714</v>
      </c>
      <c r="NC106" s="8">
        <v>19</v>
      </c>
      <c r="ND106" s="12">
        <v>46</v>
      </c>
      <c r="NP106" s="8">
        <v>427</v>
      </c>
      <c r="NQ106" s="12">
        <v>236</v>
      </c>
      <c r="NW106" s="8">
        <v>294</v>
      </c>
      <c r="NX106" s="28">
        <v>228</v>
      </c>
      <c r="PJ106" s="8">
        <v>-43</v>
      </c>
      <c r="PK106" s="12">
        <v>241</v>
      </c>
      <c r="PP106" s="8">
        <v>124</v>
      </c>
      <c r="PQ106" s="28">
        <v>26</v>
      </c>
      <c r="PR106" s="28"/>
      <c r="PS106" s="8">
        <v>351</v>
      </c>
      <c r="PT106" s="12">
        <v>474</v>
      </c>
      <c r="PW106" s="8">
        <v>-167</v>
      </c>
      <c r="PX106" s="28">
        <v>169</v>
      </c>
      <c r="QH106" s="8">
        <v>-298</v>
      </c>
      <c r="QI106" s="12">
        <v>314</v>
      </c>
      <c r="QT106" s="8">
        <v>-2</v>
      </c>
      <c r="QU106" s="12">
        <v>128</v>
      </c>
      <c r="QV106" s="6"/>
      <c r="QW106" s="12"/>
      <c r="RC106" s="6">
        <v>3</v>
      </c>
      <c r="RE106" s="6">
        <v>955</v>
      </c>
      <c r="RF106" s="12">
        <v>606</v>
      </c>
      <c r="RG106" s="8">
        <v>-566</v>
      </c>
      <c r="RH106" s="28">
        <v>887</v>
      </c>
      <c r="RL106" s="8">
        <v>-2</v>
      </c>
      <c r="SP106" s="8">
        <v>132</v>
      </c>
      <c r="SY106" s="6">
        <v>533</v>
      </c>
      <c r="TH106" s="8">
        <v>-791</v>
      </c>
      <c r="TI106" s="28">
        <v>733</v>
      </c>
      <c r="TX106" s="8">
        <v>-402</v>
      </c>
      <c r="TY106" s="28">
        <v>171</v>
      </c>
      <c r="TZ106" s="8">
        <v>524</v>
      </c>
      <c r="UA106" s="12">
        <v>951</v>
      </c>
      <c r="VH106" s="8">
        <v>577</v>
      </c>
      <c r="VI106" s="28">
        <v>981</v>
      </c>
      <c r="VL106" s="21"/>
      <c r="VM106" s="8">
        <v>440</v>
      </c>
      <c r="VN106" s="12">
        <v>188</v>
      </c>
      <c r="VO106" s="12"/>
      <c r="VP106" s="12"/>
      <c r="VQ106" s="6">
        <v>-42</v>
      </c>
      <c r="VR106" s="28">
        <v>11</v>
      </c>
      <c r="VS106" s="12"/>
      <c r="VT106" s="12"/>
      <c r="VZ106" s="8">
        <v>-560</v>
      </c>
      <c r="WA106" s="28">
        <v>205</v>
      </c>
      <c r="WB106" s="8">
        <v>5500</v>
      </c>
      <c r="WC106" s="12">
        <v>350</v>
      </c>
      <c r="XK106">
        <v>-32</v>
      </c>
      <c r="XL106" s="1">
        <v>369</v>
      </c>
    </row>
    <row r="107" spans="11:636" x14ac:dyDescent="0.25">
      <c r="K107" s="2">
        <v>4008</v>
      </c>
      <c r="L107" s="1">
        <v>7</v>
      </c>
      <c r="M107">
        <v>-115</v>
      </c>
      <c r="N107" s="1">
        <v>18</v>
      </c>
      <c r="O107" s="26"/>
      <c r="V107">
        <v>-2876</v>
      </c>
      <c r="W107" s="10">
        <v>173</v>
      </c>
      <c r="AB107">
        <v>-80</v>
      </c>
      <c r="AC107" s="1">
        <v>25</v>
      </c>
      <c r="AD107">
        <v>18</v>
      </c>
      <c r="AE107" s="1">
        <v>4</v>
      </c>
      <c r="AJ107" s="2">
        <v>2</v>
      </c>
      <c r="AK107" s="10">
        <v>15</v>
      </c>
      <c r="AY107">
        <v>1</v>
      </c>
      <c r="AZ107" s="1">
        <v>1</v>
      </c>
      <c r="BD107" s="8"/>
      <c r="BF107">
        <v>-1536</v>
      </c>
      <c r="BG107" s="1">
        <v>477</v>
      </c>
      <c r="BL107">
        <v>-97</v>
      </c>
      <c r="BM107" s="1">
        <v>43</v>
      </c>
      <c r="BN107">
        <v>139</v>
      </c>
      <c r="BP107">
        <v>741</v>
      </c>
      <c r="BQ107" s="10">
        <v>8634</v>
      </c>
      <c r="BT107">
        <v>-884</v>
      </c>
      <c r="BU107" s="1">
        <v>312</v>
      </c>
      <c r="CE107" s="8">
        <v>134</v>
      </c>
      <c r="CF107" s="28">
        <v>10</v>
      </c>
      <c r="CQ107" s="6">
        <v>-184</v>
      </c>
      <c r="CS107" s="6">
        <v>-467</v>
      </c>
      <c r="CT107" s="28">
        <v>601</v>
      </c>
      <c r="CZ107" s="23">
        <v>25</v>
      </c>
      <c r="DA107" s="25">
        <v>7</v>
      </c>
      <c r="DC107" s="25"/>
      <c r="DF107" s="23">
        <v>116</v>
      </c>
      <c r="DG107" s="25">
        <v>293</v>
      </c>
      <c r="DH107" s="23">
        <v>-211</v>
      </c>
      <c r="DI107" s="25">
        <v>129</v>
      </c>
      <c r="DK107" s="28"/>
      <c r="DL107" s="8">
        <v>107</v>
      </c>
      <c r="DQ107" s="8">
        <v>-348</v>
      </c>
      <c r="DR107" s="52">
        <v>523</v>
      </c>
      <c r="DS107" s="6">
        <v>-49</v>
      </c>
      <c r="DT107" s="52">
        <v>124</v>
      </c>
      <c r="DU107" s="8">
        <v>-645</v>
      </c>
      <c r="DV107" s="28">
        <v>434</v>
      </c>
      <c r="DW107" s="8">
        <v>-26</v>
      </c>
      <c r="DX107" s="28">
        <v>21</v>
      </c>
      <c r="DY107" s="6">
        <v>122</v>
      </c>
      <c r="DZ107" s="52">
        <v>557</v>
      </c>
      <c r="EA107" s="23">
        <v>131</v>
      </c>
      <c r="EB107" s="52">
        <v>626</v>
      </c>
      <c r="EC107" s="6">
        <v>7</v>
      </c>
      <c r="ED107" s="28">
        <v>12</v>
      </c>
      <c r="EE107" s="8">
        <v>13</v>
      </c>
      <c r="EF107" s="52">
        <v>12</v>
      </c>
      <c r="EG107" s="8">
        <v>503</v>
      </c>
      <c r="EH107" s="28">
        <v>304</v>
      </c>
      <c r="EI107" s="8">
        <v>10</v>
      </c>
      <c r="EJ107" s="52">
        <v>410</v>
      </c>
      <c r="EL107" s="8">
        <v>413</v>
      </c>
      <c r="EM107" s="28">
        <v>663</v>
      </c>
      <c r="EN107" s="8">
        <v>-138</v>
      </c>
      <c r="EO107" s="28">
        <v>18</v>
      </c>
      <c r="EP107" s="28"/>
      <c r="EQ107" s="28"/>
      <c r="EX107" s="8">
        <v>210</v>
      </c>
      <c r="EY107" s="28">
        <v>123</v>
      </c>
      <c r="FD107" s="6">
        <v>139</v>
      </c>
      <c r="FE107" s="28">
        <v>128</v>
      </c>
      <c r="FM107" s="8">
        <v>-530</v>
      </c>
      <c r="FN107" s="52">
        <v>184</v>
      </c>
      <c r="FS107" s="8">
        <v>-135</v>
      </c>
      <c r="FT107" s="52">
        <v>197</v>
      </c>
      <c r="GC107" s="8">
        <v>-146</v>
      </c>
      <c r="GI107" s="8">
        <v>-131</v>
      </c>
      <c r="GJ107" s="28">
        <v>83</v>
      </c>
      <c r="GP107" s="6">
        <v>1</v>
      </c>
      <c r="GQ107" s="52">
        <v>12</v>
      </c>
      <c r="GR107" s="8">
        <v>-34</v>
      </c>
      <c r="GS107" s="28">
        <v>100</v>
      </c>
      <c r="GT107" s="6">
        <v>-10</v>
      </c>
      <c r="GU107" s="52">
        <v>250</v>
      </c>
      <c r="GV107" s="28"/>
      <c r="GW107" s="28"/>
      <c r="GZ107" s="8">
        <v>710</v>
      </c>
      <c r="HA107" s="28">
        <v>281</v>
      </c>
      <c r="HB107" s="6">
        <v>54</v>
      </c>
      <c r="HC107" s="28"/>
      <c r="HE107" s="8">
        <v>139</v>
      </c>
      <c r="HF107" s="28">
        <v>59</v>
      </c>
      <c r="HQ107" s="6">
        <v>-251</v>
      </c>
      <c r="HR107" s="28">
        <v>153</v>
      </c>
      <c r="HS107" s="8">
        <v>11</v>
      </c>
      <c r="HT107" s="52">
        <v>381</v>
      </c>
      <c r="HZ107" s="8">
        <v>-80</v>
      </c>
      <c r="IB107" s="8">
        <v>-257</v>
      </c>
      <c r="IC107" s="28">
        <v>136</v>
      </c>
      <c r="ID107" s="8">
        <v>63</v>
      </c>
      <c r="IE107" s="28">
        <v>660</v>
      </c>
      <c r="IO107">
        <v>124</v>
      </c>
      <c r="IP107" s="10">
        <v>141</v>
      </c>
      <c r="IY107" s="8">
        <v>-886</v>
      </c>
      <c r="JA107" s="8">
        <v>-205</v>
      </c>
      <c r="JB107" s="12">
        <v>163</v>
      </c>
      <c r="JH107" s="8">
        <v>-2</v>
      </c>
      <c r="JI107" s="28">
        <v>56</v>
      </c>
      <c r="JN107" s="8">
        <v>542</v>
      </c>
      <c r="JO107" s="28">
        <v>330</v>
      </c>
      <c r="JP107" s="6">
        <v>34</v>
      </c>
      <c r="JQ107" s="12">
        <v>886</v>
      </c>
      <c r="JW107" s="8">
        <v>-237</v>
      </c>
      <c r="JX107" s="12">
        <v>341</v>
      </c>
      <c r="KE107" s="6">
        <v>703</v>
      </c>
      <c r="KF107" s="12">
        <v>496</v>
      </c>
      <c r="KT107" s="8">
        <v>98</v>
      </c>
      <c r="KU107" s="28">
        <v>59</v>
      </c>
      <c r="LD107" s="8">
        <v>-958</v>
      </c>
      <c r="LE107" s="28">
        <v>602</v>
      </c>
      <c r="LF107" s="8">
        <v>-258</v>
      </c>
      <c r="LG107" s="28">
        <v>21</v>
      </c>
      <c r="LH107" s="8">
        <v>325</v>
      </c>
      <c r="LJ107" s="8">
        <v>-258</v>
      </c>
      <c r="LK107" s="28">
        <v>733</v>
      </c>
      <c r="LL107" s="8">
        <v>-17</v>
      </c>
      <c r="LM107" s="28">
        <v>20</v>
      </c>
      <c r="LS107" s="8">
        <v>167</v>
      </c>
      <c r="LU107" s="8">
        <v>-71</v>
      </c>
      <c r="LV107" s="12">
        <v>89</v>
      </c>
      <c r="LW107" s="8">
        <v>-188</v>
      </c>
      <c r="LX107" s="28">
        <v>524</v>
      </c>
      <c r="MF107" s="8">
        <v>319</v>
      </c>
      <c r="MG107" s="12">
        <v>151</v>
      </c>
      <c r="MS107" s="8">
        <v>772</v>
      </c>
      <c r="NC107" s="8">
        <v>92</v>
      </c>
      <c r="ND107" s="12">
        <v>226</v>
      </c>
      <c r="NP107" s="8">
        <v>504</v>
      </c>
      <c r="NQ107" s="12">
        <v>321</v>
      </c>
      <c r="NW107" s="8">
        <v>814</v>
      </c>
      <c r="NX107" s="28">
        <v>312</v>
      </c>
      <c r="PJ107" s="8">
        <v>9</v>
      </c>
      <c r="PK107" s="12">
        <v>233</v>
      </c>
      <c r="PP107" s="8">
        <v>-76</v>
      </c>
      <c r="PQ107" s="28">
        <v>35</v>
      </c>
      <c r="PR107" s="28"/>
      <c r="PS107" s="8">
        <v>188</v>
      </c>
      <c r="PT107" s="12">
        <v>482</v>
      </c>
      <c r="PW107" s="8">
        <v>-467</v>
      </c>
      <c r="PX107" s="28">
        <v>140</v>
      </c>
      <c r="QH107" s="8">
        <v>495</v>
      </c>
      <c r="QI107" s="12">
        <v>685</v>
      </c>
      <c r="QT107" s="8">
        <v>1</v>
      </c>
      <c r="QU107" s="12">
        <v>1</v>
      </c>
      <c r="QV107" s="6"/>
      <c r="QW107" s="12"/>
      <c r="RC107" s="6">
        <v>451</v>
      </c>
      <c r="RE107" s="6">
        <v>-865</v>
      </c>
      <c r="RF107" s="12">
        <v>470</v>
      </c>
      <c r="RG107" s="8">
        <v>929</v>
      </c>
      <c r="RH107" s="28">
        <v>679</v>
      </c>
      <c r="RL107" s="8">
        <v>67</v>
      </c>
      <c r="SP107" s="8">
        <v>122</v>
      </c>
      <c r="SY107" s="6">
        <v>157</v>
      </c>
      <c r="TH107" s="8">
        <v>-413</v>
      </c>
      <c r="TI107" s="28">
        <v>809</v>
      </c>
      <c r="TX107" s="8">
        <v>-345</v>
      </c>
      <c r="TY107" s="28">
        <v>124</v>
      </c>
      <c r="TZ107" s="8">
        <v>218</v>
      </c>
      <c r="UA107" s="12">
        <v>179</v>
      </c>
      <c r="VH107" s="8">
        <v>634</v>
      </c>
      <c r="VI107" s="28">
        <v>149</v>
      </c>
      <c r="VL107" s="21"/>
      <c r="VM107" s="8">
        <v>489</v>
      </c>
      <c r="VN107" s="12">
        <v>211</v>
      </c>
      <c r="VO107" s="12"/>
      <c r="VP107" s="12"/>
      <c r="VQ107" s="6">
        <v>-50</v>
      </c>
      <c r="VR107" s="28">
        <v>24</v>
      </c>
      <c r="VS107" s="12"/>
      <c r="VT107" s="12"/>
      <c r="VZ107" s="8">
        <v>154</v>
      </c>
      <c r="WA107" s="28">
        <v>334</v>
      </c>
      <c r="WB107" s="8">
        <v>6382</v>
      </c>
      <c r="WC107" s="12">
        <v>296</v>
      </c>
      <c r="XK107">
        <v>27</v>
      </c>
      <c r="XL107" s="1">
        <v>20</v>
      </c>
    </row>
    <row r="108" spans="11:636" x14ac:dyDescent="0.25">
      <c r="K108" s="2">
        <v>-238</v>
      </c>
      <c r="L108" s="1">
        <v>9</v>
      </c>
      <c r="M108">
        <v>-281</v>
      </c>
      <c r="N108" s="1">
        <v>5</v>
      </c>
      <c r="O108" s="26"/>
      <c r="V108">
        <v>-4</v>
      </c>
      <c r="W108" s="10">
        <v>161</v>
      </c>
      <c r="AB108">
        <v>-23</v>
      </c>
      <c r="AC108" s="1">
        <v>44</v>
      </c>
      <c r="AD108">
        <v>25</v>
      </c>
      <c r="AE108" s="1">
        <v>5</v>
      </c>
      <c r="AJ108" s="2">
        <v>13</v>
      </c>
      <c r="AK108" s="10">
        <v>69</v>
      </c>
      <c r="AY108">
        <v>-4</v>
      </c>
      <c r="AZ108" s="1">
        <v>2</v>
      </c>
      <c r="BD108" s="8"/>
      <c r="BF108">
        <v>1318</v>
      </c>
      <c r="BG108" s="1">
        <v>638</v>
      </c>
      <c r="BL108">
        <v>-31</v>
      </c>
      <c r="BM108" s="1">
        <v>17</v>
      </c>
      <c r="BN108">
        <v>130</v>
      </c>
      <c r="BP108">
        <v>273</v>
      </c>
      <c r="BQ108" s="10">
        <v>3561</v>
      </c>
      <c r="BT108">
        <v>521</v>
      </c>
      <c r="BU108" s="1">
        <v>357</v>
      </c>
      <c r="CE108" s="8">
        <v>76</v>
      </c>
      <c r="CF108" s="28">
        <v>8</v>
      </c>
      <c r="CQ108" s="6">
        <v>-192</v>
      </c>
      <c r="CS108" s="6">
        <v>-252</v>
      </c>
      <c r="CT108" s="28">
        <v>569</v>
      </c>
      <c r="CZ108" s="23">
        <v>138</v>
      </c>
      <c r="DA108" s="25">
        <v>71</v>
      </c>
      <c r="DC108" s="25"/>
      <c r="DF108" s="23">
        <v>119</v>
      </c>
      <c r="DG108" s="25">
        <v>428</v>
      </c>
      <c r="DH108" s="23">
        <v>-167</v>
      </c>
      <c r="DI108" s="25">
        <v>126</v>
      </c>
      <c r="DK108" s="28"/>
      <c r="DL108" s="8">
        <v>981</v>
      </c>
      <c r="DQ108" s="8">
        <v>748</v>
      </c>
      <c r="DR108" s="52">
        <v>125</v>
      </c>
      <c r="DS108" s="6">
        <v>-68</v>
      </c>
      <c r="DT108" s="52">
        <v>173</v>
      </c>
      <c r="DU108" s="8">
        <v>-399</v>
      </c>
      <c r="DV108" s="28">
        <v>607</v>
      </c>
      <c r="DW108" s="8">
        <v>917</v>
      </c>
      <c r="DX108" s="28">
        <v>319</v>
      </c>
      <c r="DY108" s="6">
        <v>377</v>
      </c>
      <c r="DZ108" s="52">
        <v>152</v>
      </c>
      <c r="EA108" s="23">
        <v>983</v>
      </c>
      <c r="EB108" s="52">
        <v>206</v>
      </c>
      <c r="EC108" s="6">
        <v>4</v>
      </c>
      <c r="ED108" s="28">
        <v>14</v>
      </c>
      <c r="EE108" s="8">
        <v>-49</v>
      </c>
      <c r="EF108" s="52">
        <v>7</v>
      </c>
      <c r="EG108" s="8">
        <v>611</v>
      </c>
      <c r="EH108" s="28">
        <v>305</v>
      </c>
      <c r="EI108" s="8">
        <v>-10</v>
      </c>
      <c r="EJ108" s="52">
        <v>116</v>
      </c>
      <c r="EL108" s="8">
        <v>-122</v>
      </c>
      <c r="EM108" s="28">
        <v>702</v>
      </c>
      <c r="EN108" s="8">
        <v>11</v>
      </c>
      <c r="EO108" s="28">
        <v>16</v>
      </c>
      <c r="EP108" s="28"/>
      <c r="EQ108" s="28"/>
      <c r="EX108" s="8">
        <v>496</v>
      </c>
      <c r="EY108" s="28">
        <v>119</v>
      </c>
      <c r="FD108" s="6">
        <v>-84</v>
      </c>
      <c r="FE108" s="28">
        <v>416</v>
      </c>
      <c r="FM108" s="8">
        <v>-146</v>
      </c>
      <c r="FN108" s="52">
        <v>759</v>
      </c>
      <c r="FS108" s="8">
        <v>-134</v>
      </c>
      <c r="FT108" s="52">
        <v>196</v>
      </c>
      <c r="GC108" s="8">
        <v>-106</v>
      </c>
      <c r="GI108" s="8">
        <v>-135</v>
      </c>
      <c r="GJ108" s="28">
        <v>87</v>
      </c>
      <c r="GP108" s="6">
        <v>2</v>
      </c>
      <c r="GQ108" s="52">
        <v>28</v>
      </c>
      <c r="GR108" s="8">
        <v>-202</v>
      </c>
      <c r="GS108" s="28">
        <v>134</v>
      </c>
      <c r="GT108" s="6">
        <v>-21</v>
      </c>
      <c r="GU108" s="52">
        <v>660</v>
      </c>
      <c r="GV108" s="28"/>
      <c r="GW108" s="28"/>
      <c r="GZ108" s="8">
        <v>524</v>
      </c>
      <c r="HA108" s="28">
        <v>9</v>
      </c>
      <c r="HB108" s="6">
        <v>14</v>
      </c>
      <c r="HC108" s="28"/>
      <c r="HE108" s="8">
        <v>68</v>
      </c>
      <c r="HF108" s="28">
        <v>56</v>
      </c>
      <c r="HQ108" s="6">
        <v>2</v>
      </c>
      <c r="HR108" s="28">
        <v>4</v>
      </c>
      <c r="HS108" s="8">
        <v>-3</v>
      </c>
      <c r="HT108" s="52">
        <v>19</v>
      </c>
      <c r="HZ108" s="8">
        <v>-15</v>
      </c>
      <c r="IB108" s="8">
        <v>-821</v>
      </c>
      <c r="IC108" s="28">
        <v>225</v>
      </c>
      <c r="ID108" s="8">
        <v>-247</v>
      </c>
      <c r="IE108" s="28">
        <v>311</v>
      </c>
      <c r="IO108">
        <v>522</v>
      </c>
      <c r="IP108" s="10">
        <v>152</v>
      </c>
      <c r="IY108" s="8">
        <v>321</v>
      </c>
      <c r="JA108" s="8">
        <v>-164</v>
      </c>
      <c r="JB108" s="12">
        <v>117</v>
      </c>
      <c r="JH108" s="8">
        <v>195</v>
      </c>
      <c r="JI108" s="28">
        <v>98</v>
      </c>
      <c r="JN108" s="8">
        <v>960</v>
      </c>
      <c r="JO108" s="28">
        <v>270</v>
      </c>
      <c r="JP108" s="6">
        <v>25</v>
      </c>
      <c r="JQ108" s="12">
        <v>652</v>
      </c>
      <c r="JW108" s="8">
        <v>-6</v>
      </c>
      <c r="JX108" s="12">
        <v>75</v>
      </c>
      <c r="KE108" s="6">
        <v>-428</v>
      </c>
      <c r="KF108" s="12">
        <v>628</v>
      </c>
      <c r="KT108" s="8">
        <v>-179</v>
      </c>
      <c r="KU108" s="28">
        <v>316</v>
      </c>
      <c r="LD108" s="8">
        <v>247</v>
      </c>
      <c r="LE108" s="28">
        <v>280</v>
      </c>
      <c r="LF108" s="8">
        <v>-260</v>
      </c>
      <c r="LG108" s="28">
        <v>16</v>
      </c>
      <c r="LH108" s="8">
        <v>610</v>
      </c>
      <c r="LJ108" s="8">
        <v>-166</v>
      </c>
      <c r="LK108" s="28">
        <v>349</v>
      </c>
      <c r="LL108" s="8">
        <v>37</v>
      </c>
      <c r="LM108" s="28">
        <v>5</v>
      </c>
      <c r="LS108" s="8">
        <v>4</v>
      </c>
      <c r="LU108" s="8">
        <v>177</v>
      </c>
      <c r="LV108" s="12">
        <v>196</v>
      </c>
      <c r="LW108" s="8">
        <v>-105</v>
      </c>
      <c r="LX108" s="28">
        <v>410</v>
      </c>
      <c r="MF108" s="8">
        <v>257</v>
      </c>
      <c r="MG108" s="12">
        <v>144</v>
      </c>
      <c r="MS108" s="8">
        <v>536</v>
      </c>
      <c r="NC108" s="8">
        <v>-21</v>
      </c>
      <c r="ND108" s="12">
        <v>124</v>
      </c>
      <c r="NP108" s="8">
        <v>154</v>
      </c>
      <c r="NQ108" s="12">
        <v>504</v>
      </c>
      <c r="NW108" s="8">
        <v>954</v>
      </c>
      <c r="NX108" s="28">
        <v>350</v>
      </c>
      <c r="PJ108" s="8">
        <v>-4</v>
      </c>
      <c r="PK108" s="12">
        <v>267</v>
      </c>
      <c r="PP108" s="8">
        <v>-85</v>
      </c>
      <c r="PQ108" s="28">
        <v>34</v>
      </c>
      <c r="PR108" s="28"/>
      <c r="PS108" s="8">
        <v>-7</v>
      </c>
      <c r="PT108" s="12">
        <v>28</v>
      </c>
      <c r="PW108" s="8">
        <v>25</v>
      </c>
      <c r="PX108" s="28">
        <v>20</v>
      </c>
      <c r="QH108" s="8">
        <v>157</v>
      </c>
      <c r="QI108" s="12">
        <v>965</v>
      </c>
      <c r="QT108" s="8">
        <v>41</v>
      </c>
      <c r="QU108" s="12">
        <v>146</v>
      </c>
      <c r="QV108" s="6"/>
      <c r="QW108" s="12"/>
      <c r="RC108" s="6">
        <v>314</v>
      </c>
      <c r="RE108" s="6">
        <v>-273</v>
      </c>
      <c r="RF108" s="12">
        <v>259</v>
      </c>
      <c r="RG108" s="8">
        <v>-231</v>
      </c>
      <c r="RH108" s="28">
        <v>152</v>
      </c>
      <c r="RL108" s="8">
        <v>-96</v>
      </c>
      <c r="SP108" s="8">
        <v>-574</v>
      </c>
      <c r="SY108" s="6">
        <v>170</v>
      </c>
      <c r="TH108" s="8">
        <v>395</v>
      </c>
      <c r="TI108" s="28">
        <v>766</v>
      </c>
      <c r="TX108" s="8">
        <v>-363</v>
      </c>
      <c r="TY108" s="28">
        <v>113</v>
      </c>
      <c r="TZ108" s="8">
        <v>-13</v>
      </c>
      <c r="UA108" s="12">
        <v>567</v>
      </c>
      <c r="VH108" s="8">
        <v>108</v>
      </c>
      <c r="VI108" s="28">
        <v>355</v>
      </c>
      <c r="VL108" s="21"/>
      <c r="VM108" s="8">
        <v>858</v>
      </c>
      <c r="VN108" s="12">
        <v>380</v>
      </c>
      <c r="VO108" s="12"/>
      <c r="VP108" s="12"/>
      <c r="VQ108" s="6">
        <v>-146</v>
      </c>
      <c r="VR108" s="28">
        <v>449</v>
      </c>
      <c r="VS108" s="12"/>
      <c r="VT108" s="12"/>
      <c r="VZ108" s="8">
        <v>118</v>
      </c>
      <c r="WA108" s="28">
        <v>412</v>
      </c>
      <c r="WB108" s="8">
        <v>6958</v>
      </c>
      <c r="WC108" s="12">
        <v>300</v>
      </c>
      <c r="XK108">
        <v>11</v>
      </c>
      <c r="XL108" s="1">
        <v>32</v>
      </c>
    </row>
    <row r="109" spans="11:636" x14ac:dyDescent="0.25">
      <c r="K109" s="2">
        <v>1956</v>
      </c>
      <c r="L109" s="1">
        <v>17</v>
      </c>
      <c r="M109">
        <v>29</v>
      </c>
      <c r="N109" s="1">
        <v>5</v>
      </c>
      <c r="O109" s="26"/>
      <c r="V109">
        <v>-3</v>
      </c>
      <c r="W109" s="10">
        <v>209</v>
      </c>
      <c r="AB109">
        <v>3</v>
      </c>
      <c r="AC109" s="1">
        <v>36</v>
      </c>
      <c r="AD109">
        <v>15</v>
      </c>
      <c r="AE109" s="1">
        <v>3</v>
      </c>
      <c r="AJ109" s="2">
        <v>-288</v>
      </c>
      <c r="AK109" s="10">
        <v>1038</v>
      </c>
      <c r="BD109" s="8"/>
      <c r="BF109">
        <v>1701</v>
      </c>
      <c r="BG109" s="1">
        <v>323</v>
      </c>
      <c r="BL109">
        <v>-25</v>
      </c>
      <c r="BM109" s="1">
        <v>15</v>
      </c>
      <c r="BN109">
        <v>-31</v>
      </c>
      <c r="BP109">
        <v>138</v>
      </c>
      <c r="BQ109" s="10">
        <v>2726</v>
      </c>
      <c r="BT109">
        <v>421</v>
      </c>
      <c r="BU109" s="1">
        <v>254</v>
      </c>
      <c r="CE109" s="8">
        <v>97</v>
      </c>
      <c r="CF109" s="28">
        <v>11</v>
      </c>
      <c r="CQ109" s="6">
        <v>-179</v>
      </c>
      <c r="CS109" s="6">
        <v>108</v>
      </c>
      <c r="CT109" s="28">
        <v>148</v>
      </c>
      <c r="CZ109" s="23">
        <v>-291</v>
      </c>
      <c r="DA109" s="25">
        <v>84</v>
      </c>
      <c r="DC109" s="25"/>
      <c r="DF109" s="23">
        <v>146</v>
      </c>
      <c r="DG109" s="25">
        <v>732</v>
      </c>
      <c r="DH109" s="23">
        <v>-192</v>
      </c>
      <c r="DI109" s="25">
        <v>136</v>
      </c>
      <c r="DK109" s="28"/>
      <c r="DL109" s="8">
        <v>101</v>
      </c>
      <c r="DQ109" s="8">
        <v>-211</v>
      </c>
      <c r="DR109" s="52">
        <v>331</v>
      </c>
      <c r="DS109" s="6">
        <v>-22</v>
      </c>
      <c r="DT109" s="52">
        <v>67</v>
      </c>
      <c r="DU109" s="8">
        <v>-428</v>
      </c>
      <c r="DV109" s="28">
        <v>444</v>
      </c>
      <c r="DW109" s="8">
        <v>-256</v>
      </c>
      <c r="DX109" s="28">
        <v>82</v>
      </c>
      <c r="DY109" s="6">
        <v>-233</v>
      </c>
      <c r="DZ109" s="52">
        <v>128</v>
      </c>
      <c r="EA109" s="23">
        <v>233</v>
      </c>
      <c r="EB109" s="52">
        <v>348</v>
      </c>
      <c r="EC109" s="6">
        <v>-638</v>
      </c>
      <c r="ED109" s="28">
        <v>368</v>
      </c>
      <c r="EE109" s="8">
        <v>24</v>
      </c>
      <c r="EF109" s="52">
        <v>10</v>
      </c>
      <c r="EG109" s="8">
        <v>750</v>
      </c>
      <c r="EH109" s="28">
        <v>307</v>
      </c>
      <c r="EI109" s="8">
        <v>-2</v>
      </c>
      <c r="EJ109" s="52">
        <v>82</v>
      </c>
      <c r="EL109" s="8">
        <v>-112</v>
      </c>
      <c r="EM109" s="28">
        <v>113</v>
      </c>
      <c r="EN109" s="8">
        <v>-223</v>
      </c>
      <c r="EO109" s="28">
        <v>15</v>
      </c>
      <c r="EP109" s="28"/>
      <c r="EQ109" s="28"/>
      <c r="EX109" s="8">
        <v>-152</v>
      </c>
      <c r="EY109" s="28">
        <v>124</v>
      </c>
      <c r="FD109" s="6">
        <v>662</v>
      </c>
      <c r="FE109" s="28">
        <v>162</v>
      </c>
      <c r="FM109" s="8">
        <v>-235</v>
      </c>
      <c r="FN109" s="52">
        <v>356</v>
      </c>
      <c r="FS109" s="8">
        <v>-925</v>
      </c>
      <c r="FT109" s="52">
        <v>104</v>
      </c>
      <c r="GC109" s="8">
        <v>-208</v>
      </c>
      <c r="GI109" s="8">
        <v>-98</v>
      </c>
      <c r="GJ109" s="28">
        <v>86</v>
      </c>
      <c r="GP109" s="6">
        <v>-9</v>
      </c>
      <c r="GQ109" s="52">
        <v>129</v>
      </c>
      <c r="GR109" s="8">
        <v>-209</v>
      </c>
      <c r="GS109" s="28">
        <v>109</v>
      </c>
      <c r="GT109" s="6">
        <v>-67</v>
      </c>
      <c r="GU109" s="52">
        <v>205</v>
      </c>
      <c r="GV109" s="28"/>
      <c r="GW109" s="28"/>
      <c r="GZ109" s="8">
        <v>339</v>
      </c>
      <c r="HA109" s="28">
        <v>7</v>
      </c>
      <c r="HB109" s="6">
        <v>-30</v>
      </c>
      <c r="HC109" s="28"/>
      <c r="HE109" s="8">
        <v>81</v>
      </c>
      <c r="HF109" s="28">
        <v>33</v>
      </c>
      <c r="HQ109" s="6">
        <v>46</v>
      </c>
      <c r="HR109" s="28">
        <v>12</v>
      </c>
      <c r="HS109" s="8">
        <v>26</v>
      </c>
      <c r="HT109" s="52">
        <v>421</v>
      </c>
      <c r="HZ109" s="8">
        <v>35</v>
      </c>
      <c r="IB109" s="8">
        <v>-866</v>
      </c>
      <c r="IC109" s="28">
        <v>171</v>
      </c>
      <c r="ID109" s="8">
        <v>-85</v>
      </c>
      <c r="IE109" s="28">
        <v>721</v>
      </c>
      <c r="IO109">
        <v>-151</v>
      </c>
      <c r="IP109" s="10">
        <v>10</v>
      </c>
      <c r="IY109" s="8">
        <v>-605</v>
      </c>
      <c r="JA109" s="8">
        <v>-113</v>
      </c>
      <c r="JB109" s="12">
        <v>119</v>
      </c>
      <c r="JP109" s="6">
        <v>117</v>
      </c>
      <c r="JQ109" s="12">
        <v>428</v>
      </c>
      <c r="JW109" s="8">
        <v>-64</v>
      </c>
      <c r="JX109" s="12">
        <v>79</v>
      </c>
      <c r="KE109" s="6">
        <v>-450</v>
      </c>
      <c r="KF109" s="12">
        <v>200</v>
      </c>
      <c r="KT109" s="8">
        <v>583</v>
      </c>
      <c r="KU109" s="28">
        <v>393</v>
      </c>
      <c r="LD109" s="8">
        <v>120</v>
      </c>
      <c r="LE109" s="28">
        <v>701</v>
      </c>
      <c r="LF109" s="8">
        <v>-258</v>
      </c>
      <c r="LG109" s="28">
        <v>16</v>
      </c>
      <c r="LH109" s="8">
        <v>602</v>
      </c>
      <c r="LJ109" s="8">
        <v>-224</v>
      </c>
      <c r="LK109" s="28">
        <v>175</v>
      </c>
      <c r="LL109" s="8">
        <v>-6</v>
      </c>
      <c r="LM109" s="28">
        <v>3</v>
      </c>
      <c r="LS109" s="8">
        <v>130</v>
      </c>
      <c r="LU109" s="8">
        <v>191</v>
      </c>
      <c r="LV109" s="12">
        <v>287</v>
      </c>
      <c r="LW109" s="8">
        <v>-656</v>
      </c>
      <c r="LX109" s="28">
        <v>505</v>
      </c>
      <c r="MF109" s="8">
        <v>683</v>
      </c>
      <c r="MG109" s="12">
        <v>376</v>
      </c>
      <c r="MS109" s="8">
        <v>284</v>
      </c>
      <c r="NC109" s="8">
        <v>-75</v>
      </c>
      <c r="ND109" s="12">
        <v>338</v>
      </c>
      <c r="NP109" s="8">
        <v>232</v>
      </c>
      <c r="NQ109" s="12">
        <v>570</v>
      </c>
      <c r="NW109" s="8">
        <v>103</v>
      </c>
      <c r="NX109" s="28">
        <v>380</v>
      </c>
      <c r="PJ109" s="8">
        <v>-32</v>
      </c>
      <c r="PK109" s="12">
        <v>164</v>
      </c>
      <c r="PP109" s="8">
        <v>-176</v>
      </c>
      <c r="PQ109" s="28">
        <v>25</v>
      </c>
      <c r="PR109" s="28"/>
      <c r="PS109" s="8">
        <v>-18</v>
      </c>
      <c r="PT109" s="12">
        <v>77</v>
      </c>
      <c r="PW109" s="8">
        <v>-246</v>
      </c>
      <c r="PX109" s="28">
        <v>400</v>
      </c>
      <c r="QH109" s="8">
        <v>-457</v>
      </c>
      <c r="QI109" s="12">
        <v>261</v>
      </c>
      <c r="QT109" s="8">
        <v>-84</v>
      </c>
      <c r="QU109" s="12">
        <v>41</v>
      </c>
      <c r="QV109" s="6"/>
      <c r="QW109" s="12"/>
      <c r="RC109" s="6">
        <v>265</v>
      </c>
      <c r="RE109" s="6">
        <v>-696</v>
      </c>
      <c r="RF109" s="12">
        <v>178</v>
      </c>
      <c r="RG109" s="8">
        <v>-272</v>
      </c>
      <c r="RH109" s="28">
        <v>112</v>
      </c>
      <c r="RL109" s="8">
        <v>18</v>
      </c>
      <c r="SP109" s="8">
        <v>-487</v>
      </c>
      <c r="SY109" s="6">
        <v>450</v>
      </c>
      <c r="TH109" s="8">
        <v>895</v>
      </c>
      <c r="TI109" s="28">
        <v>419</v>
      </c>
      <c r="TX109" s="8">
        <v>-344</v>
      </c>
      <c r="TY109" s="28">
        <v>895</v>
      </c>
      <c r="TZ109" s="8">
        <v>-169</v>
      </c>
      <c r="UA109" s="12">
        <v>388</v>
      </c>
      <c r="VH109" s="8">
        <v>178</v>
      </c>
      <c r="VI109" s="28">
        <v>114</v>
      </c>
      <c r="VL109" s="21"/>
      <c r="VM109" s="8">
        <v>1121</v>
      </c>
      <c r="VN109" s="12">
        <v>403</v>
      </c>
      <c r="VO109" s="12"/>
      <c r="VP109" s="12"/>
      <c r="VQ109" s="6">
        <v>-10</v>
      </c>
      <c r="VR109" s="28">
        <v>8</v>
      </c>
      <c r="VS109" s="12"/>
      <c r="VT109" s="12"/>
      <c r="VZ109" s="8">
        <v>631</v>
      </c>
      <c r="WA109" s="28">
        <v>210</v>
      </c>
      <c r="WB109" s="8">
        <v>7868</v>
      </c>
      <c r="WC109" s="12">
        <v>369</v>
      </c>
      <c r="XK109">
        <v>97</v>
      </c>
      <c r="XL109" s="1">
        <v>22</v>
      </c>
    </row>
    <row r="110" spans="11:636" x14ac:dyDescent="0.25">
      <c r="K110" s="2">
        <v>4521</v>
      </c>
      <c r="L110" s="1">
        <v>9</v>
      </c>
      <c r="M110">
        <v>40</v>
      </c>
      <c r="N110" s="1">
        <v>2</v>
      </c>
      <c r="V110">
        <v>-2</v>
      </c>
      <c r="W110" s="10">
        <v>137</v>
      </c>
      <c r="AB110">
        <v>103</v>
      </c>
      <c r="AC110" s="1">
        <v>75</v>
      </c>
      <c r="AD110">
        <v>56</v>
      </c>
      <c r="AE110" s="1">
        <v>10</v>
      </c>
      <c r="AJ110" s="2">
        <v>-302</v>
      </c>
      <c r="AK110" s="10">
        <v>877</v>
      </c>
      <c r="BD110" s="8"/>
      <c r="BF110">
        <v>3033</v>
      </c>
      <c r="BG110" s="1">
        <v>567</v>
      </c>
      <c r="BL110">
        <v>-23</v>
      </c>
      <c r="BM110" s="1">
        <v>12</v>
      </c>
      <c r="BN110">
        <v>-18</v>
      </c>
      <c r="BP110">
        <v>244</v>
      </c>
      <c r="BQ110" s="10">
        <v>4526</v>
      </c>
      <c r="BT110">
        <v>814</v>
      </c>
      <c r="BU110" s="1">
        <v>524</v>
      </c>
      <c r="CE110" s="8">
        <v>166</v>
      </c>
      <c r="CF110" s="28">
        <v>14</v>
      </c>
      <c r="CQ110" s="6">
        <v>-192</v>
      </c>
      <c r="CS110" s="6">
        <v>242</v>
      </c>
      <c r="CT110" s="28">
        <v>458</v>
      </c>
      <c r="CZ110" s="23">
        <v>-170</v>
      </c>
      <c r="DA110" s="25">
        <v>68</v>
      </c>
      <c r="DC110" s="25"/>
      <c r="DF110" s="23">
        <v>118</v>
      </c>
      <c r="DG110" s="25">
        <v>126</v>
      </c>
      <c r="DH110" s="23">
        <v>-164</v>
      </c>
      <c r="DI110" s="25">
        <v>140</v>
      </c>
      <c r="DK110" s="28"/>
      <c r="DL110" s="8">
        <v>100</v>
      </c>
      <c r="DQ110" s="8">
        <v>149</v>
      </c>
      <c r="DR110" s="52">
        <v>213</v>
      </c>
      <c r="DS110" s="6">
        <v>19</v>
      </c>
      <c r="DT110" s="52">
        <v>62</v>
      </c>
      <c r="DU110" s="8">
        <v>205</v>
      </c>
      <c r="DV110" s="28">
        <v>735</v>
      </c>
      <c r="DW110" s="8">
        <v>-4</v>
      </c>
      <c r="DX110" s="28">
        <v>1</v>
      </c>
      <c r="DY110" s="6">
        <v>-513</v>
      </c>
      <c r="DZ110" s="52">
        <v>212</v>
      </c>
      <c r="EA110" s="23">
        <v>-5</v>
      </c>
      <c r="EB110" s="52">
        <v>25</v>
      </c>
      <c r="EC110" s="6">
        <v>118</v>
      </c>
      <c r="ED110" s="28">
        <v>480</v>
      </c>
      <c r="EE110" s="8">
        <v>79</v>
      </c>
      <c r="EF110" s="52">
        <v>402</v>
      </c>
      <c r="EG110" s="8">
        <v>728</v>
      </c>
      <c r="EH110" s="28">
        <v>111</v>
      </c>
      <c r="EI110" s="8">
        <v>-19</v>
      </c>
      <c r="EJ110" s="52">
        <v>499</v>
      </c>
      <c r="EL110" s="8">
        <v>652</v>
      </c>
      <c r="EM110" s="28">
        <v>346</v>
      </c>
      <c r="EN110" s="8">
        <v>-334</v>
      </c>
      <c r="EO110" s="28">
        <v>14</v>
      </c>
      <c r="EP110" s="28"/>
      <c r="EQ110" s="28"/>
      <c r="EX110" s="8">
        <v>232</v>
      </c>
      <c r="EY110" s="28">
        <v>117</v>
      </c>
      <c r="FD110" s="6">
        <v>-140</v>
      </c>
      <c r="FE110" s="28">
        <v>232</v>
      </c>
      <c r="FM110" s="8">
        <v>-323</v>
      </c>
      <c r="FN110" s="52">
        <v>26</v>
      </c>
      <c r="FS110" s="8">
        <v>-924</v>
      </c>
      <c r="FT110" s="52">
        <v>104</v>
      </c>
      <c r="GC110" s="8">
        <v>-324</v>
      </c>
      <c r="GI110" s="8">
        <v>20</v>
      </c>
      <c r="GJ110" s="28">
        <v>9</v>
      </c>
      <c r="GP110" s="6">
        <v>-5</v>
      </c>
      <c r="GQ110" s="52">
        <v>85</v>
      </c>
      <c r="GR110" s="8">
        <v>144</v>
      </c>
      <c r="GS110" s="28">
        <v>93</v>
      </c>
      <c r="GT110" s="6">
        <v>552</v>
      </c>
      <c r="GU110" s="52">
        <v>319</v>
      </c>
      <c r="GV110" s="28"/>
      <c r="GW110" s="28"/>
      <c r="GZ110" s="8">
        <v>-374</v>
      </c>
      <c r="HA110" s="28">
        <v>65</v>
      </c>
      <c r="HB110" s="6">
        <v>50</v>
      </c>
      <c r="HC110" s="28"/>
      <c r="HE110" s="8">
        <v>-16</v>
      </c>
      <c r="HF110" s="28">
        <v>12</v>
      </c>
      <c r="HQ110" s="6">
        <v>19</v>
      </c>
      <c r="HR110" s="28">
        <v>16</v>
      </c>
      <c r="HS110" s="8">
        <v>-2</v>
      </c>
      <c r="HT110" s="52">
        <v>26</v>
      </c>
      <c r="HZ110" s="8">
        <v>9</v>
      </c>
      <c r="IB110" s="8">
        <v>-321</v>
      </c>
      <c r="IC110" s="28">
        <v>134</v>
      </c>
      <c r="ID110" s="8">
        <v>-265</v>
      </c>
      <c r="IE110" s="28">
        <v>331</v>
      </c>
      <c r="IO110">
        <v>-141</v>
      </c>
      <c r="IP110" s="10">
        <v>159</v>
      </c>
      <c r="IY110" s="8">
        <v>-212</v>
      </c>
      <c r="JA110" s="8">
        <v>843</v>
      </c>
      <c r="JB110" s="12">
        <v>119</v>
      </c>
      <c r="JP110" s="6">
        <v>-3</v>
      </c>
      <c r="JQ110" s="12">
        <v>371</v>
      </c>
      <c r="JW110" s="8">
        <v>-71</v>
      </c>
      <c r="JX110" s="12">
        <v>222</v>
      </c>
      <c r="KE110" s="6">
        <v>-100</v>
      </c>
      <c r="KF110" s="12">
        <v>117</v>
      </c>
      <c r="KT110" s="8">
        <v>152</v>
      </c>
      <c r="KU110" s="28">
        <v>407</v>
      </c>
      <c r="LD110" s="8">
        <v>273</v>
      </c>
      <c r="LE110" s="28">
        <v>331</v>
      </c>
      <c r="LF110" s="8">
        <v>-38</v>
      </c>
      <c r="LG110" s="28">
        <v>28</v>
      </c>
      <c r="LH110" s="8">
        <v>-380</v>
      </c>
      <c r="LJ110" s="8">
        <v>-59</v>
      </c>
      <c r="LK110" s="28">
        <v>406</v>
      </c>
      <c r="LL110" s="8">
        <v>-27</v>
      </c>
      <c r="LM110" s="28">
        <v>13</v>
      </c>
      <c r="LS110" s="8">
        <v>68</v>
      </c>
      <c r="LU110" s="8">
        <v>-33</v>
      </c>
      <c r="LV110" s="12">
        <v>49</v>
      </c>
      <c r="LW110" s="8">
        <v>-551</v>
      </c>
      <c r="LX110" s="28">
        <v>421</v>
      </c>
      <c r="MF110" s="8">
        <v>-64</v>
      </c>
      <c r="MG110" s="12">
        <v>16</v>
      </c>
      <c r="NC110" s="8">
        <v>-65</v>
      </c>
      <c r="ND110" s="12">
        <v>250</v>
      </c>
      <c r="NP110" s="8">
        <v>20</v>
      </c>
      <c r="NQ110" s="12">
        <v>32</v>
      </c>
      <c r="NW110" s="8">
        <v>107</v>
      </c>
      <c r="NX110" s="28">
        <v>430</v>
      </c>
      <c r="PJ110" s="8">
        <v>-14</v>
      </c>
      <c r="PK110" s="12">
        <v>157</v>
      </c>
      <c r="PP110" s="8">
        <v>785</v>
      </c>
      <c r="PQ110" s="28">
        <v>24</v>
      </c>
      <c r="PR110" s="28"/>
      <c r="PS110" s="8">
        <v>-6</v>
      </c>
      <c r="PT110" s="12">
        <v>22</v>
      </c>
      <c r="PW110" s="8">
        <v>-601</v>
      </c>
      <c r="PX110" s="28">
        <v>782</v>
      </c>
      <c r="QH110" s="8">
        <v>503</v>
      </c>
      <c r="QI110" s="12">
        <v>689</v>
      </c>
      <c r="QT110" s="8">
        <v>211</v>
      </c>
      <c r="QU110" s="12">
        <v>82</v>
      </c>
      <c r="QV110" s="6"/>
      <c r="QW110" s="12"/>
      <c r="RC110" s="6">
        <v>-138</v>
      </c>
      <c r="RE110" s="6">
        <v>379</v>
      </c>
      <c r="RF110" s="12">
        <v>134</v>
      </c>
      <c r="RG110" s="8">
        <v>-312</v>
      </c>
      <c r="RH110" s="28">
        <v>990</v>
      </c>
      <c r="RL110" s="8">
        <v>-32</v>
      </c>
      <c r="SP110" s="8">
        <v>-172</v>
      </c>
      <c r="SY110" s="6">
        <v>904</v>
      </c>
      <c r="TH110" s="8">
        <v>141</v>
      </c>
      <c r="TI110" s="28">
        <v>665</v>
      </c>
      <c r="TX110" s="8">
        <v>-326</v>
      </c>
      <c r="TY110" s="28">
        <v>881</v>
      </c>
      <c r="TZ110" s="8">
        <v>-227</v>
      </c>
      <c r="UA110" s="12">
        <v>478</v>
      </c>
      <c r="VH110" s="8">
        <v>635</v>
      </c>
      <c r="VI110" s="28">
        <v>192</v>
      </c>
      <c r="VL110" s="21"/>
      <c r="VM110" s="8">
        <v>883</v>
      </c>
      <c r="VN110" s="12">
        <v>320</v>
      </c>
      <c r="VO110" s="12"/>
      <c r="VP110" s="12"/>
      <c r="VQ110" s="6">
        <v>-1</v>
      </c>
      <c r="VR110" s="28">
        <v>6</v>
      </c>
      <c r="VS110" s="12"/>
      <c r="VT110" s="12"/>
      <c r="VZ110" s="8">
        <v>-823</v>
      </c>
      <c r="WA110" s="28">
        <v>388</v>
      </c>
      <c r="WB110" s="8">
        <v>6611</v>
      </c>
      <c r="WC110" s="12">
        <v>406</v>
      </c>
      <c r="XK110">
        <v>-46</v>
      </c>
      <c r="XL110" s="1">
        <v>79</v>
      </c>
    </row>
    <row r="111" spans="11:636" x14ac:dyDescent="0.25">
      <c r="K111" s="2">
        <v>2826</v>
      </c>
      <c r="L111" s="1">
        <v>9</v>
      </c>
      <c r="M111">
        <v>246</v>
      </c>
      <c r="N111" s="1">
        <v>7</v>
      </c>
      <c r="V111">
        <v>-2</v>
      </c>
      <c r="W111" s="10">
        <v>82</v>
      </c>
      <c r="AB111">
        <v>-67</v>
      </c>
      <c r="AC111" s="1">
        <v>20</v>
      </c>
      <c r="AD111">
        <v>-2</v>
      </c>
      <c r="AE111" s="1">
        <v>6</v>
      </c>
      <c r="AJ111" s="2">
        <v>-843</v>
      </c>
      <c r="AK111" s="10">
        <v>342</v>
      </c>
      <c r="BD111" s="8"/>
      <c r="BF111">
        <v>-2446</v>
      </c>
      <c r="BG111" s="1">
        <v>1781</v>
      </c>
      <c r="BL111">
        <v>-18</v>
      </c>
      <c r="BM111" s="1">
        <v>11</v>
      </c>
      <c r="BN111">
        <v>-27</v>
      </c>
      <c r="BP111">
        <v>209</v>
      </c>
      <c r="BQ111" s="10">
        <v>1825</v>
      </c>
      <c r="BT111">
        <v>228</v>
      </c>
      <c r="BU111" s="1">
        <v>650</v>
      </c>
      <c r="CE111" s="8">
        <v>86</v>
      </c>
      <c r="CF111" s="28">
        <v>10</v>
      </c>
      <c r="CQ111" s="6">
        <v>-176</v>
      </c>
      <c r="CS111" s="6">
        <v>-9</v>
      </c>
      <c r="CT111" s="28">
        <v>5</v>
      </c>
      <c r="CZ111" s="23">
        <v>43</v>
      </c>
      <c r="DA111" s="25">
        <v>200</v>
      </c>
      <c r="DC111" s="25"/>
      <c r="DF111" s="23">
        <v>112</v>
      </c>
      <c r="DG111" s="25">
        <v>201</v>
      </c>
      <c r="DH111" s="23">
        <v>122</v>
      </c>
      <c r="DI111" s="25">
        <v>136</v>
      </c>
      <c r="DK111" s="28"/>
      <c r="DL111" s="8">
        <v>100</v>
      </c>
      <c r="DQ111" s="8">
        <v>368</v>
      </c>
      <c r="DR111" s="52">
        <v>765</v>
      </c>
      <c r="DS111" s="6">
        <v>-41</v>
      </c>
      <c r="DT111" s="52">
        <v>135</v>
      </c>
      <c r="DU111" s="8">
        <v>435</v>
      </c>
      <c r="DV111" s="28">
        <v>167</v>
      </c>
      <c r="DW111" s="8">
        <v>-54</v>
      </c>
      <c r="DX111" s="28">
        <v>12</v>
      </c>
      <c r="DY111" s="6">
        <v>-348</v>
      </c>
      <c r="DZ111" s="52">
        <v>134</v>
      </c>
      <c r="EA111" s="23">
        <v>753</v>
      </c>
      <c r="EB111" s="52">
        <v>748</v>
      </c>
      <c r="EC111" s="6">
        <v>-542</v>
      </c>
      <c r="ED111" s="28">
        <v>621</v>
      </c>
      <c r="EE111" s="8">
        <v>-163</v>
      </c>
      <c r="EF111" s="52">
        <v>534</v>
      </c>
      <c r="EG111" s="8">
        <v>137</v>
      </c>
      <c r="EH111" s="28">
        <v>798</v>
      </c>
      <c r="EI111" s="8">
        <v>-19</v>
      </c>
      <c r="EJ111" s="52">
        <v>193</v>
      </c>
      <c r="EL111" s="8">
        <v>-567</v>
      </c>
      <c r="EM111" s="28">
        <v>338</v>
      </c>
      <c r="EN111" s="8">
        <v>-203</v>
      </c>
      <c r="EO111" s="28">
        <v>15</v>
      </c>
      <c r="EP111" s="28"/>
      <c r="EQ111" s="28"/>
      <c r="EX111" s="8">
        <v>-24</v>
      </c>
      <c r="EY111" s="28">
        <v>1</v>
      </c>
      <c r="FD111" s="6">
        <v>146</v>
      </c>
      <c r="FE111" s="28">
        <v>539</v>
      </c>
      <c r="FM111" s="8">
        <v>-110</v>
      </c>
      <c r="FN111" s="52">
        <v>240</v>
      </c>
      <c r="FS111" s="8">
        <v>-871</v>
      </c>
      <c r="FT111" s="52">
        <v>103</v>
      </c>
      <c r="GC111" s="8">
        <v>-1</v>
      </c>
      <c r="GI111" s="8">
        <v>19</v>
      </c>
      <c r="GJ111" s="28">
        <v>6</v>
      </c>
      <c r="GP111" s="6">
        <v>-89</v>
      </c>
      <c r="GQ111" s="52">
        <v>564</v>
      </c>
      <c r="GR111" s="8">
        <v>-57</v>
      </c>
      <c r="GS111" s="28">
        <v>101</v>
      </c>
      <c r="GT111" s="6">
        <v>-162</v>
      </c>
      <c r="GU111" s="52">
        <v>924</v>
      </c>
      <c r="GV111" s="28"/>
      <c r="GW111" s="28"/>
      <c r="HB111" s="6">
        <v>-87</v>
      </c>
      <c r="HE111" s="8">
        <v>-22</v>
      </c>
      <c r="HF111" s="28">
        <v>18</v>
      </c>
      <c r="HQ111" s="6">
        <v>8</v>
      </c>
      <c r="HR111" s="28">
        <v>4</v>
      </c>
      <c r="HS111" s="8">
        <v>7</v>
      </c>
      <c r="HT111" s="52">
        <v>167</v>
      </c>
      <c r="HZ111" s="8">
        <v>66</v>
      </c>
      <c r="IB111" s="8">
        <v>-218</v>
      </c>
      <c r="IC111" s="28">
        <v>166</v>
      </c>
      <c r="ID111" s="8">
        <v>232</v>
      </c>
      <c r="IE111" s="28">
        <v>289</v>
      </c>
      <c r="IO111">
        <v>-166</v>
      </c>
      <c r="IP111" s="10">
        <v>110</v>
      </c>
      <c r="IY111" s="8">
        <v>-107</v>
      </c>
      <c r="JA111" s="8">
        <v>-298</v>
      </c>
      <c r="JB111" s="12">
        <v>123</v>
      </c>
      <c r="JP111" s="6">
        <v>3</v>
      </c>
      <c r="JQ111" s="12">
        <v>162</v>
      </c>
      <c r="JW111" s="8">
        <v>-59</v>
      </c>
      <c r="JX111" s="12">
        <v>197</v>
      </c>
      <c r="KE111" s="6">
        <v>-500</v>
      </c>
      <c r="KF111" s="12">
        <v>841</v>
      </c>
      <c r="KT111" s="8">
        <v>-232</v>
      </c>
      <c r="KU111" s="28">
        <v>92</v>
      </c>
      <c r="LD111" s="8">
        <v>-597</v>
      </c>
      <c r="LE111" s="28">
        <v>667</v>
      </c>
      <c r="LF111" s="8">
        <v>-250</v>
      </c>
      <c r="LG111" s="28">
        <v>27</v>
      </c>
      <c r="LH111" s="8">
        <v>-144</v>
      </c>
      <c r="LJ111" s="8">
        <v>304</v>
      </c>
      <c r="LK111" s="28">
        <v>440</v>
      </c>
      <c r="LL111" s="8">
        <v>36</v>
      </c>
      <c r="LM111" s="28">
        <v>20</v>
      </c>
      <c r="LS111" s="8">
        <v>83</v>
      </c>
      <c r="LU111" s="8">
        <v>3</v>
      </c>
      <c r="LV111" s="12">
        <v>72</v>
      </c>
      <c r="LW111" s="8">
        <v>-673</v>
      </c>
      <c r="LX111" s="28">
        <v>406</v>
      </c>
      <c r="MF111" s="8">
        <v>107</v>
      </c>
      <c r="MG111" s="12">
        <v>327</v>
      </c>
      <c r="NC111" s="8">
        <v>7</v>
      </c>
      <c r="ND111" s="12">
        <v>62</v>
      </c>
      <c r="NP111" s="8">
        <v>274</v>
      </c>
      <c r="NQ111" s="12">
        <v>732</v>
      </c>
      <c r="NW111" s="8">
        <v>794</v>
      </c>
      <c r="NX111" s="28">
        <v>596</v>
      </c>
      <c r="PJ111" s="8">
        <v>849</v>
      </c>
      <c r="PK111" s="12">
        <v>126</v>
      </c>
      <c r="PP111" s="8">
        <v>496</v>
      </c>
      <c r="PQ111" s="28">
        <v>19</v>
      </c>
      <c r="PR111" s="28"/>
      <c r="PS111" s="8">
        <v>-60</v>
      </c>
      <c r="PT111" s="12">
        <v>185</v>
      </c>
      <c r="PW111" s="8">
        <v>-915</v>
      </c>
      <c r="PX111" s="28">
        <v>850</v>
      </c>
      <c r="QH111" s="8">
        <v>132</v>
      </c>
      <c r="QI111" s="12">
        <v>818</v>
      </c>
      <c r="QT111" s="8">
        <v>145</v>
      </c>
      <c r="QU111" s="12">
        <v>143</v>
      </c>
      <c r="QV111" s="6"/>
      <c r="QW111" s="12"/>
      <c r="RC111" s="6">
        <v>-16</v>
      </c>
      <c r="RE111" s="6">
        <v>-514</v>
      </c>
      <c r="RF111" s="12">
        <v>52</v>
      </c>
      <c r="RG111" s="8">
        <v>-240</v>
      </c>
      <c r="RH111" s="28">
        <v>192</v>
      </c>
      <c r="RL111" s="8">
        <v>-4</v>
      </c>
      <c r="SP111" s="8">
        <v>-823</v>
      </c>
      <c r="SY111" s="6">
        <v>151</v>
      </c>
      <c r="TH111" s="8">
        <v>245</v>
      </c>
      <c r="TI111" s="28">
        <v>626</v>
      </c>
      <c r="TX111" s="8">
        <v>-317</v>
      </c>
      <c r="TY111" s="28">
        <v>857</v>
      </c>
      <c r="TZ111" s="8">
        <v>-228</v>
      </c>
      <c r="UA111" s="12">
        <v>519</v>
      </c>
      <c r="VH111" s="8">
        <v>28</v>
      </c>
      <c r="VI111" s="28">
        <v>54</v>
      </c>
      <c r="VL111" s="21"/>
      <c r="VM111" s="8">
        <v>-2355</v>
      </c>
      <c r="VN111" s="12">
        <v>402</v>
      </c>
      <c r="VO111" s="12"/>
      <c r="VP111" s="12"/>
      <c r="VQ111" s="6">
        <v>-1</v>
      </c>
      <c r="VR111" s="28">
        <v>6</v>
      </c>
      <c r="VS111" s="12"/>
      <c r="VT111" s="12"/>
      <c r="VZ111" s="8">
        <v>-351</v>
      </c>
      <c r="WA111" s="28">
        <v>150</v>
      </c>
      <c r="WB111" s="8">
        <v>7203</v>
      </c>
      <c r="WC111" s="12">
        <v>473</v>
      </c>
      <c r="XK111">
        <v>10</v>
      </c>
      <c r="XL111" s="1">
        <v>19</v>
      </c>
    </row>
    <row r="112" spans="11:636" x14ac:dyDescent="0.25">
      <c r="K112" s="2">
        <v>2239</v>
      </c>
      <c r="L112" s="1">
        <v>13</v>
      </c>
      <c r="M112">
        <v>26</v>
      </c>
      <c r="N112" s="1">
        <v>18</v>
      </c>
      <c r="V112">
        <v>-3</v>
      </c>
      <c r="W112" s="10">
        <v>387</v>
      </c>
      <c r="AB112">
        <v>-55</v>
      </c>
      <c r="AC112" s="1">
        <v>15</v>
      </c>
      <c r="AD112">
        <v>28</v>
      </c>
      <c r="AE112" s="1">
        <v>8</v>
      </c>
      <c r="AJ112" s="2">
        <v>-1256</v>
      </c>
      <c r="AK112" s="10">
        <v>413</v>
      </c>
      <c r="BD112" s="8"/>
      <c r="BF112">
        <v>143</v>
      </c>
      <c r="BG112" s="1">
        <v>938</v>
      </c>
      <c r="BL112">
        <v>25</v>
      </c>
      <c r="BM112" s="1">
        <v>4</v>
      </c>
      <c r="BN112">
        <v>-300</v>
      </c>
      <c r="BP112">
        <v>485</v>
      </c>
      <c r="BQ112" s="10">
        <v>4362</v>
      </c>
      <c r="BT112">
        <v>-346</v>
      </c>
      <c r="BU112" s="1">
        <v>479</v>
      </c>
      <c r="CE112" s="8">
        <v>138</v>
      </c>
      <c r="CF112" s="28">
        <v>12</v>
      </c>
      <c r="CM112" s="28"/>
      <c r="CQ112" s="6">
        <v>-186</v>
      </c>
      <c r="CS112" s="6">
        <v>-689</v>
      </c>
      <c r="CT112" s="28">
        <v>305</v>
      </c>
      <c r="CZ112" s="23">
        <v>-21</v>
      </c>
      <c r="DA112" s="25">
        <v>140</v>
      </c>
      <c r="DC112" s="25"/>
      <c r="DF112" s="23">
        <v>107</v>
      </c>
      <c r="DG112" s="25">
        <v>206</v>
      </c>
      <c r="DH112" s="23">
        <v>13</v>
      </c>
      <c r="DI112" s="25">
        <v>15</v>
      </c>
      <c r="DK112" s="28"/>
      <c r="DL112" s="8">
        <v>999</v>
      </c>
      <c r="DQ112" s="8">
        <v>104</v>
      </c>
      <c r="DR112" s="52">
        <v>141</v>
      </c>
      <c r="DS112" s="6">
        <v>-1</v>
      </c>
      <c r="DT112" s="52">
        <v>5</v>
      </c>
      <c r="DU112" s="8">
        <v>124</v>
      </c>
      <c r="DV112" s="28">
        <v>224</v>
      </c>
      <c r="DW112" s="8">
        <v>756</v>
      </c>
      <c r="DX112" s="28">
        <v>296</v>
      </c>
      <c r="DY112" s="6">
        <v>-630</v>
      </c>
      <c r="DZ112" s="52">
        <v>194</v>
      </c>
      <c r="EA112" s="23">
        <v>740</v>
      </c>
      <c r="EB112" s="52">
        <v>691</v>
      </c>
      <c r="EC112" s="6">
        <v>-761</v>
      </c>
      <c r="ED112" s="28">
        <v>722</v>
      </c>
      <c r="EE112" s="8">
        <v>526</v>
      </c>
      <c r="EF112" s="52">
        <v>569</v>
      </c>
      <c r="EG112" s="8">
        <v>152</v>
      </c>
      <c r="EH112" s="28">
        <v>756</v>
      </c>
      <c r="EI112" s="8">
        <v>-709</v>
      </c>
      <c r="EJ112" s="52">
        <v>455</v>
      </c>
      <c r="EL112" s="8">
        <v>-666</v>
      </c>
      <c r="EM112" s="28">
        <v>603</v>
      </c>
      <c r="EN112" s="8">
        <v>-256</v>
      </c>
      <c r="EO112" s="28">
        <v>17</v>
      </c>
      <c r="EP112" s="28"/>
      <c r="EQ112" s="28"/>
      <c r="EX112" s="8">
        <v>203</v>
      </c>
      <c r="EY112" s="28">
        <v>201</v>
      </c>
      <c r="FD112" s="6">
        <v>184</v>
      </c>
      <c r="FE112" s="28">
        <v>661</v>
      </c>
      <c r="FM112" s="8">
        <v>390</v>
      </c>
      <c r="FN112" s="52">
        <v>178</v>
      </c>
      <c r="FS112" s="8">
        <v>-936</v>
      </c>
      <c r="FT112" s="52">
        <v>108</v>
      </c>
      <c r="GC112" s="8">
        <v>752</v>
      </c>
      <c r="GI112" s="8">
        <v>-15</v>
      </c>
      <c r="GJ112" s="28">
        <v>7</v>
      </c>
      <c r="GP112" s="6">
        <v>-9</v>
      </c>
      <c r="GQ112" s="52">
        <v>88</v>
      </c>
      <c r="GR112" s="8">
        <v>-243</v>
      </c>
      <c r="GS112" s="28">
        <v>100</v>
      </c>
      <c r="GT112" s="6">
        <v>-323</v>
      </c>
      <c r="GU112" s="52">
        <v>987</v>
      </c>
      <c r="GV112" s="28"/>
      <c r="GW112" s="28"/>
      <c r="HB112" s="6">
        <v>-41</v>
      </c>
      <c r="HE112" s="8">
        <v>-28</v>
      </c>
      <c r="HF112" s="28">
        <v>21</v>
      </c>
      <c r="HQ112" s="6">
        <v>5</v>
      </c>
      <c r="HR112" s="28">
        <v>7</v>
      </c>
      <c r="HS112" s="8">
        <v>-7</v>
      </c>
      <c r="HT112" s="52">
        <v>494</v>
      </c>
      <c r="IB112" s="8">
        <v>477</v>
      </c>
      <c r="IC112" s="28">
        <v>711</v>
      </c>
      <c r="ID112" s="8">
        <v>-20</v>
      </c>
      <c r="IE112" s="28">
        <v>760</v>
      </c>
      <c r="IO112">
        <v>-184</v>
      </c>
      <c r="IP112" s="10">
        <v>63</v>
      </c>
      <c r="IY112" s="8">
        <v>27</v>
      </c>
      <c r="JA112" s="8">
        <v>53</v>
      </c>
      <c r="JB112" s="12">
        <v>130</v>
      </c>
      <c r="JP112" s="6">
        <v>4</v>
      </c>
      <c r="JQ112" s="12">
        <v>258</v>
      </c>
      <c r="JW112" s="8">
        <v>-18</v>
      </c>
      <c r="JX112" s="12">
        <v>58</v>
      </c>
      <c r="KE112" s="6">
        <v>579</v>
      </c>
      <c r="KF112" s="12">
        <v>165</v>
      </c>
      <c r="KT112" s="8">
        <v>-64</v>
      </c>
      <c r="KU112" s="28">
        <v>614</v>
      </c>
      <c r="LD112" s="8">
        <v>637</v>
      </c>
      <c r="LE112" s="28">
        <v>938</v>
      </c>
      <c r="LF112" s="8">
        <v>-260</v>
      </c>
      <c r="LG112" s="28">
        <v>19</v>
      </c>
      <c r="LH112" s="8">
        <v>266</v>
      </c>
      <c r="LJ112" s="8">
        <v>848</v>
      </c>
      <c r="LK112" s="28">
        <v>33</v>
      </c>
      <c r="LL112" s="8">
        <v>17</v>
      </c>
      <c r="LM112" s="28">
        <v>29</v>
      </c>
      <c r="LS112" s="8">
        <v>90</v>
      </c>
      <c r="LU112" s="8">
        <v>71</v>
      </c>
      <c r="LV112" s="12">
        <v>152</v>
      </c>
      <c r="LW112" s="8">
        <v>-135</v>
      </c>
      <c r="LX112" s="28">
        <v>585</v>
      </c>
      <c r="MF112" s="8">
        <v>314</v>
      </c>
      <c r="MG112" s="12">
        <v>139</v>
      </c>
      <c r="NC112" s="8">
        <v>6</v>
      </c>
      <c r="ND112" s="12">
        <v>362</v>
      </c>
      <c r="NP112" s="8">
        <v>497</v>
      </c>
      <c r="NQ112" s="12">
        <v>862</v>
      </c>
      <c r="NW112" s="8">
        <v>531</v>
      </c>
      <c r="NX112" s="28">
        <v>968</v>
      </c>
      <c r="PJ112" s="8">
        <v>212</v>
      </c>
      <c r="PK112" s="12">
        <v>577</v>
      </c>
      <c r="PP112" s="8">
        <v>674</v>
      </c>
      <c r="PQ112" s="28">
        <v>21</v>
      </c>
      <c r="PR112" s="28"/>
      <c r="PS112" s="8">
        <v>8</v>
      </c>
      <c r="PT112" s="12">
        <v>245</v>
      </c>
      <c r="PW112" s="8">
        <v>-213</v>
      </c>
      <c r="PX112" s="28">
        <v>472</v>
      </c>
      <c r="QH112" s="8">
        <v>-272</v>
      </c>
      <c r="QI112" s="12">
        <v>259</v>
      </c>
      <c r="QT112" s="8">
        <v>58</v>
      </c>
      <c r="QU112" s="12">
        <v>29</v>
      </c>
      <c r="QV112" s="12"/>
      <c r="QW112" s="12"/>
      <c r="RC112" s="6">
        <v>557</v>
      </c>
      <c r="RE112" s="6">
        <v>350</v>
      </c>
      <c r="RF112" s="12">
        <v>259</v>
      </c>
      <c r="RG112" s="8">
        <v>76</v>
      </c>
      <c r="RH112" s="28">
        <v>127</v>
      </c>
      <c r="RL112" s="8">
        <v>73</v>
      </c>
      <c r="SP112" s="8">
        <v>-812</v>
      </c>
      <c r="SY112" s="6">
        <v>478</v>
      </c>
      <c r="TH112" s="8">
        <v>162</v>
      </c>
      <c r="TI112" s="28">
        <v>520</v>
      </c>
      <c r="TX112" s="8">
        <v>-302</v>
      </c>
      <c r="TY112" s="28">
        <v>855</v>
      </c>
      <c r="TZ112" s="8">
        <v>-152</v>
      </c>
      <c r="UA112" s="12">
        <v>543</v>
      </c>
      <c r="VH112" s="8">
        <v>271</v>
      </c>
      <c r="VI112" s="28">
        <v>21</v>
      </c>
      <c r="VL112" s="21"/>
      <c r="VM112" s="8">
        <v>-4295</v>
      </c>
      <c r="VN112" s="12">
        <v>74</v>
      </c>
      <c r="VO112" s="12"/>
      <c r="VP112" s="12"/>
      <c r="VQ112" s="6">
        <v>-1</v>
      </c>
      <c r="VR112" s="28">
        <v>6</v>
      </c>
      <c r="VS112" s="12"/>
      <c r="VT112" s="12"/>
      <c r="VZ112" s="8">
        <v>-2</v>
      </c>
      <c r="WA112" s="28">
        <v>91</v>
      </c>
      <c r="WB112" s="8">
        <v>7677</v>
      </c>
      <c r="WC112" s="12">
        <v>455</v>
      </c>
      <c r="XK112">
        <v>12</v>
      </c>
      <c r="XL112" s="1">
        <v>46</v>
      </c>
    </row>
    <row r="113" spans="11:636" x14ac:dyDescent="0.25">
      <c r="K113" s="2">
        <v>3917</v>
      </c>
      <c r="L113" s="1">
        <v>7</v>
      </c>
      <c r="M113">
        <v>207</v>
      </c>
      <c r="N113" s="1">
        <v>5</v>
      </c>
      <c r="V113">
        <v>-7</v>
      </c>
      <c r="W113" s="10">
        <v>404</v>
      </c>
      <c r="AB113">
        <v>-70</v>
      </c>
      <c r="AC113" s="1">
        <v>27</v>
      </c>
      <c r="AD113">
        <v>25</v>
      </c>
      <c r="AE113" s="1">
        <v>5</v>
      </c>
      <c r="AJ113" s="2">
        <v>-11</v>
      </c>
      <c r="AK113" s="10">
        <v>165</v>
      </c>
      <c r="BD113" s="8"/>
      <c r="BF113">
        <v>5041</v>
      </c>
      <c r="BG113" s="1">
        <v>2451</v>
      </c>
      <c r="BL113">
        <v>2819</v>
      </c>
      <c r="BM113" s="1">
        <v>58</v>
      </c>
      <c r="BN113">
        <v>22</v>
      </c>
      <c r="BP113">
        <v>1770</v>
      </c>
      <c r="BQ113" s="10">
        <v>1252</v>
      </c>
      <c r="BT113">
        <v>-145</v>
      </c>
      <c r="BU113" s="1">
        <v>636</v>
      </c>
      <c r="CE113" s="8">
        <v>230</v>
      </c>
      <c r="CF113" s="28">
        <v>27</v>
      </c>
      <c r="CM113" s="28"/>
      <c r="CQ113" s="6">
        <v>-176</v>
      </c>
      <c r="CS113" s="6">
        <v>-727</v>
      </c>
      <c r="CT113" s="28">
        <v>540</v>
      </c>
      <c r="CZ113" s="23">
        <v>145</v>
      </c>
      <c r="DA113" s="25">
        <v>733</v>
      </c>
      <c r="DC113" s="25"/>
      <c r="DF113" s="23">
        <v>109</v>
      </c>
      <c r="DG113" s="25">
        <v>183</v>
      </c>
      <c r="DH113" s="23">
        <v>54</v>
      </c>
      <c r="DI113" s="25">
        <v>27</v>
      </c>
      <c r="DL113" s="8">
        <v>103</v>
      </c>
      <c r="DQ113" s="8">
        <v>133</v>
      </c>
      <c r="DR113" s="52">
        <v>147</v>
      </c>
      <c r="DS113" s="6">
        <v>-53</v>
      </c>
      <c r="DT113" s="52">
        <v>211</v>
      </c>
      <c r="DU113" s="8">
        <v>554</v>
      </c>
      <c r="DV113" s="28">
        <v>713</v>
      </c>
      <c r="DW113" s="8">
        <v>-417</v>
      </c>
      <c r="DX113" s="28">
        <v>117</v>
      </c>
      <c r="DY113" s="6">
        <v>331</v>
      </c>
      <c r="DZ113" s="52">
        <v>139</v>
      </c>
      <c r="EA113" s="23">
        <v>-563</v>
      </c>
      <c r="EB113" s="52">
        <v>418</v>
      </c>
      <c r="EC113" s="6">
        <v>-948</v>
      </c>
      <c r="ED113" s="28">
        <v>807</v>
      </c>
      <c r="EE113" s="8">
        <v>158</v>
      </c>
      <c r="EF113" s="52">
        <v>216</v>
      </c>
      <c r="EG113" s="8">
        <v>297</v>
      </c>
      <c r="EH113" s="28">
        <v>346</v>
      </c>
      <c r="EI113" s="8">
        <v>725</v>
      </c>
      <c r="EJ113" s="52">
        <v>398</v>
      </c>
      <c r="EL113" s="8">
        <v>-674</v>
      </c>
      <c r="EM113" s="28">
        <v>138</v>
      </c>
      <c r="EN113" s="8">
        <v>176</v>
      </c>
      <c r="EO113" s="28">
        <v>19</v>
      </c>
      <c r="EP113" s="28"/>
      <c r="EQ113" s="28"/>
      <c r="EX113" s="8">
        <v>433</v>
      </c>
      <c r="EY113" s="28">
        <v>199</v>
      </c>
      <c r="FD113" s="6">
        <v>117</v>
      </c>
      <c r="FE113" s="28">
        <v>936</v>
      </c>
      <c r="FM113" s="8">
        <v>-280</v>
      </c>
      <c r="FN113" s="52">
        <v>377</v>
      </c>
      <c r="FS113" s="8">
        <v>-934</v>
      </c>
      <c r="FT113" s="52">
        <v>107</v>
      </c>
      <c r="GC113" s="8">
        <v>34</v>
      </c>
      <c r="GI113" s="8">
        <v>4</v>
      </c>
      <c r="GJ113" s="28">
        <v>22</v>
      </c>
      <c r="GP113" s="6">
        <v>-4</v>
      </c>
      <c r="GQ113" s="52">
        <v>29</v>
      </c>
      <c r="GR113" s="8">
        <v>-193</v>
      </c>
      <c r="GS113" s="28">
        <v>123</v>
      </c>
      <c r="GT113" s="6">
        <v>600</v>
      </c>
      <c r="GU113" s="52">
        <v>204</v>
      </c>
      <c r="GV113" s="28"/>
      <c r="GW113" s="28"/>
      <c r="HB113" s="6">
        <v>45</v>
      </c>
      <c r="HE113" s="8">
        <v>-21</v>
      </c>
      <c r="HF113" s="28">
        <v>24</v>
      </c>
      <c r="HQ113" s="6">
        <v>-16</v>
      </c>
      <c r="HR113" s="28">
        <v>10</v>
      </c>
      <c r="HS113" s="8">
        <v>2</v>
      </c>
      <c r="HT113" s="52">
        <v>31</v>
      </c>
      <c r="IB113" s="8">
        <v>273</v>
      </c>
      <c r="IC113" s="28">
        <v>138</v>
      </c>
      <c r="ID113" s="8">
        <v>160</v>
      </c>
      <c r="IE113" s="28">
        <v>35</v>
      </c>
      <c r="IO113">
        <v>-2</v>
      </c>
      <c r="IP113" s="10">
        <v>63</v>
      </c>
      <c r="IY113" s="8">
        <v>-478</v>
      </c>
      <c r="JA113" s="8">
        <v>-351</v>
      </c>
      <c r="JB113" s="12">
        <v>793</v>
      </c>
      <c r="JP113" s="6">
        <v>4</v>
      </c>
      <c r="JQ113" s="12">
        <v>238</v>
      </c>
      <c r="JW113" s="8">
        <v>226</v>
      </c>
      <c r="JX113" s="12">
        <v>71</v>
      </c>
      <c r="KE113" s="6">
        <v>-161</v>
      </c>
      <c r="KF113" s="12">
        <v>268</v>
      </c>
      <c r="KT113" s="8">
        <v>-635</v>
      </c>
      <c r="KU113" s="28">
        <v>827</v>
      </c>
      <c r="LD113" s="8">
        <v>143</v>
      </c>
      <c r="LE113" s="28">
        <v>186</v>
      </c>
      <c r="LF113" s="8">
        <v>-239</v>
      </c>
      <c r="LG113" s="28">
        <v>22</v>
      </c>
      <c r="LJ113" s="8">
        <v>909</v>
      </c>
      <c r="LK113" s="28">
        <v>359</v>
      </c>
      <c r="LL113" s="8">
        <v>15</v>
      </c>
      <c r="LM113" s="28">
        <v>10</v>
      </c>
      <c r="LS113" s="8">
        <v>189</v>
      </c>
      <c r="LU113" s="8">
        <v>235</v>
      </c>
      <c r="LV113" s="12">
        <v>415</v>
      </c>
      <c r="LW113" s="8">
        <v>-214</v>
      </c>
      <c r="LX113" s="28">
        <v>491</v>
      </c>
      <c r="MF113" s="8">
        <v>-356</v>
      </c>
      <c r="MG113" s="12">
        <v>355</v>
      </c>
      <c r="NC113" s="8">
        <v>-18</v>
      </c>
      <c r="ND113" s="12">
        <v>496</v>
      </c>
      <c r="NP113" s="8">
        <v>652</v>
      </c>
      <c r="NQ113" s="12">
        <v>891</v>
      </c>
      <c r="NW113" s="8">
        <v>145</v>
      </c>
      <c r="NX113" s="28">
        <v>149</v>
      </c>
      <c r="PJ113" s="8">
        <v>-28</v>
      </c>
      <c r="PK113" s="12">
        <v>530</v>
      </c>
      <c r="PP113" s="8">
        <v>728</v>
      </c>
      <c r="PQ113" s="28">
        <v>20</v>
      </c>
      <c r="PR113" s="28"/>
      <c r="PS113" s="8">
        <v>68</v>
      </c>
      <c r="PT113" s="12">
        <v>443</v>
      </c>
      <c r="PW113" s="8">
        <v>114</v>
      </c>
      <c r="PX113" s="28">
        <v>118</v>
      </c>
      <c r="QT113" s="8">
        <v>-213</v>
      </c>
      <c r="QU113" s="12">
        <v>22</v>
      </c>
      <c r="QV113" s="12"/>
      <c r="QW113" s="12"/>
      <c r="RC113" s="6">
        <v>442</v>
      </c>
      <c r="RE113" s="6">
        <v>331</v>
      </c>
      <c r="RF113" s="12">
        <v>251</v>
      </c>
      <c r="RG113" s="8">
        <v>-155</v>
      </c>
      <c r="RH113" s="28">
        <v>691</v>
      </c>
      <c r="RL113" s="8">
        <v>-77</v>
      </c>
      <c r="SP113" s="8">
        <v>-172</v>
      </c>
      <c r="SY113" s="6">
        <v>244</v>
      </c>
      <c r="TH113" s="8">
        <v>169</v>
      </c>
      <c r="TI113" s="28">
        <v>406</v>
      </c>
      <c r="TX113" s="8">
        <v>-351</v>
      </c>
      <c r="TY113" s="28">
        <v>904</v>
      </c>
      <c r="TZ113" s="8">
        <v>952</v>
      </c>
      <c r="UA113" s="12">
        <v>108</v>
      </c>
      <c r="VH113" s="8">
        <v>5</v>
      </c>
      <c r="VI113" s="28">
        <v>9</v>
      </c>
      <c r="VL113" s="21"/>
      <c r="VM113" s="8">
        <v>-8897</v>
      </c>
      <c r="VN113" s="12">
        <v>143</v>
      </c>
      <c r="VO113" s="12"/>
      <c r="VP113" s="12"/>
      <c r="VQ113" s="6">
        <v>6</v>
      </c>
      <c r="VR113" s="28">
        <v>6</v>
      </c>
      <c r="VS113" s="12"/>
      <c r="VT113" s="12"/>
      <c r="VZ113" s="8">
        <v>34</v>
      </c>
      <c r="WA113" s="28">
        <v>93</v>
      </c>
      <c r="WB113" s="8">
        <v>7728</v>
      </c>
      <c r="WC113" s="12">
        <v>419</v>
      </c>
      <c r="XK113">
        <v>-5</v>
      </c>
      <c r="XL113" s="1">
        <v>30</v>
      </c>
    </row>
    <row r="114" spans="11:636" x14ac:dyDescent="0.25">
      <c r="K114" s="2">
        <v>-126</v>
      </c>
      <c r="L114" s="1">
        <v>8</v>
      </c>
      <c r="V114">
        <v>-3</v>
      </c>
      <c r="W114" s="10">
        <v>354</v>
      </c>
      <c r="AB114">
        <v>-28</v>
      </c>
      <c r="AC114" s="1">
        <v>23</v>
      </c>
      <c r="AD114">
        <v>11</v>
      </c>
      <c r="AE114" s="1">
        <v>3</v>
      </c>
      <c r="AJ114" s="2">
        <v>-20</v>
      </c>
      <c r="AK114" s="10">
        <v>167</v>
      </c>
      <c r="BD114" s="8"/>
      <c r="BF114">
        <v>-1380</v>
      </c>
      <c r="BG114" s="1">
        <v>587</v>
      </c>
      <c r="BN114">
        <v>-118</v>
      </c>
      <c r="BP114">
        <v>1524</v>
      </c>
      <c r="BQ114" s="10">
        <v>5433</v>
      </c>
      <c r="BT114">
        <v>643</v>
      </c>
      <c r="BU114" s="1">
        <v>178</v>
      </c>
      <c r="CE114" s="8">
        <v>155</v>
      </c>
      <c r="CF114" s="28">
        <v>12</v>
      </c>
      <c r="CM114" s="28"/>
      <c r="CQ114" s="6">
        <v>-177</v>
      </c>
      <c r="CS114" s="6">
        <v>655</v>
      </c>
      <c r="CT114" s="28">
        <v>107</v>
      </c>
      <c r="CZ114" s="23">
        <v>-25</v>
      </c>
      <c r="DA114" s="25">
        <v>12</v>
      </c>
      <c r="DF114" s="23">
        <v>105</v>
      </c>
      <c r="DG114" s="25">
        <v>509</v>
      </c>
      <c r="DH114" s="23">
        <v>-117</v>
      </c>
      <c r="DI114" s="25">
        <v>106</v>
      </c>
      <c r="DL114" s="8">
        <v>106</v>
      </c>
      <c r="DQ114" s="8">
        <v>191</v>
      </c>
      <c r="DR114" s="52">
        <v>121</v>
      </c>
      <c r="DS114" s="6">
        <v>25</v>
      </c>
      <c r="DT114" s="52">
        <v>44</v>
      </c>
      <c r="DU114" s="8">
        <v>103</v>
      </c>
      <c r="DV114" s="28">
        <v>257</v>
      </c>
      <c r="DW114" s="8">
        <v>-4</v>
      </c>
      <c r="DX114" s="28">
        <v>1</v>
      </c>
      <c r="DY114" s="6">
        <v>392</v>
      </c>
      <c r="DZ114" s="52">
        <v>118</v>
      </c>
      <c r="EA114" s="23">
        <v>-126</v>
      </c>
      <c r="EB114" s="52">
        <v>163</v>
      </c>
      <c r="EC114" s="6">
        <v>-625</v>
      </c>
      <c r="ED114" s="28">
        <v>959</v>
      </c>
      <c r="EE114" s="8">
        <v>864</v>
      </c>
      <c r="EF114" s="52">
        <v>640</v>
      </c>
      <c r="EG114" s="8">
        <v>-551</v>
      </c>
      <c r="EH114" s="28">
        <v>622</v>
      </c>
      <c r="EI114" s="8">
        <v>-17</v>
      </c>
      <c r="EJ114" s="52">
        <v>360</v>
      </c>
      <c r="EL114" s="8">
        <v>-150</v>
      </c>
      <c r="EM114" s="28">
        <v>719</v>
      </c>
      <c r="EN114" s="8">
        <v>82</v>
      </c>
      <c r="EO114" s="28">
        <v>16</v>
      </c>
      <c r="EP114" s="28"/>
      <c r="EQ114" s="28"/>
      <c r="EX114" s="8">
        <v>-993</v>
      </c>
      <c r="EY114" s="28">
        <v>187</v>
      </c>
      <c r="FD114" s="6">
        <v>307</v>
      </c>
      <c r="FE114" s="28">
        <v>451</v>
      </c>
      <c r="FM114" s="8">
        <v>-157</v>
      </c>
      <c r="FN114" s="52">
        <v>371</v>
      </c>
      <c r="FS114" s="8">
        <v>-872</v>
      </c>
      <c r="FT114" s="52">
        <v>107</v>
      </c>
      <c r="GC114" s="8">
        <v>265</v>
      </c>
      <c r="GI114" s="8">
        <v>-3</v>
      </c>
      <c r="GJ114" s="28">
        <v>17</v>
      </c>
      <c r="GP114" s="6">
        <v>-16</v>
      </c>
      <c r="GQ114" s="52">
        <v>187</v>
      </c>
      <c r="GR114" s="8">
        <v>-178</v>
      </c>
      <c r="GS114" s="28">
        <v>90</v>
      </c>
      <c r="GT114" s="6">
        <v>45</v>
      </c>
      <c r="GU114" s="52">
        <v>323</v>
      </c>
      <c r="GV114" s="28"/>
      <c r="GW114" s="28"/>
      <c r="HB114" s="6">
        <v>-5</v>
      </c>
      <c r="HE114" s="8">
        <v>-9</v>
      </c>
      <c r="HF114" s="28">
        <v>42</v>
      </c>
      <c r="HQ114" s="6">
        <v>2</v>
      </c>
      <c r="HR114" s="28">
        <v>3</v>
      </c>
      <c r="HS114" s="8">
        <v>-3</v>
      </c>
      <c r="HT114" s="52">
        <v>162</v>
      </c>
      <c r="IB114" s="8">
        <v>-364</v>
      </c>
      <c r="IC114" s="28">
        <v>157</v>
      </c>
      <c r="ID114" s="8">
        <v>161</v>
      </c>
      <c r="IE114" s="28">
        <v>82</v>
      </c>
      <c r="IO114">
        <v>14</v>
      </c>
      <c r="IP114" s="10">
        <v>363</v>
      </c>
      <c r="IY114" s="8">
        <v>195</v>
      </c>
      <c r="JA114" s="8">
        <v>-29</v>
      </c>
      <c r="JB114" s="12">
        <v>129</v>
      </c>
      <c r="JP114" s="6">
        <v>4</v>
      </c>
      <c r="JQ114" s="12">
        <v>265</v>
      </c>
      <c r="JW114" s="8">
        <v>198</v>
      </c>
      <c r="JX114" s="12">
        <v>62</v>
      </c>
      <c r="KE114" s="6">
        <v>-261</v>
      </c>
      <c r="KF114" s="12">
        <v>121</v>
      </c>
      <c r="KT114" s="8">
        <v>122</v>
      </c>
      <c r="KU114" s="28">
        <v>638</v>
      </c>
      <c r="LD114" s="8">
        <v>-343</v>
      </c>
      <c r="LE114" s="28">
        <v>373</v>
      </c>
      <c r="LF114" s="8">
        <v>-6</v>
      </c>
      <c r="LG114" s="28">
        <v>22</v>
      </c>
      <c r="LJ114" s="8">
        <v>145</v>
      </c>
      <c r="LK114" s="28">
        <v>111</v>
      </c>
      <c r="LL114" s="8">
        <v>-6</v>
      </c>
      <c r="LM114" s="28">
        <v>5</v>
      </c>
      <c r="LS114" s="8">
        <v>40</v>
      </c>
      <c r="LU114" s="8">
        <v>-25</v>
      </c>
      <c r="LV114" s="12">
        <v>69</v>
      </c>
      <c r="LW114" s="8">
        <v>-914</v>
      </c>
      <c r="LX114" s="28">
        <v>789</v>
      </c>
      <c r="MF114" s="8">
        <v>-288</v>
      </c>
      <c r="MG114" s="12">
        <v>416</v>
      </c>
      <c r="NC114" s="8">
        <v>11</v>
      </c>
      <c r="ND114" s="12">
        <v>528</v>
      </c>
      <c r="NP114" s="8">
        <v>45</v>
      </c>
      <c r="NQ114" s="12">
        <v>822</v>
      </c>
      <c r="NW114" s="8">
        <v>902</v>
      </c>
      <c r="NX114" s="28">
        <v>267</v>
      </c>
      <c r="PJ114" s="8">
        <v>13</v>
      </c>
      <c r="PK114" s="12">
        <v>357</v>
      </c>
      <c r="PP114" s="8">
        <v>670</v>
      </c>
      <c r="PQ114" s="28">
        <v>15</v>
      </c>
      <c r="PR114" s="28"/>
      <c r="PS114" s="8">
        <v>89</v>
      </c>
      <c r="PT114" s="12">
        <v>726</v>
      </c>
      <c r="QT114" s="8">
        <v>224</v>
      </c>
      <c r="QU114" s="12">
        <v>24</v>
      </c>
      <c r="QV114" s="12"/>
      <c r="QW114" s="12"/>
      <c r="RC114" s="6">
        <v>146</v>
      </c>
      <c r="RE114" s="6">
        <v>178</v>
      </c>
      <c r="RF114" s="12">
        <v>162</v>
      </c>
      <c r="RG114" s="8">
        <v>-492</v>
      </c>
      <c r="RH114" s="28">
        <v>139</v>
      </c>
      <c r="RL114" s="8">
        <v>-150</v>
      </c>
      <c r="SP114" s="8">
        <v>-182</v>
      </c>
      <c r="SY114" s="6">
        <v>28</v>
      </c>
      <c r="TH114" s="8">
        <v>225</v>
      </c>
      <c r="TI114" s="28">
        <v>459</v>
      </c>
      <c r="TX114" s="8">
        <v>160</v>
      </c>
      <c r="TY114" s="28">
        <v>701</v>
      </c>
      <c r="TZ114" s="8">
        <v>602</v>
      </c>
      <c r="UA114" s="12">
        <v>518</v>
      </c>
      <c r="VH114" s="8">
        <v>-7</v>
      </c>
      <c r="VI114" s="28">
        <v>13</v>
      </c>
      <c r="VL114" s="21"/>
      <c r="VM114" s="8">
        <v>-61483</v>
      </c>
      <c r="VN114" s="12">
        <v>112</v>
      </c>
      <c r="VO114" s="12"/>
      <c r="VP114" s="12"/>
      <c r="VQ114" s="6">
        <v>-5</v>
      </c>
      <c r="VR114" s="28">
        <v>8</v>
      </c>
      <c r="VS114" s="12"/>
      <c r="VT114" s="12"/>
      <c r="VU114" s="30">
        <v>112</v>
      </c>
      <c r="VZ114" s="8">
        <v>-276</v>
      </c>
      <c r="WA114" s="28">
        <v>408</v>
      </c>
      <c r="WB114" s="8">
        <v>7596</v>
      </c>
      <c r="WC114" s="12">
        <v>357</v>
      </c>
      <c r="XK114">
        <v>9</v>
      </c>
      <c r="XL114" s="1">
        <v>23</v>
      </c>
    </row>
    <row r="115" spans="11:636" x14ac:dyDescent="0.25">
      <c r="K115" s="2">
        <v>4291</v>
      </c>
      <c r="L115" s="1">
        <v>8</v>
      </c>
      <c r="V115">
        <v>-1</v>
      </c>
      <c r="W115" s="10">
        <v>102</v>
      </c>
      <c r="AB115">
        <v>-49</v>
      </c>
      <c r="AC115" s="1">
        <v>45</v>
      </c>
      <c r="AD115">
        <v>37</v>
      </c>
      <c r="AE115" s="1">
        <v>4</v>
      </c>
      <c r="AJ115" s="2">
        <v>-391</v>
      </c>
      <c r="AK115" s="10">
        <v>588</v>
      </c>
      <c r="BD115" s="8"/>
      <c r="BF115">
        <v>-25136</v>
      </c>
      <c r="BG115" s="1">
        <v>3510</v>
      </c>
      <c r="BN115">
        <v>54</v>
      </c>
      <c r="BP115">
        <v>597</v>
      </c>
      <c r="BQ115" s="10">
        <v>2173</v>
      </c>
      <c r="BT115">
        <v>-239</v>
      </c>
      <c r="BU115" s="1">
        <v>127</v>
      </c>
      <c r="CE115" s="8">
        <v>164</v>
      </c>
      <c r="CF115" s="28">
        <v>17</v>
      </c>
      <c r="CM115" s="28"/>
      <c r="CQ115" s="6">
        <v>-176</v>
      </c>
      <c r="CS115" s="6">
        <v>588</v>
      </c>
      <c r="CT115" s="28">
        <v>685</v>
      </c>
      <c r="CZ115" s="23">
        <v>20</v>
      </c>
      <c r="DA115" s="25">
        <v>6</v>
      </c>
      <c r="DF115" s="23">
        <v>111</v>
      </c>
      <c r="DG115" s="25">
        <v>354</v>
      </c>
      <c r="DH115" s="23">
        <v>-212</v>
      </c>
      <c r="DI115" s="25">
        <v>115</v>
      </c>
      <c r="DL115" s="8">
        <v>584</v>
      </c>
      <c r="DQ115" s="8">
        <v>474</v>
      </c>
      <c r="DR115" s="52">
        <v>998</v>
      </c>
      <c r="DS115" s="6">
        <v>-126</v>
      </c>
      <c r="DT115" s="52">
        <v>226</v>
      </c>
      <c r="DU115" s="8">
        <v>149</v>
      </c>
      <c r="DV115" s="28">
        <v>13</v>
      </c>
      <c r="DW115" s="8">
        <v>-59</v>
      </c>
      <c r="DX115" s="28">
        <v>16</v>
      </c>
      <c r="DY115" s="6">
        <v>562</v>
      </c>
      <c r="DZ115" s="52">
        <v>288</v>
      </c>
      <c r="EA115" s="23">
        <v>3</v>
      </c>
      <c r="EB115" s="52">
        <v>249</v>
      </c>
      <c r="EC115" s="6">
        <v>-117</v>
      </c>
      <c r="ED115" s="28">
        <v>117</v>
      </c>
      <c r="EE115" s="8">
        <v>968</v>
      </c>
      <c r="EF115" s="52">
        <v>787</v>
      </c>
      <c r="EG115" s="8">
        <v>661</v>
      </c>
      <c r="EH115" s="28">
        <v>300</v>
      </c>
      <c r="EI115" s="8">
        <v>134</v>
      </c>
      <c r="EJ115" s="52">
        <v>644</v>
      </c>
      <c r="EL115" s="8">
        <v>-754</v>
      </c>
      <c r="EM115" s="28">
        <v>134</v>
      </c>
      <c r="EN115" s="8">
        <v>-126</v>
      </c>
      <c r="EO115" s="28">
        <v>56</v>
      </c>
      <c r="EP115" s="28"/>
      <c r="EQ115" s="28"/>
      <c r="EX115" s="8">
        <v>136</v>
      </c>
      <c r="EY115" s="28">
        <v>187</v>
      </c>
      <c r="FD115" s="6">
        <v>528</v>
      </c>
      <c r="FE115" s="28">
        <v>348</v>
      </c>
      <c r="FM115" s="8">
        <v>-239</v>
      </c>
      <c r="FN115" s="52">
        <v>328</v>
      </c>
      <c r="FS115" s="8">
        <v>-472</v>
      </c>
      <c r="FT115" s="52">
        <v>143</v>
      </c>
      <c r="GC115" s="8">
        <v>179</v>
      </c>
      <c r="GI115" s="8">
        <v>-50</v>
      </c>
      <c r="GJ115" s="28">
        <v>27</v>
      </c>
      <c r="GP115" s="6">
        <v>1</v>
      </c>
      <c r="GQ115" s="52">
        <v>13</v>
      </c>
      <c r="GR115" s="8">
        <v>-326</v>
      </c>
      <c r="GS115" s="28">
        <v>110</v>
      </c>
      <c r="GT115" s="6">
        <v>-14</v>
      </c>
      <c r="GU115" s="52">
        <v>860</v>
      </c>
      <c r="GV115" s="28"/>
      <c r="GW115" s="28"/>
      <c r="HB115" s="6">
        <v>-64</v>
      </c>
      <c r="HE115" s="8">
        <v>-19</v>
      </c>
      <c r="HF115" s="28">
        <v>40</v>
      </c>
      <c r="HQ115" s="6">
        <v>-15</v>
      </c>
      <c r="HR115" s="28">
        <v>10</v>
      </c>
      <c r="HS115" s="8">
        <v>5</v>
      </c>
      <c r="HT115" s="52">
        <v>218</v>
      </c>
      <c r="IB115" s="8">
        <v>-572</v>
      </c>
      <c r="IC115" s="28">
        <v>165</v>
      </c>
      <c r="ID115" s="8">
        <v>-592</v>
      </c>
      <c r="IE115" s="28">
        <v>168</v>
      </c>
      <c r="IO115">
        <v>-11</v>
      </c>
      <c r="IP115" s="10">
        <v>522</v>
      </c>
      <c r="IY115" s="8">
        <v>230</v>
      </c>
      <c r="JA115" s="8">
        <v>-781</v>
      </c>
      <c r="JB115" s="12">
        <v>341</v>
      </c>
      <c r="JP115" s="6">
        <v>1</v>
      </c>
      <c r="JQ115" s="12">
        <v>73</v>
      </c>
      <c r="JW115" s="8">
        <v>-83</v>
      </c>
      <c r="JX115" s="12">
        <v>26</v>
      </c>
      <c r="KE115" s="6">
        <v>-292</v>
      </c>
      <c r="KF115" s="12">
        <v>387</v>
      </c>
      <c r="KT115" s="8">
        <v>-7</v>
      </c>
      <c r="KU115" s="28">
        <v>7</v>
      </c>
      <c r="LD115" s="8">
        <v>464</v>
      </c>
      <c r="LE115" s="28">
        <v>187</v>
      </c>
      <c r="LF115" s="8">
        <v>-105</v>
      </c>
      <c r="LG115" s="28">
        <v>27</v>
      </c>
      <c r="LJ115" s="8">
        <v>-119</v>
      </c>
      <c r="LK115" s="28">
        <v>26</v>
      </c>
      <c r="LL115" s="8">
        <v>1</v>
      </c>
      <c r="LM115" s="28">
        <v>1</v>
      </c>
      <c r="LS115" s="8">
        <v>11</v>
      </c>
      <c r="LU115" s="8">
        <v>-51</v>
      </c>
      <c r="LV115" s="12">
        <v>89</v>
      </c>
      <c r="LW115" s="8">
        <v>-229</v>
      </c>
      <c r="LX115" s="28">
        <v>511</v>
      </c>
      <c r="MF115" s="8">
        <v>-299</v>
      </c>
      <c r="MG115" s="12">
        <v>144</v>
      </c>
      <c r="NC115" s="8">
        <v>44</v>
      </c>
      <c r="ND115" s="12">
        <v>376</v>
      </c>
      <c r="NP115" s="8">
        <v>-1</v>
      </c>
      <c r="NQ115" s="12">
        <v>720</v>
      </c>
      <c r="NW115" s="8">
        <v>116</v>
      </c>
      <c r="NX115" s="28">
        <v>326</v>
      </c>
      <c r="PJ115" s="8">
        <v>61</v>
      </c>
      <c r="PK115" s="12">
        <v>141</v>
      </c>
      <c r="PP115" s="8">
        <v>649</v>
      </c>
      <c r="PQ115" s="28">
        <v>18</v>
      </c>
      <c r="PR115" s="28"/>
      <c r="PS115" s="8">
        <v>72</v>
      </c>
      <c r="PT115" s="12">
        <v>538</v>
      </c>
      <c r="QT115" s="8">
        <v>122</v>
      </c>
      <c r="QU115" s="12">
        <v>169</v>
      </c>
      <c r="QV115" s="12"/>
      <c r="QW115" s="12"/>
      <c r="RE115" s="6">
        <v>-426</v>
      </c>
      <c r="RF115" s="12">
        <v>169</v>
      </c>
      <c r="RG115" s="8">
        <v>61</v>
      </c>
      <c r="RH115" s="28">
        <v>102</v>
      </c>
      <c r="RL115" s="8">
        <v>10</v>
      </c>
      <c r="SP115" s="8">
        <v>-250</v>
      </c>
      <c r="SY115" s="6">
        <v>173</v>
      </c>
      <c r="TH115" s="8">
        <v>201</v>
      </c>
      <c r="TI115" s="28">
        <v>392</v>
      </c>
      <c r="TX115" s="8">
        <v>195</v>
      </c>
      <c r="TY115" s="28">
        <v>437</v>
      </c>
      <c r="TZ115" s="8">
        <v>364</v>
      </c>
      <c r="UA115" s="12">
        <v>653</v>
      </c>
      <c r="VH115" s="8">
        <v>-427</v>
      </c>
      <c r="VI115" s="28">
        <v>549</v>
      </c>
      <c r="VL115" s="21"/>
      <c r="VM115" s="8">
        <v>-14454</v>
      </c>
      <c r="VN115" s="12">
        <v>370</v>
      </c>
      <c r="VO115" s="12"/>
      <c r="VP115" s="12"/>
      <c r="VQ115" s="6">
        <v>6</v>
      </c>
      <c r="VR115" s="28">
        <v>6</v>
      </c>
      <c r="VS115" s="12"/>
      <c r="VT115" s="12"/>
      <c r="VZ115" s="8">
        <v>-551</v>
      </c>
      <c r="WA115" s="28">
        <v>236</v>
      </c>
      <c r="WB115" s="8">
        <v>6096</v>
      </c>
      <c r="WC115" s="12">
        <v>277</v>
      </c>
      <c r="XK115">
        <v>33</v>
      </c>
      <c r="XL115" s="1">
        <v>15</v>
      </c>
    </row>
    <row r="116" spans="11:636" x14ac:dyDescent="0.25">
      <c r="K116" s="2">
        <v>3362</v>
      </c>
      <c r="L116" s="1">
        <v>7</v>
      </c>
      <c r="V116">
        <v>1</v>
      </c>
      <c r="W116" s="10">
        <v>55</v>
      </c>
      <c r="AB116">
        <v>-9</v>
      </c>
      <c r="AC116" s="1">
        <v>29</v>
      </c>
      <c r="AD116">
        <v>27</v>
      </c>
      <c r="AE116" s="1">
        <v>6</v>
      </c>
      <c r="AJ116" s="2">
        <v>-586</v>
      </c>
      <c r="AK116" s="10">
        <v>438</v>
      </c>
      <c r="BD116" s="8"/>
      <c r="BF116">
        <v>25</v>
      </c>
      <c r="BG116" s="1">
        <v>7</v>
      </c>
      <c r="BN116">
        <v>494</v>
      </c>
      <c r="BP116">
        <v>268</v>
      </c>
      <c r="BQ116" s="10">
        <v>1029</v>
      </c>
      <c r="BT116">
        <v>-387</v>
      </c>
      <c r="BU116" s="1">
        <v>580</v>
      </c>
      <c r="CE116" s="8">
        <v>147</v>
      </c>
      <c r="CF116" s="28">
        <v>15</v>
      </c>
      <c r="CM116" s="28"/>
      <c r="CQ116" s="6">
        <v>-175</v>
      </c>
      <c r="CS116" s="6">
        <v>-355</v>
      </c>
      <c r="CT116" s="28">
        <v>403</v>
      </c>
      <c r="CZ116" s="23">
        <v>-6</v>
      </c>
      <c r="DA116" s="25">
        <v>6</v>
      </c>
      <c r="DF116" s="23">
        <v>104</v>
      </c>
      <c r="DG116" s="25">
        <v>229</v>
      </c>
      <c r="DH116" s="23">
        <v>-39</v>
      </c>
      <c r="DI116" s="25">
        <v>127</v>
      </c>
      <c r="DL116" s="8">
        <v>384</v>
      </c>
      <c r="DQ116" s="8">
        <v>538</v>
      </c>
      <c r="DR116" s="52">
        <v>556</v>
      </c>
      <c r="DS116" s="6">
        <v>-74</v>
      </c>
      <c r="DT116" s="52">
        <v>146</v>
      </c>
      <c r="DU116" s="8">
        <v>532</v>
      </c>
      <c r="DV116" s="28">
        <v>83</v>
      </c>
      <c r="DW116" s="8">
        <v>841</v>
      </c>
      <c r="DX116" s="28">
        <v>356</v>
      </c>
      <c r="DY116" s="6">
        <v>-117</v>
      </c>
      <c r="DZ116" s="52">
        <v>371</v>
      </c>
      <c r="EA116" s="23">
        <v>242</v>
      </c>
      <c r="EB116" s="52">
        <v>100</v>
      </c>
      <c r="EC116" s="6">
        <v>-3</v>
      </c>
      <c r="ED116" s="28">
        <v>5</v>
      </c>
      <c r="EE116" s="8">
        <v>-40</v>
      </c>
      <c r="EF116" s="52">
        <v>52</v>
      </c>
      <c r="EG116" s="8">
        <v>365</v>
      </c>
      <c r="EH116" s="28">
        <v>248</v>
      </c>
      <c r="EI116" s="8">
        <v>25</v>
      </c>
      <c r="EJ116" s="52">
        <v>524</v>
      </c>
      <c r="EL116" s="8">
        <v>109</v>
      </c>
      <c r="EM116" s="28">
        <v>441</v>
      </c>
      <c r="EN116" s="8">
        <v>139</v>
      </c>
      <c r="EO116" s="28">
        <v>18</v>
      </c>
      <c r="EP116" s="28"/>
      <c r="EQ116" s="28"/>
      <c r="EX116" s="8">
        <v>-780</v>
      </c>
      <c r="EY116" s="28">
        <v>132</v>
      </c>
      <c r="FD116" s="6">
        <v>119</v>
      </c>
      <c r="FE116" s="28">
        <v>161</v>
      </c>
      <c r="FM116" s="8">
        <v>-176</v>
      </c>
      <c r="FN116" s="52">
        <v>326</v>
      </c>
      <c r="FS116" s="8">
        <v>-457</v>
      </c>
      <c r="FT116" s="52">
        <v>142</v>
      </c>
      <c r="GC116" s="8">
        <v>557</v>
      </c>
      <c r="GI116" s="8">
        <v>-7</v>
      </c>
      <c r="GJ116" s="28">
        <v>40</v>
      </c>
      <c r="GP116" s="6">
        <v>34</v>
      </c>
      <c r="GQ116" s="52">
        <v>128</v>
      </c>
      <c r="GR116" s="8">
        <v>278</v>
      </c>
      <c r="GS116" s="28">
        <v>204</v>
      </c>
      <c r="GT116" s="6">
        <v>-7</v>
      </c>
      <c r="GU116" s="52">
        <v>121</v>
      </c>
      <c r="GV116" s="28"/>
      <c r="GW116" s="28"/>
      <c r="HB116" s="6">
        <v>122</v>
      </c>
      <c r="HE116" s="8">
        <v>61</v>
      </c>
      <c r="HF116" s="28">
        <v>27</v>
      </c>
      <c r="HQ116" s="6">
        <v>15</v>
      </c>
      <c r="HR116" s="28">
        <v>11</v>
      </c>
      <c r="HS116" s="8">
        <v>11</v>
      </c>
      <c r="HT116" s="52">
        <v>148</v>
      </c>
      <c r="IB116" s="8">
        <v>-309</v>
      </c>
      <c r="IC116" s="28">
        <v>135</v>
      </c>
      <c r="ID116" s="8">
        <v>-175</v>
      </c>
      <c r="IE116" s="28">
        <v>196</v>
      </c>
      <c r="IO116">
        <v>43</v>
      </c>
      <c r="IP116" s="10">
        <v>327</v>
      </c>
      <c r="IY116" s="8">
        <v>330</v>
      </c>
      <c r="JA116" s="8">
        <v>-758</v>
      </c>
      <c r="JB116" s="12">
        <v>304</v>
      </c>
      <c r="JP116" s="6">
        <v>1</v>
      </c>
      <c r="JQ116" s="12">
        <v>78</v>
      </c>
      <c r="JW116" s="8">
        <v>-67</v>
      </c>
      <c r="JX116" s="12">
        <v>227</v>
      </c>
      <c r="KE116" s="6">
        <v>-221</v>
      </c>
      <c r="KF116" s="12">
        <v>478</v>
      </c>
      <c r="KT116" s="8">
        <v>63</v>
      </c>
      <c r="KU116" s="28">
        <v>42</v>
      </c>
      <c r="LD116" s="8">
        <v>592</v>
      </c>
      <c r="LE116" s="28">
        <v>411</v>
      </c>
      <c r="LF116" s="8">
        <v>-89</v>
      </c>
      <c r="LG116" s="28">
        <v>20</v>
      </c>
      <c r="LJ116" s="8">
        <v>557</v>
      </c>
      <c r="LK116" s="28">
        <v>863</v>
      </c>
      <c r="LL116" s="8">
        <v>-7</v>
      </c>
      <c r="LM116" s="28">
        <v>1</v>
      </c>
      <c r="LS116" s="8">
        <v>105</v>
      </c>
      <c r="LU116" s="8">
        <v>-10</v>
      </c>
      <c r="LV116" s="12">
        <v>21</v>
      </c>
      <c r="LW116" s="8">
        <v>-791</v>
      </c>
      <c r="LX116" s="28">
        <v>447</v>
      </c>
      <c r="MF116" s="8">
        <v>181</v>
      </c>
      <c r="MG116" s="12">
        <v>61</v>
      </c>
      <c r="NC116" s="8">
        <v>1</v>
      </c>
      <c r="ND116" s="12">
        <v>769</v>
      </c>
      <c r="NP116" s="8">
        <v>851</v>
      </c>
      <c r="NQ116" s="12">
        <v>617</v>
      </c>
      <c r="NW116" s="8">
        <v>155</v>
      </c>
      <c r="NX116" s="28">
        <v>318</v>
      </c>
      <c r="PJ116" s="8">
        <v>-3</v>
      </c>
      <c r="PK116" s="12">
        <v>68</v>
      </c>
      <c r="PP116" s="8">
        <v>645</v>
      </c>
      <c r="PQ116" s="28">
        <v>15</v>
      </c>
      <c r="PR116" s="28"/>
      <c r="PS116" s="8">
        <v>-127</v>
      </c>
      <c r="PT116" s="12">
        <v>231</v>
      </c>
      <c r="QT116" s="8">
        <v>735</v>
      </c>
      <c r="QU116" s="12">
        <v>91</v>
      </c>
      <c r="QV116" s="12"/>
      <c r="QW116" s="12"/>
      <c r="RE116" s="6">
        <v>-130</v>
      </c>
      <c r="RF116" s="12">
        <v>208</v>
      </c>
      <c r="RG116" s="8">
        <v>-553</v>
      </c>
      <c r="RH116" s="28">
        <v>903</v>
      </c>
      <c r="RL116" s="8">
        <v>346</v>
      </c>
      <c r="SP116" s="8">
        <v>119</v>
      </c>
      <c r="SY116" s="6">
        <v>233</v>
      </c>
      <c r="TH116" s="8">
        <v>221</v>
      </c>
      <c r="TI116" s="28">
        <v>756</v>
      </c>
      <c r="TX116" s="8">
        <v>226</v>
      </c>
      <c r="TY116" s="28">
        <v>585</v>
      </c>
      <c r="TZ116" s="8">
        <v>174</v>
      </c>
      <c r="UA116" s="12">
        <v>957</v>
      </c>
      <c r="VH116" s="8">
        <v>145</v>
      </c>
      <c r="VI116" s="28">
        <v>933</v>
      </c>
      <c r="VL116" s="21"/>
      <c r="VM116" s="8">
        <v>1910</v>
      </c>
      <c r="VN116" s="12">
        <v>323</v>
      </c>
      <c r="VO116" s="12"/>
      <c r="VP116" s="12"/>
      <c r="VQ116" s="6">
        <v>6</v>
      </c>
      <c r="VR116" s="28">
        <v>7</v>
      </c>
      <c r="VS116" s="12"/>
      <c r="VT116" s="12"/>
      <c r="VZ116" s="8">
        <v>400</v>
      </c>
      <c r="WA116" s="28">
        <v>348</v>
      </c>
      <c r="WB116" s="8">
        <v>6162</v>
      </c>
      <c r="WC116" s="12">
        <v>160</v>
      </c>
      <c r="XK116">
        <v>17</v>
      </c>
      <c r="XL116" s="1">
        <v>35</v>
      </c>
    </row>
    <row r="117" spans="11:636" x14ac:dyDescent="0.25">
      <c r="K117" s="2">
        <v>1160</v>
      </c>
      <c r="L117" s="1">
        <v>11</v>
      </c>
      <c r="V117">
        <v>-1</v>
      </c>
      <c r="W117" s="10">
        <v>39</v>
      </c>
      <c r="AB117">
        <v>-19</v>
      </c>
      <c r="AC117" s="1">
        <v>22</v>
      </c>
      <c r="AD117">
        <v>47</v>
      </c>
      <c r="AE117" s="1">
        <v>6</v>
      </c>
      <c r="AJ117" s="2">
        <v>-1</v>
      </c>
      <c r="AK117" s="10">
        <v>76</v>
      </c>
      <c r="BD117" s="8"/>
      <c r="BF117">
        <v>-610</v>
      </c>
      <c r="BG117" s="1">
        <v>238</v>
      </c>
      <c r="BN117">
        <v>-7</v>
      </c>
      <c r="BP117">
        <v>-250</v>
      </c>
      <c r="BQ117" s="10">
        <v>239</v>
      </c>
      <c r="BT117">
        <v>185</v>
      </c>
      <c r="BU117" s="1">
        <v>283</v>
      </c>
      <c r="CE117" s="8">
        <v>158</v>
      </c>
      <c r="CF117" s="28">
        <v>16</v>
      </c>
      <c r="CM117" s="28"/>
      <c r="CQ117" s="6">
        <v>-169</v>
      </c>
      <c r="CS117" s="6">
        <v>102</v>
      </c>
      <c r="CT117" s="28">
        <v>228</v>
      </c>
      <c r="CZ117" s="23">
        <v>644</v>
      </c>
      <c r="DA117" s="25">
        <v>48</v>
      </c>
      <c r="DF117" s="23">
        <v>108</v>
      </c>
      <c r="DG117" s="25">
        <v>214</v>
      </c>
      <c r="DH117" s="23">
        <v>18</v>
      </c>
      <c r="DI117" s="25">
        <v>137</v>
      </c>
      <c r="DL117" s="8">
        <v>548</v>
      </c>
      <c r="DQ117" s="8">
        <v>-119</v>
      </c>
      <c r="DR117" s="52">
        <v>493</v>
      </c>
      <c r="DS117" s="6">
        <v>82</v>
      </c>
      <c r="DT117" s="52">
        <v>169</v>
      </c>
      <c r="DU117" s="8">
        <v>348</v>
      </c>
      <c r="DV117" s="28">
        <v>82</v>
      </c>
      <c r="DW117" s="8">
        <v>-181</v>
      </c>
      <c r="DX117" s="28">
        <v>194</v>
      </c>
      <c r="DY117" s="6">
        <v>236</v>
      </c>
      <c r="DZ117" s="52">
        <v>26</v>
      </c>
      <c r="EA117" s="23">
        <v>299</v>
      </c>
      <c r="EB117" s="52">
        <v>678</v>
      </c>
      <c r="EC117" s="6">
        <v>-10</v>
      </c>
      <c r="ED117" s="28">
        <v>6</v>
      </c>
      <c r="EE117" s="8">
        <v>-49</v>
      </c>
      <c r="EF117" s="52">
        <v>24</v>
      </c>
      <c r="EG117" s="8">
        <v>457</v>
      </c>
      <c r="EH117" s="28">
        <v>248</v>
      </c>
      <c r="EI117" s="8">
        <v>11</v>
      </c>
      <c r="EJ117" s="52">
        <v>101</v>
      </c>
      <c r="EL117" s="8">
        <v>-458</v>
      </c>
      <c r="EM117" s="28">
        <v>573</v>
      </c>
      <c r="EN117" s="8">
        <v>-228</v>
      </c>
      <c r="EO117" s="28">
        <v>57</v>
      </c>
      <c r="EP117" s="28"/>
      <c r="EQ117" s="28"/>
      <c r="EX117" s="8">
        <v>-461</v>
      </c>
      <c r="EY117" s="28">
        <v>208</v>
      </c>
      <c r="FD117" s="6">
        <v>-84</v>
      </c>
      <c r="FE117" s="28">
        <v>416</v>
      </c>
      <c r="FM117" s="8">
        <v>-883</v>
      </c>
      <c r="FN117" s="52">
        <v>164</v>
      </c>
      <c r="FS117" s="8">
        <v>-450</v>
      </c>
      <c r="FT117" s="52">
        <v>141</v>
      </c>
      <c r="GC117" s="8">
        <v>-409</v>
      </c>
      <c r="GI117" s="8">
        <v>-49</v>
      </c>
      <c r="GJ117" s="28">
        <v>42</v>
      </c>
      <c r="GP117" s="6">
        <v>-39</v>
      </c>
      <c r="GQ117" s="52">
        <v>57</v>
      </c>
      <c r="GR117" s="8">
        <v>376</v>
      </c>
      <c r="GS117" s="28">
        <v>139</v>
      </c>
      <c r="GT117" s="6">
        <v>-51</v>
      </c>
      <c r="GU117" s="52">
        <v>941</v>
      </c>
      <c r="GV117" s="28"/>
      <c r="GW117" s="28"/>
      <c r="HB117" s="6">
        <v>-10</v>
      </c>
      <c r="HE117" s="8">
        <v>24</v>
      </c>
      <c r="HF117" s="28">
        <v>28</v>
      </c>
      <c r="HS117" s="8">
        <v>105</v>
      </c>
      <c r="HT117" s="52">
        <v>154</v>
      </c>
      <c r="IB117" s="8">
        <v>-291</v>
      </c>
      <c r="IC117" s="28">
        <v>146</v>
      </c>
      <c r="ID117" s="8">
        <v>65</v>
      </c>
      <c r="IE117" s="28">
        <v>657</v>
      </c>
      <c r="IO117">
        <v>20</v>
      </c>
      <c r="IP117" s="10">
        <v>158</v>
      </c>
      <c r="IY117" s="8">
        <v>-420</v>
      </c>
      <c r="JA117" s="8">
        <v>-319</v>
      </c>
      <c r="JB117" s="12">
        <v>208</v>
      </c>
      <c r="JP117" s="6">
        <v>-1</v>
      </c>
      <c r="JQ117" s="12">
        <v>86</v>
      </c>
      <c r="JW117" s="8">
        <v>-26</v>
      </c>
      <c r="JX117" s="12">
        <v>82</v>
      </c>
      <c r="KE117" s="6">
        <v>280</v>
      </c>
      <c r="KF117" s="12">
        <v>462</v>
      </c>
      <c r="KT117" s="8">
        <v>-277</v>
      </c>
      <c r="KU117" s="28">
        <v>81</v>
      </c>
      <c r="LD117" s="8">
        <v>-124</v>
      </c>
      <c r="LE117" s="28">
        <v>677</v>
      </c>
      <c r="LF117" s="8">
        <v>-92</v>
      </c>
      <c r="LG117" s="28">
        <v>24</v>
      </c>
      <c r="LJ117" s="8">
        <v>-380</v>
      </c>
      <c r="LK117" s="28">
        <v>749</v>
      </c>
      <c r="LS117" s="8">
        <v>175</v>
      </c>
      <c r="LU117" s="8">
        <v>163</v>
      </c>
      <c r="LV117" s="12">
        <v>297</v>
      </c>
      <c r="LW117" s="8">
        <v>307</v>
      </c>
      <c r="LX117" s="28">
        <v>138</v>
      </c>
      <c r="MF117" s="8">
        <v>-304</v>
      </c>
      <c r="MG117" s="12">
        <v>156</v>
      </c>
      <c r="NC117" s="8">
        <v>4</v>
      </c>
      <c r="ND117" s="12">
        <v>110</v>
      </c>
      <c r="NP117" s="8">
        <v>79</v>
      </c>
      <c r="NQ117" s="12">
        <v>71</v>
      </c>
      <c r="NW117" s="8">
        <v>118</v>
      </c>
      <c r="NX117" s="28">
        <v>432</v>
      </c>
      <c r="PJ117" s="8">
        <v>-44</v>
      </c>
      <c r="PK117" s="12">
        <v>245</v>
      </c>
      <c r="PP117" s="8">
        <v>660</v>
      </c>
      <c r="PQ117" s="28">
        <v>17</v>
      </c>
      <c r="PR117" s="28"/>
      <c r="PS117" s="8">
        <v>-105</v>
      </c>
      <c r="PT117" s="12">
        <v>378</v>
      </c>
      <c r="QT117" s="8">
        <v>283</v>
      </c>
      <c r="QU117" s="12">
        <v>301</v>
      </c>
      <c r="QV117" s="12"/>
      <c r="QW117" s="12"/>
      <c r="RE117" s="6">
        <v>-907</v>
      </c>
      <c r="RF117" s="12">
        <v>887</v>
      </c>
      <c r="RG117" s="8">
        <v>-301</v>
      </c>
      <c r="RH117" s="28">
        <v>175</v>
      </c>
      <c r="RL117" s="8">
        <v>-8</v>
      </c>
      <c r="SP117" s="8">
        <v>729</v>
      </c>
      <c r="SY117" s="6">
        <v>-10</v>
      </c>
      <c r="TH117" s="8">
        <v>288</v>
      </c>
      <c r="TI117" s="28">
        <v>591</v>
      </c>
      <c r="TX117" s="8">
        <v>161</v>
      </c>
      <c r="TY117" s="28">
        <v>505</v>
      </c>
      <c r="TZ117" s="8">
        <v>35</v>
      </c>
      <c r="UA117" s="12">
        <v>116</v>
      </c>
      <c r="VH117" s="8">
        <v>535</v>
      </c>
      <c r="VI117" s="28">
        <v>123</v>
      </c>
      <c r="VL117" s="21"/>
      <c r="VM117" s="8">
        <v>279</v>
      </c>
      <c r="VN117" s="12">
        <v>109</v>
      </c>
      <c r="VO117" s="12"/>
      <c r="VP117" s="12"/>
      <c r="VQ117" s="6">
        <v>6</v>
      </c>
      <c r="VR117" s="28">
        <v>6</v>
      </c>
      <c r="VS117" s="12"/>
      <c r="VT117" s="12"/>
      <c r="VZ117" s="8">
        <v>257</v>
      </c>
      <c r="WA117" s="28">
        <v>167</v>
      </c>
      <c r="WB117" s="8">
        <v>5531</v>
      </c>
      <c r="WC117" s="12">
        <v>110</v>
      </c>
      <c r="XK117">
        <v>190</v>
      </c>
      <c r="XL117" s="1">
        <v>24</v>
      </c>
    </row>
    <row r="118" spans="11:636" x14ac:dyDescent="0.25">
      <c r="K118" s="2">
        <v>6336</v>
      </c>
      <c r="L118" s="1">
        <v>13</v>
      </c>
      <c r="V118">
        <v>-6</v>
      </c>
      <c r="W118" s="10">
        <v>182</v>
      </c>
      <c r="AB118">
        <v>-88</v>
      </c>
      <c r="AC118" s="1">
        <v>42</v>
      </c>
      <c r="AD118">
        <v>37</v>
      </c>
      <c r="AE118" s="1">
        <v>5</v>
      </c>
      <c r="AJ118" s="2">
        <v>-33</v>
      </c>
      <c r="AK118" s="10">
        <v>235</v>
      </c>
      <c r="BD118" s="8"/>
      <c r="BF118">
        <v>-63</v>
      </c>
      <c r="BG118" s="1">
        <v>303</v>
      </c>
      <c r="BN118">
        <v>21</v>
      </c>
      <c r="BP118">
        <v>272</v>
      </c>
      <c r="BQ118" s="10">
        <v>4077</v>
      </c>
      <c r="BT118">
        <v>104</v>
      </c>
      <c r="BU118" s="1">
        <v>590</v>
      </c>
      <c r="CE118" s="8">
        <v>194</v>
      </c>
      <c r="CF118" s="28">
        <v>17</v>
      </c>
      <c r="CM118" s="28"/>
      <c r="CQ118" s="6">
        <v>-908</v>
      </c>
      <c r="CS118" s="6">
        <v>-178</v>
      </c>
      <c r="CT118" s="28">
        <v>618</v>
      </c>
      <c r="CZ118" s="23">
        <v>-153</v>
      </c>
      <c r="DA118" s="25">
        <v>58</v>
      </c>
      <c r="DF118" s="23">
        <v>110</v>
      </c>
      <c r="DG118" s="25">
        <v>341</v>
      </c>
      <c r="DH118" s="23">
        <v>86</v>
      </c>
      <c r="DI118" s="25">
        <v>133</v>
      </c>
      <c r="DL118" s="8">
        <v>447</v>
      </c>
      <c r="DQ118" s="8">
        <v>-135</v>
      </c>
      <c r="DR118" s="52">
        <v>357</v>
      </c>
      <c r="DS118" s="6">
        <v>-126</v>
      </c>
      <c r="DT118" s="52">
        <v>138</v>
      </c>
      <c r="DU118" s="8">
        <v>521</v>
      </c>
      <c r="DV118" s="28">
        <v>82</v>
      </c>
      <c r="DW118" s="8">
        <v>2</v>
      </c>
      <c r="DX118" s="28">
        <v>1</v>
      </c>
      <c r="DY118" s="6">
        <v>136</v>
      </c>
      <c r="DZ118" s="52">
        <v>855</v>
      </c>
      <c r="EA118" s="23">
        <v>-5</v>
      </c>
      <c r="EB118" s="52">
        <v>210</v>
      </c>
      <c r="EC118" s="6">
        <v>-5</v>
      </c>
      <c r="ED118" s="28">
        <v>7</v>
      </c>
      <c r="EE118" s="8">
        <v>-16</v>
      </c>
      <c r="EF118" s="52">
        <v>82</v>
      </c>
      <c r="EG118" s="8">
        <v>533</v>
      </c>
      <c r="EH118" s="28">
        <v>249</v>
      </c>
      <c r="EI118" s="8">
        <v>9</v>
      </c>
      <c r="EJ118" s="52">
        <v>407</v>
      </c>
      <c r="EL118" s="8">
        <v>-182</v>
      </c>
      <c r="EM118" s="28">
        <v>956</v>
      </c>
      <c r="EN118" s="8">
        <v>-52</v>
      </c>
      <c r="EO118" s="28">
        <v>56</v>
      </c>
      <c r="EP118" s="28"/>
      <c r="EQ118" s="28"/>
      <c r="EX118" s="8">
        <v>-680</v>
      </c>
      <c r="EY118" s="28">
        <v>194</v>
      </c>
      <c r="FD118" s="6">
        <v>600</v>
      </c>
      <c r="FE118" s="28">
        <v>162</v>
      </c>
      <c r="FM118" s="8">
        <v>-137</v>
      </c>
      <c r="FN118" s="52">
        <v>278</v>
      </c>
      <c r="FS118" s="8">
        <v>6</v>
      </c>
      <c r="FT118" s="52">
        <v>10</v>
      </c>
      <c r="GC118" s="8">
        <v>-205</v>
      </c>
      <c r="GI118" s="8">
        <v>43</v>
      </c>
      <c r="GJ118" s="28">
        <v>22</v>
      </c>
      <c r="GP118" s="6">
        <v>-21</v>
      </c>
      <c r="GQ118" s="52">
        <v>77</v>
      </c>
      <c r="GR118" s="8">
        <v>745</v>
      </c>
      <c r="GS118" s="28">
        <v>231</v>
      </c>
      <c r="GT118" s="6">
        <v>-12</v>
      </c>
      <c r="GU118" s="52">
        <v>577</v>
      </c>
      <c r="GV118" s="28"/>
      <c r="GW118" s="28"/>
      <c r="HB118" s="6">
        <v>215</v>
      </c>
      <c r="HE118" s="8">
        <v>33</v>
      </c>
      <c r="HF118" s="28">
        <v>14</v>
      </c>
      <c r="HS118" s="8">
        <v>-64</v>
      </c>
      <c r="HT118" s="52">
        <v>337</v>
      </c>
      <c r="IB118" s="8">
        <v>604</v>
      </c>
      <c r="IC118" s="28">
        <v>135</v>
      </c>
      <c r="ID118" s="8">
        <v>-284</v>
      </c>
      <c r="IE118" s="28">
        <v>280</v>
      </c>
      <c r="IY118" s="8">
        <v>260</v>
      </c>
      <c r="JA118" s="8">
        <v>-646</v>
      </c>
      <c r="JB118" s="12">
        <v>403</v>
      </c>
      <c r="JP118" s="6">
        <v>107</v>
      </c>
      <c r="JQ118" s="12">
        <v>112</v>
      </c>
      <c r="JW118" s="8">
        <v>-4</v>
      </c>
      <c r="JX118" s="12">
        <v>12</v>
      </c>
      <c r="KE118" s="6">
        <v>-131</v>
      </c>
      <c r="KF118" s="12">
        <v>442</v>
      </c>
      <c r="KT118" s="8">
        <v>89</v>
      </c>
      <c r="KU118" s="28">
        <v>51</v>
      </c>
      <c r="LD118" s="8">
        <v>9</v>
      </c>
      <c r="LE118" s="28">
        <v>6</v>
      </c>
      <c r="LF118" s="8">
        <v>6</v>
      </c>
      <c r="LG118" s="28">
        <v>5</v>
      </c>
      <c r="LJ118" s="8">
        <v>850</v>
      </c>
      <c r="LK118" s="28">
        <v>150</v>
      </c>
      <c r="LS118" s="8">
        <v>4</v>
      </c>
      <c r="LU118" s="8">
        <v>163</v>
      </c>
      <c r="LV118" s="12">
        <v>404</v>
      </c>
      <c r="LW118" s="8">
        <v>-414</v>
      </c>
      <c r="LX118" s="28">
        <v>138</v>
      </c>
      <c r="MF118" s="8">
        <v>-532</v>
      </c>
      <c r="MG118" s="12">
        <v>52</v>
      </c>
      <c r="NC118" s="8">
        <v>-51</v>
      </c>
      <c r="ND118" s="12">
        <v>354</v>
      </c>
      <c r="NP118" s="8">
        <v>108</v>
      </c>
      <c r="NQ118" s="12">
        <v>121</v>
      </c>
      <c r="NW118" s="8">
        <v>760</v>
      </c>
      <c r="NX118" s="28">
        <v>170</v>
      </c>
      <c r="PJ118" s="8">
        <v>12</v>
      </c>
      <c r="PK118" s="12">
        <v>318</v>
      </c>
      <c r="PP118" s="8">
        <v>572</v>
      </c>
      <c r="PQ118" s="28">
        <v>17</v>
      </c>
      <c r="PR118" s="28"/>
      <c r="PS118" s="8">
        <v>469</v>
      </c>
      <c r="PT118" s="12">
        <v>235</v>
      </c>
      <c r="QT118" s="8">
        <v>-239</v>
      </c>
      <c r="QU118" s="12">
        <v>110</v>
      </c>
      <c r="QV118" s="12"/>
      <c r="QW118" s="12"/>
      <c r="RE118" s="6">
        <v>-105</v>
      </c>
      <c r="RF118" s="12">
        <v>133</v>
      </c>
      <c r="RG118" s="8">
        <v>924</v>
      </c>
      <c r="RH118" s="28">
        <v>116</v>
      </c>
      <c r="RL118" s="8">
        <v>-1</v>
      </c>
      <c r="SP118" s="8">
        <v>-228</v>
      </c>
      <c r="SY118" s="6">
        <v>531</v>
      </c>
      <c r="TH118" s="8">
        <v>396</v>
      </c>
      <c r="TI118" s="28">
        <v>756</v>
      </c>
      <c r="TX118" s="8">
        <v>189</v>
      </c>
      <c r="TY118" s="28">
        <v>399</v>
      </c>
      <c r="TZ118" s="8">
        <v>-49</v>
      </c>
      <c r="UA118" s="12">
        <v>112</v>
      </c>
      <c r="VH118" s="8">
        <v>796</v>
      </c>
      <c r="VI118" s="28">
        <v>180</v>
      </c>
      <c r="VL118" s="21"/>
      <c r="VM118" s="8">
        <v>875</v>
      </c>
      <c r="VN118" s="12">
        <v>382</v>
      </c>
      <c r="VO118" s="12"/>
      <c r="VP118" s="12"/>
      <c r="VQ118" s="6">
        <v>2</v>
      </c>
      <c r="VR118" s="28">
        <v>6</v>
      </c>
      <c r="VS118" s="12"/>
      <c r="VT118" s="12"/>
      <c r="VZ118" s="8">
        <v>515</v>
      </c>
      <c r="WA118" s="28">
        <v>452</v>
      </c>
      <c r="WB118" s="8">
        <v>1590</v>
      </c>
      <c r="WC118" s="12">
        <v>358</v>
      </c>
      <c r="XK118">
        <v>-31</v>
      </c>
      <c r="XL118" s="1">
        <v>123</v>
      </c>
    </row>
    <row r="119" spans="11:636" x14ac:dyDescent="0.25">
      <c r="K119" s="2">
        <v>-890</v>
      </c>
      <c r="L119" s="1">
        <v>15</v>
      </c>
      <c r="V119">
        <v>-8</v>
      </c>
      <c r="W119" s="10">
        <v>476</v>
      </c>
      <c r="AB119">
        <v>-145</v>
      </c>
      <c r="AC119" s="1">
        <v>58</v>
      </c>
      <c r="AD119">
        <v>60</v>
      </c>
      <c r="AE119" s="1">
        <v>11</v>
      </c>
      <c r="AJ119" s="2">
        <v>-34</v>
      </c>
      <c r="AK119" s="10">
        <v>250</v>
      </c>
      <c r="BD119" s="8"/>
      <c r="BF119">
        <v>-11</v>
      </c>
      <c r="BG119" s="1">
        <v>132</v>
      </c>
      <c r="BN119">
        <v>-447</v>
      </c>
      <c r="BP119">
        <v>603</v>
      </c>
      <c r="BQ119" s="10">
        <v>6390</v>
      </c>
      <c r="BT119">
        <v>80</v>
      </c>
      <c r="BU119" s="1">
        <v>65</v>
      </c>
      <c r="CE119" s="8">
        <v>116</v>
      </c>
      <c r="CF119" s="28">
        <v>15</v>
      </c>
      <c r="CM119" s="28"/>
      <c r="CQ119" s="6">
        <v>-878</v>
      </c>
      <c r="CS119" s="6">
        <v>-580</v>
      </c>
      <c r="CT119" s="28">
        <v>165</v>
      </c>
      <c r="CZ119" s="23">
        <v>-5</v>
      </c>
      <c r="DA119" s="25">
        <v>85</v>
      </c>
      <c r="DF119" s="23">
        <v>110</v>
      </c>
      <c r="DG119" s="25">
        <v>179</v>
      </c>
      <c r="DH119" s="23">
        <v>165</v>
      </c>
      <c r="DI119" s="25">
        <v>136</v>
      </c>
      <c r="DL119" s="8">
        <v>508</v>
      </c>
      <c r="DQ119" s="8">
        <v>171</v>
      </c>
      <c r="DR119" s="52">
        <v>979</v>
      </c>
      <c r="DS119" s="6">
        <v>18</v>
      </c>
      <c r="DT119" s="52">
        <v>48</v>
      </c>
      <c r="DU119" s="8">
        <v>534</v>
      </c>
      <c r="DV119" s="28">
        <v>66</v>
      </c>
      <c r="DW119" s="8">
        <v>-6</v>
      </c>
      <c r="DX119" s="28">
        <v>2</v>
      </c>
      <c r="DY119" s="6">
        <v>543</v>
      </c>
      <c r="DZ119" s="52">
        <v>202</v>
      </c>
      <c r="EA119" s="23">
        <v>151</v>
      </c>
      <c r="EB119" s="52">
        <v>585</v>
      </c>
      <c r="EC119" s="6">
        <v>-9</v>
      </c>
      <c r="ED119" s="28">
        <v>9</v>
      </c>
      <c r="EE119" s="8">
        <v>26</v>
      </c>
      <c r="EF119" s="52">
        <v>54</v>
      </c>
      <c r="EG119" s="8">
        <v>641</v>
      </c>
      <c r="EH119" s="28">
        <v>252</v>
      </c>
      <c r="EI119" s="8">
        <v>-10</v>
      </c>
      <c r="EJ119" s="52">
        <v>117</v>
      </c>
      <c r="EL119" s="8">
        <v>-612</v>
      </c>
      <c r="EM119" s="28">
        <v>170</v>
      </c>
      <c r="EN119" s="8">
        <v>65</v>
      </c>
      <c r="EO119" s="28">
        <v>3</v>
      </c>
      <c r="EP119" s="28"/>
      <c r="EQ119" s="28"/>
      <c r="EX119" s="8">
        <v>-113</v>
      </c>
      <c r="EY119" s="28">
        <v>145</v>
      </c>
      <c r="FD119" s="6">
        <v>-142</v>
      </c>
      <c r="FE119" s="28">
        <v>232</v>
      </c>
      <c r="FM119" s="8">
        <v>158</v>
      </c>
      <c r="FN119" s="52">
        <v>9</v>
      </c>
      <c r="FS119" s="8">
        <v>10</v>
      </c>
      <c r="FT119" s="52">
        <v>17</v>
      </c>
      <c r="GC119" s="8">
        <v>-123</v>
      </c>
      <c r="GI119" s="8">
        <v>-34</v>
      </c>
      <c r="GJ119" s="28">
        <v>228</v>
      </c>
      <c r="GP119" s="6">
        <v>-55</v>
      </c>
      <c r="GQ119" s="52">
        <v>305</v>
      </c>
      <c r="GR119" s="8">
        <v>583</v>
      </c>
      <c r="GS119" s="28">
        <v>211</v>
      </c>
      <c r="GT119" s="6">
        <v>-2</v>
      </c>
      <c r="GU119" s="52">
        <v>117</v>
      </c>
      <c r="GV119" s="28"/>
      <c r="GW119" s="28"/>
      <c r="HB119" s="6">
        <v>77</v>
      </c>
      <c r="HE119" s="8">
        <v>-1</v>
      </c>
      <c r="HF119" s="28">
        <v>34</v>
      </c>
      <c r="HS119" s="8">
        <v>-161</v>
      </c>
      <c r="HT119" s="52">
        <v>292</v>
      </c>
      <c r="IB119" s="8">
        <v>-291</v>
      </c>
      <c r="IC119" s="28">
        <v>129</v>
      </c>
      <c r="ID119" s="8">
        <v>-96</v>
      </c>
      <c r="IE119" s="28">
        <v>707</v>
      </c>
      <c r="IY119" s="8">
        <v>-113</v>
      </c>
      <c r="JA119" s="8">
        <v>-768</v>
      </c>
      <c r="JB119" s="12">
        <v>757</v>
      </c>
      <c r="JP119" s="6">
        <v>157</v>
      </c>
      <c r="JQ119" s="12">
        <v>336</v>
      </c>
      <c r="JW119" s="8">
        <v>-2</v>
      </c>
      <c r="JX119" s="12">
        <v>7</v>
      </c>
      <c r="KE119" s="6">
        <v>46</v>
      </c>
      <c r="KF119" s="12">
        <v>968</v>
      </c>
      <c r="KT119" s="8">
        <v>-12</v>
      </c>
      <c r="KU119" s="28">
        <v>7</v>
      </c>
      <c r="LD119" s="8">
        <v>258</v>
      </c>
      <c r="LE119" s="28">
        <v>294</v>
      </c>
      <c r="LF119" s="8">
        <v>29</v>
      </c>
      <c r="LG119" s="28">
        <v>5</v>
      </c>
      <c r="LJ119" s="8">
        <v>-400</v>
      </c>
      <c r="LK119" s="28">
        <v>358</v>
      </c>
      <c r="LS119" s="8">
        <v>125</v>
      </c>
      <c r="LU119" s="8">
        <v>-94</v>
      </c>
      <c r="LV119" s="12">
        <v>225</v>
      </c>
      <c r="LW119" s="8">
        <v>132</v>
      </c>
      <c r="LX119" s="28">
        <v>350</v>
      </c>
      <c r="MF119" s="8">
        <v>-378</v>
      </c>
      <c r="MG119" s="12">
        <v>17</v>
      </c>
      <c r="NC119" s="8">
        <v>-59</v>
      </c>
      <c r="ND119" s="12">
        <v>377</v>
      </c>
      <c r="NP119" s="8">
        <v>211</v>
      </c>
      <c r="NQ119" s="12">
        <v>241</v>
      </c>
      <c r="NW119" s="8">
        <v>551</v>
      </c>
      <c r="NX119" s="28">
        <v>107</v>
      </c>
      <c r="PJ119" s="8">
        <v>-3</v>
      </c>
      <c r="PK119" s="12">
        <v>246</v>
      </c>
      <c r="PP119" s="8">
        <v>760</v>
      </c>
      <c r="PQ119" s="28">
        <v>19</v>
      </c>
      <c r="PR119" s="28"/>
      <c r="PS119" s="8">
        <v>658</v>
      </c>
      <c r="PT119" s="12">
        <v>369</v>
      </c>
      <c r="QT119" s="8">
        <v>788</v>
      </c>
      <c r="QU119" s="12">
        <v>99</v>
      </c>
      <c r="QV119" s="12"/>
      <c r="QW119" s="12"/>
      <c r="RE119" s="6">
        <v>668</v>
      </c>
      <c r="RF119" s="12">
        <v>313</v>
      </c>
      <c r="RG119" s="8">
        <v>-132</v>
      </c>
      <c r="RH119" s="28">
        <v>630</v>
      </c>
      <c r="RL119" s="8">
        <v>69</v>
      </c>
      <c r="SP119" s="8">
        <v>-750</v>
      </c>
      <c r="SY119" s="6">
        <v>156</v>
      </c>
      <c r="TH119" s="8">
        <v>529</v>
      </c>
      <c r="TI119" s="28">
        <v>728</v>
      </c>
      <c r="TX119" s="8">
        <v>202</v>
      </c>
      <c r="TY119" s="28">
        <v>620</v>
      </c>
      <c r="TZ119" s="8">
        <v>-95</v>
      </c>
      <c r="UA119" s="12">
        <v>189</v>
      </c>
      <c r="VH119" s="8">
        <v>171</v>
      </c>
      <c r="VI119" s="28">
        <v>192</v>
      </c>
      <c r="VL119" s="21"/>
      <c r="VM119" s="8">
        <v>1055</v>
      </c>
      <c r="VN119" s="12">
        <v>541</v>
      </c>
      <c r="VO119" s="12"/>
      <c r="VP119" s="12"/>
      <c r="VQ119" s="6">
        <v>-6</v>
      </c>
      <c r="VR119" s="28">
        <v>8</v>
      </c>
      <c r="VS119" s="12"/>
      <c r="VT119" s="12"/>
      <c r="VZ119" s="8">
        <v>-545</v>
      </c>
      <c r="WA119" s="28">
        <v>497</v>
      </c>
      <c r="WB119" s="8">
        <v>2699</v>
      </c>
      <c r="WC119" s="12">
        <v>640</v>
      </c>
      <c r="XK119">
        <v>184</v>
      </c>
      <c r="XL119" s="1">
        <v>41</v>
      </c>
    </row>
    <row r="120" spans="11:636" x14ac:dyDescent="0.25">
      <c r="K120" s="2">
        <v>949</v>
      </c>
      <c r="L120" s="1">
        <v>12</v>
      </c>
      <c r="V120">
        <v>-6</v>
      </c>
      <c r="W120" s="10">
        <v>313</v>
      </c>
      <c r="AB120">
        <v>-1</v>
      </c>
      <c r="AC120" s="1">
        <v>131</v>
      </c>
      <c r="AD120">
        <v>7</v>
      </c>
      <c r="AE120" s="1">
        <v>7</v>
      </c>
      <c r="AJ120" s="2">
        <v>25</v>
      </c>
      <c r="AK120" s="10">
        <v>79</v>
      </c>
      <c r="BD120" s="8"/>
      <c r="BF120">
        <v>1</v>
      </c>
      <c r="BG120" s="1">
        <v>56</v>
      </c>
      <c r="BN120">
        <v>1173</v>
      </c>
      <c r="BP120">
        <v>421</v>
      </c>
      <c r="BQ120" s="10">
        <v>2674</v>
      </c>
      <c r="BT120">
        <v>54</v>
      </c>
      <c r="BU120" s="1">
        <v>139</v>
      </c>
      <c r="CE120" s="8">
        <v>155</v>
      </c>
      <c r="CF120" s="28">
        <v>15</v>
      </c>
      <c r="CM120" s="28"/>
      <c r="CQ120" s="6">
        <v>-561</v>
      </c>
      <c r="CS120" s="6">
        <v>-190</v>
      </c>
      <c r="CT120" s="28">
        <v>337</v>
      </c>
      <c r="CZ120" s="23">
        <v>1311</v>
      </c>
      <c r="DA120" s="25">
        <v>346</v>
      </c>
      <c r="DF120" s="23">
        <v>113</v>
      </c>
      <c r="DG120" s="25">
        <v>416</v>
      </c>
      <c r="DH120" s="23">
        <v>88</v>
      </c>
      <c r="DI120" s="25">
        <v>151</v>
      </c>
      <c r="DL120" s="8">
        <v>446</v>
      </c>
      <c r="DQ120" s="8">
        <v>329</v>
      </c>
      <c r="DR120" s="52">
        <v>188</v>
      </c>
      <c r="DS120" s="6">
        <v>-481</v>
      </c>
      <c r="DT120" s="52">
        <v>254</v>
      </c>
      <c r="DU120" s="8">
        <v>349</v>
      </c>
      <c r="DV120" s="28">
        <v>65</v>
      </c>
      <c r="DW120" s="8">
        <v>-55</v>
      </c>
      <c r="DX120" s="28">
        <v>40</v>
      </c>
      <c r="DY120" s="6">
        <v>-878</v>
      </c>
      <c r="DZ120" s="52">
        <v>43</v>
      </c>
      <c r="EA120" s="23">
        <v>-106</v>
      </c>
      <c r="EB120" s="52">
        <v>286</v>
      </c>
      <c r="EC120" s="6">
        <v>-8</v>
      </c>
      <c r="ED120" s="28">
        <v>11</v>
      </c>
      <c r="EE120" s="8">
        <v>10</v>
      </c>
      <c r="EF120" s="52">
        <v>15</v>
      </c>
      <c r="EG120" s="8">
        <v>540</v>
      </c>
      <c r="EH120" s="28">
        <v>926</v>
      </c>
      <c r="EI120" s="8">
        <v>-2</v>
      </c>
      <c r="EJ120" s="52">
        <v>83</v>
      </c>
      <c r="EL120" s="8">
        <v>102</v>
      </c>
      <c r="EM120" s="28">
        <v>436</v>
      </c>
      <c r="EN120" s="8">
        <v>72</v>
      </c>
      <c r="EO120" s="28">
        <v>14</v>
      </c>
      <c r="EP120" s="28"/>
      <c r="EQ120" s="28"/>
      <c r="EX120" s="8">
        <v>526</v>
      </c>
      <c r="EY120" s="28">
        <v>136</v>
      </c>
      <c r="FD120" s="6">
        <v>243</v>
      </c>
      <c r="FE120" s="28">
        <v>639</v>
      </c>
      <c r="FM120" s="8">
        <v>-408</v>
      </c>
      <c r="FN120" s="52">
        <v>357</v>
      </c>
      <c r="FS120" s="8">
        <v>9</v>
      </c>
      <c r="FT120" s="52">
        <v>15</v>
      </c>
      <c r="GC120" s="8">
        <v>-218</v>
      </c>
      <c r="GI120" s="8">
        <v>914</v>
      </c>
      <c r="GJ120" s="28">
        <v>853</v>
      </c>
      <c r="GP120" s="6">
        <v>-67</v>
      </c>
      <c r="GQ120" s="52">
        <v>419</v>
      </c>
      <c r="GR120" s="8">
        <v>554</v>
      </c>
      <c r="GS120" s="28">
        <v>123</v>
      </c>
      <c r="GT120" s="6">
        <v>-19</v>
      </c>
      <c r="GU120" s="52">
        <v>138</v>
      </c>
      <c r="GV120" s="28"/>
      <c r="GW120" s="28"/>
      <c r="HB120" s="6">
        <v>82</v>
      </c>
      <c r="HE120" s="8">
        <v>-54</v>
      </c>
      <c r="HF120" s="28">
        <v>58</v>
      </c>
      <c r="HS120" s="8">
        <v>10</v>
      </c>
      <c r="HT120" s="52">
        <v>80</v>
      </c>
      <c r="IB120" s="8">
        <v>-456</v>
      </c>
      <c r="IC120" s="28">
        <v>241</v>
      </c>
      <c r="ID120" s="8">
        <v>-277</v>
      </c>
      <c r="IE120" s="28">
        <v>338</v>
      </c>
      <c r="IY120" s="8">
        <v>292</v>
      </c>
      <c r="JA120" s="8">
        <v>168</v>
      </c>
      <c r="JB120" s="12">
        <v>251</v>
      </c>
      <c r="JP120" s="6">
        <v>-4</v>
      </c>
      <c r="JQ120" s="12">
        <v>308</v>
      </c>
      <c r="JW120" s="8">
        <v>-123</v>
      </c>
      <c r="JX120" s="12">
        <v>109</v>
      </c>
      <c r="KE120" s="6">
        <v>210</v>
      </c>
      <c r="KF120" s="12">
        <v>727</v>
      </c>
      <c r="KT120" s="8">
        <v>111</v>
      </c>
      <c r="KU120" s="28">
        <v>53</v>
      </c>
      <c r="LD120" s="8">
        <v>535</v>
      </c>
      <c r="LE120" s="28">
        <v>695</v>
      </c>
      <c r="LF120" s="8">
        <v>42</v>
      </c>
      <c r="LG120" s="28">
        <v>4</v>
      </c>
      <c r="LJ120" s="8">
        <v>100</v>
      </c>
      <c r="LK120" s="28">
        <v>771</v>
      </c>
      <c r="LS120" s="8">
        <v>74</v>
      </c>
      <c r="LU120" s="8">
        <v>-8</v>
      </c>
      <c r="LV120" s="12">
        <v>109</v>
      </c>
      <c r="LW120" s="8">
        <v>-193</v>
      </c>
      <c r="LX120" s="28">
        <v>250</v>
      </c>
      <c r="MF120" s="8">
        <v>-740</v>
      </c>
      <c r="MG120" s="12">
        <v>818</v>
      </c>
      <c r="NC120" s="8">
        <v>-155</v>
      </c>
      <c r="ND120" s="12">
        <v>483</v>
      </c>
      <c r="NP120" s="8">
        <v>203</v>
      </c>
      <c r="NQ120" s="12">
        <v>228</v>
      </c>
      <c r="NW120" s="8">
        <v>124</v>
      </c>
      <c r="NX120" s="28">
        <v>305</v>
      </c>
      <c r="PJ120" s="8">
        <v>-32</v>
      </c>
      <c r="PK120" s="12">
        <v>162</v>
      </c>
      <c r="PP120" s="8">
        <v>663</v>
      </c>
      <c r="PQ120" s="28">
        <v>15</v>
      </c>
      <c r="PR120" s="28"/>
      <c r="PS120" s="8">
        <v>349</v>
      </c>
      <c r="PT120" s="12">
        <v>370</v>
      </c>
      <c r="QT120" s="8">
        <v>-81</v>
      </c>
      <c r="QU120" s="12">
        <v>16</v>
      </c>
      <c r="QV120" s="12"/>
      <c r="QW120" s="12"/>
      <c r="RE120" s="6">
        <v>-149</v>
      </c>
      <c r="RF120" s="12">
        <v>60</v>
      </c>
      <c r="RG120" s="8">
        <v>-80</v>
      </c>
      <c r="RH120" s="28">
        <v>139</v>
      </c>
      <c r="RL120" s="8">
        <v>-86</v>
      </c>
      <c r="SP120" s="8">
        <v>897</v>
      </c>
      <c r="SY120" s="6">
        <v>790</v>
      </c>
      <c r="TH120" s="8">
        <v>125</v>
      </c>
      <c r="TI120" s="28">
        <v>152</v>
      </c>
      <c r="TX120" s="8">
        <v>940</v>
      </c>
      <c r="TY120" s="28">
        <v>349</v>
      </c>
      <c r="TZ120" s="8">
        <v>-105</v>
      </c>
      <c r="UA120" s="12">
        <v>226</v>
      </c>
      <c r="VH120" s="8">
        <v>-208</v>
      </c>
      <c r="VI120" s="28">
        <v>734</v>
      </c>
      <c r="VL120" s="21"/>
      <c r="VM120" s="8">
        <v>432</v>
      </c>
      <c r="VN120" s="12">
        <v>198</v>
      </c>
      <c r="VO120" s="12"/>
      <c r="VP120" s="12"/>
      <c r="VQ120" s="6">
        <v>2</v>
      </c>
      <c r="VR120" s="28">
        <v>6</v>
      </c>
      <c r="VS120" s="12"/>
      <c r="VT120" s="12"/>
      <c r="VZ120" s="8">
        <v>477</v>
      </c>
      <c r="WA120" s="28">
        <v>477</v>
      </c>
      <c r="WB120" s="8">
        <v>5502</v>
      </c>
      <c r="WC120" s="12">
        <v>1150</v>
      </c>
      <c r="XK120">
        <v>16</v>
      </c>
      <c r="XL120" s="1">
        <v>20</v>
      </c>
    </row>
    <row r="121" spans="11:636" x14ac:dyDescent="0.25">
      <c r="K121" s="2">
        <v>4355</v>
      </c>
      <c r="L121" s="1">
        <v>11</v>
      </c>
      <c r="V121">
        <v>-6</v>
      </c>
      <c r="W121" s="10">
        <v>178</v>
      </c>
      <c r="AB121">
        <v>7</v>
      </c>
      <c r="AC121" s="1">
        <v>32</v>
      </c>
      <c r="AD121">
        <v>34</v>
      </c>
      <c r="AE121" s="1">
        <v>8</v>
      </c>
      <c r="AJ121" s="2">
        <v>901</v>
      </c>
      <c r="AK121" s="10">
        <v>301</v>
      </c>
      <c r="BD121" s="8"/>
      <c r="BF121">
        <v>109</v>
      </c>
      <c r="BG121" s="1">
        <v>69</v>
      </c>
      <c r="BN121">
        <v>92</v>
      </c>
      <c r="BP121">
        <v>437</v>
      </c>
      <c r="BQ121" s="10">
        <v>2746</v>
      </c>
      <c r="BT121">
        <v>-342</v>
      </c>
      <c r="BU121" s="1">
        <v>64</v>
      </c>
      <c r="CE121" s="8">
        <v>144</v>
      </c>
      <c r="CF121" s="28">
        <v>14</v>
      </c>
      <c r="CM121" s="28"/>
      <c r="CQ121" s="6">
        <v>-692</v>
      </c>
      <c r="CS121" s="6">
        <v>152</v>
      </c>
      <c r="CT121" s="28">
        <v>346</v>
      </c>
      <c r="CZ121" s="23">
        <v>-390</v>
      </c>
      <c r="DA121" s="25">
        <v>168</v>
      </c>
      <c r="DF121" s="23">
        <v>112</v>
      </c>
      <c r="DG121" s="25">
        <v>444</v>
      </c>
      <c r="DH121" s="23">
        <v>216</v>
      </c>
      <c r="DI121" s="25">
        <v>161</v>
      </c>
      <c r="DL121" s="8">
        <v>600</v>
      </c>
      <c r="DQ121" s="8">
        <v>-387</v>
      </c>
      <c r="DR121" s="52">
        <v>217</v>
      </c>
      <c r="DS121" s="6">
        <v>-37</v>
      </c>
      <c r="DT121" s="52">
        <v>210</v>
      </c>
      <c r="DU121" s="8">
        <v>-32</v>
      </c>
      <c r="DV121" s="28">
        <v>68</v>
      </c>
      <c r="DW121" s="8">
        <v>922</v>
      </c>
      <c r="DX121" s="28">
        <v>442</v>
      </c>
      <c r="DY121" s="6">
        <v>-196</v>
      </c>
      <c r="DZ121" s="52">
        <v>61</v>
      </c>
      <c r="EA121" s="23">
        <v>-146</v>
      </c>
      <c r="EB121" s="52">
        <v>110</v>
      </c>
      <c r="EC121" s="6">
        <v>-14</v>
      </c>
      <c r="ED121" s="28">
        <v>14</v>
      </c>
      <c r="EE121" s="8">
        <v>15</v>
      </c>
      <c r="EF121" s="52">
        <v>27</v>
      </c>
      <c r="EG121" s="8">
        <v>943</v>
      </c>
      <c r="EH121" s="28">
        <v>141</v>
      </c>
      <c r="EI121" s="8">
        <v>-39</v>
      </c>
      <c r="EJ121" s="52">
        <v>593</v>
      </c>
      <c r="EL121" s="8">
        <v>617</v>
      </c>
      <c r="EM121" s="28">
        <v>219</v>
      </c>
      <c r="EN121" s="8">
        <v>27</v>
      </c>
      <c r="EO121" s="28">
        <v>27</v>
      </c>
      <c r="EP121" s="28"/>
      <c r="EQ121" s="28"/>
      <c r="EX121" s="8">
        <v>-243</v>
      </c>
      <c r="EY121" s="28">
        <v>146</v>
      </c>
      <c r="FD121" s="6">
        <v>303</v>
      </c>
      <c r="FE121" s="28">
        <v>453</v>
      </c>
      <c r="FM121" s="8">
        <v>139</v>
      </c>
      <c r="FN121" s="52">
        <v>75</v>
      </c>
      <c r="FS121" s="8">
        <v>2</v>
      </c>
      <c r="FT121" s="52">
        <v>3</v>
      </c>
      <c r="GC121" s="8">
        <v>-341</v>
      </c>
      <c r="GI121" s="8">
        <v>-85</v>
      </c>
      <c r="GJ121" s="28">
        <v>81</v>
      </c>
      <c r="GP121" s="6">
        <v>-85</v>
      </c>
      <c r="GQ121" s="52">
        <v>212</v>
      </c>
      <c r="GR121" s="8">
        <v>38</v>
      </c>
      <c r="GS121" s="28">
        <v>182</v>
      </c>
      <c r="GT121" s="6">
        <v>20</v>
      </c>
      <c r="GU121" s="52">
        <v>145</v>
      </c>
      <c r="GV121" s="28"/>
      <c r="GW121" s="28"/>
      <c r="HB121" s="6">
        <v>41</v>
      </c>
      <c r="HE121" s="8">
        <v>-48</v>
      </c>
      <c r="HF121" s="28">
        <v>43</v>
      </c>
      <c r="HS121" s="8">
        <v>8</v>
      </c>
      <c r="HT121" s="52">
        <v>222</v>
      </c>
      <c r="IB121" s="8">
        <v>651</v>
      </c>
      <c r="IC121" s="28">
        <v>306</v>
      </c>
      <c r="ID121" s="8">
        <v>194</v>
      </c>
      <c r="IE121" s="28">
        <v>495</v>
      </c>
      <c r="IY121" s="8">
        <v>-169</v>
      </c>
      <c r="JA121" s="8">
        <v>-508</v>
      </c>
      <c r="JB121" s="12">
        <v>209</v>
      </c>
      <c r="JP121" s="6">
        <v>-59</v>
      </c>
      <c r="JQ121" s="12">
        <v>739</v>
      </c>
      <c r="JW121" s="8">
        <v>-740</v>
      </c>
      <c r="JX121" s="12">
        <v>702</v>
      </c>
      <c r="KE121" s="6">
        <v>9</v>
      </c>
      <c r="KF121" s="12">
        <v>173</v>
      </c>
      <c r="KT121" s="8">
        <v>-551</v>
      </c>
      <c r="KU121" s="28">
        <v>60</v>
      </c>
      <c r="LD121" s="8">
        <v>433</v>
      </c>
      <c r="LE121" s="28">
        <v>206</v>
      </c>
      <c r="LF121" s="8">
        <v>27</v>
      </c>
      <c r="LG121" s="28">
        <v>4</v>
      </c>
      <c r="LJ121" s="8">
        <v>-707</v>
      </c>
      <c r="LK121" s="28">
        <v>529</v>
      </c>
      <c r="LS121" s="8">
        <v>98</v>
      </c>
      <c r="LU121" s="8">
        <v>104</v>
      </c>
      <c r="LV121" s="12">
        <v>118</v>
      </c>
      <c r="LW121" s="8">
        <v>100</v>
      </c>
      <c r="LX121" s="28">
        <v>315</v>
      </c>
      <c r="MF121" s="8">
        <v>-160</v>
      </c>
      <c r="MG121" s="12">
        <v>497</v>
      </c>
      <c r="NC121" s="8">
        <v>-150</v>
      </c>
      <c r="ND121" s="12">
        <v>876</v>
      </c>
      <c r="NP121" s="8">
        <v>247</v>
      </c>
      <c r="NQ121" s="12">
        <v>271</v>
      </c>
      <c r="NW121" s="8">
        <v>177</v>
      </c>
      <c r="NX121" s="28">
        <v>273</v>
      </c>
      <c r="PJ121" s="8">
        <v>-14</v>
      </c>
      <c r="PK121" s="12">
        <v>161</v>
      </c>
      <c r="PP121" s="8">
        <v>636</v>
      </c>
      <c r="PQ121" s="28">
        <v>13</v>
      </c>
      <c r="PR121" s="28"/>
      <c r="PS121" s="8">
        <v>609</v>
      </c>
      <c r="PT121" s="12">
        <v>977</v>
      </c>
      <c r="QT121" s="8">
        <v>889</v>
      </c>
      <c r="QU121" s="12">
        <v>224</v>
      </c>
      <c r="QV121" s="12"/>
      <c r="QW121" s="12"/>
      <c r="RE121" s="6">
        <v>-112</v>
      </c>
      <c r="RF121" s="12">
        <v>891</v>
      </c>
      <c r="RG121" s="8">
        <v>-351</v>
      </c>
      <c r="RH121" s="28">
        <v>141</v>
      </c>
      <c r="RL121" s="8">
        <v>-70</v>
      </c>
      <c r="SP121" s="8">
        <v>260</v>
      </c>
      <c r="SY121" s="6">
        <v>454</v>
      </c>
      <c r="TH121" s="8">
        <v>148</v>
      </c>
      <c r="TI121" s="28">
        <v>167</v>
      </c>
      <c r="TX121" s="8">
        <v>714</v>
      </c>
      <c r="TY121" s="28">
        <v>318</v>
      </c>
      <c r="TZ121" s="8">
        <v>-74</v>
      </c>
      <c r="UA121" s="12">
        <v>249</v>
      </c>
      <c r="VH121" s="8">
        <v>235</v>
      </c>
      <c r="VI121" s="28">
        <v>134</v>
      </c>
      <c r="VL121" s="21"/>
      <c r="VM121" s="8">
        <v>17125</v>
      </c>
      <c r="VN121" s="12">
        <v>242</v>
      </c>
      <c r="VO121" s="12"/>
      <c r="VP121" s="12"/>
      <c r="VQ121" s="6">
        <v>2</v>
      </c>
      <c r="VR121" s="28">
        <v>6</v>
      </c>
      <c r="VS121" s="12"/>
      <c r="VT121" s="12"/>
      <c r="VZ121" s="8">
        <v>4</v>
      </c>
      <c r="WA121" s="28">
        <v>99</v>
      </c>
      <c r="WB121" s="8">
        <v>5459</v>
      </c>
      <c r="WC121" s="12">
        <v>1353</v>
      </c>
      <c r="XK121">
        <v>565</v>
      </c>
      <c r="XL121" s="1">
        <v>42</v>
      </c>
    </row>
    <row r="122" spans="11:636" x14ac:dyDescent="0.25">
      <c r="K122" s="2">
        <v>1830</v>
      </c>
      <c r="L122" s="1">
        <v>10</v>
      </c>
      <c r="V122">
        <v>-6</v>
      </c>
      <c r="W122" s="10">
        <v>204</v>
      </c>
      <c r="AB122">
        <v>-24</v>
      </c>
      <c r="AC122" s="1">
        <v>24</v>
      </c>
      <c r="AD122">
        <v>46</v>
      </c>
      <c r="AE122" s="1">
        <v>7</v>
      </c>
      <c r="AJ122" s="2">
        <v>10</v>
      </c>
      <c r="AK122" s="10">
        <v>83</v>
      </c>
      <c r="BD122" s="8"/>
      <c r="BF122">
        <v>10</v>
      </c>
      <c r="BG122" s="1">
        <v>28</v>
      </c>
      <c r="BN122">
        <v>58</v>
      </c>
      <c r="BP122">
        <v>259</v>
      </c>
      <c r="BQ122" s="10">
        <v>3169</v>
      </c>
      <c r="BT122">
        <v>17</v>
      </c>
      <c r="BU122" s="1">
        <v>11</v>
      </c>
      <c r="CE122" s="8">
        <v>88</v>
      </c>
      <c r="CF122" s="28">
        <v>30</v>
      </c>
      <c r="CM122" s="28"/>
      <c r="CQ122" s="6">
        <v>-560</v>
      </c>
      <c r="CS122" s="6">
        <v>243</v>
      </c>
      <c r="CT122" s="28">
        <v>520</v>
      </c>
      <c r="CZ122" s="23">
        <v>141</v>
      </c>
      <c r="DA122" s="25">
        <v>327</v>
      </c>
      <c r="DF122" s="23">
        <v>103</v>
      </c>
      <c r="DG122" s="25">
        <v>364</v>
      </c>
      <c r="DH122" s="23">
        <v>106</v>
      </c>
      <c r="DI122" s="25">
        <v>138</v>
      </c>
      <c r="DL122" s="8">
        <v>551</v>
      </c>
      <c r="DQ122" s="8">
        <v>214</v>
      </c>
      <c r="DR122" s="52">
        <v>133</v>
      </c>
      <c r="DS122" s="6">
        <v>297</v>
      </c>
      <c r="DT122" s="52">
        <v>152</v>
      </c>
      <c r="DU122" s="8">
        <v>472</v>
      </c>
      <c r="DV122" s="28">
        <v>62</v>
      </c>
      <c r="DW122" s="8">
        <v>506</v>
      </c>
      <c r="DX122" s="28">
        <v>200</v>
      </c>
      <c r="DY122" s="6">
        <v>-197</v>
      </c>
      <c r="DZ122" s="52">
        <v>68</v>
      </c>
      <c r="EA122" s="23">
        <v>97</v>
      </c>
      <c r="EB122" s="52">
        <v>502</v>
      </c>
      <c r="EC122" s="6"/>
      <c r="ED122" s="28"/>
      <c r="EE122" s="8">
        <v>84</v>
      </c>
      <c r="EF122" s="52">
        <v>49</v>
      </c>
      <c r="EG122" s="8">
        <v>258</v>
      </c>
      <c r="EH122" s="28">
        <v>290</v>
      </c>
      <c r="EI122" s="8">
        <v>-13</v>
      </c>
      <c r="EJ122" s="52">
        <v>80</v>
      </c>
      <c r="EL122" s="8">
        <v>659</v>
      </c>
      <c r="EM122" s="28">
        <v>451</v>
      </c>
      <c r="EN122" s="8">
        <v>8</v>
      </c>
      <c r="EO122" s="28">
        <v>30</v>
      </c>
      <c r="EP122" s="28"/>
      <c r="EQ122" s="28"/>
      <c r="EX122" s="8">
        <v>706</v>
      </c>
      <c r="EY122" s="28">
        <v>127</v>
      </c>
      <c r="FD122" s="6">
        <v>-958</v>
      </c>
      <c r="FE122" s="28">
        <v>107</v>
      </c>
      <c r="FM122" s="8">
        <v>-339</v>
      </c>
      <c r="FN122" s="52">
        <v>347</v>
      </c>
      <c r="FS122" s="8">
        <v>6</v>
      </c>
      <c r="FT122" s="52">
        <v>9</v>
      </c>
      <c r="GC122" s="8">
        <v>1</v>
      </c>
      <c r="GI122" s="8">
        <v>-3</v>
      </c>
      <c r="GJ122" s="28">
        <v>77</v>
      </c>
      <c r="GP122" s="6">
        <v>-2</v>
      </c>
      <c r="GQ122" s="52">
        <v>8</v>
      </c>
      <c r="GR122" s="8">
        <v>596</v>
      </c>
      <c r="GS122" s="28">
        <v>169</v>
      </c>
      <c r="GT122" s="6">
        <v>297</v>
      </c>
      <c r="GU122" s="52">
        <v>409</v>
      </c>
      <c r="GV122" s="28"/>
      <c r="GW122" s="28"/>
      <c r="HB122" s="6">
        <v>43</v>
      </c>
      <c r="HE122" s="8">
        <v>-10</v>
      </c>
      <c r="HF122" s="28">
        <v>44</v>
      </c>
      <c r="HS122" s="8">
        <v>-3</v>
      </c>
      <c r="HT122" s="52">
        <v>139</v>
      </c>
      <c r="IB122" s="8">
        <v>-683</v>
      </c>
      <c r="IC122" s="28">
        <v>106</v>
      </c>
      <c r="ID122" s="8">
        <v>-162</v>
      </c>
      <c r="IE122" s="28">
        <v>139</v>
      </c>
      <c r="IY122" s="8">
        <v>-129</v>
      </c>
      <c r="JA122" s="8">
        <v>821</v>
      </c>
      <c r="JB122" s="12">
        <v>712</v>
      </c>
      <c r="JP122" s="6">
        <v>578</v>
      </c>
      <c r="JQ122" s="12">
        <v>160</v>
      </c>
      <c r="JW122" s="8">
        <v>-123</v>
      </c>
      <c r="JX122" s="12">
        <v>109</v>
      </c>
      <c r="KE122" s="6">
        <v>130</v>
      </c>
      <c r="KF122" s="12">
        <v>423</v>
      </c>
      <c r="KT122" s="8">
        <v>-41</v>
      </c>
      <c r="KU122" s="28">
        <v>55</v>
      </c>
      <c r="LD122" s="8">
        <v>-8</v>
      </c>
      <c r="LE122" s="28">
        <v>16</v>
      </c>
      <c r="LF122" s="8">
        <v>-250</v>
      </c>
      <c r="LG122" s="28">
        <v>139</v>
      </c>
      <c r="LJ122" s="8">
        <v>-379</v>
      </c>
      <c r="LK122" s="28">
        <v>261</v>
      </c>
      <c r="LS122" s="8">
        <v>99</v>
      </c>
      <c r="LU122" s="8">
        <v>-37</v>
      </c>
      <c r="LV122" s="12">
        <v>34</v>
      </c>
      <c r="LW122" s="8">
        <v>577</v>
      </c>
      <c r="LX122" s="28">
        <v>400</v>
      </c>
      <c r="MF122" s="8">
        <v>111</v>
      </c>
      <c r="MG122" s="12">
        <v>128</v>
      </c>
      <c r="NC122" s="8">
        <v>-116</v>
      </c>
      <c r="ND122" s="12">
        <v>661</v>
      </c>
      <c r="NP122" s="8">
        <v>223</v>
      </c>
      <c r="NQ122" s="12">
        <v>242</v>
      </c>
      <c r="NW122" s="8">
        <v>132</v>
      </c>
      <c r="NX122" s="28">
        <v>376</v>
      </c>
      <c r="PJ122" s="8">
        <v>14</v>
      </c>
      <c r="PK122" s="12">
        <v>1</v>
      </c>
      <c r="PP122" s="8">
        <v>700</v>
      </c>
      <c r="PQ122" s="28">
        <v>11</v>
      </c>
      <c r="PR122" s="28"/>
      <c r="PS122" s="8">
        <v>-756</v>
      </c>
      <c r="PT122" s="12">
        <v>123</v>
      </c>
      <c r="QT122" s="8">
        <v>109</v>
      </c>
      <c r="QU122" s="12">
        <v>234</v>
      </c>
      <c r="QV122" s="12"/>
      <c r="QW122" s="12"/>
      <c r="RE122" s="6">
        <v>240</v>
      </c>
      <c r="RF122" s="12">
        <v>122</v>
      </c>
      <c r="RG122" s="8">
        <v>108</v>
      </c>
      <c r="RH122" s="28">
        <v>129</v>
      </c>
      <c r="RL122" s="8">
        <v>14</v>
      </c>
      <c r="SP122" s="8">
        <v>-231</v>
      </c>
      <c r="SY122" s="6">
        <v>900</v>
      </c>
      <c r="TH122" s="8">
        <v>243</v>
      </c>
      <c r="TI122" s="28">
        <v>284</v>
      </c>
      <c r="TX122" s="8">
        <v>706</v>
      </c>
      <c r="TY122" s="28">
        <v>316</v>
      </c>
      <c r="TZ122" s="8">
        <v>852</v>
      </c>
      <c r="UA122" s="12">
        <v>161</v>
      </c>
      <c r="VH122" s="8">
        <v>965</v>
      </c>
      <c r="VI122" s="28">
        <v>281</v>
      </c>
      <c r="VL122" s="21"/>
      <c r="VM122" s="8">
        <v>4160</v>
      </c>
      <c r="VN122" s="12">
        <v>383</v>
      </c>
      <c r="VO122" s="12"/>
      <c r="VP122" s="12"/>
      <c r="VQ122" s="6">
        <v>3</v>
      </c>
      <c r="VR122" s="28">
        <v>6</v>
      </c>
      <c r="VS122" s="12"/>
      <c r="VT122" s="12"/>
      <c r="VZ122" s="8">
        <v>-283</v>
      </c>
      <c r="WA122" s="28">
        <v>133</v>
      </c>
      <c r="WB122" s="8">
        <v>5386</v>
      </c>
      <c r="WC122" s="12">
        <v>5536</v>
      </c>
      <c r="XK122">
        <v>-28</v>
      </c>
      <c r="XL122" s="1">
        <v>235</v>
      </c>
    </row>
    <row r="123" spans="11:636" x14ac:dyDescent="0.25">
      <c r="K123" s="2">
        <v>4384</v>
      </c>
      <c r="L123" s="1">
        <v>9</v>
      </c>
      <c r="V123">
        <v>-6</v>
      </c>
      <c r="W123" s="10">
        <v>331</v>
      </c>
      <c r="AB123">
        <v>6</v>
      </c>
      <c r="AC123" s="1">
        <v>45</v>
      </c>
      <c r="AD123">
        <v>26</v>
      </c>
      <c r="AE123" s="1">
        <v>5</v>
      </c>
      <c r="AJ123" s="2">
        <v>274</v>
      </c>
      <c r="AK123" s="10">
        <v>195</v>
      </c>
      <c r="BD123" s="8"/>
      <c r="BF123">
        <v>146</v>
      </c>
      <c r="BG123" s="1">
        <v>122</v>
      </c>
      <c r="BN123">
        <v>30</v>
      </c>
      <c r="BP123">
        <v>1586</v>
      </c>
      <c r="BQ123" s="10">
        <v>4415</v>
      </c>
      <c r="BT123">
        <v>-144</v>
      </c>
      <c r="BU123" s="1">
        <v>31</v>
      </c>
      <c r="CE123" s="8">
        <v>150</v>
      </c>
      <c r="CF123" s="28">
        <v>20</v>
      </c>
      <c r="CM123" s="28"/>
      <c r="CQ123" s="6">
        <v>-387</v>
      </c>
      <c r="CS123" s="6">
        <v>211</v>
      </c>
      <c r="CT123" s="28">
        <v>419</v>
      </c>
      <c r="CZ123" s="23">
        <v>-409</v>
      </c>
      <c r="DA123" s="25">
        <v>154</v>
      </c>
      <c r="DF123" s="23">
        <v>112</v>
      </c>
      <c r="DG123" s="25">
        <v>175</v>
      </c>
      <c r="DH123" s="23">
        <v>143</v>
      </c>
      <c r="DI123" s="25">
        <v>282</v>
      </c>
      <c r="DL123" s="8">
        <v>540</v>
      </c>
      <c r="DQ123" s="8">
        <v>-122</v>
      </c>
      <c r="DR123" s="52">
        <v>698</v>
      </c>
      <c r="DS123" s="6">
        <v>-136</v>
      </c>
      <c r="DT123" s="52">
        <v>72</v>
      </c>
      <c r="DU123" s="8">
        <v>338</v>
      </c>
      <c r="DV123" s="28">
        <v>69</v>
      </c>
      <c r="DW123" s="8">
        <v>2</v>
      </c>
      <c r="DX123" s="28">
        <v>1</v>
      </c>
      <c r="DY123" s="6">
        <v>-163</v>
      </c>
      <c r="DZ123" s="52">
        <v>39</v>
      </c>
      <c r="EA123" s="23">
        <v>-210</v>
      </c>
      <c r="EB123" s="52">
        <v>612</v>
      </c>
      <c r="EC123" s="6"/>
      <c r="ED123" s="28"/>
      <c r="EE123" s="8">
        <v>-42</v>
      </c>
      <c r="EF123" s="52">
        <v>299</v>
      </c>
      <c r="EG123" s="8">
        <v>288</v>
      </c>
      <c r="EH123" s="28">
        <v>407</v>
      </c>
      <c r="EI123" s="8">
        <v>-6</v>
      </c>
      <c r="EJ123" s="52">
        <v>402</v>
      </c>
      <c r="EL123" s="8">
        <v>-245</v>
      </c>
      <c r="EM123" s="28">
        <v>645</v>
      </c>
      <c r="EN123" s="8">
        <v>28</v>
      </c>
      <c r="EO123" s="28">
        <v>31</v>
      </c>
      <c r="EP123" s="28"/>
      <c r="EQ123" s="28"/>
      <c r="EX123" s="8">
        <v>380</v>
      </c>
      <c r="EY123" s="28">
        <v>124</v>
      </c>
      <c r="FD123" s="6">
        <v>233</v>
      </c>
      <c r="FE123" s="28">
        <v>111</v>
      </c>
      <c r="FM123" s="8">
        <v>-871</v>
      </c>
      <c r="FN123" s="52">
        <v>305</v>
      </c>
      <c r="FS123" s="8">
        <v>5</v>
      </c>
      <c r="FT123" s="52">
        <v>8</v>
      </c>
      <c r="GC123" s="8">
        <v>750</v>
      </c>
      <c r="GI123" s="8">
        <v>-103</v>
      </c>
      <c r="GJ123" s="28">
        <v>59</v>
      </c>
      <c r="GP123" s="6">
        <v>-24</v>
      </c>
      <c r="GQ123" s="52">
        <v>272</v>
      </c>
      <c r="GR123" s="8">
        <v>452</v>
      </c>
      <c r="GS123" s="28">
        <v>187</v>
      </c>
      <c r="GT123" s="6">
        <v>-283</v>
      </c>
      <c r="GU123" s="52">
        <v>384</v>
      </c>
      <c r="GV123" s="28"/>
      <c r="GW123" s="28"/>
      <c r="HB123" s="6">
        <v>236</v>
      </c>
      <c r="HE123" s="8">
        <v>12</v>
      </c>
      <c r="HF123" s="28">
        <v>23</v>
      </c>
      <c r="HS123" s="8">
        <v>3</v>
      </c>
      <c r="HT123" s="52">
        <v>140</v>
      </c>
      <c r="IB123" s="8">
        <v>-268</v>
      </c>
      <c r="IC123" s="28">
        <v>105</v>
      </c>
      <c r="ID123" s="8">
        <v>158</v>
      </c>
      <c r="IE123" s="28">
        <v>35</v>
      </c>
      <c r="IY123" s="8">
        <v>-560</v>
      </c>
      <c r="JA123" s="8">
        <v>142</v>
      </c>
      <c r="JB123" s="12">
        <v>812</v>
      </c>
      <c r="JP123" s="6">
        <v>155</v>
      </c>
      <c r="JQ123" s="12">
        <v>332</v>
      </c>
      <c r="JW123" s="8">
        <v>-725</v>
      </c>
      <c r="JX123" s="12">
        <v>463</v>
      </c>
      <c r="KE123" s="6">
        <v>-408</v>
      </c>
      <c r="KF123" s="12">
        <v>134</v>
      </c>
      <c r="KT123" s="8">
        <v>239</v>
      </c>
      <c r="KU123" s="28">
        <v>104</v>
      </c>
      <c r="LF123" s="8">
        <v>-615</v>
      </c>
      <c r="LG123" s="28">
        <v>132</v>
      </c>
      <c r="LJ123" s="8">
        <v>-146</v>
      </c>
      <c r="LK123" s="28">
        <v>266</v>
      </c>
      <c r="LS123" s="8">
        <v>95</v>
      </c>
      <c r="LU123" s="8">
        <v>163</v>
      </c>
      <c r="LV123" s="12">
        <v>240</v>
      </c>
      <c r="LW123" s="8">
        <v>547</v>
      </c>
      <c r="LX123" s="28">
        <v>394</v>
      </c>
      <c r="MF123" s="8">
        <v>314</v>
      </c>
      <c r="MG123" s="12">
        <v>51</v>
      </c>
      <c r="NC123" s="8">
        <v>-145</v>
      </c>
      <c r="ND123" s="12">
        <v>786</v>
      </c>
      <c r="NP123" s="8">
        <v>269</v>
      </c>
      <c r="NQ123" s="12">
        <v>291</v>
      </c>
      <c r="NW123" s="8">
        <v>809</v>
      </c>
      <c r="NX123" s="28">
        <v>609</v>
      </c>
      <c r="PJ123" s="8">
        <v>698</v>
      </c>
      <c r="PK123" s="12">
        <v>246</v>
      </c>
      <c r="PP123" s="8">
        <v>863</v>
      </c>
      <c r="PQ123" s="28">
        <v>21</v>
      </c>
      <c r="PR123" s="28"/>
      <c r="PS123" s="8">
        <v>85</v>
      </c>
      <c r="PT123" s="12">
        <v>120</v>
      </c>
      <c r="QT123" s="8">
        <v>560</v>
      </c>
      <c r="QU123" s="12">
        <v>111</v>
      </c>
      <c r="QV123" s="12"/>
      <c r="QW123" s="12"/>
      <c r="RE123" s="6">
        <v>194</v>
      </c>
      <c r="RF123" s="12">
        <v>649</v>
      </c>
      <c r="RG123" s="8">
        <v>-501</v>
      </c>
      <c r="RH123" s="28">
        <v>86</v>
      </c>
      <c r="RL123" s="8">
        <v>221</v>
      </c>
      <c r="SP123" s="8">
        <v>377</v>
      </c>
      <c r="SY123" s="6">
        <v>153</v>
      </c>
      <c r="TH123" s="8">
        <v>327</v>
      </c>
      <c r="TI123" s="28">
        <v>234</v>
      </c>
      <c r="TX123" s="8">
        <v>202</v>
      </c>
      <c r="TY123" s="28">
        <v>416</v>
      </c>
      <c r="TZ123" s="8">
        <v>354</v>
      </c>
      <c r="UA123" s="12">
        <v>528</v>
      </c>
      <c r="VH123" s="8">
        <v>748</v>
      </c>
      <c r="VI123" s="28">
        <v>470</v>
      </c>
      <c r="VL123" s="21"/>
      <c r="VM123" s="8">
        <v>5525</v>
      </c>
      <c r="VN123" s="12">
        <v>737</v>
      </c>
      <c r="VO123" s="12"/>
      <c r="VP123" s="12"/>
      <c r="VQ123" s="6">
        <v>-821</v>
      </c>
      <c r="VR123" s="28">
        <v>101</v>
      </c>
      <c r="VS123" s="12"/>
      <c r="VT123" s="12"/>
      <c r="VZ123" s="8">
        <v>-227</v>
      </c>
      <c r="WA123" s="28">
        <v>38</v>
      </c>
      <c r="WB123" s="8">
        <v>5357</v>
      </c>
      <c r="WC123" s="12">
        <v>2497</v>
      </c>
      <c r="XK123">
        <v>-21</v>
      </c>
      <c r="XL123" s="1">
        <v>55</v>
      </c>
    </row>
    <row r="124" spans="11:636" x14ac:dyDescent="0.25">
      <c r="K124" s="2">
        <v>2233</v>
      </c>
      <c r="L124" s="1">
        <v>9</v>
      </c>
      <c r="V124">
        <v>-6</v>
      </c>
      <c r="W124" s="10">
        <v>250</v>
      </c>
      <c r="AB124">
        <v>-67</v>
      </c>
      <c r="AC124" s="1">
        <v>64</v>
      </c>
      <c r="AD124">
        <v>39</v>
      </c>
      <c r="AE124" s="1">
        <v>4</v>
      </c>
      <c r="AJ124" s="2">
        <v>-648</v>
      </c>
      <c r="AK124" s="10">
        <v>163</v>
      </c>
      <c r="BD124" s="8"/>
      <c r="BF124">
        <v>187</v>
      </c>
      <c r="BG124" s="1">
        <v>221</v>
      </c>
      <c r="BN124">
        <v>106</v>
      </c>
      <c r="BP124">
        <v>411</v>
      </c>
      <c r="BQ124" s="10">
        <v>9202</v>
      </c>
      <c r="BT124">
        <v>715</v>
      </c>
      <c r="BU124" s="1">
        <v>623</v>
      </c>
      <c r="CE124" s="8">
        <v>136</v>
      </c>
      <c r="CF124" s="28">
        <v>10</v>
      </c>
      <c r="CQ124" s="6">
        <v>-639</v>
      </c>
      <c r="CS124" s="6">
        <v>-914</v>
      </c>
      <c r="CT124" s="28">
        <v>763</v>
      </c>
      <c r="CZ124" s="23">
        <v>199</v>
      </c>
      <c r="DA124" s="25">
        <v>728</v>
      </c>
      <c r="DF124" s="23">
        <v>111</v>
      </c>
      <c r="DG124" s="25">
        <v>560</v>
      </c>
      <c r="DH124" s="23">
        <v>733</v>
      </c>
      <c r="DI124" s="25">
        <v>292</v>
      </c>
      <c r="DL124" s="8">
        <v>274</v>
      </c>
      <c r="DQ124" s="8">
        <v>-322</v>
      </c>
      <c r="DR124" s="52">
        <v>195</v>
      </c>
      <c r="DS124" s="6">
        <v>-461</v>
      </c>
      <c r="DT124" s="52">
        <v>276</v>
      </c>
      <c r="DU124" s="8">
        <v>707</v>
      </c>
      <c r="DV124" s="28">
        <v>63</v>
      </c>
      <c r="DW124" s="8">
        <v>-6</v>
      </c>
      <c r="DX124" s="28">
        <v>2</v>
      </c>
      <c r="DY124" s="6">
        <v>733</v>
      </c>
      <c r="DZ124" s="52">
        <v>249</v>
      </c>
      <c r="EA124" s="23">
        <v>2</v>
      </c>
      <c r="EB124" s="52">
        <v>764</v>
      </c>
      <c r="EC124" s="6"/>
      <c r="ED124" s="28"/>
      <c r="EE124" s="8">
        <v>400</v>
      </c>
      <c r="EF124" s="52">
        <v>454</v>
      </c>
      <c r="EG124" s="8">
        <v>236</v>
      </c>
      <c r="EH124" s="28">
        <v>251</v>
      </c>
      <c r="EI124" s="8">
        <v>6</v>
      </c>
      <c r="EJ124" s="52">
        <v>166</v>
      </c>
      <c r="EL124" s="8">
        <v>-126</v>
      </c>
      <c r="EM124" s="28">
        <v>6</v>
      </c>
      <c r="EN124" s="8">
        <v>88</v>
      </c>
      <c r="EO124" s="28">
        <v>18</v>
      </c>
      <c r="EP124" s="28"/>
      <c r="EQ124" s="28"/>
      <c r="EX124" s="8">
        <v>352</v>
      </c>
      <c r="EY124" s="28">
        <v>144</v>
      </c>
      <c r="FD124" s="6">
        <v>789</v>
      </c>
      <c r="FE124" s="28">
        <v>571</v>
      </c>
      <c r="FM124" s="8">
        <v>141</v>
      </c>
      <c r="FN124" s="52">
        <v>175</v>
      </c>
      <c r="FS124" s="8">
        <v>-258</v>
      </c>
      <c r="FT124" s="52">
        <v>47</v>
      </c>
      <c r="GC124" s="8">
        <v>30</v>
      </c>
      <c r="GI124" s="8">
        <v>1</v>
      </c>
      <c r="GJ124" s="28">
        <v>104</v>
      </c>
      <c r="GP124" s="6">
        <v>-12</v>
      </c>
      <c r="GQ124" s="52">
        <v>108</v>
      </c>
      <c r="GR124" s="8">
        <v>398</v>
      </c>
      <c r="GS124" s="28">
        <v>179</v>
      </c>
      <c r="GT124" s="6">
        <v>-13</v>
      </c>
      <c r="GU124" s="52">
        <v>96</v>
      </c>
      <c r="GV124" s="28"/>
      <c r="GW124" s="28"/>
      <c r="HB124" s="6">
        <v>127</v>
      </c>
      <c r="HE124" s="8">
        <v>-1</v>
      </c>
      <c r="HF124" s="28">
        <v>11</v>
      </c>
      <c r="HS124" s="8">
        <v>63</v>
      </c>
      <c r="HT124" s="52">
        <v>114</v>
      </c>
      <c r="IB124" s="8">
        <v>-590</v>
      </c>
      <c r="IC124" s="28">
        <v>107</v>
      </c>
      <c r="ID124" s="8">
        <v>166</v>
      </c>
      <c r="IE124" s="28">
        <v>70</v>
      </c>
      <c r="IY124" s="8">
        <v>-150</v>
      </c>
      <c r="JA124" s="8">
        <v>-715</v>
      </c>
      <c r="JB124" s="12">
        <v>723</v>
      </c>
      <c r="JP124" s="6">
        <v>-4</v>
      </c>
      <c r="JQ124" s="12">
        <v>306</v>
      </c>
      <c r="JW124" s="8">
        <v>-556</v>
      </c>
      <c r="JX124" s="12">
        <v>173</v>
      </c>
      <c r="KE124" s="6">
        <v>69</v>
      </c>
      <c r="KF124" s="12">
        <v>128</v>
      </c>
      <c r="KT124" s="8">
        <v>-870</v>
      </c>
      <c r="KU124" s="28">
        <v>667</v>
      </c>
      <c r="LF124" s="8">
        <v>-739</v>
      </c>
      <c r="LG124" s="28">
        <v>101</v>
      </c>
      <c r="LJ124" s="8">
        <v>-281</v>
      </c>
      <c r="LK124" s="28">
        <v>536</v>
      </c>
      <c r="LS124" s="8">
        <v>96</v>
      </c>
      <c r="LU124" s="8">
        <v>70</v>
      </c>
      <c r="LV124" s="12">
        <v>65</v>
      </c>
      <c r="LW124" s="8">
        <v>389</v>
      </c>
      <c r="LX124" s="28">
        <v>725</v>
      </c>
      <c r="MF124" s="8">
        <v>-431</v>
      </c>
      <c r="MG124" s="12">
        <v>119</v>
      </c>
      <c r="NC124" s="8">
        <v>85</v>
      </c>
      <c r="ND124" s="12">
        <v>97</v>
      </c>
      <c r="NP124" s="8">
        <v>310</v>
      </c>
      <c r="NQ124" s="12">
        <v>334</v>
      </c>
      <c r="NW124" s="8">
        <v>619</v>
      </c>
      <c r="NX124" s="28">
        <v>945</v>
      </c>
      <c r="PJ124" s="8">
        <v>205</v>
      </c>
      <c r="PK124" s="12">
        <v>521</v>
      </c>
      <c r="PP124" s="8">
        <v>950</v>
      </c>
      <c r="PQ124" s="28">
        <v>21</v>
      </c>
      <c r="PR124" s="28"/>
      <c r="PS124" s="8">
        <v>-218</v>
      </c>
      <c r="PT124" s="12">
        <v>257</v>
      </c>
      <c r="QT124" s="8">
        <v>249</v>
      </c>
      <c r="QU124" s="12">
        <v>58</v>
      </c>
      <c r="QV124" s="12"/>
      <c r="QW124" s="12"/>
      <c r="RE124" s="6">
        <v>215</v>
      </c>
      <c r="RF124" s="12">
        <v>76</v>
      </c>
      <c r="RG124" s="8">
        <v>-79</v>
      </c>
      <c r="RH124" s="28">
        <v>137</v>
      </c>
      <c r="RL124" s="8">
        <v>-18</v>
      </c>
      <c r="SP124" s="8">
        <v>-155</v>
      </c>
      <c r="SY124" s="6">
        <v>483</v>
      </c>
      <c r="TH124" s="8">
        <v>255</v>
      </c>
      <c r="TI124" s="28">
        <v>321</v>
      </c>
      <c r="TX124" s="8">
        <v>-308</v>
      </c>
      <c r="TY124" s="28">
        <v>334</v>
      </c>
      <c r="TZ124" s="8">
        <v>240</v>
      </c>
      <c r="UA124" s="12">
        <v>735</v>
      </c>
      <c r="VH124" s="8">
        <v>-226</v>
      </c>
      <c r="VI124" s="28">
        <v>48</v>
      </c>
      <c r="VL124" s="21"/>
      <c r="VM124" s="8">
        <v>4217</v>
      </c>
      <c r="VN124" s="12">
        <v>416</v>
      </c>
      <c r="VO124" s="12"/>
      <c r="VP124" s="12"/>
      <c r="VQ124" s="6">
        <v>-657</v>
      </c>
      <c r="VR124" s="28">
        <v>123</v>
      </c>
      <c r="VS124" s="12"/>
      <c r="VT124" s="12"/>
      <c r="VZ124" s="8">
        <v>264</v>
      </c>
      <c r="WA124" s="28">
        <v>299</v>
      </c>
      <c r="WB124" s="8">
        <v>5289</v>
      </c>
      <c r="WC124" s="12">
        <v>1346</v>
      </c>
      <c r="XK124">
        <v>216</v>
      </c>
      <c r="XL124" s="1">
        <v>32</v>
      </c>
    </row>
    <row r="125" spans="11:636" x14ac:dyDescent="0.25">
      <c r="K125" s="2">
        <v>4152</v>
      </c>
      <c r="L125" s="1">
        <v>7</v>
      </c>
      <c r="V125">
        <v>-7</v>
      </c>
      <c r="W125" s="10">
        <v>392</v>
      </c>
      <c r="AB125">
        <v>-118</v>
      </c>
      <c r="AC125" s="1">
        <v>120</v>
      </c>
      <c r="AD125">
        <v>37</v>
      </c>
      <c r="AE125" s="1">
        <v>6</v>
      </c>
      <c r="AJ125" s="2">
        <v>-446</v>
      </c>
      <c r="AK125" s="10">
        <v>115</v>
      </c>
      <c r="BD125" s="8"/>
      <c r="BF125">
        <v>-161</v>
      </c>
      <c r="BG125" s="1">
        <v>76</v>
      </c>
      <c r="BN125">
        <v>60</v>
      </c>
      <c r="BP125">
        <v>601</v>
      </c>
      <c r="BQ125" s="10">
        <v>7380</v>
      </c>
      <c r="BT125">
        <v>-659</v>
      </c>
      <c r="BU125" s="1">
        <v>656</v>
      </c>
      <c r="CE125" s="8">
        <v>129</v>
      </c>
      <c r="CF125" s="28">
        <v>18</v>
      </c>
      <c r="CQ125" s="6">
        <v>-441</v>
      </c>
      <c r="CS125" s="6">
        <v>-819</v>
      </c>
      <c r="CT125" s="28">
        <v>336</v>
      </c>
      <c r="CZ125" s="23">
        <v>158</v>
      </c>
      <c r="DA125" s="25">
        <v>422</v>
      </c>
      <c r="DF125" s="23">
        <v>110</v>
      </c>
      <c r="DG125" s="25">
        <v>343</v>
      </c>
      <c r="DH125" s="23">
        <v>220</v>
      </c>
      <c r="DI125" s="25">
        <v>229</v>
      </c>
      <c r="DL125" s="8">
        <v>371</v>
      </c>
      <c r="DQ125" s="8">
        <v>-320</v>
      </c>
      <c r="DR125" s="52">
        <v>156</v>
      </c>
      <c r="DS125" s="6">
        <v>-354</v>
      </c>
      <c r="DT125" s="52">
        <v>218</v>
      </c>
      <c r="DU125" s="8">
        <v>493</v>
      </c>
      <c r="DV125" s="28">
        <v>56</v>
      </c>
      <c r="DW125" s="8">
        <v>-99</v>
      </c>
      <c r="DX125" s="28">
        <v>32</v>
      </c>
      <c r="DY125" s="6">
        <v>907</v>
      </c>
      <c r="DZ125" s="52">
        <v>239</v>
      </c>
      <c r="EA125" s="23">
        <v>1</v>
      </c>
      <c r="EB125" s="52">
        <v>999</v>
      </c>
      <c r="EC125" s="6"/>
      <c r="ED125" s="28"/>
      <c r="EE125" s="8">
        <v>612</v>
      </c>
      <c r="EF125" s="52">
        <v>471</v>
      </c>
      <c r="EG125" s="8">
        <v>-146</v>
      </c>
      <c r="EH125" s="28">
        <v>234</v>
      </c>
      <c r="EI125" s="8">
        <v>-11</v>
      </c>
      <c r="EJ125" s="52">
        <v>228</v>
      </c>
      <c r="EL125" s="8">
        <v>7</v>
      </c>
      <c r="EM125" s="28">
        <v>6</v>
      </c>
      <c r="EN125" s="8">
        <v>246</v>
      </c>
      <c r="EO125" s="28">
        <v>24</v>
      </c>
      <c r="EP125" s="28"/>
      <c r="EQ125" s="28"/>
      <c r="EX125" s="8">
        <v>173</v>
      </c>
      <c r="EY125" s="28">
        <v>117</v>
      </c>
      <c r="FD125" s="6">
        <v>141</v>
      </c>
      <c r="FE125" s="28">
        <v>124</v>
      </c>
      <c r="FM125" s="8">
        <v>259</v>
      </c>
      <c r="FN125" s="52">
        <v>542</v>
      </c>
      <c r="FS125" s="8">
        <v>-279</v>
      </c>
      <c r="FT125" s="52">
        <v>47</v>
      </c>
      <c r="GC125" s="8">
        <v>200</v>
      </c>
      <c r="GI125" s="8">
        <v>-112</v>
      </c>
      <c r="GJ125" s="28">
        <v>107</v>
      </c>
      <c r="GP125" s="6">
        <v>-15</v>
      </c>
      <c r="GQ125" s="52">
        <v>87</v>
      </c>
      <c r="GR125" s="8">
        <v>832</v>
      </c>
      <c r="GS125" s="28">
        <v>183</v>
      </c>
      <c r="GT125" s="6">
        <v>341</v>
      </c>
      <c r="GU125" s="52">
        <v>278</v>
      </c>
      <c r="GV125" s="28"/>
      <c r="GW125" s="28"/>
      <c r="HB125" s="6">
        <v>104</v>
      </c>
      <c r="HE125" s="8">
        <v>-24</v>
      </c>
      <c r="HF125" s="28">
        <v>31</v>
      </c>
      <c r="HS125" s="8">
        <v>8</v>
      </c>
      <c r="HT125" s="52">
        <v>43</v>
      </c>
      <c r="IB125" s="8">
        <v>-263</v>
      </c>
      <c r="IC125" s="28">
        <v>106</v>
      </c>
      <c r="ID125" s="8">
        <v>-534</v>
      </c>
      <c r="IE125" s="28">
        <v>209</v>
      </c>
      <c r="IY125" s="8">
        <v>-319</v>
      </c>
      <c r="JA125" s="8">
        <v>103</v>
      </c>
      <c r="JB125" s="12">
        <v>904</v>
      </c>
      <c r="JP125" s="6">
        <v>-59</v>
      </c>
      <c r="JQ125" s="12">
        <v>738</v>
      </c>
      <c r="JW125" s="8">
        <v>-442</v>
      </c>
      <c r="JX125" s="12">
        <v>146</v>
      </c>
      <c r="KE125" s="6">
        <v>539</v>
      </c>
      <c r="KF125" s="12">
        <v>295</v>
      </c>
      <c r="KT125" s="8">
        <v>-356</v>
      </c>
      <c r="KU125" s="28">
        <v>467</v>
      </c>
      <c r="LF125" s="8">
        <v>470</v>
      </c>
      <c r="LG125" s="28">
        <v>116</v>
      </c>
      <c r="LJ125" s="8">
        <v>115</v>
      </c>
      <c r="LK125" s="28">
        <v>113</v>
      </c>
      <c r="LS125" s="8">
        <v>235</v>
      </c>
      <c r="LU125" s="8">
        <v>-44</v>
      </c>
      <c r="LV125" s="12">
        <v>48</v>
      </c>
      <c r="LW125" s="8">
        <v>-341</v>
      </c>
      <c r="LX125" s="28">
        <v>355</v>
      </c>
      <c r="MF125" s="8">
        <v>189</v>
      </c>
      <c r="MG125" s="12">
        <v>105</v>
      </c>
      <c r="NC125" s="8">
        <v>-9</v>
      </c>
      <c r="ND125" s="12">
        <v>22</v>
      </c>
      <c r="NP125" s="8">
        <v>383</v>
      </c>
      <c r="NQ125" s="12">
        <v>404</v>
      </c>
      <c r="NW125" s="8">
        <v>139</v>
      </c>
      <c r="NX125" s="28">
        <v>361</v>
      </c>
      <c r="PJ125" s="8">
        <v>-33</v>
      </c>
      <c r="PK125" s="12">
        <v>643</v>
      </c>
      <c r="PP125" s="8">
        <v>108</v>
      </c>
      <c r="PQ125" s="28">
        <v>20</v>
      </c>
      <c r="PR125" s="28"/>
      <c r="PS125" s="8">
        <v>8</v>
      </c>
      <c r="PT125" s="12">
        <v>83</v>
      </c>
      <c r="QT125" s="8">
        <v>-174</v>
      </c>
      <c r="QU125" s="12">
        <v>211</v>
      </c>
      <c r="QV125" s="12"/>
      <c r="QW125" s="12"/>
      <c r="RE125" s="6">
        <v>315</v>
      </c>
      <c r="RF125" s="12">
        <v>100</v>
      </c>
      <c r="RG125" s="8">
        <v>251</v>
      </c>
      <c r="RH125" s="28">
        <v>144</v>
      </c>
      <c r="RL125" s="8">
        <v>-2</v>
      </c>
      <c r="SP125" s="8">
        <v>112</v>
      </c>
      <c r="SY125" s="6">
        <v>248</v>
      </c>
      <c r="TH125" s="8">
        <v>89</v>
      </c>
      <c r="TI125" s="28">
        <v>85</v>
      </c>
      <c r="TX125" s="8">
        <v>-397</v>
      </c>
      <c r="TY125" s="28">
        <v>355</v>
      </c>
      <c r="TZ125" s="8">
        <v>159</v>
      </c>
      <c r="UA125" s="12">
        <v>115</v>
      </c>
      <c r="VH125" s="8">
        <v>528</v>
      </c>
      <c r="VI125" s="28">
        <v>43</v>
      </c>
      <c r="VL125" s="21"/>
      <c r="VM125" s="8">
        <v>1997</v>
      </c>
      <c r="VN125" s="12">
        <v>528</v>
      </c>
      <c r="VO125" s="12"/>
      <c r="VP125" s="12"/>
      <c r="VQ125" s="6">
        <v>-831</v>
      </c>
      <c r="VR125" s="28">
        <v>992</v>
      </c>
      <c r="VS125" s="12"/>
      <c r="VT125" s="12"/>
      <c r="VZ125" s="8">
        <v>505</v>
      </c>
      <c r="WA125" s="28">
        <v>178</v>
      </c>
      <c r="WB125" s="8">
        <v>5288</v>
      </c>
      <c r="WC125" s="12">
        <v>6877</v>
      </c>
      <c r="XK125">
        <v>4</v>
      </c>
      <c r="XL125" s="1">
        <v>298</v>
      </c>
    </row>
    <row r="126" spans="11:636" x14ac:dyDescent="0.25">
      <c r="K126" s="2">
        <v>2485</v>
      </c>
      <c r="L126" s="1">
        <v>9</v>
      </c>
      <c r="V126">
        <v>-121</v>
      </c>
      <c r="W126" s="10">
        <v>174</v>
      </c>
      <c r="AB126">
        <v>39</v>
      </c>
      <c r="AC126" s="1">
        <v>18</v>
      </c>
      <c r="AD126">
        <v>41</v>
      </c>
      <c r="AE126" s="1">
        <v>7</v>
      </c>
      <c r="AJ126" s="2">
        <v>-720</v>
      </c>
      <c r="AK126" s="10">
        <v>177</v>
      </c>
      <c r="BD126" s="8"/>
      <c r="BF126">
        <v>681</v>
      </c>
      <c r="BG126" s="1">
        <v>138</v>
      </c>
      <c r="BN126">
        <v>57</v>
      </c>
      <c r="BP126">
        <v>401</v>
      </c>
      <c r="BQ126" s="10">
        <v>6054</v>
      </c>
      <c r="BT126">
        <v>386</v>
      </c>
      <c r="BU126" s="1">
        <v>45</v>
      </c>
      <c r="CE126" s="8">
        <v>148</v>
      </c>
      <c r="CF126" s="28">
        <v>16</v>
      </c>
      <c r="CQ126" s="6">
        <v>-291</v>
      </c>
      <c r="CS126" s="6">
        <v>-187</v>
      </c>
      <c r="CT126" s="28">
        <v>328</v>
      </c>
      <c r="CZ126" s="23">
        <v>-550</v>
      </c>
      <c r="DA126" s="25">
        <v>194</v>
      </c>
      <c r="DF126" s="23">
        <v>937</v>
      </c>
      <c r="DG126" s="25">
        <v>982</v>
      </c>
      <c r="DH126" s="23">
        <v>146</v>
      </c>
      <c r="DI126" s="25">
        <v>300</v>
      </c>
      <c r="DL126" s="8">
        <v>323</v>
      </c>
      <c r="DQ126" s="8">
        <v>-207</v>
      </c>
      <c r="DR126" s="52">
        <v>116</v>
      </c>
      <c r="DS126" s="6">
        <v>33</v>
      </c>
      <c r="DT126" s="52">
        <v>115</v>
      </c>
      <c r="DU126" s="8">
        <v>356</v>
      </c>
      <c r="DV126" s="28">
        <v>61</v>
      </c>
      <c r="DW126" s="8">
        <v>-423</v>
      </c>
      <c r="DX126" s="28">
        <v>642</v>
      </c>
      <c r="DY126" s="6">
        <v>973</v>
      </c>
      <c r="DZ126" s="52">
        <v>438</v>
      </c>
      <c r="EA126" s="23">
        <v>-2</v>
      </c>
      <c r="EB126" s="52">
        <v>129</v>
      </c>
      <c r="EC126" s="6"/>
      <c r="ED126" s="28"/>
      <c r="EE126" s="8">
        <v>-17</v>
      </c>
      <c r="EF126" s="52">
        <v>410</v>
      </c>
      <c r="EG126" s="8">
        <v>-203</v>
      </c>
      <c r="EH126" s="28">
        <v>244</v>
      </c>
      <c r="EI126" s="8">
        <v>1</v>
      </c>
      <c r="EJ126" s="52">
        <v>667</v>
      </c>
      <c r="EL126" s="8">
        <v>196</v>
      </c>
      <c r="EM126" s="28">
        <v>142</v>
      </c>
      <c r="EN126" s="8">
        <v>346</v>
      </c>
      <c r="EO126" s="28">
        <v>28</v>
      </c>
      <c r="EP126" s="28"/>
      <c r="EQ126" s="28"/>
      <c r="EX126" s="8">
        <v>574</v>
      </c>
      <c r="EY126" s="28">
        <v>210</v>
      </c>
      <c r="FD126" s="6">
        <v>-83</v>
      </c>
      <c r="FE126" s="28">
        <v>415</v>
      </c>
      <c r="FM126" s="8">
        <v>475</v>
      </c>
      <c r="FN126" s="52">
        <v>84</v>
      </c>
      <c r="FS126" s="8">
        <v>-299</v>
      </c>
      <c r="FT126" s="52">
        <v>50</v>
      </c>
      <c r="GC126" s="8">
        <v>178</v>
      </c>
      <c r="GI126" s="8">
        <v>-21</v>
      </c>
      <c r="GJ126" s="28">
        <v>101</v>
      </c>
      <c r="GP126" s="6">
        <v>20</v>
      </c>
      <c r="GQ126" s="52">
        <v>183</v>
      </c>
      <c r="GR126" s="8">
        <v>22</v>
      </c>
      <c r="GS126" s="28">
        <v>27</v>
      </c>
      <c r="GT126" s="6">
        <v>-30</v>
      </c>
      <c r="GU126" s="52">
        <v>872</v>
      </c>
      <c r="GV126" s="28"/>
      <c r="GW126" s="28"/>
      <c r="HB126" s="6">
        <v>207</v>
      </c>
      <c r="HE126" s="8">
        <v>-15</v>
      </c>
      <c r="HF126" s="28">
        <v>65</v>
      </c>
      <c r="HS126" s="8">
        <v>4</v>
      </c>
      <c r="HT126" s="52">
        <v>127</v>
      </c>
      <c r="IB126" s="8">
        <v>-701</v>
      </c>
      <c r="IC126" s="28">
        <v>514</v>
      </c>
      <c r="ID126" s="8">
        <v>-146</v>
      </c>
      <c r="IE126" s="28">
        <v>278</v>
      </c>
      <c r="IY126" s="8">
        <v>134</v>
      </c>
      <c r="JA126" s="8">
        <v>84</v>
      </c>
      <c r="JB126" s="12">
        <v>406</v>
      </c>
      <c r="JP126" s="6">
        <v>890</v>
      </c>
      <c r="JQ126" s="12">
        <v>98</v>
      </c>
      <c r="JW126" s="8">
        <v>-460</v>
      </c>
      <c r="JX126" s="12">
        <v>140</v>
      </c>
      <c r="KE126" s="6">
        <v>-575</v>
      </c>
      <c r="KF126" s="12">
        <v>172</v>
      </c>
      <c r="KT126" s="8">
        <v>-219</v>
      </c>
      <c r="KU126" s="28">
        <v>711</v>
      </c>
      <c r="LF126" s="8">
        <v>-136</v>
      </c>
      <c r="LG126" s="28">
        <v>73</v>
      </c>
      <c r="LJ126" s="8">
        <v>-157</v>
      </c>
      <c r="LK126" s="28">
        <v>639</v>
      </c>
      <c r="LS126" s="8">
        <v>28</v>
      </c>
      <c r="LU126" s="8">
        <v>313</v>
      </c>
      <c r="LV126" s="12">
        <v>301</v>
      </c>
      <c r="LW126" s="8">
        <v>-7</v>
      </c>
      <c r="LX126" s="28">
        <v>372</v>
      </c>
      <c r="MF126" s="8">
        <v>-121</v>
      </c>
      <c r="MG126" s="12">
        <v>55</v>
      </c>
      <c r="NC126" s="8">
        <v>114</v>
      </c>
      <c r="ND126" s="12">
        <v>174</v>
      </c>
      <c r="NP126" s="8">
        <v>391</v>
      </c>
      <c r="NQ126" s="12">
        <v>396</v>
      </c>
      <c r="NW126" s="8">
        <v>119</v>
      </c>
      <c r="NX126" s="28">
        <v>641</v>
      </c>
      <c r="PJ126" s="8">
        <v>15</v>
      </c>
      <c r="PK126" s="12">
        <v>404</v>
      </c>
      <c r="PP126" s="8">
        <v>264</v>
      </c>
      <c r="PQ126" s="28">
        <v>23</v>
      </c>
      <c r="PR126" s="28"/>
      <c r="PS126" s="8">
        <v>166</v>
      </c>
      <c r="PT126" s="12">
        <v>409</v>
      </c>
      <c r="RE126" s="6">
        <v>383</v>
      </c>
      <c r="RF126" s="12">
        <v>120</v>
      </c>
      <c r="RG126" s="8">
        <v>-160</v>
      </c>
      <c r="RH126" s="28">
        <v>195</v>
      </c>
      <c r="SP126" s="8">
        <v>-91</v>
      </c>
      <c r="SY126" s="6">
        <v>28</v>
      </c>
      <c r="TH126" s="8">
        <v>210</v>
      </c>
      <c r="TI126" s="28">
        <v>41</v>
      </c>
      <c r="TX126" s="8">
        <v>-498</v>
      </c>
      <c r="TY126" s="28">
        <v>552</v>
      </c>
      <c r="TZ126" s="8">
        <v>95</v>
      </c>
      <c r="UA126" s="12">
        <v>516</v>
      </c>
      <c r="VH126" s="8">
        <v>145</v>
      </c>
      <c r="VI126" s="28">
        <v>876</v>
      </c>
      <c r="VL126" s="21"/>
      <c r="VM126" s="8">
        <v>421</v>
      </c>
      <c r="VN126" s="12">
        <v>766</v>
      </c>
      <c r="VO126" s="12"/>
      <c r="VP126" s="12"/>
      <c r="VQ126" s="6">
        <v>-832</v>
      </c>
      <c r="VR126" s="28">
        <v>110</v>
      </c>
      <c r="VS126" s="12"/>
      <c r="VT126" s="12"/>
      <c r="VZ126" s="8">
        <v>-510</v>
      </c>
      <c r="WA126" s="28">
        <v>255</v>
      </c>
      <c r="WB126" s="8">
        <v>5250</v>
      </c>
      <c r="WC126" s="12">
        <v>7384</v>
      </c>
      <c r="XK126">
        <v>9</v>
      </c>
      <c r="XL126" s="1">
        <v>25</v>
      </c>
    </row>
    <row r="127" spans="11:636" x14ac:dyDescent="0.25">
      <c r="K127" s="2">
        <v>3236</v>
      </c>
      <c r="L127" s="1">
        <v>8</v>
      </c>
      <c r="V127">
        <v>5</v>
      </c>
      <c r="W127" s="10">
        <v>263</v>
      </c>
      <c r="AB127">
        <v>54</v>
      </c>
      <c r="AC127" s="1">
        <v>14</v>
      </c>
      <c r="AD127">
        <v>56</v>
      </c>
      <c r="AE127" s="1">
        <v>6</v>
      </c>
      <c r="AJ127" s="2">
        <v>-282</v>
      </c>
      <c r="AK127" s="10">
        <v>105</v>
      </c>
      <c r="BD127" s="8"/>
      <c r="BF127">
        <v>37</v>
      </c>
      <c r="BG127" s="1">
        <v>75</v>
      </c>
      <c r="BN127">
        <v>1</v>
      </c>
      <c r="BP127">
        <v>197</v>
      </c>
      <c r="BQ127" s="10">
        <v>3147</v>
      </c>
      <c r="BT127">
        <v>-578</v>
      </c>
      <c r="BU127" s="1">
        <v>81</v>
      </c>
      <c r="CE127" s="8">
        <v>165</v>
      </c>
      <c r="CF127" s="28">
        <v>24</v>
      </c>
      <c r="CQ127" s="6">
        <v>-353</v>
      </c>
      <c r="CS127" s="6">
        <v>7</v>
      </c>
      <c r="CT127" s="28">
        <v>615</v>
      </c>
      <c r="CZ127" s="23">
        <v>133</v>
      </c>
      <c r="DA127" s="25">
        <v>648</v>
      </c>
      <c r="DF127" s="23">
        <v>108</v>
      </c>
      <c r="DG127" s="25">
        <v>308</v>
      </c>
      <c r="DH127" s="23">
        <v>653</v>
      </c>
      <c r="DI127" s="25">
        <v>325</v>
      </c>
      <c r="DL127" s="8">
        <v>279</v>
      </c>
      <c r="DQ127" s="8">
        <v>-155</v>
      </c>
      <c r="DR127" s="52">
        <v>881</v>
      </c>
      <c r="DS127" s="6">
        <v>28</v>
      </c>
      <c r="DT127" s="52">
        <v>274</v>
      </c>
      <c r="DU127" s="8">
        <v>319</v>
      </c>
      <c r="DV127" s="28">
        <v>57</v>
      </c>
      <c r="DW127" s="8">
        <v>-51</v>
      </c>
      <c r="DX127" s="28">
        <v>173</v>
      </c>
      <c r="DY127" s="6">
        <v>-113</v>
      </c>
      <c r="DZ127" s="52">
        <v>363</v>
      </c>
      <c r="EA127" s="23">
        <v>-6</v>
      </c>
      <c r="EB127" s="52">
        <v>636</v>
      </c>
      <c r="EC127" s="6"/>
      <c r="ED127" s="28"/>
      <c r="EE127" s="8">
        <v>-27</v>
      </c>
      <c r="EF127" s="52">
        <v>35</v>
      </c>
      <c r="EG127" s="6">
        <v>-791</v>
      </c>
      <c r="EH127" s="28">
        <v>308</v>
      </c>
      <c r="EI127" s="8">
        <v>18</v>
      </c>
      <c r="EJ127" s="52">
        <v>438</v>
      </c>
      <c r="EL127" s="8">
        <v>-477</v>
      </c>
      <c r="EM127" s="28">
        <v>121</v>
      </c>
      <c r="EN127" s="8">
        <v>14</v>
      </c>
      <c r="EO127" s="28">
        <v>18</v>
      </c>
      <c r="EP127" s="28"/>
      <c r="EQ127" s="28"/>
      <c r="EX127" s="8">
        <v>59</v>
      </c>
      <c r="EY127" s="28">
        <v>1</v>
      </c>
      <c r="FD127" s="6">
        <v>-199</v>
      </c>
      <c r="FE127" s="28">
        <v>421</v>
      </c>
      <c r="FM127" s="8">
        <v>409</v>
      </c>
      <c r="FN127" s="52">
        <v>395</v>
      </c>
      <c r="FS127" s="8">
        <v>-295</v>
      </c>
      <c r="FT127" s="52">
        <v>55</v>
      </c>
      <c r="GC127" s="8">
        <v>503</v>
      </c>
      <c r="GI127" s="8">
        <v>-54</v>
      </c>
      <c r="GJ127" s="28">
        <v>90</v>
      </c>
      <c r="GP127" s="6">
        <v>32</v>
      </c>
      <c r="GQ127" s="52">
        <v>310</v>
      </c>
      <c r="GR127" s="8">
        <v>9</v>
      </c>
      <c r="GS127" s="28">
        <v>22</v>
      </c>
      <c r="GT127" s="6">
        <v>-8</v>
      </c>
      <c r="GU127" s="52">
        <v>199</v>
      </c>
      <c r="GV127" s="28"/>
      <c r="GW127" s="28"/>
      <c r="HB127" s="6">
        <v>40</v>
      </c>
      <c r="HE127" s="8">
        <v>15</v>
      </c>
      <c r="HF127" s="28">
        <v>58</v>
      </c>
      <c r="HS127" s="8">
        <v>13</v>
      </c>
      <c r="HT127" s="52">
        <v>499</v>
      </c>
      <c r="IB127" s="8">
        <v>-956</v>
      </c>
      <c r="IC127" s="28">
        <v>512</v>
      </c>
      <c r="ID127" s="8">
        <v>86</v>
      </c>
      <c r="IE127" s="28">
        <v>557</v>
      </c>
      <c r="IY127" s="8">
        <v>45</v>
      </c>
      <c r="JA127" s="8">
        <v>-101</v>
      </c>
      <c r="JB127" s="12">
        <v>832</v>
      </c>
      <c r="JP127" s="6">
        <v>156</v>
      </c>
      <c r="JQ127" s="12">
        <v>336</v>
      </c>
      <c r="JW127" s="8">
        <v>-418</v>
      </c>
      <c r="JX127" s="12">
        <v>113</v>
      </c>
      <c r="KE127" s="6">
        <v>-584</v>
      </c>
      <c r="KF127" s="12">
        <v>104</v>
      </c>
      <c r="KT127" s="8">
        <v>-242</v>
      </c>
      <c r="KU127" s="28">
        <v>125</v>
      </c>
      <c r="LF127" s="8">
        <v>-167</v>
      </c>
      <c r="LG127" s="28">
        <v>77</v>
      </c>
      <c r="LJ127" s="8">
        <v>-869</v>
      </c>
      <c r="LK127" s="28">
        <v>298</v>
      </c>
      <c r="LS127" s="8">
        <v>10</v>
      </c>
      <c r="LU127" s="8">
        <v>213</v>
      </c>
      <c r="LV127" s="12">
        <v>280</v>
      </c>
      <c r="LW127" s="8">
        <v>2</v>
      </c>
      <c r="LX127" s="28">
        <v>291</v>
      </c>
      <c r="MF127" s="8">
        <v>-100</v>
      </c>
      <c r="MG127" s="12">
        <v>58</v>
      </c>
      <c r="NC127" s="8">
        <v>-32</v>
      </c>
      <c r="ND127" s="12">
        <v>75</v>
      </c>
      <c r="NP127" s="8">
        <v>370</v>
      </c>
      <c r="NQ127" s="12">
        <v>351</v>
      </c>
      <c r="NW127" s="8">
        <v>101</v>
      </c>
      <c r="NX127" s="28">
        <v>934</v>
      </c>
      <c r="PJ127" s="8">
        <v>58</v>
      </c>
      <c r="PK127" s="12">
        <v>136</v>
      </c>
      <c r="PP127" s="8">
        <v>120</v>
      </c>
      <c r="PQ127" s="28">
        <v>25</v>
      </c>
      <c r="PR127" s="28"/>
      <c r="PS127" s="8">
        <v>64</v>
      </c>
      <c r="PT127" s="12">
        <v>222</v>
      </c>
      <c r="RE127" s="6">
        <v>422</v>
      </c>
      <c r="RF127" s="12">
        <v>153</v>
      </c>
      <c r="RG127" s="8">
        <v>-293</v>
      </c>
      <c r="RH127" s="28">
        <v>102</v>
      </c>
      <c r="SP127" s="8">
        <v>845</v>
      </c>
      <c r="SY127" s="6">
        <v>175</v>
      </c>
      <c r="TH127" s="8">
        <v>370</v>
      </c>
      <c r="TI127" s="28">
        <v>65</v>
      </c>
      <c r="TX127" s="8">
        <v>-637</v>
      </c>
      <c r="TY127" s="28">
        <v>563</v>
      </c>
      <c r="TZ127" s="8">
        <v>46</v>
      </c>
      <c r="UA127" s="12">
        <v>168</v>
      </c>
      <c r="VH127" s="8">
        <v>524</v>
      </c>
      <c r="VI127" s="28">
        <v>210</v>
      </c>
      <c r="VL127" s="21"/>
      <c r="VM127" s="8">
        <v>487</v>
      </c>
      <c r="VN127" s="12">
        <v>220</v>
      </c>
      <c r="VO127" s="12"/>
      <c r="VP127" s="12"/>
      <c r="VQ127" s="6">
        <v>-828</v>
      </c>
      <c r="VR127" s="28">
        <v>101</v>
      </c>
      <c r="VS127" s="12"/>
      <c r="VT127" s="12"/>
      <c r="VZ127" s="8">
        <v>-146</v>
      </c>
      <c r="WA127" s="28">
        <v>601</v>
      </c>
      <c r="WB127" s="8">
        <v>5368</v>
      </c>
      <c r="WC127" s="12">
        <v>1172</v>
      </c>
      <c r="XK127">
        <v>32</v>
      </c>
      <c r="XL127" s="1">
        <v>82</v>
      </c>
    </row>
    <row r="128" spans="11:636" x14ac:dyDescent="0.25">
      <c r="K128" s="2">
        <v>729</v>
      </c>
      <c r="L128" s="1">
        <v>9</v>
      </c>
      <c r="V128">
        <v>-1945</v>
      </c>
      <c r="W128" s="10">
        <v>130</v>
      </c>
      <c r="AB128">
        <v>3</v>
      </c>
      <c r="AC128" s="1">
        <v>26</v>
      </c>
      <c r="AD128">
        <v>27</v>
      </c>
      <c r="AE128" s="1">
        <v>10</v>
      </c>
      <c r="AJ128" s="2">
        <v>-60</v>
      </c>
      <c r="AK128" s="10">
        <v>254</v>
      </c>
      <c r="BD128" s="8"/>
      <c r="BF128">
        <v>181</v>
      </c>
      <c r="BG128" s="1">
        <v>19</v>
      </c>
      <c r="BN128">
        <v>-4</v>
      </c>
      <c r="BP128">
        <v>325</v>
      </c>
      <c r="BQ128" s="10">
        <v>2888</v>
      </c>
      <c r="BT128">
        <v>-32</v>
      </c>
      <c r="BU128" s="1">
        <v>70</v>
      </c>
      <c r="CE128" s="8">
        <v>180</v>
      </c>
      <c r="CF128" s="28">
        <v>18</v>
      </c>
      <c r="CQ128" s="6">
        <v>-100</v>
      </c>
      <c r="CS128" s="6">
        <v>-238</v>
      </c>
      <c r="CT128" s="28">
        <v>573</v>
      </c>
      <c r="CZ128" s="23">
        <v>533</v>
      </c>
      <c r="DA128" s="25">
        <v>139</v>
      </c>
      <c r="DF128" s="23">
        <v>126</v>
      </c>
      <c r="DG128" s="25">
        <v>508</v>
      </c>
      <c r="DH128" s="23">
        <v>318</v>
      </c>
      <c r="DI128" s="25">
        <v>211</v>
      </c>
      <c r="DL128" s="8">
        <v>502</v>
      </c>
      <c r="DQ128" s="8">
        <v>-254</v>
      </c>
      <c r="DR128" s="52">
        <v>154</v>
      </c>
      <c r="DS128" s="6">
        <v>179</v>
      </c>
      <c r="DT128" s="52">
        <v>284</v>
      </c>
      <c r="DW128" s="8">
        <v>-1</v>
      </c>
      <c r="DX128" s="28">
        <v>1</v>
      </c>
      <c r="DY128" s="6">
        <v>176</v>
      </c>
      <c r="DZ128" s="52">
        <v>226</v>
      </c>
      <c r="EA128" s="23">
        <v>-215</v>
      </c>
      <c r="EB128" s="52">
        <v>172</v>
      </c>
      <c r="EC128" s="6"/>
      <c r="ED128" s="28"/>
      <c r="EE128" s="8">
        <v>669</v>
      </c>
      <c r="EF128" s="52">
        <v>329</v>
      </c>
      <c r="EG128" s="6">
        <v>558</v>
      </c>
      <c r="EH128" s="28">
        <v>239</v>
      </c>
      <c r="EI128" s="8">
        <v>10</v>
      </c>
      <c r="EJ128" s="52">
        <v>879</v>
      </c>
      <c r="EL128" s="8">
        <v>621</v>
      </c>
      <c r="EM128" s="28">
        <v>930</v>
      </c>
      <c r="EN128" s="8">
        <v>-65</v>
      </c>
      <c r="EO128" s="28">
        <v>27</v>
      </c>
      <c r="EP128" s="28"/>
      <c r="EQ128" s="28"/>
      <c r="EX128" s="8">
        <v>272</v>
      </c>
      <c r="EY128" s="28">
        <v>519</v>
      </c>
      <c r="FD128" s="6">
        <v>92</v>
      </c>
      <c r="FE128" s="28">
        <v>85</v>
      </c>
      <c r="FM128" s="8">
        <v>205</v>
      </c>
      <c r="FN128" s="52">
        <v>356</v>
      </c>
      <c r="FS128" s="8">
        <v>-317</v>
      </c>
      <c r="FT128" s="52">
        <v>54</v>
      </c>
      <c r="GC128" s="8">
        <v>566</v>
      </c>
      <c r="GI128" s="8">
        <v>-155</v>
      </c>
      <c r="GJ128" s="28">
        <v>82</v>
      </c>
      <c r="GP128" s="6">
        <v>10</v>
      </c>
      <c r="GQ128" s="52">
        <v>149</v>
      </c>
      <c r="GR128" s="8">
        <v>46</v>
      </c>
      <c r="GS128" s="28">
        <v>29</v>
      </c>
      <c r="GT128" s="6">
        <v>-35</v>
      </c>
      <c r="GU128" s="52">
        <v>262</v>
      </c>
      <c r="GV128" s="28"/>
      <c r="GW128" s="28"/>
      <c r="HB128" s="6">
        <v>53</v>
      </c>
      <c r="HE128" s="8">
        <v>24</v>
      </c>
      <c r="HF128" s="28">
        <v>45</v>
      </c>
      <c r="HS128" s="8">
        <v>11</v>
      </c>
      <c r="HT128" s="52">
        <v>88</v>
      </c>
      <c r="IB128" s="8">
        <v>-471</v>
      </c>
      <c r="IC128" s="28">
        <v>109</v>
      </c>
      <c r="ID128" s="8">
        <v>-258</v>
      </c>
      <c r="IE128" s="28">
        <v>320</v>
      </c>
      <c r="IY128" s="8">
        <v>289</v>
      </c>
      <c r="JA128" s="8">
        <v>-41</v>
      </c>
      <c r="JB128" s="12">
        <v>406</v>
      </c>
      <c r="JP128" s="6">
        <v>-4</v>
      </c>
      <c r="JQ128" s="12">
        <v>307</v>
      </c>
      <c r="JW128" s="8">
        <v>-196</v>
      </c>
      <c r="JX128" s="12">
        <v>845</v>
      </c>
      <c r="KE128" s="6">
        <v>330</v>
      </c>
      <c r="KF128" s="12">
        <v>787</v>
      </c>
      <c r="KT128" s="8">
        <v>147</v>
      </c>
      <c r="KU128" s="28">
        <v>735</v>
      </c>
      <c r="LF128" s="8">
        <v>-146</v>
      </c>
      <c r="LG128" s="28">
        <v>66</v>
      </c>
      <c r="LJ128" s="8">
        <v>-593</v>
      </c>
      <c r="LK128" s="28">
        <v>129</v>
      </c>
      <c r="LS128" s="8">
        <v>75</v>
      </c>
      <c r="LU128" s="8">
        <v>-74</v>
      </c>
      <c r="LV128" s="12">
        <v>94</v>
      </c>
      <c r="LW128" s="8">
        <v>14</v>
      </c>
      <c r="LX128" s="28">
        <v>355</v>
      </c>
      <c r="MF128" s="8">
        <v>-178</v>
      </c>
      <c r="MG128" s="12">
        <v>191</v>
      </c>
      <c r="NC128" s="8">
        <v>-21</v>
      </c>
      <c r="ND128" s="12">
        <v>52</v>
      </c>
      <c r="NP128" s="8">
        <v>469</v>
      </c>
      <c r="NQ128" s="12">
        <v>380</v>
      </c>
      <c r="NW128" s="8">
        <v>904</v>
      </c>
      <c r="NX128" s="28">
        <v>587</v>
      </c>
      <c r="PJ128" s="8">
        <v>-2</v>
      </c>
      <c r="PK128" s="12">
        <v>49</v>
      </c>
      <c r="PP128" s="8">
        <v>32</v>
      </c>
      <c r="PQ128" s="28">
        <v>17</v>
      </c>
      <c r="PR128" s="28"/>
      <c r="PS128" s="8">
        <v>90</v>
      </c>
      <c r="PT128" s="12">
        <v>307</v>
      </c>
      <c r="RE128" s="6">
        <v>238</v>
      </c>
      <c r="RF128" s="12">
        <v>65</v>
      </c>
      <c r="RG128" s="8">
        <v>-25</v>
      </c>
      <c r="RH128" s="28">
        <v>96</v>
      </c>
      <c r="SP128" s="8">
        <v>270</v>
      </c>
      <c r="SY128" s="6">
        <v>226</v>
      </c>
      <c r="TH128" s="8">
        <v>341</v>
      </c>
      <c r="TI128" s="28">
        <v>59</v>
      </c>
      <c r="TX128" s="8">
        <v>-566</v>
      </c>
      <c r="TZ128" s="8">
        <v>12</v>
      </c>
      <c r="UA128" s="12">
        <v>386</v>
      </c>
      <c r="VH128" s="8">
        <v>453</v>
      </c>
      <c r="VI128" s="28">
        <v>222</v>
      </c>
      <c r="VL128" s="21"/>
      <c r="VM128" s="8">
        <v>-3819</v>
      </c>
      <c r="VN128" s="12">
        <v>175</v>
      </c>
      <c r="VO128" s="12"/>
      <c r="VP128" s="12"/>
      <c r="VQ128" s="6">
        <v>808</v>
      </c>
      <c r="VR128" s="28">
        <v>971</v>
      </c>
      <c r="VS128" s="12"/>
      <c r="VT128" s="12"/>
      <c r="VZ128" s="8">
        <v>-993</v>
      </c>
      <c r="WA128" s="28">
        <v>401</v>
      </c>
      <c r="WB128" s="8">
        <v>5274</v>
      </c>
      <c r="WC128" s="12">
        <v>8228</v>
      </c>
      <c r="XK128">
        <v>17</v>
      </c>
      <c r="XL128" s="1">
        <v>35</v>
      </c>
    </row>
    <row r="129" spans="11:636" x14ac:dyDescent="0.25">
      <c r="K129" s="2">
        <v>1369</v>
      </c>
      <c r="L129" s="1">
        <v>7</v>
      </c>
      <c r="V129">
        <v>-4</v>
      </c>
      <c r="W129" s="10">
        <v>150</v>
      </c>
      <c r="AB129">
        <v>-7</v>
      </c>
      <c r="AC129" s="1">
        <v>34</v>
      </c>
      <c r="AD129">
        <v>10</v>
      </c>
      <c r="AE129" s="1">
        <v>13</v>
      </c>
      <c r="AJ129" s="2">
        <v>-5</v>
      </c>
      <c r="AK129" s="10">
        <v>56</v>
      </c>
      <c r="BD129" s="8"/>
      <c r="BF129">
        <v>111</v>
      </c>
      <c r="BG129" s="1">
        <v>16</v>
      </c>
      <c r="BN129">
        <v>-30</v>
      </c>
      <c r="BP129">
        <v>224</v>
      </c>
      <c r="BQ129" s="10">
        <v>1878</v>
      </c>
      <c r="BT129">
        <v>14</v>
      </c>
      <c r="BU129" s="1">
        <v>45</v>
      </c>
      <c r="CE129" s="8">
        <v>176</v>
      </c>
      <c r="CF129" s="28">
        <v>21</v>
      </c>
      <c r="CQ129" s="6">
        <v>-290</v>
      </c>
      <c r="CS129" s="6">
        <v>121</v>
      </c>
      <c r="CT129" s="28">
        <v>155</v>
      </c>
      <c r="CZ129" s="23">
        <v>158</v>
      </c>
      <c r="DA129" s="25">
        <v>343</v>
      </c>
      <c r="DF129" s="23">
        <v>114</v>
      </c>
      <c r="DG129" s="25">
        <v>438</v>
      </c>
      <c r="DH129" s="23">
        <v>288</v>
      </c>
      <c r="DI129" s="25">
        <v>228</v>
      </c>
      <c r="DL129" s="8">
        <v>418</v>
      </c>
      <c r="DQ129" s="8">
        <v>-347</v>
      </c>
      <c r="DR129" s="52">
        <v>180</v>
      </c>
      <c r="DS129" s="6">
        <v>140</v>
      </c>
      <c r="DT129" s="52">
        <v>221</v>
      </c>
      <c r="DW129" s="8">
        <v>-2</v>
      </c>
      <c r="DX129" s="28">
        <v>2</v>
      </c>
      <c r="DY129" s="6">
        <v>-74</v>
      </c>
      <c r="DZ129" s="52">
        <v>77</v>
      </c>
      <c r="EA129" s="23">
        <v>541</v>
      </c>
      <c r="EB129" s="52">
        <v>473</v>
      </c>
      <c r="EC129" s="6"/>
      <c r="ED129" s="28"/>
      <c r="EE129" s="8">
        <v>-111</v>
      </c>
      <c r="EF129" s="52">
        <v>475</v>
      </c>
      <c r="EG129" s="6">
        <v>330</v>
      </c>
      <c r="EH129" s="28">
        <v>319</v>
      </c>
      <c r="EI129" s="8">
        <v>1</v>
      </c>
      <c r="EJ129" s="52">
        <v>387</v>
      </c>
      <c r="EL129" s="8">
        <v>-170</v>
      </c>
      <c r="EM129" s="28">
        <v>754</v>
      </c>
      <c r="EN129" s="8">
        <v>-52</v>
      </c>
      <c r="EO129" s="28">
        <v>32</v>
      </c>
      <c r="EP129" s="28"/>
      <c r="EQ129" s="28"/>
      <c r="EX129" s="8">
        <v>268</v>
      </c>
      <c r="EY129" s="28">
        <v>186</v>
      </c>
      <c r="FD129" s="6">
        <v>-32</v>
      </c>
      <c r="FE129" s="28">
        <v>121</v>
      </c>
      <c r="FM129" s="8">
        <v>144</v>
      </c>
      <c r="FN129" s="52">
        <v>141</v>
      </c>
      <c r="FS129" s="8">
        <v>-330</v>
      </c>
      <c r="FT129" s="52">
        <v>56</v>
      </c>
      <c r="GC129" s="8">
        <v>-437</v>
      </c>
      <c r="GI129" s="8">
        <v>-112</v>
      </c>
      <c r="GJ129" s="28">
        <v>97</v>
      </c>
      <c r="GP129" s="6">
        <v>16</v>
      </c>
      <c r="GQ129" s="52">
        <v>103</v>
      </c>
      <c r="GR129" s="8">
        <v>46</v>
      </c>
      <c r="GS129" s="28">
        <v>24</v>
      </c>
      <c r="GT129" s="6">
        <v>30</v>
      </c>
      <c r="GU129" s="52">
        <v>224</v>
      </c>
      <c r="GV129" s="28"/>
      <c r="GW129" s="28"/>
      <c r="HB129" s="6">
        <v>-5</v>
      </c>
      <c r="HE129" s="8">
        <v>1</v>
      </c>
      <c r="HF129" s="28">
        <v>47</v>
      </c>
      <c r="HS129" s="8">
        <v>-783</v>
      </c>
      <c r="HT129" s="52">
        <v>259</v>
      </c>
      <c r="IB129" s="8">
        <f>103</f>
        <v>103</v>
      </c>
      <c r="IC129" s="28">
        <v>108</v>
      </c>
      <c r="ID129" s="8">
        <v>-83</v>
      </c>
      <c r="IE129" s="28">
        <v>743</v>
      </c>
      <c r="IY129" s="8">
        <v>-700</v>
      </c>
      <c r="JA129" s="8">
        <v>165</v>
      </c>
      <c r="JB129" s="12">
        <v>405</v>
      </c>
      <c r="JP129" s="6">
        <v>-59</v>
      </c>
      <c r="JQ129" s="12">
        <v>739</v>
      </c>
      <c r="JW129" s="8">
        <v>-94</v>
      </c>
      <c r="JX129" s="12">
        <v>438</v>
      </c>
      <c r="KE129" s="6">
        <v>-454</v>
      </c>
      <c r="KF129" s="12">
        <v>154</v>
      </c>
      <c r="KT129" s="8">
        <v>-820</v>
      </c>
      <c r="KU129" s="28">
        <v>529</v>
      </c>
      <c r="LF129" s="8">
        <v>-148</v>
      </c>
      <c r="LG129" s="28">
        <v>72</v>
      </c>
      <c r="LJ129" s="8">
        <v>-154</v>
      </c>
      <c r="LK129" s="28">
        <v>341</v>
      </c>
      <c r="LS129" s="8">
        <v>102</v>
      </c>
      <c r="LU129" s="8">
        <v>15</v>
      </c>
      <c r="LV129" s="12">
        <v>240</v>
      </c>
      <c r="LW129" s="8">
        <v>645</v>
      </c>
      <c r="LX129" s="28">
        <v>444</v>
      </c>
      <c r="MF129" s="8">
        <v>101</v>
      </c>
      <c r="MG129" s="12">
        <v>56</v>
      </c>
      <c r="NC129" s="8">
        <v>35</v>
      </c>
      <c r="ND129" s="12">
        <v>79</v>
      </c>
      <c r="NP129" s="8">
        <v>463</v>
      </c>
      <c r="NQ129" s="12">
        <v>379</v>
      </c>
      <c r="NW129" s="8">
        <v>652</v>
      </c>
      <c r="NX129" s="28">
        <v>858</v>
      </c>
      <c r="PJ129" s="8">
        <v>-44</v>
      </c>
      <c r="PK129" s="12">
        <v>246</v>
      </c>
      <c r="PP129" s="8">
        <v>718</v>
      </c>
      <c r="PQ129" s="28">
        <v>17</v>
      </c>
      <c r="PR129" s="28"/>
      <c r="PS129" s="8">
        <v>667</v>
      </c>
      <c r="PT129" s="12">
        <v>529</v>
      </c>
      <c r="RE129" s="6">
        <v>28</v>
      </c>
      <c r="RF129" s="12">
        <v>9</v>
      </c>
      <c r="RG129" s="8">
        <v>-412</v>
      </c>
      <c r="RH129" s="28">
        <v>125</v>
      </c>
      <c r="SP129" s="8">
        <v>-786</v>
      </c>
      <c r="SY129" s="6">
        <v>-10</v>
      </c>
      <c r="TH129" s="8">
        <v>247</v>
      </c>
      <c r="TI129" s="28">
        <v>46</v>
      </c>
      <c r="TX129" s="8">
        <v>-108</v>
      </c>
      <c r="TZ129" s="8">
        <v>-7</v>
      </c>
      <c r="UA129" s="12">
        <v>265</v>
      </c>
      <c r="VH129" s="8">
        <v>229</v>
      </c>
      <c r="VI129" s="28">
        <v>125</v>
      </c>
      <c r="VL129" s="21"/>
      <c r="VM129" s="8">
        <v>3780</v>
      </c>
      <c r="VN129" s="12">
        <v>338</v>
      </c>
      <c r="VO129" s="12"/>
      <c r="VP129" s="12"/>
      <c r="VQ129" s="6">
        <v>835</v>
      </c>
      <c r="VR129" s="28">
        <v>969</v>
      </c>
      <c r="VS129" s="12"/>
      <c r="VT129" s="12"/>
      <c r="VZ129" s="8">
        <v>-104</v>
      </c>
      <c r="WA129" s="28">
        <v>224</v>
      </c>
      <c r="WB129" s="8">
        <v>5321</v>
      </c>
      <c r="WC129" s="12">
        <v>1236</v>
      </c>
      <c r="XK129">
        <v>121</v>
      </c>
      <c r="XL129" s="1">
        <v>32</v>
      </c>
    </row>
    <row r="130" spans="11:636" x14ac:dyDescent="0.25">
      <c r="K130" s="2">
        <v>690</v>
      </c>
      <c r="L130" s="1">
        <v>17</v>
      </c>
      <c r="V130">
        <v>-4</v>
      </c>
      <c r="W130" s="10">
        <v>272</v>
      </c>
      <c r="AB130">
        <v>-69</v>
      </c>
      <c r="AC130" s="1">
        <v>67</v>
      </c>
      <c r="AD130">
        <v>16</v>
      </c>
      <c r="AE130" s="1">
        <v>8</v>
      </c>
      <c r="AJ130" s="2">
        <v>-88</v>
      </c>
      <c r="AK130" s="10">
        <v>230</v>
      </c>
      <c r="BD130" s="8"/>
      <c r="BF130">
        <v>45</v>
      </c>
      <c r="BG130" s="1">
        <v>63</v>
      </c>
      <c r="BN130">
        <v>786</v>
      </c>
      <c r="BP130">
        <v>169</v>
      </c>
      <c r="BQ130" s="10">
        <v>5752</v>
      </c>
      <c r="BT130">
        <v>574</v>
      </c>
      <c r="BU130" s="1">
        <v>147</v>
      </c>
      <c r="CE130" s="8">
        <v>164</v>
      </c>
      <c r="CF130" s="28">
        <v>31</v>
      </c>
      <c r="CQ130" s="6">
        <v>-266</v>
      </c>
      <c r="CS130" s="6">
        <v>-12</v>
      </c>
      <c r="CT130" s="28">
        <v>3</v>
      </c>
      <c r="CZ130" s="23">
        <v>-349</v>
      </c>
      <c r="DA130" s="25">
        <v>142</v>
      </c>
      <c r="DF130" s="23">
        <v>111</v>
      </c>
      <c r="DG130" s="25">
        <v>195</v>
      </c>
      <c r="DH130" s="23">
        <v>451</v>
      </c>
      <c r="DI130" s="25">
        <v>245</v>
      </c>
      <c r="DL130" s="8">
        <v>230</v>
      </c>
      <c r="DQ130" s="8">
        <v>-246</v>
      </c>
      <c r="DR130" s="52">
        <v>128</v>
      </c>
      <c r="DS130" s="6">
        <v>19</v>
      </c>
      <c r="DT130" s="52">
        <v>34</v>
      </c>
      <c r="DW130" s="8">
        <v>-36</v>
      </c>
      <c r="DX130" s="28">
        <v>24</v>
      </c>
      <c r="DY130" s="6">
        <v>-251</v>
      </c>
      <c r="DZ130" s="52">
        <v>19</v>
      </c>
      <c r="EA130" s="23">
        <v>-105</v>
      </c>
      <c r="EB130" s="52">
        <v>137</v>
      </c>
      <c r="EC130" s="6"/>
      <c r="ED130" s="28"/>
      <c r="EE130" s="8">
        <v>-20</v>
      </c>
      <c r="EF130" s="52">
        <v>12</v>
      </c>
      <c r="EG130" s="6">
        <v>294</v>
      </c>
      <c r="EH130" s="28">
        <v>411</v>
      </c>
      <c r="EI130" s="8">
        <v>-5</v>
      </c>
      <c r="EJ130" s="52">
        <v>70</v>
      </c>
      <c r="EL130" s="8">
        <v>-111</v>
      </c>
      <c r="EM130" s="28">
        <v>123</v>
      </c>
      <c r="EN130" s="8">
        <v>-181</v>
      </c>
      <c r="EO130" s="28">
        <v>102</v>
      </c>
      <c r="EP130" s="28"/>
      <c r="EQ130" s="28"/>
      <c r="EX130" s="8">
        <v>-538</v>
      </c>
      <c r="EY130" s="28">
        <v>797</v>
      </c>
      <c r="FD130" s="6">
        <v>12</v>
      </c>
      <c r="FE130" s="28">
        <v>174</v>
      </c>
      <c r="FM130" s="8">
        <v>125</v>
      </c>
      <c r="FN130" s="52">
        <v>497</v>
      </c>
      <c r="FS130" s="8">
        <v>-128</v>
      </c>
      <c r="FT130" s="52">
        <v>49</v>
      </c>
      <c r="GC130" s="8">
        <v>-414</v>
      </c>
      <c r="GI130" s="8">
        <v>-131</v>
      </c>
      <c r="GJ130" s="28">
        <v>125</v>
      </c>
      <c r="GP130" s="6">
        <v>31</v>
      </c>
      <c r="GQ130" s="52">
        <v>359</v>
      </c>
      <c r="GR130" s="8">
        <v>32</v>
      </c>
      <c r="GS130" s="28">
        <v>19</v>
      </c>
      <c r="GT130" s="6">
        <v>-15</v>
      </c>
      <c r="GU130" s="52">
        <v>300</v>
      </c>
      <c r="GV130" s="28"/>
      <c r="GW130" s="28"/>
      <c r="HB130" s="6">
        <v>-30</v>
      </c>
      <c r="HE130" s="8">
        <v>30</v>
      </c>
      <c r="HF130" s="28">
        <v>19</v>
      </c>
      <c r="HS130" s="8">
        <v>28</v>
      </c>
      <c r="HT130" s="52">
        <v>211</v>
      </c>
      <c r="IB130" s="8">
        <v>-841</v>
      </c>
      <c r="IC130" s="28">
        <v>489</v>
      </c>
      <c r="ID130" s="8">
        <v>6</v>
      </c>
      <c r="IE130" s="28">
        <v>985</v>
      </c>
      <c r="IY130" s="8">
        <v>227</v>
      </c>
      <c r="JA130" s="8">
        <v>-46</v>
      </c>
      <c r="JB130" s="12">
        <v>269</v>
      </c>
      <c r="JP130" s="6">
        <v>113</v>
      </c>
      <c r="JQ130" s="12">
        <v>123</v>
      </c>
      <c r="JW130" s="8">
        <v>-213</v>
      </c>
      <c r="JX130" s="12">
        <v>932</v>
      </c>
      <c r="KE130" s="6">
        <v>-215</v>
      </c>
      <c r="KF130" s="12">
        <v>489</v>
      </c>
      <c r="KT130" s="8">
        <v>407</v>
      </c>
      <c r="KU130" s="28">
        <v>100</v>
      </c>
      <c r="LF130" s="8">
        <v>-117</v>
      </c>
      <c r="LG130" s="28">
        <v>103</v>
      </c>
      <c r="LJ130" s="8">
        <v>342</v>
      </c>
      <c r="LK130" s="28">
        <v>347</v>
      </c>
      <c r="LS130" s="8">
        <v>10</v>
      </c>
      <c r="LU130" s="8">
        <v>27</v>
      </c>
      <c r="LV130" s="12">
        <v>37</v>
      </c>
      <c r="LW130" s="8">
        <v>39</v>
      </c>
      <c r="LX130" s="28">
        <v>322</v>
      </c>
      <c r="MF130" s="8">
        <v>-308</v>
      </c>
      <c r="MG130" s="12">
        <v>325</v>
      </c>
      <c r="NC130" s="8">
        <v>22</v>
      </c>
      <c r="ND130" s="12">
        <v>51</v>
      </c>
      <c r="NP130" s="8">
        <v>144</v>
      </c>
      <c r="NQ130" s="12">
        <v>599</v>
      </c>
      <c r="NW130" s="8">
        <v>657</v>
      </c>
      <c r="NX130" s="28">
        <v>198</v>
      </c>
      <c r="PJ130" s="8">
        <v>13</v>
      </c>
      <c r="PK130" s="12">
        <v>338</v>
      </c>
      <c r="PP130" s="8">
        <v>235</v>
      </c>
      <c r="PQ130" s="28">
        <v>19</v>
      </c>
      <c r="PR130" s="28"/>
      <c r="PS130" s="8">
        <v>-13</v>
      </c>
      <c r="PT130" s="12">
        <v>190</v>
      </c>
      <c r="RE130" s="6">
        <v>-208</v>
      </c>
      <c r="RF130" s="12">
        <v>275</v>
      </c>
      <c r="RG130" s="8">
        <v>973</v>
      </c>
      <c r="RH130" s="28">
        <v>115</v>
      </c>
      <c r="SP130" s="8">
        <v>172</v>
      </c>
      <c r="SY130" s="6">
        <v>530</v>
      </c>
      <c r="TH130" s="8">
        <v>362</v>
      </c>
      <c r="TI130" s="28">
        <v>43</v>
      </c>
      <c r="TX130" s="8">
        <v>-944</v>
      </c>
      <c r="TZ130" s="8">
        <v>-12</v>
      </c>
      <c r="UA130" s="12">
        <v>653</v>
      </c>
      <c r="VH130" s="8">
        <v>915</v>
      </c>
      <c r="VI130" s="28">
        <v>257</v>
      </c>
      <c r="VL130" s="21"/>
      <c r="VM130" s="8">
        <v>-7860</v>
      </c>
      <c r="VN130" s="12">
        <v>474</v>
      </c>
      <c r="VO130" s="12"/>
      <c r="VP130" s="12"/>
      <c r="VQ130" s="6">
        <v>863</v>
      </c>
      <c r="VR130" s="28">
        <v>996</v>
      </c>
      <c r="VS130" s="12"/>
      <c r="VT130" s="12"/>
      <c r="VZ130" s="8">
        <v>-307</v>
      </c>
      <c r="WA130" s="28">
        <v>323</v>
      </c>
      <c r="WB130" s="8">
        <v>5356</v>
      </c>
      <c r="WC130" s="12">
        <v>1375</v>
      </c>
      <c r="XK130">
        <v>67</v>
      </c>
      <c r="XL130" s="1">
        <v>43</v>
      </c>
    </row>
    <row r="131" spans="11:636" x14ac:dyDescent="0.25">
      <c r="K131" s="2">
        <v>2305</v>
      </c>
      <c r="L131" s="1">
        <v>10</v>
      </c>
      <c r="V131">
        <v>-3</v>
      </c>
      <c r="W131" s="10">
        <v>211</v>
      </c>
      <c r="AB131">
        <v>-16</v>
      </c>
      <c r="AC131" s="1">
        <v>30</v>
      </c>
      <c r="AD131">
        <v>59</v>
      </c>
      <c r="AE131" s="1">
        <v>9</v>
      </c>
      <c r="AJ131" s="2">
        <v>-3</v>
      </c>
      <c r="AK131" s="10">
        <v>31</v>
      </c>
      <c r="BD131" s="8"/>
      <c r="BF131">
        <v>53</v>
      </c>
      <c r="BG131" s="1">
        <v>1</v>
      </c>
      <c r="BN131">
        <v>172</v>
      </c>
      <c r="BP131">
        <v>311</v>
      </c>
      <c r="BQ131" s="10">
        <v>7363</v>
      </c>
      <c r="BT131">
        <v>281</v>
      </c>
      <c r="BU131" s="1">
        <v>131</v>
      </c>
      <c r="CE131" s="8">
        <v>163</v>
      </c>
      <c r="CF131" s="28">
        <v>27</v>
      </c>
      <c r="CQ131" s="6">
        <v>-229</v>
      </c>
      <c r="CS131" s="6">
        <v>-20</v>
      </c>
      <c r="CT131" s="28">
        <v>5</v>
      </c>
      <c r="CZ131" s="23">
        <v>229</v>
      </c>
      <c r="DA131" s="25">
        <v>793</v>
      </c>
      <c r="DF131" s="23">
        <v>117</v>
      </c>
      <c r="DG131" s="25">
        <v>279</v>
      </c>
      <c r="DH131" s="23">
        <v>-303</v>
      </c>
      <c r="DI131" s="25">
        <v>271</v>
      </c>
      <c r="DL131" s="8">
        <v>310</v>
      </c>
      <c r="DQ131" s="8">
        <v>-182</v>
      </c>
      <c r="DR131" s="52">
        <v>927</v>
      </c>
      <c r="DS131" s="6">
        <v>81</v>
      </c>
      <c r="DT131" s="52">
        <v>132</v>
      </c>
      <c r="DW131" s="8">
        <v>807</v>
      </c>
      <c r="DX131" s="28">
        <v>564</v>
      </c>
      <c r="DY131" s="6">
        <v>130</v>
      </c>
      <c r="DZ131" s="52">
        <v>685</v>
      </c>
      <c r="EA131" s="23">
        <v>-62</v>
      </c>
      <c r="EB131" s="52">
        <v>224</v>
      </c>
      <c r="EC131" s="6"/>
      <c r="ED131" s="28"/>
      <c r="EE131" s="8">
        <v>-1</v>
      </c>
      <c r="EF131" s="52">
        <v>32</v>
      </c>
      <c r="EG131" s="6">
        <v>355</v>
      </c>
      <c r="EH131" s="28">
        <v>395</v>
      </c>
      <c r="EI131" s="8">
        <v>-2</v>
      </c>
      <c r="EJ131" s="52">
        <v>6</v>
      </c>
      <c r="EL131" s="8">
        <v>120</v>
      </c>
      <c r="EM131" s="28">
        <v>398</v>
      </c>
      <c r="EN131" s="8">
        <v>-193</v>
      </c>
      <c r="EO131" s="28">
        <v>32</v>
      </c>
      <c r="EP131" s="28"/>
      <c r="EQ131" s="28"/>
      <c r="EX131" s="8">
        <v>186</v>
      </c>
      <c r="EY131" s="28">
        <v>302</v>
      </c>
      <c r="FD131" s="6">
        <v>459</v>
      </c>
      <c r="FE131" s="28">
        <v>84</v>
      </c>
      <c r="FM131" s="8">
        <v>-904</v>
      </c>
      <c r="FN131" s="52">
        <v>97</v>
      </c>
      <c r="FS131" s="8">
        <v>-116</v>
      </c>
      <c r="FT131" s="52">
        <v>43</v>
      </c>
      <c r="GC131" s="8">
        <v>-5</v>
      </c>
      <c r="GI131" s="8">
        <v>28</v>
      </c>
      <c r="GJ131" s="28">
        <v>12</v>
      </c>
      <c r="GP131" s="6">
        <v>35</v>
      </c>
      <c r="GQ131" s="52">
        <v>284</v>
      </c>
      <c r="GR131" s="8">
        <v>14</v>
      </c>
      <c r="GS131" s="28">
        <v>22</v>
      </c>
      <c r="GT131" s="6">
        <v>-19</v>
      </c>
      <c r="GU131" s="52">
        <v>430</v>
      </c>
      <c r="GV131" s="28"/>
      <c r="GW131" s="28"/>
      <c r="HB131" s="6">
        <v>-56</v>
      </c>
      <c r="HE131" s="8">
        <v>10</v>
      </c>
      <c r="HF131" s="28">
        <v>34</v>
      </c>
      <c r="HS131" s="8">
        <v>4</v>
      </c>
      <c r="HT131" s="52">
        <v>121</v>
      </c>
      <c r="IB131" s="8">
        <v>-513</v>
      </c>
      <c r="IC131" s="28">
        <v>473</v>
      </c>
      <c r="ID131" s="8">
        <v>200</v>
      </c>
      <c r="IE131" s="28">
        <v>477</v>
      </c>
      <c r="IY131" s="8">
        <v>-102</v>
      </c>
      <c r="JP131" s="6">
        <v>161</v>
      </c>
      <c r="JQ131" s="12">
        <v>346</v>
      </c>
      <c r="JW131" s="8">
        <v>-73</v>
      </c>
      <c r="JX131" s="12">
        <v>159</v>
      </c>
      <c r="KE131" s="6">
        <v>466</v>
      </c>
      <c r="KF131" s="12">
        <v>621</v>
      </c>
      <c r="KT131" s="8">
        <v>-19</v>
      </c>
      <c r="KU131" s="28">
        <v>10</v>
      </c>
      <c r="LF131" s="8">
        <v>-117</v>
      </c>
      <c r="LG131" s="28">
        <v>99</v>
      </c>
      <c r="LJ131" s="8">
        <v>120</v>
      </c>
      <c r="LK131" s="28">
        <v>29</v>
      </c>
      <c r="LS131" s="8">
        <v>124</v>
      </c>
      <c r="LU131" s="8">
        <v>51</v>
      </c>
      <c r="LV131" s="12">
        <v>58</v>
      </c>
      <c r="LW131" s="8">
        <v>155</v>
      </c>
      <c r="LX131" s="28">
        <v>440</v>
      </c>
      <c r="MF131" s="8">
        <v>-139</v>
      </c>
      <c r="MG131" s="12">
        <v>491</v>
      </c>
      <c r="NC131" s="8">
        <v>93</v>
      </c>
      <c r="ND131" s="12">
        <v>228</v>
      </c>
      <c r="NP131" s="8">
        <v>221</v>
      </c>
      <c r="NQ131" s="12">
        <v>708</v>
      </c>
      <c r="NW131" s="8">
        <v>113</v>
      </c>
      <c r="NX131" s="28">
        <v>291</v>
      </c>
      <c r="PJ131" s="8">
        <v>-3</v>
      </c>
      <c r="PK131" s="12">
        <v>243</v>
      </c>
      <c r="PP131" s="8">
        <v>130</v>
      </c>
      <c r="PQ131" s="28">
        <v>16</v>
      </c>
      <c r="PR131" s="28"/>
      <c r="PS131" s="8">
        <v>-22</v>
      </c>
      <c r="PT131" s="12">
        <v>337</v>
      </c>
      <c r="RE131" s="6">
        <v>-570</v>
      </c>
      <c r="RF131" s="12">
        <v>88</v>
      </c>
      <c r="RG131" s="8">
        <v>-411</v>
      </c>
      <c r="RH131" s="28">
        <v>64</v>
      </c>
      <c r="SP131" s="8">
        <v>3</v>
      </c>
      <c r="SY131" s="6">
        <v>156</v>
      </c>
      <c r="TH131" s="8">
        <v>355</v>
      </c>
      <c r="TI131" s="28">
        <v>48</v>
      </c>
      <c r="TX131" s="8">
        <v>-775</v>
      </c>
      <c r="TZ131" s="8">
        <v>887</v>
      </c>
      <c r="UA131" s="12">
        <v>530</v>
      </c>
      <c r="VH131" s="8">
        <v>-229</v>
      </c>
      <c r="VI131" s="28">
        <v>56</v>
      </c>
      <c r="VL131" s="21"/>
      <c r="VM131" s="8">
        <v>2860</v>
      </c>
      <c r="VN131" s="12">
        <v>369</v>
      </c>
      <c r="VO131" s="12"/>
      <c r="VP131" s="12"/>
      <c r="VQ131" s="6">
        <v>838</v>
      </c>
      <c r="VR131" s="28">
        <v>988</v>
      </c>
      <c r="VS131" s="12"/>
      <c r="VT131" s="12"/>
      <c r="VZ131" s="8">
        <v>-70</v>
      </c>
      <c r="WA131" s="28">
        <v>74</v>
      </c>
      <c r="WB131" s="8">
        <v>5250</v>
      </c>
      <c r="WC131" s="12">
        <v>1344</v>
      </c>
      <c r="XK131">
        <v>117</v>
      </c>
      <c r="XL131" s="1">
        <v>39</v>
      </c>
    </row>
    <row r="132" spans="11:636" x14ac:dyDescent="0.25">
      <c r="K132" s="2">
        <v>3896</v>
      </c>
      <c r="L132" s="1">
        <v>11</v>
      </c>
      <c r="V132">
        <v>-2</v>
      </c>
      <c r="W132" s="10">
        <v>67</v>
      </c>
      <c r="AB132">
        <v>-11</v>
      </c>
      <c r="AC132" s="1">
        <v>22</v>
      </c>
      <c r="AD132">
        <v>36</v>
      </c>
      <c r="AE132" s="1">
        <v>7</v>
      </c>
      <c r="AJ132" s="2">
        <v>-333</v>
      </c>
      <c r="AK132" s="10">
        <v>172</v>
      </c>
      <c r="BD132" s="8"/>
      <c r="BF132">
        <v>-34</v>
      </c>
      <c r="BG132" s="1">
        <v>22</v>
      </c>
      <c r="BN132">
        <v>3</v>
      </c>
      <c r="BP132">
        <v>33</v>
      </c>
      <c r="BQ132" s="10">
        <v>1052</v>
      </c>
      <c r="BT132">
        <v>155</v>
      </c>
      <c r="BU132" s="1">
        <v>423</v>
      </c>
      <c r="CE132" s="8">
        <v>181</v>
      </c>
      <c r="CF132" s="28">
        <v>21</v>
      </c>
      <c r="CQ132" s="6">
        <v>-213</v>
      </c>
      <c r="CS132" s="6">
        <v>-5</v>
      </c>
      <c r="CT132" s="28">
        <v>10</v>
      </c>
      <c r="CZ132" s="23">
        <v>993</v>
      </c>
      <c r="DA132" s="25">
        <v>623</v>
      </c>
      <c r="DF132" s="23">
        <v>155</v>
      </c>
      <c r="DG132" s="25">
        <v>594</v>
      </c>
      <c r="DH132" s="23">
        <v>-172</v>
      </c>
      <c r="DI132" s="25">
        <v>265</v>
      </c>
      <c r="DL132" s="8">
        <v>259</v>
      </c>
      <c r="DQ132" s="8">
        <v>752</v>
      </c>
      <c r="DR132" s="52">
        <v>277</v>
      </c>
      <c r="DS132" s="6">
        <v>-116</v>
      </c>
      <c r="DT132" s="52">
        <v>193</v>
      </c>
      <c r="DY132" s="6">
        <v>106</v>
      </c>
      <c r="DZ132" s="52">
        <v>719</v>
      </c>
      <c r="EA132" s="23">
        <v>622</v>
      </c>
      <c r="EB132" s="52">
        <v>176</v>
      </c>
      <c r="EC132" s="6"/>
      <c r="ED132" s="28"/>
      <c r="EE132" s="8">
        <v>40</v>
      </c>
      <c r="EF132" s="52">
        <v>50</v>
      </c>
      <c r="EG132" s="6">
        <v>479</v>
      </c>
      <c r="EH132" s="28">
        <v>397</v>
      </c>
      <c r="EI132" s="8">
        <v>-2</v>
      </c>
      <c r="EJ132" s="52">
        <v>2</v>
      </c>
      <c r="EL132" s="8">
        <v>-515</v>
      </c>
      <c r="EM132" s="28">
        <v>208</v>
      </c>
      <c r="EN132" s="8">
        <v>-137</v>
      </c>
      <c r="EO132" s="28">
        <v>24</v>
      </c>
      <c r="EP132" s="28"/>
      <c r="EQ132" s="28"/>
      <c r="EX132" s="8">
        <v>187</v>
      </c>
      <c r="EY132" s="28">
        <v>671</v>
      </c>
      <c r="FD132" s="6">
        <v>199</v>
      </c>
      <c r="FE132" s="28">
        <v>126</v>
      </c>
      <c r="FM132" s="8">
        <v>719</v>
      </c>
      <c r="FN132" s="52">
        <v>227</v>
      </c>
      <c r="FS132" s="8">
        <v>-128</v>
      </c>
      <c r="FT132" s="52">
        <v>47</v>
      </c>
      <c r="GC132" s="8">
        <v>-109</v>
      </c>
      <c r="GI132" s="8">
        <v>29</v>
      </c>
      <c r="GJ132" s="28">
        <v>7</v>
      </c>
      <c r="GP132" s="6">
        <v>61</v>
      </c>
      <c r="GQ132" s="52">
        <v>414</v>
      </c>
      <c r="GR132" s="8">
        <v>53</v>
      </c>
      <c r="GS132" s="28">
        <v>21</v>
      </c>
      <c r="GT132" s="6">
        <v>44</v>
      </c>
      <c r="GU132" s="52">
        <v>134</v>
      </c>
      <c r="GV132" s="28"/>
      <c r="GW132" s="28"/>
      <c r="HB132" s="6">
        <v>66</v>
      </c>
      <c r="HE132" s="8">
        <v>20</v>
      </c>
      <c r="HF132" s="28">
        <v>58</v>
      </c>
      <c r="HS132" s="8">
        <v>-6</v>
      </c>
      <c r="HT132" s="52">
        <v>426</v>
      </c>
      <c r="IB132" s="8">
        <v>-111</v>
      </c>
      <c r="IC132" s="28">
        <v>939</v>
      </c>
      <c r="ID132" s="8">
        <v>-103</v>
      </c>
      <c r="IE132" s="28">
        <v>190</v>
      </c>
      <c r="IY132" s="8">
        <v>303</v>
      </c>
      <c r="JP132" s="6">
        <v>-4</v>
      </c>
      <c r="JQ132" s="12">
        <v>319</v>
      </c>
      <c r="JW132" s="8">
        <v>-192</v>
      </c>
      <c r="JX132" s="12">
        <v>638</v>
      </c>
      <c r="KE132" s="6">
        <v>-72</v>
      </c>
      <c r="KF132" s="12">
        <v>203</v>
      </c>
      <c r="KT132" s="8">
        <v>142</v>
      </c>
      <c r="KU132" s="28">
        <v>71</v>
      </c>
      <c r="LF132" s="8">
        <v>-136</v>
      </c>
      <c r="LG132" s="28">
        <v>85</v>
      </c>
      <c r="LJ132" s="8">
        <v>178</v>
      </c>
      <c r="LK132" s="28">
        <v>306</v>
      </c>
      <c r="LS132" s="8">
        <v>98</v>
      </c>
      <c r="LU132" s="8">
        <v>-54</v>
      </c>
      <c r="LV132" s="12">
        <v>97</v>
      </c>
      <c r="LW132" s="8">
        <v>-93</v>
      </c>
      <c r="LX132" s="28">
        <v>268</v>
      </c>
      <c r="MF132" s="8">
        <v>-412</v>
      </c>
      <c r="MG132" s="12">
        <v>159</v>
      </c>
      <c r="NC132" s="8">
        <v>-30</v>
      </c>
      <c r="ND132" s="12">
        <v>214</v>
      </c>
      <c r="NP132" s="8">
        <v>51</v>
      </c>
      <c r="NQ132" s="12">
        <v>115</v>
      </c>
      <c r="NW132" s="8">
        <v>117</v>
      </c>
      <c r="NX132" s="28">
        <v>543</v>
      </c>
      <c r="PJ132" s="8">
        <v>-32</v>
      </c>
      <c r="PK132" s="12">
        <v>163</v>
      </c>
      <c r="PP132" s="8">
        <v>136</v>
      </c>
      <c r="PQ132" s="28">
        <v>16</v>
      </c>
      <c r="PR132" s="28"/>
      <c r="PS132" s="8">
        <v>-5</v>
      </c>
      <c r="PT132" s="12">
        <v>188</v>
      </c>
      <c r="RE132" s="6">
        <v>453</v>
      </c>
      <c r="RF132" s="12">
        <v>385</v>
      </c>
      <c r="RG132" s="8">
        <v>429</v>
      </c>
      <c r="RH132" s="28">
        <v>211</v>
      </c>
      <c r="SP132" s="8">
        <v>169</v>
      </c>
      <c r="SY132" s="6">
        <v>857</v>
      </c>
      <c r="TH132" s="8">
        <v>387</v>
      </c>
      <c r="TI132" s="28">
        <v>44</v>
      </c>
      <c r="TX132" s="8">
        <v>-223</v>
      </c>
      <c r="TZ132" s="8">
        <v>755</v>
      </c>
      <c r="UA132" s="12">
        <v>759</v>
      </c>
      <c r="VH132" s="8">
        <v>530</v>
      </c>
      <c r="VI132" s="28">
        <v>50</v>
      </c>
      <c r="VL132" s="21"/>
      <c r="VM132" s="8">
        <v>4820</v>
      </c>
      <c r="VN132" s="12">
        <v>372</v>
      </c>
      <c r="VO132" s="12"/>
      <c r="VP132" s="12"/>
      <c r="VQ132" s="6">
        <v>631</v>
      </c>
      <c r="VR132" s="28">
        <v>115</v>
      </c>
      <c r="VS132" s="12"/>
      <c r="VT132" s="12"/>
      <c r="VZ132" s="8">
        <v>1</v>
      </c>
      <c r="WA132" s="28">
        <v>97</v>
      </c>
      <c r="WB132" s="8">
        <v>5367</v>
      </c>
      <c r="WC132" s="12">
        <v>1048</v>
      </c>
      <c r="XK132">
        <v>89</v>
      </c>
      <c r="XL132" s="1">
        <v>32</v>
      </c>
    </row>
    <row r="133" spans="11:636" x14ac:dyDescent="0.25">
      <c r="K133" s="2">
        <v>671</v>
      </c>
      <c r="L133" s="1">
        <v>11</v>
      </c>
      <c r="V133">
        <v>1</v>
      </c>
      <c r="W133" s="10">
        <v>106</v>
      </c>
      <c r="AB133">
        <v>-54</v>
      </c>
      <c r="AC133" s="1">
        <v>39</v>
      </c>
      <c r="AD133">
        <v>21</v>
      </c>
      <c r="AE133" s="1">
        <v>4</v>
      </c>
      <c r="AJ133" s="2">
        <v>-415</v>
      </c>
      <c r="AK133" s="10">
        <v>218</v>
      </c>
      <c r="BD133" s="8"/>
      <c r="BF133">
        <v>47</v>
      </c>
      <c r="BG133" s="1">
        <v>14</v>
      </c>
      <c r="BN133">
        <v>3</v>
      </c>
      <c r="BP133">
        <v>1064</v>
      </c>
      <c r="BQ133" s="10">
        <v>2923</v>
      </c>
      <c r="BT133">
        <v>683</v>
      </c>
      <c r="BU133" s="1">
        <v>776</v>
      </c>
      <c r="CE133" s="8">
        <v>178</v>
      </c>
      <c r="CF133" s="28">
        <v>24</v>
      </c>
      <c r="CQ133" s="6">
        <v>-134</v>
      </c>
      <c r="CS133" s="6">
        <v>18</v>
      </c>
      <c r="CT133" s="28">
        <v>5</v>
      </c>
      <c r="CZ133" s="23">
        <v>-528</v>
      </c>
      <c r="DA133" s="25">
        <v>336</v>
      </c>
      <c r="DF133" s="23">
        <v>116</v>
      </c>
      <c r="DG133" s="25">
        <v>140</v>
      </c>
      <c r="DH133" s="23">
        <v>-898</v>
      </c>
      <c r="DI133" s="25">
        <v>272</v>
      </c>
      <c r="DL133" s="8">
        <v>311</v>
      </c>
      <c r="DQ133" s="8">
        <v>-273</v>
      </c>
      <c r="DR133" s="52">
        <v>144</v>
      </c>
      <c r="DS133" s="6">
        <v>-96</v>
      </c>
      <c r="DT133" s="52">
        <v>159</v>
      </c>
      <c r="DY133" s="6">
        <v>396</v>
      </c>
      <c r="DZ133" s="52">
        <v>17</v>
      </c>
      <c r="EA133" s="23">
        <v>384</v>
      </c>
      <c r="EB133" s="52">
        <v>243</v>
      </c>
      <c r="EC133" s="6"/>
      <c r="ED133" s="28"/>
      <c r="EE133" s="8">
        <v>24</v>
      </c>
      <c r="EF133" s="52">
        <v>23</v>
      </c>
      <c r="EG133" s="6">
        <v>650</v>
      </c>
      <c r="EH133" s="28">
        <v>413</v>
      </c>
      <c r="EI133" s="8">
        <v>1</v>
      </c>
      <c r="EJ133" s="52">
        <v>33</v>
      </c>
      <c r="EL133" s="8">
        <v>-417</v>
      </c>
      <c r="EM133" s="28">
        <v>590</v>
      </c>
      <c r="EN133" s="8">
        <v>-153</v>
      </c>
      <c r="EO133" s="28">
        <v>29</v>
      </c>
      <c r="EP133" s="28"/>
      <c r="EQ133" s="28"/>
      <c r="EX133" s="8">
        <v>198</v>
      </c>
      <c r="EY133" s="28">
        <v>150</v>
      </c>
      <c r="FD133" s="6">
        <v>112</v>
      </c>
      <c r="FE133" s="28">
        <v>165</v>
      </c>
      <c r="FM133" s="8">
        <v>938</v>
      </c>
      <c r="FN133" s="52">
        <v>328</v>
      </c>
      <c r="FS133" s="8">
        <v>630</v>
      </c>
      <c r="FT133" s="52">
        <v>81</v>
      </c>
      <c r="GC133" s="8">
        <v>-197</v>
      </c>
      <c r="GI133" s="8">
        <v>-16</v>
      </c>
      <c r="GJ133" s="28">
        <v>16</v>
      </c>
      <c r="GP133" s="6">
        <v>21</v>
      </c>
      <c r="GQ133" s="52">
        <v>154</v>
      </c>
      <c r="GR133" s="8">
        <v>43</v>
      </c>
      <c r="GS133" s="28">
        <v>27</v>
      </c>
      <c r="GT133" s="6">
        <v>8</v>
      </c>
      <c r="GU133" s="52">
        <v>246</v>
      </c>
      <c r="GV133" s="28"/>
      <c r="GW133" s="28"/>
      <c r="HB133" s="6">
        <v>-2</v>
      </c>
      <c r="HE133" s="8">
        <v>-8</v>
      </c>
      <c r="HF133" s="28">
        <v>51</v>
      </c>
      <c r="HS133" s="8">
        <v>6</v>
      </c>
      <c r="HT133" s="52">
        <v>5</v>
      </c>
      <c r="IB133" s="8">
        <v>-141</v>
      </c>
      <c r="IC133" s="28">
        <v>983</v>
      </c>
      <c r="ID133" s="8">
        <v>122</v>
      </c>
      <c r="IE133" s="28">
        <v>4</v>
      </c>
      <c r="IY133" s="8">
        <v>165</v>
      </c>
      <c r="JP133" s="6">
        <v>-59</v>
      </c>
      <c r="JQ133" s="12">
        <v>740</v>
      </c>
      <c r="JW133" s="8">
        <v>-261</v>
      </c>
      <c r="JX133" s="12">
        <v>114</v>
      </c>
      <c r="KE133" s="6">
        <v>68</v>
      </c>
      <c r="KF133" s="12">
        <v>117</v>
      </c>
      <c r="KT133" s="8">
        <v>-20</v>
      </c>
      <c r="KU133" s="28">
        <v>44</v>
      </c>
      <c r="LF133" s="8">
        <v>28</v>
      </c>
      <c r="LG133" s="28">
        <v>85</v>
      </c>
      <c r="LJ133" s="8">
        <v>263</v>
      </c>
      <c r="LK133" s="28">
        <v>89</v>
      </c>
      <c r="LU133" s="8">
        <v>192</v>
      </c>
      <c r="LV133" s="12">
        <v>216</v>
      </c>
      <c r="LW133" s="8">
        <v>155</v>
      </c>
      <c r="LX133" s="28">
        <v>863</v>
      </c>
      <c r="MF133" s="8">
        <v>-778</v>
      </c>
      <c r="MG133" s="12">
        <v>438</v>
      </c>
      <c r="NC133" s="8">
        <v>-61</v>
      </c>
      <c r="ND133" s="12">
        <v>324</v>
      </c>
      <c r="NP133" s="8">
        <v>238</v>
      </c>
      <c r="NQ133" s="12">
        <v>849</v>
      </c>
      <c r="NW133" s="8">
        <v>105</v>
      </c>
      <c r="NX133" s="28">
        <v>797</v>
      </c>
      <c r="PJ133" s="8">
        <v>-14</v>
      </c>
      <c r="PK133" s="12">
        <v>161</v>
      </c>
      <c r="PP133" s="8">
        <v>176</v>
      </c>
      <c r="PQ133" s="28">
        <v>14</v>
      </c>
      <c r="PR133" s="28"/>
      <c r="PS133" s="8">
        <v>2</v>
      </c>
      <c r="PT133" s="12">
        <v>112</v>
      </c>
      <c r="RE133" s="6">
        <v>-819</v>
      </c>
      <c r="RF133" s="12">
        <v>397</v>
      </c>
      <c r="RG133" s="8">
        <v>357</v>
      </c>
      <c r="RH133" s="28">
        <v>150</v>
      </c>
      <c r="SP133" s="8">
        <v>381</v>
      </c>
      <c r="SY133" s="6">
        <v>418</v>
      </c>
      <c r="TH133" s="8">
        <v>457</v>
      </c>
      <c r="TI133" s="28">
        <v>78</v>
      </c>
      <c r="TX133" s="8">
        <v>-667</v>
      </c>
      <c r="TZ133" s="8">
        <v>419</v>
      </c>
      <c r="UA133" s="12">
        <v>881</v>
      </c>
      <c r="VH133" s="8">
        <v>145</v>
      </c>
      <c r="VI133" s="28">
        <v>876</v>
      </c>
      <c r="VL133" s="21"/>
      <c r="VM133" s="8">
        <v>5960</v>
      </c>
      <c r="VN133" s="12">
        <v>371</v>
      </c>
      <c r="VO133" s="12"/>
      <c r="VP133" s="12"/>
      <c r="VQ133" s="6">
        <v>-17</v>
      </c>
      <c r="VR133" s="28">
        <v>11</v>
      </c>
      <c r="VS133" s="12"/>
      <c r="VT133" s="12"/>
      <c r="VZ133" s="8">
        <v>-122</v>
      </c>
      <c r="WB133" s="8">
        <v>5329</v>
      </c>
      <c r="WC133" s="12">
        <v>3994</v>
      </c>
      <c r="XK133">
        <v>109</v>
      </c>
      <c r="XL133" s="1">
        <v>29</v>
      </c>
    </row>
    <row r="134" spans="11:636" x14ac:dyDescent="0.25">
      <c r="K134" s="2">
        <v>2488</v>
      </c>
      <c r="L134" s="1">
        <v>8</v>
      </c>
      <c r="V134">
        <v>5</v>
      </c>
      <c r="W134" s="10">
        <v>316</v>
      </c>
      <c r="AB134">
        <v>-137</v>
      </c>
      <c r="AC134" s="1">
        <v>58</v>
      </c>
      <c r="AD134">
        <v>20</v>
      </c>
      <c r="AE134" s="1">
        <v>6</v>
      </c>
      <c r="AJ134" s="2">
        <v>-463</v>
      </c>
      <c r="AK134" s="10">
        <v>231</v>
      </c>
      <c r="BD134" s="8"/>
      <c r="BF134">
        <v>48</v>
      </c>
      <c r="BG134" s="1">
        <v>13</v>
      </c>
      <c r="BN134">
        <v>5</v>
      </c>
      <c r="BP134">
        <v>445</v>
      </c>
      <c r="BQ134" s="10">
        <v>2702</v>
      </c>
      <c r="BT134">
        <v>875</v>
      </c>
      <c r="BU134" s="1">
        <v>88</v>
      </c>
      <c r="CE134" s="8">
        <v>157</v>
      </c>
      <c r="CF134" s="28">
        <v>27</v>
      </c>
      <c r="CS134" s="6">
        <v>-10</v>
      </c>
      <c r="CT134" s="28">
        <v>3</v>
      </c>
      <c r="CZ134" s="23">
        <v>116</v>
      </c>
      <c r="DA134" s="25">
        <v>768</v>
      </c>
      <c r="DF134" s="23">
        <v>119</v>
      </c>
      <c r="DG134" s="25">
        <v>359</v>
      </c>
      <c r="DH134" s="23">
        <v>-226</v>
      </c>
      <c r="DI134" s="25">
        <v>281</v>
      </c>
      <c r="DL134" s="8">
        <v>290</v>
      </c>
      <c r="DQ134" s="8">
        <v>190</v>
      </c>
      <c r="DR134" s="52">
        <v>716</v>
      </c>
      <c r="DS134" s="6">
        <v>14</v>
      </c>
      <c r="DT134" s="52">
        <v>43</v>
      </c>
      <c r="DY134" s="6">
        <v>-176</v>
      </c>
      <c r="DZ134" s="52">
        <v>98</v>
      </c>
      <c r="EA134" s="23">
        <v>671</v>
      </c>
      <c r="EB134" s="52">
        <v>415</v>
      </c>
      <c r="EC134" s="6"/>
      <c r="ED134" s="28"/>
      <c r="EE134" s="8">
        <v>-2</v>
      </c>
      <c r="EF134" s="52">
        <v>61</v>
      </c>
      <c r="EG134" s="6">
        <v>786</v>
      </c>
      <c r="EH134" s="28">
        <v>214</v>
      </c>
      <c r="EI134" s="8">
        <v>-6</v>
      </c>
      <c r="EJ134" s="52">
        <v>403</v>
      </c>
      <c r="EL134" s="8">
        <v>-799</v>
      </c>
      <c r="EM134" s="28">
        <v>586</v>
      </c>
      <c r="EN134" s="8">
        <v>-160</v>
      </c>
      <c r="EO134" s="28">
        <v>29</v>
      </c>
      <c r="EP134" s="28"/>
      <c r="EQ134" s="28"/>
      <c r="EX134" s="8">
        <v>252</v>
      </c>
      <c r="EY134" s="28">
        <v>147</v>
      </c>
      <c r="FD134" s="6">
        <v>106</v>
      </c>
      <c r="FE134" s="28">
        <v>62</v>
      </c>
      <c r="FM134" s="8">
        <v>155</v>
      </c>
      <c r="FN134" s="52">
        <v>22</v>
      </c>
      <c r="FS134" s="8">
        <v>130</v>
      </c>
      <c r="FT134" s="52">
        <v>103</v>
      </c>
      <c r="GC134" s="8">
        <v>-342</v>
      </c>
      <c r="GI134" s="8">
        <v>18</v>
      </c>
      <c r="GJ134" s="28">
        <v>30</v>
      </c>
      <c r="GP134" s="6">
        <v>14</v>
      </c>
      <c r="GQ134" s="52">
        <v>228</v>
      </c>
      <c r="GR134" s="8">
        <v>39</v>
      </c>
      <c r="GS134" s="28">
        <v>19</v>
      </c>
      <c r="GT134" s="6">
        <v>-240</v>
      </c>
      <c r="GU134" s="52">
        <v>135</v>
      </c>
      <c r="GV134" s="28"/>
      <c r="GW134" s="28"/>
      <c r="HB134" s="6">
        <v>5</v>
      </c>
      <c r="HE134" s="8">
        <v>12</v>
      </c>
      <c r="HF134" s="28">
        <v>53</v>
      </c>
      <c r="HS134" s="8">
        <v>15</v>
      </c>
      <c r="HT134" s="52">
        <v>155</v>
      </c>
      <c r="IB134" s="8">
        <v>-940</v>
      </c>
      <c r="IC134" s="28">
        <v>484</v>
      </c>
      <c r="ID134" s="8">
        <v>-28</v>
      </c>
      <c r="IE134" s="28">
        <v>802</v>
      </c>
      <c r="IY134" s="8">
        <v>-107</v>
      </c>
      <c r="JW134" s="8">
        <v>-146</v>
      </c>
      <c r="JX134" s="12">
        <v>693</v>
      </c>
      <c r="KE134" s="6">
        <v>356</v>
      </c>
      <c r="KF134" s="12">
        <v>102</v>
      </c>
      <c r="KT134" s="8">
        <v>92</v>
      </c>
      <c r="KU134" s="28">
        <v>75</v>
      </c>
      <c r="LF134" s="8">
        <v>-44</v>
      </c>
      <c r="LG134" s="28">
        <v>88</v>
      </c>
      <c r="LJ134" s="8">
        <v>-341</v>
      </c>
      <c r="LK134" s="28">
        <v>21</v>
      </c>
      <c r="LU134" s="8">
        <v>3</v>
      </c>
      <c r="LV134" s="12">
        <v>5</v>
      </c>
      <c r="LW134" s="8">
        <v>-270</v>
      </c>
      <c r="LX134" s="28">
        <v>656</v>
      </c>
      <c r="MF134" s="8">
        <v>840</v>
      </c>
      <c r="MG134" s="12">
        <v>83</v>
      </c>
      <c r="NC134" s="8">
        <v>-77</v>
      </c>
      <c r="ND134" s="12">
        <v>361</v>
      </c>
      <c r="NP134" s="8">
        <v>449</v>
      </c>
      <c r="NQ134" s="12">
        <v>104</v>
      </c>
      <c r="NW134" s="8">
        <v>989</v>
      </c>
      <c r="NX134" s="28">
        <v>240</v>
      </c>
      <c r="PJ134" s="8">
        <v>179</v>
      </c>
      <c r="PK134" s="12">
        <v>956</v>
      </c>
      <c r="PP134" s="8">
        <v>122</v>
      </c>
      <c r="PQ134" s="28">
        <v>17</v>
      </c>
      <c r="PR134" s="28"/>
      <c r="PS134" s="8">
        <v>3</v>
      </c>
      <c r="PT134" s="12">
        <v>149</v>
      </c>
      <c r="RE134" s="6">
        <v>-614</v>
      </c>
      <c r="RF134" s="12">
        <v>243</v>
      </c>
      <c r="RG134" s="8">
        <v>-504</v>
      </c>
      <c r="RH134" s="28">
        <v>253</v>
      </c>
      <c r="SP134" s="8">
        <v>9</v>
      </c>
      <c r="SY134" s="6">
        <v>881</v>
      </c>
      <c r="TH134" s="8">
        <v>536</v>
      </c>
      <c r="TI134" s="28">
        <v>84</v>
      </c>
      <c r="TX134" s="8">
        <v>-377</v>
      </c>
      <c r="TZ134" s="8">
        <v>156</v>
      </c>
      <c r="UA134" s="12">
        <v>101</v>
      </c>
      <c r="VH134" s="8">
        <v>685</v>
      </c>
      <c r="VI134" s="28">
        <v>148</v>
      </c>
      <c r="VL134" s="21"/>
      <c r="VM134" s="8">
        <v>6358</v>
      </c>
      <c r="VN134" s="12">
        <v>356</v>
      </c>
      <c r="VO134" s="12"/>
      <c r="VP134" s="12"/>
      <c r="VQ134" s="6">
        <v>-16</v>
      </c>
      <c r="VR134" s="28">
        <v>11</v>
      </c>
      <c r="VS134" s="12"/>
      <c r="VT134" s="12"/>
      <c r="VZ134" s="8">
        <v>-771</v>
      </c>
      <c r="WB134" s="8">
        <v>5179</v>
      </c>
      <c r="WC134" s="12">
        <v>2487</v>
      </c>
      <c r="XK134">
        <v>213</v>
      </c>
      <c r="XL134" s="1">
        <v>181</v>
      </c>
    </row>
    <row r="135" spans="11:636" x14ac:dyDescent="0.25">
      <c r="K135" s="2">
        <v>3051</v>
      </c>
      <c r="L135" s="1">
        <v>5</v>
      </c>
      <c r="V135">
        <v>-4</v>
      </c>
      <c r="W135" s="10">
        <v>166</v>
      </c>
      <c r="AB135">
        <v>-65</v>
      </c>
      <c r="AC135" s="1">
        <v>128</v>
      </c>
      <c r="AD135">
        <v>22</v>
      </c>
      <c r="AE135" s="1">
        <v>6</v>
      </c>
      <c r="AJ135" s="2">
        <v>-834</v>
      </c>
      <c r="AK135" s="10">
        <v>255</v>
      </c>
      <c r="BD135" s="8"/>
      <c r="BF135">
        <v>1973</v>
      </c>
      <c r="BG135" s="1">
        <v>495</v>
      </c>
      <c r="BN135">
        <v>-62</v>
      </c>
      <c r="BP135">
        <v>184</v>
      </c>
      <c r="BQ135" s="10">
        <v>1690</v>
      </c>
      <c r="BT135">
        <v>585</v>
      </c>
      <c r="BU135" s="1">
        <v>185</v>
      </c>
      <c r="CE135" s="8">
        <v>125</v>
      </c>
      <c r="CF135" s="28">
        <v>16</v>
      </c>
      <c r="CS135" s="6">
        <v>-6</v>
      </c>
      <c r="CT135" s="28">
        <v>2</v>
      </c>
      <c r="CZ135" s="23">
        <v>-38</v>
      </c>
      <c r="DA135" s="25">
        <v>9</v>
      </c>
      <c r="DF135" s="23">
        <v>146</v>
      </c>
      <c r="DG135" s="25">
        <v>176</v>
      </c>
      <c r="DH135" s="23">
        <v>512</v>
      </c>
      <c r="DI135" s="25">
        <v>294</v>
      </c>
      <c r="DL135" s="8">
        <v>428</v>
      </c>
      <c r="DQ135" s="8">
        <v>-279</v>
      </c>
      <c r="DR135" s="52">
        <v>164</v>
      </c>
      <c r="DS135" s="6">
        <v>-34</v>
      </c>
      <c r="DT135" s="52">
        <v>37</v>
      </c>
      <c r="DY135" s="6">
        <v>-401</v>
      </c>
      <c r="DZ135" s="52">
        <v>175</v>
      </c>
      <c r="EA135" s="23">
        <v>27</v>
      </c>
      <c r="EB135" s="52">
        <v>200</v>
      </c>
      <c r="EC135" s="6"/>
      <c r="ED135" s="28"/>
      <c r="EE135" s="8">
        <v>13</v>
      </c>
      <c r="EF135" s="52">
        <v>16</v>
      </c>
      <c r="EG135" s="6">
        <v>-593</v>
      </c>
      <c r="EH135" s="28">
        <v>136</v>
      </c>
      <c r="EI135" s="8">
        <v>8</v>
      </c>
      <c r="EJ135" s="52">
        <v>353</v>
      </c>
      <c r="EL135" s="8">
        <v>-109</v>
      </c>
      <c r="EM135" s="28">
        <v>821</v>
      </c>
      <c r="EN135" s="8">
        <v>-150</v>
      </c>
      <c r="EO135" s="28">
        <v>29</v>
      </c>
      <c r="EP135" s="28"/>
      <c r="EQ135" s="28"/>
      <c r="EX135" s="8">
        <v>373</v>
      </c>
      <c r="EY135" s="28">
        <v>137</v>
      </c>
      <c r="FD135" s="6">
        <v>420</v>
      </c>
      <c r="FE135" s="28">
        <v>663</v>
      </c>
      <c r="FM135" s="8">
        <v>241</v>
      </c>
      <c r="FN135" s="52">
        <v>100</v>
      </c>
      <c r="FS135" s="8">
        <v>142</v>
      </c>
      <c r="FT135" s="52">
        <v>102</v>
      </c>
      <c r="GC135" s="8">
        <v>1</v>
      </c>
      <c r="GI135" s="8">
        <v>57</v>
      </c>
      <c r="GJ135" s="28">
        <v>41</v>
      </c>
      <c r="GP135" s="6">
        <v>33</v>
      </c>
      <c r="GQ135" s="52">
        <v>240</v>
      </c>
      <c r="GR135" s="8">
        <v>71</v>
      </c>
      <c r="GS135" s="28">
        <v>24</v>
      </c>
      <c r="GT135" s="6">
        <v>3</v>
      </c>
      <c r="GU135" s="52">
        <v>15</v>
      </c>
      <c r="GV135" s="28"/>
      <c r="GW135" s="28"/>
      <c r="HB135" s="6">
        <v>230</v>
      </c>
      <c r="HE135" s="8">
        <v>12</v>
      </c>
      <c r="HF135" s="28">
        <v>41</v>
      </c>
      <c r="HS135" s="8">
        <v>4</v>
      </c>
      <c r="HT135" s="52">
        <v>166</v>
      </c>
      <c r="IB135" s="8">
        <v>-242</v>
      </c>
      <c r="IC135" s="28">
        <v>472</v>
      </c>
      <c r="ID135" s="8">
        <v>-199</v>
      </c>
      <c r="IE135" s="28">
        <v>15</v>
      </c>
      <c r="IY135" s="8">
        <v>988</v>
      </c>
      <c r="JW135" s="8">
        <v>-264</v>
      </c>
      <c r="JX135" s="12">
        <v>117</v>
      </c>
      <c r="KE135" s="6">
        <v>11</v>
      </c>
      <c r="KF135" s="12">
        <v>169</v>
      </c>
      <c r="KT135" s="8">
        <v>-10</v>
      </c>
      <c r="KU135" s="28">
        <v>10</v>
      </c>
      <c r="LF135" s="8">
        <v>89</v>
      </c>
      <c r="LG135" s="28">
        <v>78</v>
      </c>
      <c r="LJ135" s="8">
        <v>149</v>
      </c>
      <c r="LK135" s="28">
        <v>108</v>
      </c>
      <c r="LU135" s="8">
        <v>102</v>
      </c>
      <c r="LV135" s="12">
        <v>120</v>
      </c>
      <c r="LW135" s="8">
        <v>807</v>
      </c>
      <c r="LX135" s="28">
        <v>116</v>
      </c>
      <c r="MF135" s="8">
        <v>-144</v>
      </c>
      <c r="MG135" s="12">
        <v>327</v>
      </c>
      <c r="NC135" s="8">
        <v>-40</v>
      </c>
      <c r="ND135" s="12">
        <v>413</v>
      </c>
      <c r="NP135" s="8">
        <v>570</v>
      </c>
      <c r="NQ135" s="12">
        <v>104</v>
      </c>
      <c r="NW135" s="8">
        <v>970</v>
      </c>
      <c r="NX135" s="28">
        <v>366</v>
      </c>
      <c r="PJ135" s="8">
        <v>173</v>
      </c>
      <c r="PK135" s="12">
        <v>888</v>
      </c>
      <c r="PP135" s="8">
        <v>230</v>
      </c>
      <c r="PQ135" s="28">
        <v>15</v>
      </c>
      <c r="PR135" s="28"/>
      <c r="PS135" s="8">
        <v>2</v>
      </c>
      <c r="PT135" s="12">
        <v>94</v>
      </c>
      <c r="RE135" s="6">
        <v>-236</v>
      </c>
      <c r="RF135" s="12">
        <v>5</v>
      </c>
      <c r="RG135" s="8">
        <v>113</v>
      </c>
      <c r="RH135" s="28">
        <v>112</v>
      </c>
      <c r="SP135" s="8">
        <v>250</v>
      </c>
      <c r="SY135" s="6">
        <v>171</v>
      </c>
      <c r="TH135" s="8">
        <v>374</v>
      </c>
      <c r="TI135" s="28">
        <v>141</v>
      </c>
      <c r="TX135" s="8">
        <v>-770</v>
      </c>
      <c r="TZ135" s="8">
        <v>-27</v>
      </c>
      <c r="UA135" s="12">
        <v>103</v>
      </c>
      <c r="VH135" s="8">
        <v>277</v>
      </c>
      <c r="VI135" s="28">
        <v>153</v>
      </c>
      <c r="VL135" s="21"/>
      <c r="VM135" s="8">
        <v>6094</v>
      </c>
      <c r="VN135" s="12">
        <v>306</v>
      </c>
      <c r="VO135" s="12"/>
      <c r="VP135" s="12"/>
      <c r="VQ135" s="6">
        <v>-22</v>
      </c>
      <c r="VR135" s="28">
        <v>19</v>
      </c>
      <c r="VS135" s="12"/>
      <c r="VT135" s="12"/>
      <c r="VZ135" s="8">
        <v>-742</v>
      </c>
      <c r="WB135" s="8">
        <v>5137</v>
      </c>
      <c r="WC135" s="12">
        <v>783</v>
      </c>
      <c r="XK135">
        <v>109</v>
      </c>
      <c r="XL135" s="1">
        <v>30</v>
      </c>
    </row>
    <row r="136" spans="11:636" x14ac:dyDescent="0.25">
      <c r="K136" s="2">
        <v>1736</v>
      </c>
      <c r="L136" s="1">
        <v>6</v>
      </c>
      <c r="V136">
        <v>1</v>
      </c>
      <c r="W136" s="10">
        <v>112</v>
      </c>
      <c r="AB136">
        <v>-8</v>
      </c>
      <c r="AC136" s="1">
        <v>33</v>
      </c>
      <c r="AD136">
        <v>33</v>
      </c>
      <c r="AE136" s="1">
        <v>6</v>
      </c>
      <c r="AJ136" s="2">
        <v>49</v>
      </c>
      <c r="AK136" s="10">
        <v>43</v>
      </c>
      <c r="BD136" s="8"/>
      <c r="BF136">
        <v>1488</v>
      </c>
      <c r="BG136" s="1">
        <v>660</v>
      </c>
      <c r="BN136">
        <v>8</v>
      </c>
      <c r="BP136">
        <v>492</v>
      </c>
      <c r="BQ136" s="10">
        <v>4520</v>
      </c>
      <c r="BT136">
        <v>-693</v>
      </c>
      <c r="BU136" s="1">
        <v>129</v>
      </c>
      <c r="CE136" s="8">
        <v>99</v>
      </c>
      <c r="CF136" s="28">
        <v>14</v>
      </c>
      <c r="CS136" s="6">
        <v>23</v>
      </c>
      <c r="CT136" s="28">
        <v>4</v>
      </c>
      <c r="CZ136" s="23">
        <v>68</v>
      </c>
      <c r="DA136" s="25">
        <v>13</v>
      </c>
      <c r="DF136" s="23">
        <v>118</v>
      </c>
      <c r="DG136" s="25">
        <v>158</v>
      </c>
      <c r="DH136" s="23">
        <v>216</v>
      </c>
      <c r="DI136" s="25">
        <v>306</v>
      </c>
      <c r="DL136" s="8">
        <v>188</v>
      </c>
      <c r="DQ136" s="8">
        <v>600</v>
      </c>
      <c r="DR136" s="52">
        <v>260</v>
      </c>
      <c r="DS136" s="6">
        <v>-67</v>
      </c>
      <c r="DT136" s="52">
        <v>67</v>
      </c>
      <c r="DY136" s="6">
        <v>-391</v>
      </c>
      <c r="DZ136" s="52">
        <v>159</v>
      </c>
      <c r="EA136" s="23">
        <v>4</v>
      </c>
      <c r="EB136" s="52">
        <v>247</v>
      </c>
      <c r="EC136" s="6"/>
      <c r="ED136" s="28"/>
      <c r="EE136" s="8">
        <v>68</v>
      </c>
      <c r="EF136" s="52">
        <v>32</v>
      </c>
      <c r="EG136" s="6">
        <v>636</v>
      </c>
      <c r="EH136" s="28">
        <v>118</v>
      </c>
      <c r="EI136" s="8">
        <v>-11</v>
      </c>
      <c r="EJ136" s="52">
        <v>228</v>
      </c>
      <c r="EL136" s="8">
        <v>-820</v>
      </c>
      <c r="EM136" s="28">
        <v>904</v>
      </c>
      <c r="EN136" s="8">
        <v>-179</v>
      </c>
      <c r="EO136" s="28">
        <v>26</v>
      </c>
      <c r="EP136" s="28"/>
      <c r="EQ136" s="28"/>
      <c r="EX136" s="8">
        <v>285</v>
      </c>
      <c r="EY136" s="28">
        <v>152</v>
      </c>
      <c r="FD136" s="6">
        <v>-237</v>
      </c>
      <c r="FE136" s="28">
        <v>946</v>
      </c>
      <c r="FM136" s="8">
        <v>-836</v>
      </c>
      <c r="FN136" s="52">
        <v>115</v>
      </c>
      <c r="FS136" s="8">
        <v>707</v>
      </c>
      <c r="FT136" s="52">
        <v>92</v>
      </c>
      <c r="GC136" s="8">
        <v>769</v>
      </c>
      <c r="GI136" s="8">
        <v>-42</v>
      </c>
      <c r="GJ136" s="28">
        <v>36</v>
      </c>
      <c r="GP136" s="6">
        <v>107</v>
      </c>
      <c r="GQ136" s="52">
        <v>337</v>
      </c>
      <c r="GT136" s="6">
        <v>235</v>
      </c>
      <c r="GU136" s="52">
        <v>702</v>
      </c>
      <c r="HB136" s="6">
        <v>-5</v>
      </c>
      <c r="HE136" s="6">
        <v>7</v>
      </c>
      <c r="HF136" s="28">
        <v>13</v>
      </c>
      <c r="HS136" s="8">
        <v>2</v>
      </c>
      <c r="HT136" s="52">
        <v>538</v>
      </c>
      <c r="IB136" s="8">
        <v>216</v>
      </c>
      <c r="IC136" s="28">
        <v>804</v>
      </c>
      <c r="ID136" s="8">
        <v>103</v>
      </c>
      <c r="IE136" s="28">
        <v>213</v>
      </c>
      <c r="IY136" s="8">
        <v>-128</v>
      </c>
      <c r="JW136" s="8">
        <v>-312</v>
      </c>
      <c r="JX136" s="12">
        <v>109</v>
      </c>
      <c r="KE136" s="6">
        <v>28</v>
      </c>
      <c r="KF136" s="12">
        <v>74</v>
      </c>
      <c r="KT136" s="8">
        <v>95</v>
      </c>
      <c r="KU136" s="28">
        <v>61</v>
      </c>
      <c r="LF136" s="8">
        <v>67</v>
      </c>
      <c r="LG136" s="28">
        <v>75</v>
      </c>
      <c r="LJ136" s="8">
        <v>-982</v>
      </c>
      <c r="LK136" s="28">
        <v>101</v>
      </c>
      <c r="LU136" s="8">
        <v>260</v>
      </c>
      <c r="LV136" s="12">
        <v>408</v>
      </c>
      <c r="LW136" s="8">
        <v>-97</v>
      </c>
      <c r="LX136" s="28">
        <v>123</v>
      </c>
      <c r="MF136" s="8">
        <v>-835</v>
      </c>
      <c r="MG136" s="12">
        <v>663</v>
      </c>
      <c r="NC136" s="8">
        <v>23</v>
      </c>
      <c r="ND136" s="12">
        <v>861</v>
      </c>
      <c r="NP136" s="8">
        <v>47</v>
      </c>
      <c r="NQ136" s="12">
        <v>830</v>
      </c>
      <c r="NW136" s="8">
        <v>101</v>
      </c>
      <c r="NX136" s="28">
        <v>617</v>
      </c>
      <c r="PJ136" s="8">
        <v>482</v>
      </c>
      <c r="PK136" s="12">
        <v>190</v>
      </c>
      <c r="PP136" s="8">
        <v>166</v>
      </c>
      <c r="PQ136" s="28">
        <v>14</v>
      </c>
      <c r="PR136" s="28"/>
      <c r="PS136" s="8">
        <v>1</v>
      </c>
      <c r="PT136" s="12">
        <v>238</v>
      </c>
      <c r="RE136" s="6">
        <v>412</v>
      </c>
      <c r="RF136" s="12">
        <v>121</v>
      </c>
      <c r="RG136" s="8">
        <v>-115</v>
      </c>
      <c r="RH136" s="28">
        <v>114</v>
      </c>
      <c r="SP136" s="8">
        <v>-629</v>
      </c>
      <c r="SY136" s="6">
        <v>485</v>
      </c>
      <c r="TH136" s="8">
        <v>618</v>
      </c>
      <c r="TI136" s="28">
        <v>128</v>
      </c>
      <c r="TX136" s="8">
        <v>-487</v>
      </c>
      <c r="TZ136" s="8">
        <v>-131</v>
      </c>
      <c r="UA136" s="12">
        <v>352</v>
      </c>
      <c r="VH136" s="8">
        <v>220</v>
      </c>
      <c r="VI136" s="28">
        <v>115</v>
      </c>
      <c r="VL136" s="21"/>
      <c r="VM136" s="8">
        <v>5247</v>
      </c>
      <c r="VN136" s="12">
        <v>216</v>
      </c>
      <c r="VO136" s="12"/>
      <c r="VP136" s="12"/>
      <c r="VQ136" s="6">
        <v>3</v>
      </c>
      <c r="VR136" s="28">
        <v>9</v>
      </c>
      <c r="VS136" s="12"/>
      <c r="VT136" s="12"/>
      <c r="VZ136" s="8">
        <v>-657</v>
      </c>
      <c r="WB136" s="8">
        <v>5220</v>
      </c>
      <c r="WC136" s="12">
        <v>8179</v>
      </c>
      <c r="XK136">
        <v>126</v>
      </c>
      <c r="XL136" s="1">
        <v>24</v>
      </c>
    </row>
    <row r="137" spans="11:636" x14ac:dyDescent="0.25">
      <c r="K137" s="2">
        <v>3763</v>
      </c>
      <c r="L137" s="1">
        <v>5</v>
      </c>
      <c r="V137">
        <v>3</v>
      </c>
      <c r="W137" s="10">
        <v>474</v>
      </c>
      <c r="AB137">
        <v>-25</v>
      </c>
      <c r="AC137" s="1">
        <v>25</v>
      </c>
      <c r="AD137">
        <v>22</v>
      </c>
      <c r="AE137" s="1">
        <v>8</v>
      </c>
      <c r="AJ137" s="2">
        <v>42</v>
      </c>
      <c r="AK137" s="10">
        <v>35</v>
      </c>
      <c r="BD137" s="8"/>
      <c r="BF137">
        <v>997</v>
      </c>
      <c r="BG137" s="1">
        <v>295</v>
      </c>
      <c r="BN137">
        <v>-6</v>
      </c>
      <c r="BP137">
        <v>273</v>
      </c>
      <c r="BQ137" s="10">
        <v>1997</v>
      </c>
      <c r="BT137">
        <v>14</v>
      </c>
      <c r="BU137" s="1">
        <v>12</v>
      </c>
      <c r="CE137" s="8">
        <v>506</v>
      </c>
      <c r="CF137" s="28">
        <v>69</v>
      </c>
      <c r="CS137" s="6">
        <v>-13</v>
      </c>
      <c r="CT137" s="28">
        <v>1</v>
      </c>
      <c r="CZ137" s="23">
        <v>120</v>
      </c>
      <c r="DA137" s="25">
        <v>415</v>
      </c>
      <c r="DF137" s="23">
        <v>112</v>
      </c>
      <c r="DG137" s="25">
        <v>337</v>
      </c>
      <c r="DH137" s="23">
        <v>131</v>
      </c>
      <c r="DI137" s="25">
        <v>359</v>
      </c>
      <c r="DL137" s="8">
        <v>292</v>
      </c>
      <c r="DQ137" s="8">
        <v>493</v>
      </c>
      <c r="DR137" s="52">
        <v>283</v>
      </c>
      <c r="DS137" s="6">
        <v>92</v>
      </c>
      <c r="DT137" s="52">
        <v>92</v>
      </c>
      <c r="DY137" s="6">
        <v>-602</v>
      </c>
      <c r="DZ137" s="52">
        <v>182</v>
      </c>
      <c r="EA137" s="23">
        <v>7</v>
      </c>
      <c r="EB137" s="52">
        <v>432</v>
      </c>
      <c r="EC137" s="6"/>
      <c r="ED137" s="28"/>
      <c r="EG137" s="6">
        <v>314</v>
      </c>
      <c r="EH137" s="28">
        <v>130</v>
      </c>
      <c r="EI137" s="8">
        <v>1</v>
      </c>
      <c r="EJ137" s="52">
        <v>687</v>
      </c>
      <c r="EL137" s="8">
        <v>-160</v>
      </c>
      <c r="EM137" s="28">
        <v>430</v>
      </c>
      <c r="EN137" s="8">
        <v>-45</v>
      </c>
      <c r="EO137" s="28">
        <v>21</v>
      </c>
      <c r="EP137" s="28"/>
      <c r="EQ137" s="28"/>
      <c r="EX137" s="8">
        <v>185</v>
      </c>
      <c r="EY137" s="28">
        <v>135</v>
      </c>
      <c r="FD137" s="6">
        <v>668</v>
      </c>
      <c r="FE137" s="28">
        <v>229</v>
      </c>
      <c r="FM137" s="8">
        <v>-251</v>
      </c>
      <c r="FN137" s="52">
        <v>146</v>
      </c>
      <c r="FS137" s="8">
        <v>137</v>
      </c>
      <c r="FT137" s="52">
        <v>109</v>
      </c>
      <c r="GC137" s="8">
        <v>36</v>
      </c>
      <c r="GI137" s="8">
        <v>136</v>
      </c>
      <c r="GJ137" s="28">
        <v>124</v>
      </c>
      <c r="GP137" s="6">
        <v>172</v>
      </c>
      <c r="GQ137" s="52">
        <v>514</v>
      </c>
      <c r="GT137" s="6">
        <v>268</v>
      </c>
      <c r="GU137" s="52">
        <v>895</v>
      </c>
      <c r="HB137" s="6">
        <v>508</v>
      </c>
      <c r="HE137" s="6">
        <v>-57</v>
      </c>
      <c r="HF137" s="28">
        <v>37</v>
      </c>
      <c r="HS137" s="8">
        <v>91</v>
      </c>
      <c r="HT137" s="52">
        <v>203</v>
      </c>
      <c r="IB137" s="8">
        <v>142</v>
      </c>
      <c r="IC137" s="28">
        <v>788</v>
      </c>
      <c r="ID137" s="8">
        <v>-215</v>
      </c>
      <c r="IE137" s="28">
        <v>90</v>
      </c>
      <c r="IY137" s="8">
        <v>60</v>
      </c>
      <c r="JW137" s="8">
        <v>-319</v>
      </c>
      <c r="JX137" s="12">
        <v>11</v>
      </c>
      <c r="KE137" s="6">
        <v>50</v>
      </c>
      <c r="KF137" s="12">
        <v>835</v>
      </c>
      <c r="KT137" s="8">
        <v>-461</v>
      </c>
      <c r="KU137" s="28">
        <v>50</v>
      </c>
      <c r="LF137" s="8">
        <v>45</v>
      </c>
      <c r="LG137" s="28">
        <v>91</v>
      </c>
      <c r="LJ137" s="8">
        <v>148</v>
      </c>
      <c r="LK137" s="28">
        <v>210</v>
      </c>
      <c r="LU137" s="8">
        <v>-43</v>
      </c>
      <c r="LV137" s="12">
        <v>66</v>
      </c>
      <c r="LW137" s="8">
        <v>104</v>
      </c>
      <c r="LX137" s="28">
        <v>379</v>
      </c>
      <c r="MF137" s="8">
        <v>-109</v>
      </c>
      <c r="MG137" s="12">
        <v>816</v>
      </c>
      <c r="NC137" s="8">
        <v>-29</v>
      </c>
      <c r="ND137" s="12">
        <v>877</v>
      </c>
      <c r="NP137" s="8">
        <v>74</v>
      </c>
      <c r="NQ137" s="12">
        <v>970</v>
      </c>
      <c r="NW137" s="8">
        <v>429</v>
      </c>
      <c r="NX137" s="28">
        <v>253</v>
      </c>
      <c r="PJ137" s="8">
        <v>148</v>
      </c>
      <c r="PK137" s="12">
        <v>352</v>
      </c>
      <c r="PP137" s="8">
        <v>219</v>
      </c>
      <c r="PQ137" s="28">
        <v>11</v>
      </c>
      <c r="PR137" s="28"/>
      <c r="PS137" s="8">
        <v>1</v>
      </c>
      <c r="PT137" s="12">
        <v>110</v>
      </c>
      <c r="RE137" s="6">
        <v>482</v>
      </c>
      <c r="RF137" s="12">
        <v>235</v>
      </c>
      <c r="RG137" s="8">
        <v>49</v>
      </c>
      <c r="RH137" s="28">
        <v>111</v>
      </c>
      <c r="SP137" s="8">
        <v>512</v>
      </c>
      <c r="SY137" s="6">
        <v>209</v>
      </c>
      <c r="TH137" s="8">
        <v>798</v>
      </c>
      <c r="TI137" s="28">
        <v>262</v>
      </c>
      <c r="TX137" s="8">
        <v>262</v>
      </c>
      <c r="TZ137" s="8">
        <v>-186</v>
      </c>
      <c r="UA137" s="12">
        <v>433</v>
      </c>
      <c r="VH137" s="8">
        <v>568</v>
      </c>
      <c r="VI137" s="28">
        <v>173</v>
      </c>
      <c r="VL137" s="21"/>
      <c r="VM137" s="8">
        <v>3896</v>
      </c>
      <c r="VN137" s="12">
        <v>120</v>
      </c>
      <c r="VO137" s="12"/>
      <c r="VP137" s="12"/>
      <c r="VQ137" s="6">
        <v>-12</v>
      </c>
      <c r="VR137" s="28">
        <v>6</v>
      </c>
      <c r="VS137" s="12"/>
      <c r="VT137" s="12"/>
      <c r="VZ137" s="8">
        <v>-317</v>
      </c>
      <c r="WB137" s="8">
        <v>5103</v>
      </c>
      <c r="WC137" s="12">
        <v>9165</v>
      </c>
      <c r="XK137">
        <v>95</v>
      </c>
      <c r="XL137" s="1">
        <v>22</v>
      </c>
    </row>
    <row r="138" spans="11:636" x14ac:dyDescent="0.25">
      <c r="K138" s="2">
        <v>2994</v>
      </c>
      <c r="L138" s="1">
        <v>4</v>
      </c>
      <c r="V138">
        <v>6</v>
      </c>
      <c r="W138" s="10">
        <v>358</v>
      </c>
      <c r="AB138">
        <v>43</v>
      </c>
      <c r="AC138" s="1">
        <v>44</v>
      </c>
      <c r="AD138">
        <v>13</v>
      </c>
      <c r="AE138" s="1">
        <v>15</v>
      </c>
      <c r="AJ138" s="2">
        <v>-1754</v>
      </c>
      <c r="AK138" s="10">
        <v>196</v>
      </c>
      <c r="BD138" s="8"/>
      <c r="BF138">
        <v>-344</v>
      </c>
      <c r="BG138" s="1">
        <v>109</v>
      </c>
      <c r="BN138">
        <v>-11</v>
      </c>
      <c r="BP138">
        <v>-497</v>
      </c>
      <c r="BQ138" s="10">
        <v>1405</v>
      </c>
      <c r="BT138">
        <v>-48</v>
      </c>
      <c r="BU138" s="1">
        <v>36</v>
      </c>
      <c r="CE138" s="8">
        <v>139</v>
      </c>
      <c r="CF138" s="28">
        <v>27</v>
      </c>
      <c r="CS138" s="6">
        <v>-14</v>
      </c>
      <c r="CT138" s="28">
        <v>3</v>
      </c>
      <c r="CZ138" s="23">
        <v>-298</v>
      </c>
      <c r="DA138" s="25">
        <v>217</v>
      </c>
      <c r="DF138" s="23">
        <v>107</v>
      </c>
      <c r="DG138" s="25">
        <v>367</v>
      </c>
      <c r="DH138" s="23">
        <v>478</v>
      </c>
      <c r="DI138" s="25">
        <v>521</v>
      </c>
      <c r="DL138" s="8">
        <v>375</v>
      </c>
      <c r="DQ138" s="8">
        <v>555</v>
      </c>
      <c r="DR138" s="52">
        <v>3</v>
      </c>
      <c r="DS138" s="6">
        <v>13</v>
      </c>
      <c r="DT138" s="52">
        <v>15</v>
      </c>
      <c r="DY138" s="6">
        <v>-342</v>
      </c>
      <c r="DZ138" s="52">
        <v>121</v>
      </c>
      <c r="EA138" s="23">
        <v>576</v>
      </c>
      <c r="EB138" s="52">
        <v>785</v>
      </c>
      <c r="EC138" s="6"/>
      <c r="ED138" s="28"/>
      <c r="EG138" s="6">
        <v>319</v>
      </c>
      <c r="EH138" s="28">
        <v>125</v>
      </c>
      <c r="EI138" s="8">
        <v>18</v>
      </c>
      <c r="EJ138" s="52">
        <v>438</v>
      </c>
      <c r="EL138" s="8">
        <v>-550</v>
      </c>
      <c r="EM138" s="28">
        <v>549</v>
      </c>
      <c r="EN138" s="8">
        <v>-176</v>
      </c>
      <c r="EO138" s="28">
        <v>30</v>
      </c>
      <c r="EP138" s="28"/>
      <c r="EQ138" s="28"/>
      <c r="EX138" s="8">
        <v>494</v>
      </c>
      <c r="EY138" s="28">
        <v>494</v>
      </c>
      <c r="FD138" s="6">
        <v>-951</v>
      </c>
      <c r="FE138" s="28">
        <v>382</v>
      </c>
      <c r="FM138" s="8">
        <v>118</v>
      </c>
      <c r="FN138" s="52">
        <v>179</v>
      </c>
      <c r="FS138" s="8">
        <v>149</v>
      </c>
      <c r="FT138" s="52">
        <v>107</v>
      </c>
      <c r="GC138" s="8">
        <v>359</v>
      </c>
      <c r="GI138" s="8">
        <v>-60</v>
      </c>
      <c r="GJ138" s="28">
        <v>119</v>
      </c>
      <c r="GP138" s="6">
        <v>7</v>
      </c>
      <c r="GQ138" s="52">
        <v>31</v>
      </c>
      <c r="GT138" s="6">
        <v>191</v>
      </c>
      <c r="GU138" s="52">
        <v>116</v>
      </c>
      <c r="HB138" s="6">
        <v>42</v>
      </c>
      <c r="HE138" s="8">
        <v>-20</v>
      </c>
      <c r="HF138" s="28">
        <v>72</v>
      </c>
      <c r="HS138" s="8">
        <v>-29</v>
      </c>
      <c r="HT138" s="52">
        <v>125</v>
      </c>
      <c r="IB138" s="8">
        <v>892</v>
      </c>
      <c r="IC138" s="28">
        <v>459</v>
      </c>
      <c r="ID138" s="8">
        <v>-105</v>
      </c>
      <c r="IE138" s="28">
        <v>429</v>
      </c>
      <c r="IY138" s="8">
        <v>-801</v>
      </c>
      <c r="JW138" s="8">
        <v>-467</v>
      </c>
      <c r="JX138" s="12">
        <v>608</v>
      </c>
      <c r="KE138" s="6">
        <v>-339</v>
      </c>
      <c r="KF138" s="12">
        <v>943</v>
      </c>
      <c r="KT138" s="8">
        <v>36</v>
      </c>
      <c r="KU138" s="28">
        <v>71</v>
      </c>
      <c r="LF138" s="8">
        <v>5</v>
      </c>
      <c r="LG138" s="28">
        <v>18</v>
      </c>
      <c r="LJ138" s="8">
        <v>-482</v>
      </c>
      <c r="LK138" s="28">
        <v>578</v>
      </c>
      <c r="LU138" s="8">
        <v>-8</v>
      </c>
      <c r="LV138" s="12">
        <v>123</v>
      </c>
      <c r="LW138" s="8">
        <v>-140</v>
      </c>
      <c r="LX138" s="28">
        <v>309</v>
      </c>
      <c r="MF138" s="8">
        <v>422</v>
      </c>
      <c r="MG138" s="12">
        <v>330</v>
      </c>
      <c r="NC138" s="8">
        <v>13</v>
      </c>
      <c r="ND138" s="12">
        <v>755</v>
      </c>
      <c r="NP138" s="8">
        <v>-1</v>
      </c>
      <c r="NQ138" s="12">
        <v>730</v>
      </c>
      <c r="NW138" s="8">
        <v>608</v>
      </c>
      <c r="NX138" s="28">
        <v>328</v>
      </c>
      <c r="PJ138" s="8">
        <v>531</v>
      </c>
      <c r="PK138" s="12">
        <v>146</v>
      </c>
      <c r="PP138" s="8">
        <v>951</v>
      </c>
      <c r="PQ138" s="28">
        <v>21</v>
      </c>
      <c r="PR138" s="28"/>
      <c r="PS138" s="8">
        <v>-4</v>
      </c>
      <c r="PT138" s="12">
        <v>441</v>
      </c>
      <c r="RE138" s="6">
        <v>797</v>
      </c>
      <c r="RF138" s="12">
        <v>295</v>
      </c>
      <c r="RG138" s="8">
        <v>106</v>
      </c>
      <c r="RH138" s="28">
        <v>153</v>
      </c>
      <c r="SP138" s="8">
        <v>58</v>
      </c>
      <c r="SY138" s="6">
        <v>34</v>
      </c>
      <c r="TH138" s="8">
        <v>904</v>
      </c>
      <c r="TI138" s="28">
        <v>310</v>
      </c>
      <c r="TX138" s="8">
        <v>-740</v>
      </c>
      <c r="TZ138" s="8">
        <v>-187</v>
      </c>
      <c r="UA138" s="12">
        <v>472</v>
      </c>
      <c r="VH138" s="8">
        <v>-219</v>
      </c>
      <c r="VI138" s="28">
        <v>54</v>
      </c>
      <c r="VL138" s="21"/>
      <c r="VM138" s="8">
        <v>2121</v>
      </c>
      <c r="VN138" s="12">
        <v>47</v>
      </c>
      <c r="VO138" s="12"/>
      <c r="VP138" s="12"/>
      <c r="VQ138" s="6">
        <v>-6</v>
      </c>
      <c r="VR138" s="28">
        <v>8</v>
      </c>
      <c r="VS138" s="12"/>
      <c r="VT138" s="12"/>
      <c r="VZ138" s="8">
        <v>-361</v>
      </c>
      <c r="XK138">
        <v>-127</v>
      </c>
      <c r="XL138" s="1">
        <v>130</v>
      </c>
    </row>
    <row r="139" spans="11:636" x14ac:dyDescent="0.25">
      <c r="K139" s="2">
        <v>1036</v>
      </c>
      <c r="L139" s="1">
        <v>6</v>
      </c>
      <c r="V139">
        <v>4</v>
      </c>
      <c r="W139" s="10">
        <v>436</v>
      </c>
      <c r="AB139">
        <v>-69</v>
      </c>
      <c r="AC139" s="1">
        <v>64</v>
      </c>
      <c r="AD139">
        <v>11</v>
      </c>
      <c r="AE139" s="1">
        <v>7</v>
      </c>
      <c r="AJ139" s="2">
        <v>-2187</v>
      </c>
      <c r="AK139" s="10">
        <v>231</v>
      </c>
      <c r="BD139" s="8"/>
      <c r="BF139">
        <v>-102</v>
      </c>
      <c r="BG139" s="1">
        <v>105</v>
      </c>
      <c r="BN139">
        <v>-64</v>
      </c>
      <c r="BP139">
        <v>-337</v>
      </c>
      <c r="BQ139" s="10">
        <v>1633</v>
      </c>
      <c r="BT139">
        <v>159</v>
      </c>
      <c r="BU139" s="1">
        <v>109</v>
      </c>
      <c r="CE139" s="8">
        <v>143</v>
      </c>
      <c r="CF139" s="28">
        <v>30</v>
      </c>
      <c r="CS139" s="6">
        <v>10</v>
      </c>
      <c r="CT139" s="28">
        <v>3</v>
      </c>
      <c r="CZ139" s="23">
        <v>248</v>
      </c>
      <c r="DA139" s="25">
        <v>787</v>
      </c>
      <c r="DF139" s="23">
        <v>109</v>
      </c>
      <c r="DG139" s="25">
        <v>334</v>
      </c>
      <c r="DH139" s="23">
        <v>469</v>
      </c>
      <c r="DI139" s="25">
        <v>211</v>
      </c>
      <c r="DL139" s="8">
        <v>703</v>
      </c>
      <c r="DQ139" s="8">
        <v>-571</v>
      </c>
      <c r="DR139" s="52">
        <v>357</v>
      </c>
      <c r="DS139" s="6">
        <v>-137</v>
      </c>
      <c r="DT139" s="52">
        <v>157</v>
      </c>
      <c r="DY139" s="6">
        <v>-152</v>
      </c>
      <c r="DZ139" s="52">
        <v>55</v>
      </c>
      <c r="EA139" s="23">
        <v>7</v>
      </c>
      <c r="EB139" s="52">
        <v>736</v>
      </c>
      <c r="EC139" s="6"/>
      <c r="ED139" s="28"/>
      <c r="EG139" s="6">
        <v>268</v>
      </c>
      <c r="EH139" s="28">
        <v>125</v>
      </c>
      <c r="EI139" s="8">
        <v>10</v>
      </c>
      <c r="EJ139" s="52">
        <v>879</v>
      </c>
      <c r="EL139" s="8">
        <v>150</v>
      </c>
      <c r="EM139" s="28">
        <v>710</v>
      </c>
      <c r="EN139" s="8">
        <v>-104</v>
      </c>
      <c r="EO139" s="28">
        <v>21</v>
      </c>
      <c r="EP139" s="28"/>
      <c r="EQ139" s="28"/>
      <c r="EX139" s="8">
        <v>233</v>
      </c>
      <c r="EY139" s="28">
        <v>134</v>
      </c>
      <c r="FD139" s="6">
        <v>430</v>
      </c>
      <c r="FE139" s="28">
        <v>160</v>
      </c>
      <c r="FM139" s="8">
        <v>142</v>
      </c>
      <c r="FN139" s="52">
        <v>587</v>
      </c>
      <c r="FS139" s="8">
        <v>-65</v>
      </c>
      <c r="FT139" s="52">
        <v>5</v>
      </c>
      <c r="GC139" s="8">
        <v>836</v>
      </c>
      <c r="GI139" s="8">
        <v>22</v>
      </c>
      <c r="GJ139" s="28">
        <v>110</v>
      </c>
      <c r="GP139" s="6">
        <v>24</v>
      </c>
      <c r="GQ139" s="52">
        <v>155</v>
      </c>
      <c r="GT139" s="6">
        <v>-13</v>
      </c>
      <c r="GU139" s="52">
        <v>66</v>
      </c>
      <c r="HB139" s="6">
        <v>98</v>
      </c>
      <c r="HE139" s="6">
        <v>-40</v>
      </c>
      <c r="HF139" s="28">
        <v>70</v>
      </c>
      <c r="HS139" s="8">
        <v>-66</v>
      </c>
      <c r="HT139" s="52">
        <v>32</v>
      </c>
      <c r="IB139" s="8">
        <v>662</v>
      </c>
      <c r="IC139" s="28">
        <v>461</v>
      </c>
      <c r="ID139" s="8">
        <v>4</v>
      </c>
      <c r="IE139" s="28">
        <v>977</v>
      </c>
      <c r="IY139" s="8">
        <v>-965</v>
      </c>
      <c r="JW139" s="8">
        <v>-117</v>
      </c>
      <c r="JX139" s="12">
        <v>175</v>
      </c>
      <c r="KE139" s="6">
        <v>53</v>
      </c>
      <c r="KF139" s="12">
        <v>815</v>
      </c>
      <c r="KT139" s="8">
        <v>-133</v>
      </c>
      <c r="KU139" s="28">
        <v>137</v>
      </c>
      <c r="LF139" s="8">
        <v>8</v>
      </c>
      <c r="LG139" s="28">
        <v>21</v>
      </c>
      <c r="LJ139" s="8">
        <v>128</v>
      </c>
      <c r="LK139" s="28">
        <v>126</v>
      </c>
      <c r="LU139" s="8">
        <v>76</v>
      </c>
      <c r="LV139" s="12">
        <v>99</v>
      </c>
      <c r="LW139" s="8">
        <v>-221</v>
      </c>
      <c r="LX139" s="28">
        <v>250</v>
      </c>
      <c r="MF139" s="8">
        <v>-859</v>
      </c>
      <c r="MG139" s="12">
        <v>637</v>
      </c>
      <c r="NC139" s="8">
        <v>42</v>
      </c>
      <c r="ND139" s="12">
        <v>412</v>
      </c>
      <c r="NP139" s="8">
        <v>-1</v>
      </c>
      <c r="NQ139" s="12">
        <v>849</v>
      </c>
      <c r="PJ139" s="8">
        <v>154</v>
      </c>
      <c r="PK139" s="12">
        <v>638</v>
      </c>
      <c r="PP139" s="8">
        <v>288</v>
      </c>
      <c r="PQ139" s="28">
        <v>24</v>
      </c>
      <c r="PR139" s="28"/>
      <c r="PS139" s="8">
        <v>2</v>
      </c>
      <c r="PT139" s="12">
        <v>167</v>
      </c>
      <c r="RE139" s="6">
        <v>905</v>
      </c>
      <c r="RF139" s="12">
        <v>337</v>
      </c>
      <c r="RG139" s="8">
        <v>-131</v>
      </c>
      <c r="RH139" s="28">
        <v>84</v>
      </c>
      <c r="SP139" s="8">
        <v>13</v>
      </c>
      <c r="SY139" s="6">
        <v>159</v>
      </c>
      <c r="TH139" s="8">
        <v>478</v>
      </c>
      <c r="TI139" s="28">
        <v>580</v>
      </c>
      <c r="TX139" s="8">
        <v>-972</v>
      </c>
      <c r="TZ139" s="8">
        <v>-126</v>
      </c>
      <c r="UA139" s="12">
        <v>494</v>
      </c>
      <c r="VH139" s="8">
        <v>522</v>
      </c>
      <c r="VI139" s="28">
        <v>47</v>
      </c>
      <c r="VL139" s="21"/>
      <c r="VQ139" s="6">
        <v>-12</v>
      </c>
      <c r="VR139" s="28">
        <v>6</v>
      </c>
      <c r="VZ139" s="8">
        <v>-969</v>
      </c>
      <c r="XK139">
        <v>63</v>
      </c>
      <c r="XL139" s="1">
        <v>63</v>
      </c>
    </row>
    <row r="140" spans="11:636" x14ac:dyDescent="0.25">
      <c r="K140" s="2">
        <v>3871</v>
      </c>
      <c r="L140" s="1">
        <v>7</v>
      </c>
      <c r="V140">
        <v>4</v>
      </c>
      <c r="W140" s="10">
        <v>118</v>
      </c>
      <c r="AB140">
        <v>-75</v>
      </c>
      <c r="AC140" s="1">
        <v>120</v>
      </c>
      <c r="AD140">
        <v>39</v>
      </c>
      <c r="AE140" s="1">
        <v>8</v>
      </c>
      <c r="AJ140" s="2">
        <v>13</v>
      </c>
      <c r="AK140" s="10">
        <v>99</v>
      </c>
      <c r="BD140" s="8"/>
      <c r="BF140">
        <v>377</v>
      </c>
      <c r="BG140" s="1">
        <v>69</v>
      </c>
      <c r="BN140">
        <v>416</v>
      </c>
      <c r="BP140">
        <v>-332</v>
      </c>
      <c r="BQ140" s="10">
        <v>6484</v>
      </c>
      <c r="BT140">
        <v>-137</v>
      </c>
      <c r="BU140" s="1">
        <v>109</v>
      </c>
      <c r="CE140" s="8">
        <v>58</v>
      </c>
      <c r="CF140" s="28">
        <v>56</v>
      </c>
      <c r="CS140" s="6">
        <v>1</v>
      </c>
      <c r="CT140" s="28">
        <v>6</v>
      </c>
      <c r="CZ140" s="23">
        <v>-25</v>
      </c>
      <c r="DA140" s="25">
        <v>97</v>
      </c>
      <c r="DF140" s="23">
        <v>105</v>
      </c>
      <c r="DG140" s="25">
        <v>538</v>
      </c>
      <c r="DH140" s="23">
        <v>415</v>
      </c>
      <c r="DI140" s="25">
        <v>232</v>
      </c>
      <c r="DL140" s="8">
        <v>534</v>
      </c>
      <c r="DQ140" s="8">
        <v>880</v>
      </c>
      <c r="DR140" s="52">
        <v>351</v>
      </c>
      <c r="DS140" s="6">
        <v>-267</v>
      </c>
      <c r="DT140" s="52">
        <v>335</v>
      </c>
      <c r="DY140" s="6">
        <v>-141</v>
      </c>
      <c r="DZ140" s="52">
        <v>77</v>
      </c>
      <c r="EA140" s="23">
        <v>790</v>
      </c>
      <c r="EB140" s="52">
        <v>145</v>
      </c>
      <c r="EC140" s="52"/>
      <c r="ED140" s="28"/>
      <c r="EG140" s="6">
        <v>-256</v>
      </c>
      <c r="EH140" s="28">
        <v>526</v>
      </c>
      <c r="EI140" s="8">
        <v>1</v>
      </c>
      <c r="EJ140" s="52">
        <v>392</v>
      </c>
      <c r="EL140" s="8">
        <v>-421</v>
      </c>
      <c r="EM140" s="28">
        <v>832</v>
      </c>
      <c r="EN140" s="8">
        <v>-154</v>
      </c>
      <c r="EO140" s="28">
        <v>27</v>
      </c>
      <c r="EP140" s="28"/>
      <c r="EQ140" s="28"/>
      <c r="EX140" s="8">
        <v>225</v>
      </c>
      <c r="EY140" s="28">
        <v>184</v>
      </c>
      <c r="FD140" s="6">
        <v>262</v>
      </c>
      <c r="FE140" s="28">
        <v>473</v>
      </c>
      <c r="FM140" s="8">
        <v>130</v>
      </c>
      <c r="FN140" s="52">
        <v>370</v>
      </c>
      <c r="FS140" s="8">
        <v>-169</v>
      </c>
      <c r="FT140" s="52">
        <v>157</v>
      </c>
      <c r="GC140" s="8">
        <v>442</v>
      </c>
      <c r="GI140" s="8">
        <v>-109</v>
      </c>
      <c r="GJ140" s="28">
        <v>73</v>
      </c>
      <c r="GP140" s="6">
        <v>149</v>
      </c>
      <c r="GQ140" s="52">
        <v>278</v>
      </c>
      <c r="GT140" s="6">
        <v>127</v>
      </c>
      <c r="GU140" s="52">
        <v>200</v>
      </c>
      <c r="HB140" s="6">
        <v>24</v>
      </c>
      <c r="HE140" s="6">
        <v>45</v>
      </c>
      <c r="HF140" s="28">
        <v>59</v>
      </c>
      <c r="HS140" s="8">
        <v>-14</v>
      </c>
      <c r="HT140" s="52">
        <v>84</v>
      </c>
      <c r="IB140" s="8">
        <v>413</v>
      </c>
      <c r="IC140" s="28">
        <v>206</v>
      </c>
      <c r="ID140" s="8">
        <v>-132</v>
      </c>
      <c r="IE140" s="28">
        <v>246</v>
      </c>
      <c r="IY140" s="8">
        <v>-603</v>
      </c>
      <c r="JW140" s="8">
        <v>-378</v>
      </c>
      <c r="JX140" s="12">
        <v>485</v>
      </c>
      <c r="KE140" s="6">
        <v>693</v>
      </c>
      <c r="KF140" s="12">
        <v>530</v>
      </c>
      <c r="KT140" s="8">
        <v>-277</v>
      </c>
      <c r="KU140" s="28">
        <v>962</v>
      </c>
      <c r="LF140" s="8">
        <v>29</v>
      </c>
      <c r="LG140" s="28">
        <v>16</v>
      </c>
      <c r="LJ140" s="8">
        <v>-948</v>
      </c>
      <c r="LK140" s="28">
        <v>886</v>
      </c>
      <c r="LU140" s="8">
        <v>47</v>
      </c>
      <c r="LV140" s="12">
        <v>50</v>
      </c>
      <c r="LW140" s="8">
        <v>-138</v>
      </c>
      <c r="LX140" s="28">
        <v>702</v>
      </c>
      <c r="MF140" s="8">
        <v>-912</v>
      </c>
      <c r="MG140" s="12">
        <v>679</v>
      </c>
      <c r="NC140" s="8">
        <v>-64</v>
      </c>
      <c r="ND140" s="12">
        <v>513</v>
      </c>
      <c r="NP140" s="8">
        <v>-970</v>
      </c>
      <c r="NQ140" s="12">
        <v>718</v>
      </c>
      <c r="PJ140" s="8">
        <v>14</v>
      </c>
      <c r="PK140" s="12">
        <v>947</v>
      </c>
      <c r="PP140" s="8">
        <v>905</v>
      </c>
      <c r="PQ140" s="28">
        <v>19</v>
      </c>
      <c r="PR140" s="28"/>
      <c r="PS140" s="8">
        <v>179</v>
      </c>
      <c r="RE140" s="6">
        <v>599</v>
      </c>
      <c r="RF140" s="12">
        <v>294</v>
      </c>
      <c r="RG140" s="8">
        <v>285</v>
      </c>
      <c r="RH140" s="28">
        <v>113</v>
      </c>
      <c r="SP140" s="8">
        <v>24</v>
      </c>
      <c r="SY140" s="6">
        <v>209</v>
      </c>
      <c r="TH140" s="8">
        <v>393</v>
      </c>
      <c r="TI140" s="28">
        <v>421</v>
      </c>
      <c r="TX140" s="8">
        <v>-227</v>
      </c>
      <c r="TZ140" s="8">
        <v>674</v>
      </c>
      <c r="UA140" s="12">
        <v>575</v>
      </c>
      <c r="VH140" s="8">
        <v>-495</v>
      </c>
      <c r="VI140" s="28">
        <v>655</v>
      </c>
      <c r="VL140" s="21"/>
      <c r="VQ140" s="6">
        <v>-12</v>
      </c>
      <c r="VR140" s="28">
        <v>6</v>
      </c>
      <c r="VZ140" s="8">
        <v>-128</v>
      </c>
      <c r="XK140">
        <v>125</v>
      </c>
      <c r="XL140" s="1">
        <v>53</v>
      </c>
    </row>
    <row r="141" spans="11:636" x14ac:dyDescent="0.25">
      <c r="K141" s="2">
        <v>1077</v>
      </c>
      <c r="L141" s="1">
        <v>8</v>
      </c>
      <c r="V141">
        <v>-1</v>
      </c>
      <c r="W141" s="10">
        <v>85</v>
      </c>
      <c r="AB141">
        <v>61</v>
      </c>
      <c r="AC141" s="1">
        <v>19</v>
      </c>
      <c r="AD141">
        <v>14</v>
      </c>
      <c r="AE141" s="1">
        <v>8</v>
      </c>
      <c r="AJ141" s="2">
        <v>-1</v>
      </c>
      <c r="AK141" s="10">
        <v>156</v>
      </c>
      <c r="BD141" s="8"/>
      <c r="BF141">
        <v>854</v>
      </c>
      <c r="BG141" s="1">
        <v>273</v>
      </c>
      <c r="BN141">
        <v>176</v>
      </c>
      <c r="BP141">
        <v>-450</v>
      </c>
      <c r="BQ141" s="10">
        <v>6682</v>
      </c>
      <c r="BT141">
        <v>763</v>
      </c>
      <c r="BU141" s="1">
        <v>72</v>
      </c>
      <c r="CE141" s="8">
        <v>158</v>
      </c>
      <c r="CF141" s="28">
        <v>62</v>
      </c>
      <c r="CS141" s="6">
        <v>3</v>
      </c>
      <c r="CT141" s="28">
        <v>4</v>
      </c>
      <c r="CZ141" s="23">
        <v>42</v>
      </c>
      <c r="DA141" s="25">
        <v>11</v>
      </c>
      <c r="DF141" s="23">
        <v>111</v>
      </c>
      <c r="DG141" s="25">
        <v>424</v>
      </c>
      <c r="DH141" s="23">
        <v>665</v>
      </c>
      <c r="DI141" s="25">
        <v>253</v>
      </c>
      <c r="DL141" s="8">
        <v>416</v>
      </c>
      <c r="DQ141" s="8">
        <v>-487</v>
      </c>
      <c r="DR141" s="52">
        <v>578</v>
      </c>
      <c r="DS141" s="6">
        <v>-284</v>
      </c>
      <c r="DT141" s="52">
        <v>362</v>
      </c>
      <c r="DY141" s="6">
        <v>-110</v>
      </c>
      <c r="DZ141" s="52">
        <v>311</v>
      </c>
      <c r="EA141" s="23">
        <v>-562</v>
      </c>
      <c r="EB141" s="52">
        <v>123</v>
      </c>
      <c r="EC141" s="52"/>
      <c r="ED141" s="28"/>
      <c r="EG141" s="6">
        <v>148</v>
      </c>
      <c r="EH141" s="28">
        <v>436</v>
      </c>
      <c r="EI141" s="8">
        <v>-5</v>
      </c>
      <c r="EJ141" s="52">
        <v>72</v>
      </c>
      <c r="EL141" s="8">
        <v>874</v>
      </c>
      <c r="EM141" s="28">
        <v>492</v>
      </c>
      <c r="EN141" s="8">
        <v>-157</v>
      </c>
      <c r="EO141" s="28">
        <v>29</v>
      </c>
      <c r="EP141" s="28"/>
      <c r="EQ141" s="28"/>
      <c r="EX141" s="8">
        <v>293</v>
      </c>
      <c r="EY141" s="28">
        <v>197</v>
      </c>
      <c r="FD141" s="6">
        <v>-481</v>
      </c>
      <c r="FE141" s="28">
        <v>110</v>
      </c>
      <c r="FM141" s="8">
        <v>102</v>
      </c>
      <c r="FN141" s="52">
        <v>347</v>
      </c>
      <c r="FS141" s="8">
        <v>-126</v>
      </c>
      <c r="FT141" s="52">
        <v>71</v>
      </c>
      <c r="GC141" s="8">
        <v>103</v>
      </c>
      <c r="GI141" s="8">
        <v>26</v>
      </c>
      <c r="GJ141" s="28">
        <v>157</v>
      </c>
      <c r="GP141" s="6">
        <v>81</v>
      </c>
      <c r="GQ141" s="52">
        <v>407</v>
      </c>
      <c r="GT141" s="6">
        <v>219</v>
      </c>
      <c r="GU141" s="52">
        <v>343</v>
      </c>
      <c r="HB141" s="6">
        <v>14</v>
      </c>
      <c r="HE141" s="6">
        <v>24</v>
      </c>
      <c r="HF141" s="28">
        <v>54</v>
      </c>
      <c r="HS141" s="8">
        <v>30</v>
      </c>
      <c r="HT141" s="52">
        <v>144</v>
      </c>
      <c r="IB141" s="8">
        <v>576</v>
      </c>
      <c r="IC141" s="28">
        <v>233</v>
      </c>
      <c r="ID141" s="8">
        <v>302</v>
      </c>
      <c r="IE141" s="28">
        <v>25</v>
      </c>
      <c r="IY141" s="8">
        <v>-213</v>
      </c>
      <c r="JW141" s="8">
        <v>-99</v>
      </c>
      <c r="JX141" s="12">
        <v>96</v>
      </c>
      <c r="KE141" s="6">
        <v>-362</v>
      </c>
      <c r="KF141" s="12">
        <v>147</v>
      </c>
      <c r="KT141" s="8">
        <v>-487</v>
      </c>
      <c r="KU141" s="28">
        <v>564</v>
      </c>
      <c r="LF141" s="8">
        <v>28</v>
      </c>
      <c r="LG141" s="28">
        <v>16</v>
      </c>
      <c r="LJ141" s="8">
        <v>702</v>
      </c>
      <c r="LK141" s="28">
        <v>497</v>
      </c>
      <c r="LU141" s="8">
        <v>-7</v>
      </c>
      <c r="LV141" s="12">
        <v>12</v>
      </c>
      <c r="LW141" s="8">
        <v>-873</v>
      </c>
      <c r="LX141" s="28">
        <v>400</v>
      </c>
      <c r="MF141" s="8">
        <v>69</v>
      </c>
      <c r="MG141" s="12">
        <v>250</v>
      </c>
      <c r="NC141" s="8">
        <v>-84</v>
      </c>
      <c r="ND141" s="12">
        <v>646</v>
      </c>
      <c r="NP141" s="8">
        <v>852</v>
      </c>
      <c r="NQ141" s="12">
        <v>646</v>
      </c>
      <c r="PJ141" s="8">
        <v>15</v>
      </c>
      <c r="PK141" s="12">
        <v>244</v>
      </c>
      <c r="PP141" s="8">
        <v>819</v>
      </c>
      <c r="PQ141" s="28">
        <v>17</v>
      </c>
      <c r="PR141" s="28"/>
      <c r="PS141" s="8">
        <v>-249</v>
      </c>
      <c r="RE141" s="6">
        <v>-227</v>
      </c>
      <c r="RF141" s="12">
        <v>66</v>
      </c>
      <c r="RG141" s="8">
        <v>114</v>
      </c>
      <c r="RH141" s="28">
        <v>162</v>
      </c>
      <c r="SP141" s="8">
        <v>92</v>
      </c>
      <c r="SY141" s="6">
        <v>-14</v>
      </c>
      <c r="TH141" s="8">
        <v>-65</v>
      </c>
      <c r="TI141" s="28">
        <v>541</v>
      </c>
      <c r="TX141" s="8">
        <v>-620</v>
      </c>
      <c r="TZ141" s="8">
        <v>359</v>
      </c>
      <c r="UA141" s="12">
        <v>467</v>
      </c>
      <c r="VH141" s="8">
        <v>146</v>
      </c>
      <c r="VI141" s="28">
        <v>875</v>
      </c>
      <c r="VL141" s="21"/>
      <c r="VQ141" s="6">
        <v>-13</v>
      </c>
      <c r="VR141" s="28">
        <v>7</v>
      </c>
      <c r="VZ141" s="8">
        <v>144</v>
      </c>
      <c r="XK141">
        <v>108</v>
      </c>
      <c r="XL141" s="1">
        <v>44</v>
      </c>
    </row>
    <row r="142" spans="11:636" x14ac:dyDescent="0.25">
      <c r="K142" s="2">
        <v>1612</v>
      </c>
      <c r="L142" s="1">
        <v>8</v>
      </c>
      <c r="V142">
        <v>-8</v>
      </c>
      <c r="W142" s="10">
        <v>72</v>
      </c>
      <c r="AB142">
        <v>49</v>
      </c>
      <c r="AC142" s="1">
        <v>15</v>
      </c>
      <c r="AD142">
        <v>20</v>
      </c>
      <c r="AE142" s="1">
        <v>3</v>
      </c>
      <c r="AJ142" s="2">
        <v>21</v>
      </c>
      <c r="AK142" s="10">
        <v>91</v>
      </c>
      <c r="BD142" s="8"/>
      <c r="BF142">
        <v>-327</v>
      </c>
      <c r="BG142" s="1">
        <v>404</v>
      </c>
      <c r="BN142">
        <v>9</v>
      </c>
      <c r="BP142">
        <v>-379</v>
      </c>
      <c r="BQ142" s="10">
        <v>1355</v>
      </c>
      <c r="BT142">
        <v>-356</v>
      </c>
      <c r="BU142" s="1">
        <v>57</v>
      </c>
      <c r="CE142" s="8">
        <v>103</v>
      </c>
      <c r="CF142" s="28">
        <v>32</v>
      </c>
      <c r="CS142" s="6">
        <v>-19</v>
      </c>
      <c r="CT142" s="28">
        <v>4</v>
      </c>
      <c r="CZ142" s="23">
        <v>151</v>
      </c>
      <c r="DA142" s="25">
        <v>359</v>
      </c>
      <c r="DF142" s="23">
        <v>104</v>
      </c>
      <c r="DG142" s="25">
        <v>335</v>
      </c>
      <c r="DH142" s="23">
        <v>-177</v>
      </c>
      <c r="DI142" s="25">
        <v>288</v>
      </c>
      <c r="DL142" s="8">
        <v>390</v>
      </c>
      <c r="DQ142" s="8">
        <v>211</v>
      </c>
      <c r="DR142" s="52">
        <v>157</v>
      </c>
      <c r="DS142" s="6">
        <v>110</v>
      </c>
      <c r="DT142" s="52">
        <v>133</v>
      </c>
      <c r="DY142" s="6">
        <v>153</v>
      </c>
      <c r="DZ142" s="52">
        <v>74</v>
      </c>
      <c r="EA142" s="23">
        <v>-126</v>
      </c>
      <c r="EB142" s="52">
        <v>822</v>
      </c>
      <c r="EC142" s="52"/>
      <c r="ED142" s="28"/>
      <c r="EG142" s="6">
        <v>-166</v>
      </c>
      <c r="EH142" s="28">
        <v>424</v>
      </c>
      <c r="EI142" s="8">
        <v>-2</v>
      </c>
      <c r="EJ142" s="52">
        <v>57</v>
      </c>
      <c r="EL142" s="8">
        <v>540</v>
      </c>
      <c r="EM142" s="28">
        <v>247</v>
      </c>
      <c r="EN142" s="8">
        <v>105</v>
      </c>
      <c r="EO142" s="28">
        <v>23</v>
      </c>
      <c r="EP142" s="28"/>
      <c r="EQ142" s="28"/>
      <c r="EX142" s="8">
        <v>335</v>
      </c>
      <c r="EY142" s="28">
        <v>137</v>
      </c>
      <c r="FD142" s="6">
        <v>689</v>
      </c>
      <c r="FE142" s="28">
        <v>453</v>
      </c>
      <c r="FM142" s="8">
        <v>614</v>
      </c>
      <c r="FN142" s="52">
        <v>152</v>
      </c>
      <c r="FS142" s="8">
        <v>-89</v>
      </c>
      <c r="FT142" s="52">
        <v>6</v>
      </c>
      <c r="GC142" s="8">
        <v>398</v>
      </c>
      <c r="GI142" s="8">
        <v>-84</v>
      </c>
      <c r="GJ142" s="28">
        <v>148</v>
      </c>
      <c r="GP142" s="6">
        <v>19</v>
      </c>
      <c r="GQ142" s="52">
        <v>307</v>
      </c>
      <c r="GT142" s="6">
        <v>3</v>
      </c>
      <c r="GU142" s="52">
        <v>15</v>
      </c>
      <c r="HB142" s="6">
        <v>173</v>
      </c>
      <c r="HE142" s="6">
        <v>61</v>
      </c>
      <c r="HF142" s="28">
        <v>29</v>
      </c>
      <c r="HS142" s="8">
        <v>2</v>
      </c>
      <c r="HT142" s="52">
        <v>59</v>
      </c>
      <c r="IB142" s="8">
        <v>243</v>
      </c>
      <c r="IC142" s="28">
        <v>794</v>
      </c>
      <c r="ID142" s="8">
        <v>-16</v>
      </c>
      <c r="IE142" s="28">
        <v>907</v>
      </c>
      <c r="IY142" s="8">
        <v>-96</v>
      </c>
      <c r="JW142" s="6">
        <v>-68</v>
      </c>
      <c r="JX142" s="12">
        <v>66</v>
      </c>
      <c r="KE142" s="6">
        <v>-406</v>
      </c>
      <c r="KF142" s="12">
        <v>972</v>
      </c>
      <c r="KT142" s="8">
        <v>245</v>
      </c>
      <c r="KU142" s="28">
        <v>955</v>
      </c>
      <c r="LF142" s="8">
        <v>84</v>
      </c>
      <c r="LG142" s="28">
        <v>43</v>
      </c>
      <c r="LJ142" s="8">
        <v>-180</v>
      </c>
      <c r="LK142" s="28">
        <v>503</v>
      </c>
      <c r="LU142" s="8">
        <v>-57</v>
      </c>
      <c r="LV142" s="12">
        <v>60</v>
      </c>
      <c r="LW142" s="8">
        <v>-592</v>
      </c>
      <c r="LX142" s="28">
        <v>283</v>
      </c>
      <c r="MF142" s="8">
        <v>23</v>
      </c>
      <c r="MG142" s="12">
        <v>63</v>
      </c>
      <c r="NC142" s="8">
        <v>-146</v>
      </c>
      <c r="ND142" s="12">
        <v>581</v>
      </c>
      <c r="NP142" s="8">
        <v>63</v>
      </c>
      <c r="NQ142" s="12">
        <v>62</v>
      </c>
      <c r="PJ142" s="8">
        <v>168</v>
      </c>
      <c r="PK142" s="12">
        <v>135</v>
      </c>
      <c r="PP142" s="8">
        <v>821</v>
      </c>
      <c r="PQ142" s="28">
        <v>22</v>
      </c>
      <c r="PR142" s="28"/>
      <c r="PS142" s="8">
        <v>459</v>
      </c>
      <c r="RE142" s="6">
        <v>-110</v>
      </c>
      <c r="RF142" s="12">
        <v>134</v>
      </c>
      <c r="RG142" s="8">
        <v>493</v>
      </c>
      <c r="RH142" s="28">
        <v>217</v>
      </c>
      <c r="SP142" s="8">
        <v>171</v>
      </c>
      <c r="SY142" s="6">
        <v>506</v>
      </c>
      <c r="TH142" s="8">
        <v>124</v>
      </c>
      <c r="TI142" s="28">
        <v>355</v>
      </c>
      <c r="TX142" s="8">
        <v>-139</v>
      </c>
      <c r="TZ142" s="8">
        <v>264</v>
      </c>
      <c r="UA142" s="12">
        <v>650</v>
      </c>
      <c r="VH142" s="8">
        <v>109</v>
      </c>
      <c r="VI142" s="28">
        <v>140</v>
      </c>
      <c r="VL142" s="21"/>
      <c r="VQ142" s="6">
        <v>16</v>
      </c>
      <c r="VR142" s="28">
        <v>12</v>
      </c>
      <c r="VZ142" s="8">
        <v>104</v>
      </c>
      <c r="XK142">
        <v>43</v>
      </c>
      <c r="XL142" s="1">
        <v>29</v>
      </c>
    </row>
    <row r="143" spans="11:636" x14ac:dyDescent="0.25">
      <c r="K143" s="2">
        <v>3673</v>
      </c>
      <c r="L143" s="1">
        <v>6</v>
      </c>
      <c r="V143">
        <v>-11</v>
      </c>
      <c r="W143" s="10">
        <v>95</v>
      </c>
      <c r="AB143">
        <v>64</v>
      </c>
      <c r="AC143" s="1">
        <v>26</v>
      </c>
      <c r="AD143">
        <v>37</v>
      </c>
      <c r="AE143" s="1">
        <v>4</v>
      </c>
      <c r="AJ143" s="2">
        <v>-27</v>
      </c>
      <c r="AK143" s="10">
        <v>255</v>
      </c>
      <c r="BD143" s="8"/>
      <c r="BF143">
        <v>413</v>
      </c>
      <c r="BG143" s="1">
        <v>157</v>
      </c>
      <c r="BN143">
        <v>6</v>
      </c>
      <c r="BP143">
        <v>-532</v>
      </c>
      <c r="BQ143" s="10">
        <v>9495</v>
      </c>
      <c r="BT143">
        <v>-55</v>
      </c>
      <c r="BU143" s="1">
        <v>121</v>
      </c>
      <c r="CE143" s="8">
        <v>191</v>
      </c>
      <c r="CF143" s="28">
        <v>23</v>
      </c>
      <c r="CS143" s="6">
        <v>12</v>
      </c>
      <c r="CT143" s="28">
        <v>3</v>
      </c>
      <c r="CZ143" s="23">
        <v>-560</v>
      </c>
      <c r="DA143" s="25">
        <v>184</v>
      </c>
      <c r="DF143" s="23">
        <v>108</v>
      </c>
      <c r="DG143" s="25">
        <v>360</v>
      </c>
      <c r="DH143" s="23">
        <v>224</v>
      </c>
      <c r="DI143" s="25">
        <v>294</v>
      </c>
      <c r="DL143" s="8">
        <v>310</v>
      </c>
      <c r="DQ143" s="8">
        <v>-119</v>
      </c>
      <c r="DR143" s="52">
        <v>493</v>
      </c>
      <c r="DS143" s="6">
        <v>37</v>
      </c>
      <c r="DT143" s="52">
        <v>33</v>
      </c>
      <c r="DY143" s="6">
        <v>911</v>
      </c>
      <c r="DZ143" s="52">
        <v>559</v>
      </c>
      <c r="EA143" s="23">
        <v>738</v>
      </c>
      <c r="EB143" s="52">
        <v>108</v>
      </c>
      <c r="EC143" s="52"/>
      <c r="ED143" s="28"/>
      <c r="EG143" s="6">
        <v>-393</v>
      </c>
      <c r="EH143" s="28">
        <v>391</v>
      </c>
      <c r="EI143" s="8">
        <v>-9</v>
      </c>
      <c r="EJ143" s="52">
        <v>88</v>
      </c>
      <c r="EL143" s="8">
        <v>535</v>
      </c>
      <c r="EM143" s="28">
        <v>486</v>
      </c>
      <c r="EN143" s="8">
        <v>-163</v>
      </c>
      <c r="EO143" s="28">
        <v>24</v>
      </c>
      <c r="EP143" s="28"/>
      <c r="EQ143" s="28"/>
      <c r="EX143" s="8">
        <v>247</v>
      </c>
      <c r="EY143" s="28">
        <v>171</v>
      </c>
      <c r="FD143" s="6">
        <v>199</v>
      </c>
      <c r="FE143" s="28">
        <v>158</v>
      </c>
      <c r="FM143" s="8">
        <v>557</v>
      </c>
      <c r="FN143" s="52">
        <v>56</v>
      </c>
      <c r="FS143" s="8">
        <v>-273</v>
      </c>
      <c r="FT143" s="52">
        <v>159</v>
      </c>
      <c r="GC143" s="8">
        <v>147</v>
      </c>
      <c r="GI143" s="8">
        <v>19</v>
      </c>
      <c r="GJ143" s="28">
        <v>139</v>
      </c>
      <c r="GP143" s="6">
        <v>36</v>
      </c>
      <c r="GQ143" s="52">
        <v>401</v>
      </c>
      <c r="GT143" s="6">
        <v>313</v>
      </c>
      <c r="GU143" s="52">
        <v>146</v>
      </c>
      <c r="HB143" s="6">
        <v>138</v>
      </c>
      <c r="HE143" s="6">
        <v>-1</v>
      </c>
      <c r="HF143" s="28">
        <v>56</v>
      </c>
      <c r="HS143" s="8">
        <v>-47</v>
      </c>
      <c r="HT143" s="52">
        <v>248</v>
      </c>
      <c r="IB143" s="8">
        <v>388</v>
      </c>
      <c r="IC143" s="28">
        <v>766</v>
      </c>
      <c r="ID143" s="8">
        <v>153</v>
      </c>
      <c r="IE143" s="28">
        <v>158</v>
      </c>
      <c r="IY143" s="8">
        <v>31</v>
      </c>
      <c r="JW143" s="6">
        <v>-285</v>
      </c>
      <c r="JX143" s="12">
        <v>374</v>
      </c>
      <c r="KE143" s="6">
        <v>572</v>
      </c>
      <c r="KF143" s="12">
        <v>165</v>
      </c>
      <c r="KT143" s="8">
        <v>57</v>
      </c>
      <c r="KU143" s="28">
        <v>213</v>
      </c>
      <c r="LF143" s="8">
        <v>-253</v>
      </c>
      <c r="LG143" s="28">
        <v>38</v>
      </c>
      <c r="LJ143" s="8">
        <v>-198</v>
      </c>
      <c r="LK143" s="28">
        <v>774</v>
      </c>
      <c r="LU143" s="8">
        <v>167</v>
      </c>
      <c r="LV143" s="12">
        <v>211</v>
      </c>
      <c r="LW143" s="8">
        <v>-169</v>
      </c>
      <c r="LX143" s="28">
        <v>230</v>
      </c>
      <c r="MF143" s="8">
        <v>147</v>
      </c>
      <c r="MG143" s="12">
        <v>188</v>
      </c>
      <c r="NC143" s="8">
        <v>-145</v>
      </c>
      <c r="ND143" s="12">
        <v>966</v>
      </c>
      <c r="NP143" s="8">
        <v>13</v>
      </c>
      <c r="NQ143" s="12">
        <v>15</v>
      </c>
      <c r="PJ143" s="8">
        <v>108</v>
      </c>
      <c r="PK143" s="12">
        <v>210</v>
      </c>
      <c r="PP143" s="8">
        <v>732</v>
      </c>
      <c r="PQ143" s="28">
        <v>18</v>
      </c>
      <c r="PR143" s="28"/>
      <c r="PS143" s="8">
        <v>21</v>
      </c>
      <c r="RE143" s="6">
        <v>-642</v>
      </c>
      <c r="RF143" s="12">
        <v>558</v>
      </c>
      <c r="RG143" s="8">
        <v>-209</v>
      </c>
      <c r="RH143" s="28">
        <v>151</v>
      </c>
      <c r="SP143" s="8">
        <v>22</v>
      </c>
      <c r="SY143" s="6">
        <v>152</v>
      </c>
      <c r="TH143" s="8">
        <v>148</v>
      </c>
      <c r="TI143" s="28">
        <v>163</v>
      </c>
      <c r="TX143" s="8">
        <v>-584</v>
      </c>
      <c r="TZ143" s="8">
        <v>174</v>
      </c>
      <c r="UA143" s="12">
        <v>962</v>
      </c>
      <c r="VH143" s="8">
        <v>736</v>
      </c>
      <c r="VI143" s="28">
        <v>111</v>
      </c>
      <c r="VL143" s="21"/>
      <c r="VQ143" s="6">
        <v>33</v>
      </c>
      <c r="VR143" s="28">
        <v>14</v>
      </c>
      <c r="VZ143" s="8">
        <v>-338</v>
      </c>
      <c r="XK143">
        <v>-12</v>
      </c>
      <c r="XL143" s="1">
        <v>21</v>
      </c>
    </row>
    <row r="144" spans="11:636" x14ac:dyDescent="0.25">
      <c r="K144" s="2">
        <v>2153</v>
      </c>
      <c r="L144" s="1">
        <v>7</v>
      </c>
      <c r="V144">
        <v>-9</v>
      </c>
      <c r="W144" s="10">
        <v>81</v>
      </c>
      <c r="AB144">
        <v>-12</v>
      </c>
      <c r="AC144" s="1">
        <v>34</v>
      </c>
      <c r="AD144">
        <v>39</v>
      </c>
      <c r="AE144" s="1">
        <v>4</v>
      </c>
      <c r="AJ144" s="2">
        <v>201</v>
      </c>
      <c r="AK144" s="10">
        <v>185</v>
      </c>
      <c r="BD144" s="8"/>
      <c r="BF144">
        <v>1326</v>
      </c>
      <c r="BG144" s="1">
        <v>276</v>
      </c>
      <c r="BN144">
        <v>-7</v>
      </c>
      <c r="BP144">
        <v>392</v>
      </c>
      <c r="BQ144" s="10">
        <v>1118</v>
      </c>
      <c r="BT144">
        <v>11</v>
      </c>
      <c r="BU144" s="1">
        <v>36</v>
      </c>
      <c r="CE144" s="8">
        <v>240</v>
      </c>
      <c r="CF144" s="28">
        <v>43</v>
      </c>
      <c r="CS144" s="6">
        <v>16</v>
      </c>
      <c r="CT144" s="28">
        <v>3</v>
      </c>
      <c r="CZ144" s="23">
        <v>103</v>
      </c>
      <c r="DA144" s="25">
        <v>818</v>
      </c>
      <c r="DF144" s="23">
        <v>110</v>
      </c>
      <c r="DG144" s="25">
        <v>278</v>
      </c>
      <c r="DH144" s="23">
        <v>156</v>
      </c>
      <c r="DI144" s="25">
        <v>306</v>
      </c>
      <c r="DL144" s="8">
        <v>345</v>
      </c>
      <c r="DQ144" s="8">
        <v>-135</v>
      </c>
      <c r="DR144" s="52">
        <v>357</v>
      </c>
      <c r="DS144" s="6">
        <v>-311</v>
      </c>
      <c r="DT144" s="52">
        <v>288</v>
      </c>
      <c r="DY144" s="6">
        <v>359</v>
      </c>
      <c r="DZ144" s="52">
        <v>15</v>
      </c>
      <c r="EA144" s="23">
        <v>138</v>
      </c>
      <c r="EB144" s="52">
        <v>173</v>
      </c>
      <c r="EC144" s="52"/>
      <c r="ED144" s="28"/>
      <c r="EG144" s="6">
        <v>366</v>
      </c>
      <c r="EH144" s="28">
        <v>126</v>
      </c>
      <c r="EI144" s="8">
        <v>8</v>
      </c>
      <c r="EJ144" s="52">
        <v>67</v>
      </c>
      <c r="EN144" s="8">
        <v>-393</v>
      </c>
      <c r="EO144" s="28">
        <v>25</v>
      </c>
      <c r="EP144" s="28"/>
      <c r="EQ144" s="28"/>
      <c r="EX144" s="8">
        <v>100</v>
      </c>
      <c r="EY144" s="28">
        <v>989</v>
      </c>
      <c r="FD144" s="6">
        <v>-493</v>
      </c>
      <c r="FE144" s="28">
        <v>257</v>
      </c>
      <c r="FM144" s="8">
        <v>464</v>
      </c>
      <c r="FN144" s="52">
        <v>702</v>
      </c>
      <c r="FS144" s="8">
        <v>-130</v>
      </c>
      <c r="FT144" s="52">
        <v>73</v>
      </c>
      <c r="GC144" s="8">
        <v>-166</v>
      </c>
      <c r="GI144" s="8">
        <v>-15</v>
      </c>
      <c r="GJ144" s="28">
        <v>135</v>
      </c>
      <c r="GP144" s="6">
        <v>24</v>
      </c>
      <c r="GQ144" s="52">
        <v>151</v>
      </c>
      <c r="GT144" s="6">
        <v>192</v>
      </c>
      <c r="GU144" s="52">
        <v>120</v>
      </c>
      <c r="HB144" s="6">
        <v>-12</v>
      </c>
      <c r="HE144" s="6">
        <v>40</v>
      </c>
      <c r="HF144" s="28">
        <v>78</v>
      </c>
      <c r="HS144" s="8">
        <v>169</v>
      </c>
      <c r="HT144" s="52">
        <v>338</v>
      </c>
      <c r="IB144" s="8">
        <v>100</v>
      </c>
      <c r="IC144" s="28">
        <v>115</v>
      </c>
      <c r="ID144" s="8">
        <v>83</v>
      </c>
      <c r="IE144" s="28">
        <v>395</v>
      </c>
      <c r="IY144" s="8">
        <v>-474</v>
      </c>
      <c r="JW144" s="6">
        <v>-25</v>
      </c>
      <c r="JX144" s="12">
        <v>39</v>
      </c>
      <c r="KE144" s="6">
        <v>-211</v>
      </c>
      <c r="KF144" s="12">
        <v>871</v>
      </c>
      <c r="KT144" s="8">
        <v>-477</v>
      </c>
      <c r="KU144" s="28">
        <v>166</v>
      </c>
      <c r="LF144" s="8">
        <v>-32</v>
      </c>
      <c r="LG144" s="28">
        <v>30</v>
      </c>
      <c r="LJ144" s="8">
        <v>-972</v>
      </c>
      <c r="LK144" s="28">
        <v>197</v>
      </c>
      <c r="LU144" s="8">
        <v>234</v>
      </c>
      <c r="LV144" s="12">
        <v>257</v>
      </c>
      <c r="LW144" s="8">
        <v>-572</v>
      </c>
      <c r="LX144" s="28">
        <v>244</v>
      </c>
      <c r="MF144" s="8">
        <v>309</v>
      </c>
      <c r="MG144" s="12">
        <v>110</v>
      </c>
      <c r="NC144" s="8">
        <v>-117</v>
      </c>
      <c r="ND144" s="12">
        <v>780</v>
      </c>
      <c r="NP144" s="8">
        <v>87</v>
      </c>
      <c r="NQ144" s="12">
        <v>103</v>
      </c>
      <c r="PJ144" s="8">
        <v>474</v>
      </c>
      <c r="PK144" s="12">
        <v>116</v>
      </c>
      <c r="PP144" s="8">
        <v>764</v>
      </c>
      <c r="PQ144" s="28">
        <v>14</v>
      </c>
      <c r="PR144" s="28"/>
      <c r="PS144" s="8">
        <v>-212</v>
      </c>
      <c r="RE144" s="6">
        <v>-147</v>
      </c>
      <c r="RF144" s="12">
        <v>199</v>
      </c>
      <c r="RG144" s="8">
        <v>-581</v>
      </c>
      <c r="RH144" s="28">
        <v>199</v>
      </c>
      <c r="SP144" s="8">
        <v>65</v>
      </c>
      <c r="SY144" s="6">
        <v>938</v>
      </c>
      <c r="TH144" s="8">
        <v>161</v>
      </c>
      <c r="TI144" s="28">
        <v>298</v>
      </c>
      <c r="TX144" s="8">
        <v>-576</v>
      </c>
      <c r="TZ144" s="8">
        <v>106</v>
      </c>
      <c r="UA144" s="12">
        <v>484</v>
      </c>
      <c r="VH144" s="8">
        <v>213</v>
      </c>
      <c r="VI144" s="28">
        <v>11</v>
      </c>
      <c r="VL144" s="21"/>
      <c r="VQ144" s="6">
        <v>32</v>
      </c>
      <c r="VR144" s="28">
        <v>10</v>
      </c>
      <c r="VZ144" s="8">
        <v>-407</v>
      </c>
      <c r="XK144">
        <v>161</v>
      </c>
      <c r="XL144" s="1">
        <v>137</v>
      </c>
    </row>
    <row r="145" spans="11:636" x14ac:dyDescent="0.25">
      <c r="K145" s="2">
        <v>2492</v>
      </c>
      <c r="L145" s="1">
        <v>6</v>
      </c>
      <c r="V145">
        <v>-12</v>
      </c>
      <c r="W145" s="10">
        <v>141</v>
      </c>
      <c r="AB145">
        <v>-5</v>
      </c>
      <c r="AC145" s="1">
        <v>67</v>
      </c>
      <c r="AD145">
        <v>21</v>
      </c>
      <c r="AE145" s="1">
        <v>4</v>
      </c>
      <c r="AJ145" s="2">
        <v>361</v>
      </c>
      <c r="AK145" s="10">
        <v>185</v>
      </c>
      <c r="BD145" s="8"/>
      <c r="BF145">
        <v>-120</v>
      </c>
      <c r="BG145" s="1">
        <v>139</v>
      </c>
      <c r="BN145">
        <v>-14</v>
      </c>
      <c r="BP145">
        <v>-734</v>
      </c>
      <c r="BQ145" s="10">
        <v>2485</v>
      </c>
      <c r="BT145">
        <v>246</v>
      </c>
      <c r="BU145" s="1">
        <v>271</v>
      </c>
      <c r="CE145" s="8">
        <v>162</v>
      </c>
      <c r="CF145" s="28">
        <v>36</v>
      </c>
      <c r="CS145" s="6">
        <v>40</v>
      </c>
      <c r="CT145" s="28">
        <v>6</v>
      </c>
      <c r="CZ145" s="23">
        <v>659</v>
      </c>
      <c r="DA145" s="25">
        <v>196</v>
      </c>
      <c r="DF145" s="23">
        <v>110</v>
      </c>
      <c r="DG145" s="25">
        <v>244</v>
      </c>
      <c r="DH145" s="23">
        <v>355</v>
      </c>
      <c r="DI145" s="25">
        <v>332</v>
      </c>
      <c r="DL145" s="8">
        <v>211</v>
      </c>
      <c r="DS145" s="6">
        <v>6</v>
      </c>
      <c r="DT145" s="52">
        <v>5</v>
      </c>
      <c r="DY145" s="6">
        <v>-18</v>
      </c>
      <c r="DZ145" s="52">
        <v>99</v>
      </c>
      <c r="EA145" s="23">
        <v>628</v>
      </c>
      <c r="EB145" s="52">
        <v>999</v>
      </c>
      <c r="EC145" s="52"/>
      <c r="ED145" s="28"/>
      <c r="EG145" s="6">
        <v>261</v>
      </c>
      <c r="EH145" s="28">
        <v>473</v>
      </c>
      <c r="EI145" s="8">
        <v>-51</v>
      </c>
      <c r="EJ145" s="52">
        <v>478</v>
      </c>
      <c r="EN145" s="8">
        <v>-138</v>
      </c>
      <c r="EO145" s="28">
        <v>25</v>
      </c>
      <c r="EP145" s="28"/>
      <c r="EQ145" s="28"/>
      <c r="EX145" s="8">
        <v>136</v>
      </c>
      <c r="EY145" s="28">
        <v>334</v>
      </c>
      <c r="FD145" s="6">
        <v>231</v>
      </c>
      <c r="FE145" s="28">
        <v>108</v>
      </c>
      <c r="FM145" s="8">
        <v>120</v>
      </c>
      <c r="FN145" s="52">
        <v>44</v>
      </c>
      <c r="FS145" s="8">
        <v>-89</v>
      </c>
      <c r="FT145" s="52">
        <v>6</v>
      </c>
      <c r="GC145" s="8">
        <v>893</v>
      </c>
      <c r="GI145" s="8">
        <v>-92</v>
      </c>
      <c r="GJ145" s="28">
        <v>128</v>
      </c>
      <c r="GP145" s="6">
        <v>22</v>
      </c>
      <c r="GQ145" s="52">
        <v>257</v>
      </c>
      <c r="GT145" s="6">
        <v>114</v>
      </c>
      <c r="GU145" s="52">
        <v>701</v>
      </c>
      <c r="HB145" s="6">
        <v>98</v>
      </c>
      <c r="HE145" s="6">
        <v>3</v>
      </c>
      <c r="HF145" s="28">
        <v>72</v>
      </c>
      <c r="HS145" s="8">
        <v>-8</v>
      </c>
      <c r="HT145" s="52">
        <v>49</v>
      </c>
      <c r="IB145" s="8">
        <v>102</v>
      </c>
      <c r="IC145" s="28">
        <v>114</v>
      </c>
      <c r="ID145" s="8">
        <v>196</v>
      </c>
      <c r="IE145" s="28">
        <v>145</v>
      </c>
      <c r="IY145" s="8">
        <v>178</v>
      </c>
      <c r="JW145" s="6">
        <v>-19</v>
      </c>
      <c r="JX145" s="12">
        <v>247</v>
      </c>
      <c r="KE145" s="6">
        <v>-149</v>
      </c>
      <c r="KF145" s="12">
        <v>422</v>
      </c>
      <c r="KT145" s="8">
        <v>-691</v>
      </c>
      <c r="KU145" s="28">
        <v>128</v>
      </c>
      <c r="LF145" s="8">
        <v>-374</v>
      </c>
      <c r="LG145" s="28">
        <v>30</v>
      </c>
      <c r="LJ145" s="8">
        <v>565</v>
      </c>
      <c r="LK145" s="28">
        <v>125</v>
      </c>
      <c r="LU145" s="8">
        <v>315</v>
      </c>
      <c r="LV145" s="12">
        <v>322</v>
      </c>
      <c r="LW145" s="8">
        <v>-236</v>
      </c>
      <c r="LX145" s="28">
        <v>299</v>
      </c>
      <c r="MF145" s="8">
        <v>59</v>
      </c>
      <c r="MG145" s="12">
        <v>33</v>
      </c>
      <c r="NC145" s="8">
        <v>-165</v>
      </c>
      <c r="ND145" s="12">
        <v>115</v>
      </c>
      <c r="NP145" s="8">
        <v>104</v>
      </c>
      <c r="NQ145" s="12">
        <v>119</v>
      </c>
      <c r="PJ145" s="8">
        <v>149</v>
      </c>
      <c r="PK145" s="12">
        <v>357</v>
      </c>
      <c r="PP145" s="8">
        <v>909</v>
      </c>
      <c r="PQ145" s="28">
        <v>13</v>
      </c>
      <c r="PR145" s="28"/>
      <c r="PS145" s="8">
        <v>-141</v>
      </c>
      <c r="RE145" s="6">
        <v>249</v>
      </c>
      <c r="RF145" s="12">
        <v>121</v>
      </c>
      <c r="RG145" s="8">
        <v>-216</v>
      </c>
      <c r="RH145" s="28">
        <v>108</v>
      </c>
      <c r="SP145" s="8">
        <v>112</v>
      </c>
      <c r="SY145" s="6">
        <v>418</v>
      </c>
      <c r="TH145" s="8">
        <v>175</v>
      </c>
      <c r="TI145" s="28">
        <v>255</v>
      </c>
      <c r="TX145" s="8">
        <v>245</v>
      </c>
      <c r="TZ145" s="8">
        <v>59</v>
      </c>
      <c r="UA145" s="12">
        <v>182</v>
      </c>
      <c r="VH145" s="8">
        <v>-677</v>
      </c>
      <c r="VI145" s="28">
        <v>625</v>
      </c>
      <c r="VL145" s="21"/>
      <c r="VQ145" s="6">
        <v>32</v>
      </c>
      <c r="VR145" s="28">
        <v>10</v>
      </c>
      <c r="VZ145" s="8">
        <v>99</v>
      </c>
      <c r="XK145">
        <v>-15</v>
      </c>
      <c r="XL145" s="1">
        <v>33</v>
      </c>
    </row>
    <row r="146" spans="11:636" x14ac:dyDescent="0.25">
      <c r="K146" s="2">
        <v>2571</v>
      </c>
      <c r="L146" s="1">
        <v>5</v>
      </c>
      <c r="V146">
        <v>18</v>
      </c>
      <c r="W146" s="10">
        <v>193</v>
      </c>
      <c r="AD146">
        <v>38</v>
      </c>
      <c r="AE146" s="1">
        <v>7</v>
      </c>
      <c r="AJ146" s="2">
        <v>21</v>
      </c>
      <c r="AK146" s="10">
        <v>22</v>
      </c>
      <c r="BD146" s="8"/>
      <c r="BF146">
        <v>25</v>
      </c>
      <c r="BG146" s="1">
        <v>6</v>
      </c>
      <c r="BN146">
        <v>10</v>
      </c>
      <c r="BP146">
        <v>415</v>
      </c>
      <c r="BQ146" s="10">
        <v>7684</v>
      </c>
      <c r="BT146">
        <v>-596</v>
      </c>
      <c r="BU146" s="1">
        <v>160</v>
      </c>
      <c r="CE146" s="8">
        <v>153</v>
      </c>
      <c r="CF146" s="28">
        <v>45</v>
      </c>
      <c r="CS146" s="6">
        <v>4</v>
      </c>
      <c r="CT146" s="28">
        <v>5</v>
      </c>
      <c r="CZ146" s="23">
        <v>-2</v>
      </c>
      <c r="DA146" s="25">
        <v>6</v>
      </c>
      <c r="DF146" s="23">
        <v>113</v>
      </c>
      <c r="DG146" s="25">
        <v>405</v>
      </c>
      <c r="DH146" s="23">
        <v>295</v>
      </c>
      <c r="DI146" s="25">
        <v>360</v>
      </c>
      <c r="DL146" s="8">
        <v>378</v>
      </c>
      <c r="DS146" s="6">
        <v>59</v>
      </c>
      <c r="DT146" s="52">
        <v>60</v>
      </c>
      <c r="DY146" s="6">
        <v>-348</v>
      </c>
      <c r="DZ146" s="52">
        <v>159</v>
      </c>
      <c r="EA146" s="23">
        <v>-311</v>
      </c>
      <c r="EB146" s="52">
        <v>117</v>
      </c>
      <c r="EC146" s="52"/>
      <c r="ED146" s="28"/>
      <c r="EG146" s="6">
        <v>716</v>
      </c>
      <c r="EH146" s="28">
        <v>473</v>
      </c>
      <c r="EI146" s="8">
        <v>6</v>
      </c>
      <c r="EJ146" s="52">
        <v>424</v>
      </c>
      <c r="EN146" s="8">
        <v>-257</v>
      </c>
      <c r="EO146" s="28">
        <v>30</v>
      </c>
      <c r="EP146" s="28"/>
      <c r="EQ146" s="28"/>
      <c r="EX146" s="8">
        <v>275</v>
      </c>
      <c r="EY146" s="28">
        <v>297</v>
      </c>
      <c r="FD146" s="6">
        <v>126</v>
      </c>
      <c r="FE146" s="28">
        <v>277</v>
      </c>
      <c r="FM146" s="8">
        <v>113</v>
      </c>
      <c r="FN146" s="52">
        <v>22</v>
      </c>
      <c r="FS146" s="8">
        <v>-273</v>
      </c>
      <c r="FT146" s="52">
        <v>159</v>
      </c>
      <c r="GC146" s="8">
        <v>610</v>
      </c>
      <c r="GI146" s="8">
        <v>-83</v>
      </c>
      <c r="GJ146" s="28">
        <v>140</v>
      </c>
      <c r="GP146" s="6">
        <v>18</v>
      </c>
      <c r="GQ146" s="52">
        <v>277</v>
      </c>
      <c r="GT146" s="6">
        <v>-127</v>
      </c>
      <c r="GU146" s="52">
        <v>149</v>
      </c>
      <c r="HB146" s="6">
        <v>358</v>
      </c>
      <c r="HE146" s="6">
        <v>59</v>
      </c>
      <c r="HF146" s="28">
        <v>74</v>
      </c>
      <c r="HS146" s="8">
        <v>4</v>
      </c>
      <c r="HT146" s="52">
        <v>111</v>
      </c>
      <c r="IB146" s="8">
        <v>523</v>
      </c>
      <c r="IC146" s="28">
        <v>373</v>
      </c>
      <c r="ID146" s="8">
        <v>215</v>
      </c>
      <c r="IE146" s="28">
        <v>37</v>
      </c>
      <c r="IY146" s="8">
        <v>230</v>
      </c>
      <c r="JW146" s="6">
        <v>431</v>
      </c>
      <c r="JX146" s="12">
        <v>393</v>
      </c>
      <c r="KE146" s="6">
        <v>284</v>
      </c>
      <c r="KF146" s="12">
        <v>471</v>
      </c>
      <c r="KT146" s="8">
        <v>351</v>
      </c>
      <c r="KU146" s="28">
        <v>172</v>
      </c>
      <c r="LF146" s="8">
        <v>-42</v>
      </c>
      <c r="LG146" s="28">
        <v>23</v>
      </c>
      <c r="LJ146" s="8">
        <v>-138</v>
      </c>
      <c r="LK146" s="28">
        <v>603</v>
      </c>
      <c r="LU146" s="8">
        <v>-94</v>
      </c>
      <c r="LV146" s="12">
        <v>136</v>
      </c>
      <c r="LW146" s="8">
        <v>327</v>
      </c>
      <c r="LX146" s="28">
        <v>263</v>
      </c>
      <c r="MF146" s="8">
        <v>380</v>
      </c>
      <c r="MG146" s="12">
        <v>19</v>
      </c>
      <c r="NC146" s="8">
        <v>145</v>
      </c>
      <c r="ND146" s="12">
        <v>178</v>
      </c>
      <c r="NP146" s="8">
        <v>73</v>
      </c>
      <c r="NQ146" s="12">
        <v>79</v>
      </c>
      <c r="PJ146" s="8">
        <v>536</v>
      </c>
      <c r="PK146" s="12">
        <v>146</v>
      </c>
      <c r="PP146" s="8">
        <v>808</v>
      </c>
      <c r="PQ146" s="28">
        <v>11</v>
      </c>
      <c r="PR146" s="28"/>
      <c r="PS146" s="8">
        <v>841</v>
      </c>
      <c r="RE146" s="6">
        <v>105</v>
      </c>
      <c r="RF146" s="12">
        <v>35</v>
      </c>
      <c r="RG146" s="8">
        <v>-222</v>
      </c>
      <c r="RH146" s="28">
        <v>110</v>
      </c>
      <c r="SP146" s="8">
        <v>61</v>
      </c>
      <c r="SY146" s="6">
        <v>878</v>
      </c>
      <c r="TH146" s="8">
        <v>111</v>
      </c>
      <c r="TI146" s="28">
        <v>239</v>
      </c>
      <c r="TX146" s="8">
        <v>143</v>
      </c>
      <c r="TZ146" s="8">
        <v>22</v>
      </c>
      <c r="UA146" s="12">
        <v>633</v>
      </c>
      <c r="VH146" s="8">
        <v>215</v>
      </c>
      <c r="VI146" s="28">
        <v>128</v>
      </c>
      <c r="VL146" s="21"/>
      <c r="VQ146" s="6">
        <v>32</v>
      </c>
      <c r="VR146" s="28">
        <v>10</v>
      </c>
      <c r="VZ146" s="8">
        <v>108</v>
      </c>
      <c r="XK146">
        <v>17</v>
      </c>
      <c r="XL146" s="1">
        <v>21</v>
      </c>
    </row>
    <row r="147" spans="11:636" x14ac:dyDescent="0.25">
      <c r="K147" s="2">
        <v>3824</v>
      </c>
      <c r="L147" s="1">
        <v>5</v>
      </c>
      <c r="V147">
        <v>-16</v>
      </c>
      <c r="W147" s="10">
        <v>74</v>
      </c>
      <c r="AD147">
        <v>39</v>
      </c>
      <c r="AE147" s="1">
        <v>7</v>
      </c>
      <c r="AJ147" s="2">
        <v>2148</v>
      </c>
      <c r="AK147" s="10">
        <v>254</v>
      </c>
      <c r="BD147" s="8"/>
      <c r="BF147">
        <v>14</v>
      </c>
      <c r="BG147" s="1">
        <v>5</v>
      </c>
      <c r="BN147">
        <v>-66</v>
      </c>
      <c r="BP147">
        <v>421</v>
      </c>
      <c r="BQ147" s="10">
        <v>3271</v>
      </c>
      <c r="BT147">
        <v>508</v>
      </c>
      <c r="BU147" s="1">
        <v>633</v>
      </c>
      <c r="CE147" s="8">
        <v>155</v>
      </c>
      <c r="CF147" s="28">
        <v>49</v>
      </c>
      <c r="CS147" s="6">
        <v>153</v>
      </c>
      <c r="CT147" s="28">
        <v>12</v>
      </c>
      <c r="CZ147" s="23">
        <v>-59</v>
      </c>
      <c r="DA147" s="25">
        <v>84</v>
      </c>
      <c r="DF147" s="23">
        <v>112</v>
      </c>
      <c r="DG147" s="25">
        <v>351</v>
      </c>
      <c r="DH147" s="23">
        <v>-159</v>
      </c>
      <c r="DI147" s="25">
        <v>245</v>
      </c>
      <c r="DL147" s="8">
        <v>155</v>
      </c>
      <c r="DS147" s="6">
        <v>-7</v>
      </c>
      <c r="DT147" s="52">
        <v>21</v>
      </c>
      <c r="DY147" s="6">
        <v>-546</v>
      </c>
      <c r="DZ147" s="52">
        <v>216</v>
      </c>
      <c r="EA147" s="23">
        <v>-79</v>
      </c>
      <c r="EB147" s="52">
        <v>758</v>
      </c>
      <c r="EC147" s="52"/>
      <c r="ED147" s="28"/>
      <c r="EG147" s="6">
        <v>116</v>
      </c>
      <c r="EH147" s="28">
        <v>474</v>
      </c>
      <c r="EI147" s="8">
        <v>-185</v>
      </c>
      <c r="EJ147" s="52">
        <v>517</v>
      </c>
      <c r="EN147" s="8">
        <v>47</v>
      </c>
      <c r="EO147" s="28">
        <v>12</v>
      </c>
      <c r="EP147" s="28"/>
      <c r="EQ147" s="28"/>
      <c r="EX147" s="8">
        <v>721</v>
      </c>
      <c r="EY147" s="28">
        <v>774</v>
      </c>
      <c r="FD147" s="6">
        <v>-117</v>
      </c>
      <c r="FE147" s="28">
        <v>108</v>
      </c>
      <c r="FM147" s="8">
        <v>657</v>
      </c>
      <c r="FN147" s="52">
        <v>334</v>
      </c>
      <c r="FS147" s="8">
        <v>-130</v>
      </c>
      <c r="FT147" s="52">
        <v>73</v>
      </c>
      <c r="GC147" s="8">
        <v>684</v>
      </c>
      <c r="GI147" s="8">
        <v>-106</v>
      </c>
      <c r="GJ147" s="28">
        <v>164</v>
      </c>
      <c r="GP147" s="6">
        <v>12</v>
      </c>
      <c r="GQ147" s="52">
        <v>93</v>
      </c>
      <c r="GT147" s="6">
        <v>86</v>
      </c>
      <c r="GU147" s="52">
        <v>990</v>
      </c>
      <c r="HB147" s="6">
        <v>270</v>
      </c>
      <c r="HE147" s="6">
        <v>42</v>
      </c>
      <c r="HF147" s="28">
        <v>53</v>
      </c>
      <c r="HS147" s="8">
        <v>-17</v>
      </c>
      <c r="HT147" s="52">
        <v>5</v>
      </c>
      <c r="IB147" s="8">
        <v>106</v>
      </c>
      <c r="IC147" s="28">
        <v>116</v>
      </c>
      <c r="ID147" s="8">
        <v>-404</v>
      </c>
      <c r="IE147" s="28">
        <v>81</v>
      </c>
      <c r="IY147" s="8">
        <v>300</v>
      </c>
      <c r="JW147" s="6">
        <v>302</v>
      </c>
      <c r="JX147" s="12">
        <v>309</v>
      </c>
      <c r="KE147" s="6">
        <v>-134</v>
      </c>
      <c r="KF147" s="12">
        <v>449</v>
      </c>
      <c r="KT147" s="8">
        <v>4</v>
      </c>
      <c r="KU147" s="28">
        <v>8</v>
      </c>
      <c r="LF147" s="8">
        <v>-258</v>
      </c>
      <c r="LG147" s="28">
        <v>21</v>
      </c>
      <c r="LJ147" s="8">
        <v>-101</v>
      </c>
      <c r="LK147" s="28">
        <v>219</v>
      </c>
      <c r="LU147" s="8">
        <v>1</v>
      </c>
      <c r="LV147" s="12">
        <v>200</v>
      </c>
      <c r="LW147" s="8">
        <v>177</v>
      </c>
      <c r="LX147" s="28">
        <v>313</v>
      </c>
      <c r="MF147" s="8">
        <v>-140</v>
      </c>
      <c r="MG147" s="12">
        <v>283</v>
      </c>
      <c r="NC147" s="8">
        <v>12</v>
      </c>
      <c r="ND147" s="12">
        <v>37</v>
      </c>
      <c r="NP147" s="8">
        <v>134</v>
      </c>
      <c r="NQ147" s="12">
        <v>142</v>
      </c>
      <c r="PJ147" s="8">
        <v>153</v>
      </c>
      <c r="PK147" s="12">
        <v>626</v>
      </c>
      <c r="PP147" s="8">
        <v>826</v>
      </c>
      <c r="PQ147" s="28">
        <v>11</v>
      </c>
      <c r="PR147" s="28"/>
      <c r="PS147" s="8">
        <v>197</v>
      </c>
      <c r="RE147" s="6">
        <v>-736</v>
      </c>
      <c r="RF147" s="12">
        <v>182</v>
      </c>
      <c r="RG147" s="8">
        <v>223</v>
      </c>
      <c r="RH147" s="28">
        <v>106</v>
      </c>
      <c r="SP147" s="8">
        <v>623</v>
      </c>
      <c r="SY147" s="6">
        <v>173</v>
      </c>
      <c r="TH147" s="8">
        <v>186</v>
      </c>
      <c r="TI147" s="28">
        <v>266</v>
      </c>
      <c r="TX147" s="8">
        <v>-870</v>
      </c>
      <c r="TZ147" s="8">
        <v>1</v>
      </c>
      <c r="UA147" s="12">
        <v>251</v>
      </c>
      <c r="VH147" s="8">
        <v>440</v>
      </c>
      <c r="VI147" s="28">
        <v>146</v>
      </c>
      <c r="VL147" s="21"/>
      <c r="VQ147" s="6">
        <v>31</v>
      </c>
      <c r="VR147" s="28">
        <v>10</v>
      </c>
      <c r="VZ147" s="8">
        <v>247</v>
      </c>
      <c r="XK147">
        <v>36</v>
      </c>
      <c r="XL147" s="1">
        <v>103</v>
      </c>
    </row>
    <row r="148" spans="11:636" x14ac:dyDescent="0.25">
      <c r="K148" s="2">
        <v>2638</v>
      </c>
      <c r="L148" s="1">
        <v>6</v>
      </c>
      <c r="V148">
        <v>-6</v>
      </c>
      <c r="W148" s="10">
        <v>73</v>
      </c>
      <c r="AD148">
        <v>20</v>
      </c>
      <c r="AE148" s="1">
        <v>10</v>
      </c>
      <c r="AJ148" s="2">
        <v>-606</v>
      </c>
      <c r="AK148" s="10">
        <v>222</v>
      </c>
      <c r="BD148" s="8"/>
      <c r="BF148">
        <v>-1</v>
      </c>
      <c r="BG148" s="1">
        <v>104</v>
      </c>
      <c r="BN148">
        <v>-62</v>
      </c>
      <c r="BP148">
        <v>459</v>
      </c>
      <c r="BQ148" s="10">
        <v>1177</v>
      </c>
      <c r="BT148">
        <v>314</v>
      </c>
      <c r="BU148" s="1">
        <v>164</v>
      </c>
      <c r="CE148" s="8">
        <v>139</v>
      </c>
      <c r="CF148" s="28">
        <v>42</v>
      </c>
      <c r="CS148" s="6">
        <v>-8</v>
      </c>
      <c r="CT148" s="28">
        <v>2</v>
      </c>
      <c r="CZ148" s="23">
        <v>-83</v>
      </c>
      <c r="DA148" s="25">
        <v>123</v>
      </c>
      <c r="DF148" s="23">
        <v>103</v>
      </c>
      <c r="DG148" s="25">
        <v>399</v>
      </c>
      <c r="DH148" s="23">
        <v>24</v>
      </c>
      <c r="DI148" s="25">
        <v>5</v>
      </c>
      <c r="DL148" s="8">
        <v>208</v>
      </c>
      <c r="DS148" s="6">
        <v>-6</v>
      </c>
      <c r="DT148" s="52">
        <v>41</v>
      </c>
      <c r="DY148" s="6">
        <v>-588</v>
      </c>
      <c r="DZ148" s="52">
        <v>91</v>
      </c>
      <c r="EA148" s="23">
        <v>83</v>
      </c>
      <c r="EB148" s="52">
        <v>115</v>
      </c>
      <c r="EC148" s="52"/>
      <c r="ED148" s="28"/>
      <c r="EG148" s="6">
        <v>146</v>
      </c>
      <c r="EH148" s="28">
        <v>484</v>
      </c>
      <c r="EI148" s="8">
        <v>10</v>
      </c>
      <c r="EJ148" s="52">
        <v>806</v>
      </c>
      <c r="EN148" s="8">
        <v>-9</v>
      </c>
      <c r="EO148" s="28">
        <v>34</v>
      </c>
      <c r="EP148" s="28"/>
      <c r="EQ148" s="28"/>
      <c r="EX148" s="8">
        <v>101</v>
      </c>
      <c r="EY148" s="28">
        <v>114</v>
      </c>
      <c r="FD148" s="6">
        <v>628</v>
      </c>
      <c r="FE148" s="28">
        <v>336</v>
      </c>
      <c r="FM148" s="8">
        <v>-246</v>
      </c>
      <c r="FN148" s="52">
        <v>208</v>
      </c>
      <c r="FS148" s="8">
        <v>758</v>
      </c>
      <c r="FT148" s="52">
        <v>156</v>
      </c>
      <c r="GC148" s="8">
        <v>503</v>
      </c>
      <c r="GI148" s="8">
        <v>31</v>
      </c>
      <c r="GJ148" s="28">
        <v>17</v>
      </c>
      <c r="GP148" s="6">
        <v>26</v>
      </c>
      <c r="GQ148" s="52">
        <v>338</v>
      </c>
      <c r="GT148" s="6">
        <v>-200</v>
      </c>
      <c r="GU148" s="52">
        <v>124</v>
      </c>
      <c r="HB148" s="6">
        <v>96</v>
      </c>
      <c r="HE148" s="6">
        <v>21</v>
      </c>
      <c r="HF148" s="28">
        <v>19</v>
      </c>
      <c r="HS148" s="8">
        <v>117</v>
      </c>
      <c r="HT148" s="52">
        <v>517</v>
      </c>
      <c r="IB148" s="8">
        <v>122</v>
      </c>
      <c r="IC148" s="28">
        <v>109</v>
      </c>
      <c r="ID148" s="8">
        <v>152</v>
      </c>
      <c r="IE148" s="28">
        <v>21</v>
      </c>
      <c r="IY148" s="8">
        <v>-431</v>
      </c>
      <c r="JW148" s="6">
        <v>-438</v>
      </c>
      <c r="JX148" s="12">
        <v>696</v>
      </c>
      <c r="KE148" s="6">
        <v>45</v>
      </c>
      <c r="KF148" s="12">
        <v>950</v>
      </c>
      <c r="KT148" s="8">
        <v>21</v>
      </c>
      <c r="KU148" s="28">
        <v>66</v>
      </c>
      <c r="LF148" s="8">
        <v>-260</v>
      </c>
      <c r="LG148" s="28">
        <v>16</v>
      </c>
      <c r="LJ148" s="8">
        <v>-237</v>
      </c>
      <c r="LK148" s="28">
        <v>605</v>
      </c>
      <c r="LU148" s="8">
        <v>-1</v>
      </c>
      <c r="LV148" s="12">
        <v>3</v>
      </c>
      <c r="LW148" s="8">
        <v>-221</v>
      </c>
      <c r="LX148" s="28">
        <v>171</v>
      </c>
      <c r="MF148" s="8">
        <v>-931</v>
      </c>
      <c r="MG148" s="12">
        <v>750</v>
      </c>
      <c r="NC148" s="8">
        <v>121</v>
      </c>
      <c r="ND148" s="12">
        <v>213</v>
      </c>
      <c r="NP148" s="8">
        <v>63</v>
      </c>
      <c r="NQ148" s="12">
        <v>62</v>
      </c>
      <c r="PJ148" s="8">
        <v>15</v>
      </c>
      <c r="PK148" s="12">
        <v>104</v>
      </c>
      <c r="PP148" s="8">
        <v>794</v>
      </c>
      <c r="PQ148" s="28">
        <v>10</v>
      </c>
      <c r="PR148" s="28"/>
      <c r="PS148" s="8">
        <v>-586</v>
      </c>
      <c r="RE148" s="6">
        <v>561</v>
      </c>
      <c r="RF148" s="12">
        <v>168</v>
      </c>
      <c r="RG148" s="8">
        <v>916</v>
      </c>
      <c r="RH148" s="28">
        <v>85</v>
      </c>
      <c r="SP148" s="8">
        <v>70</v>
      </c>
      <c r="SY148" s="6">
        <v>487</v>
      </c>
      <c r="TH148" s="8">
        <v>160</v>
      </c>
      <c r="TI148" s="28">
        <v>256</v>
      </c>
      <c r="TX148" s="8">
        <v>-117</v>
      </c>
      <c r="TZ148" s="8">
        <v>-1</v>
      </c>
      <c r="UA148" s="12">
        <v>339</v>
      </c>
      <c r="VH148" s="8">
        <v>757</v>
      </c>
      <c r="VI148" s="28">
        <v>440</v>
      </c>
      <c r="VL148" s="21"/>
      <c r="VQ148" s="6">
        <v>33</v>
      </c>
      <c r="VR148" s="28">
        <v>10</v>
      </c>
      <c r="VZ148" s="8">
        <v>247</v>
      </c>
      <c r="XK148">
        <v>-88</v>
      </c>
      <c r="XL148" s="1">
        <v>66</v>
      </c>
    </row>
    <row r="149" spans="11:636" x14ac:dyDescent="0.25">
      <c r="K149" s="2">
        <v>2758</v>
      </c>
      <c r="L149" s="1">
        <v>5</v>
      </c>
      <c r="V149">
        <v>6</v>
      </c>
      <c r="W149" s="10">
        <v>26</v>
      </c>
      <c r="AD149">
        <v>-3</v>
      </c>
      <c r="AE149" s="1">
        <v>9</v>
      </c>
      <c r="AJ149" s="2">
        <v>-539</v>
      </c>
      <c r="AK149" s="10">
        <v>196</v>
      </c>
      <c r="BD149" s="8"/>
      <c r="BF149">
        <v>-37</v>
      </c>
      <c r="BG149" s="1">
        <v>108</v>
      </c>
      <c r="BN149">
        <v>-30</v>
      </c>
      <c r="BP149">
        <v>431</v>
      </c>
      <c r="BQ149" s="10">
        <v>9706</v>
      </c>
      <c r="BT149">
        <v>193</v>
      </c>
      <c r="BU149" s="1">
        <v>176</v>
      </c>
      <c r="CE149" s="8">
        <v>107</v>
      </c>
      <c r="CF149" s="28">
        <v>13</v>
      </c>
      <c r="CS149" s="6">
        <v>-7</v>
      </c>
      <c r="CT149" s="28">
        <v>3</v>
      </c>
      <c r="CZ149" s="23">
        <v>157</v>
      </c>
      <c r="DA149" s="25">
        <v>319</v>
      </c>
      <c r="DF149" s="23">
        <v>112</v>
      </c>
      <c r="DG149" s="25">
        <v>286</v>
      </c>
      <c r="DH149" s="23">
        <v>6</v>
      </c>
      <c r="DI149" s="25">
        <v>5</v>
      </c>
      <c r="DL149" s="8">
        <v>192</v>
      </c>
      <c r="DS149" s="6">
        <v>19</v>
      </c>
      <c r="DT149" s="52">
        <v>116</v>
      </c>
      <c r="DY149" s="6">
        <v>-288</v>
      </c>
      <c r="DZ149" s="52">
        <v>104</v>
      </c>
      <c r="EA149" s="23">
        <v>79</v>
      </c>
      <c r="EB149" s="52">
        <v>122</v>
      </c>
      <c r="EC149" s="52"/>
      <c r="ED149" s="28"/>
      <c r="EG149" s="6">
        <v>195</v>
      </c>
      <c r="EH149" s="28">
        <v>474</v>
      </c>
      <c r="EI149" s="8">
        <v>261</v>
      </c>
      <c r="EJ149" s="52">
        <v>836</v>
      </c>
      <c r="EN149" s="8">
        <v>133</v>
      </c>
      <c r="EO149" s="28">
        <v>11</v>
      </c>
      <c r="EP149" s="28"/>
      <c r="EQ149" s="28"/>
      <c r="EX149" s="8">
        <v>120</v>
      </c>
      <c r="EY149" s="28">
        <v>114</v>
      </c>
      <c r="FD149" s="6">
        <v>956</v>
      </c>
      <c r="FE149" s="28">
        <v>133</v>
      </c>
      <c r="FM149" s="8">
        <v>103</v>
      </c>
      <c r="FN149" s="52">
        <v>353</v>
      </c>
      <c r="FS149" s="8">
        <v>733</v>
      </c>
      <c r="FT149" s="52">
        <v>149</v>
      </c>
      <c r="GC149" s="8">
        <v>-403</v>
      </c>
      <c r="GI149" s="8">
        <v>34</v>
      </c>
      <c r="GJ149" s="28">
        <v>9</v>
      </c>
      <c r="GP149" s="6">
        <v>31</v>
      </c>
      <c r="GQ149" s="52">
        <v>304</v>
      </c>
      <c r="GT149" s="6">
        <v>-324</v>
      </c>
      <c r="GU149" s="52">
        <v>224</v>
      </c>
      <c r="HB149" s="6">
        <v>-49</v>
      </c>
      <c r="HE149" s="6">
        <v>11</v>
      </c>
      <c r="HF149" s="28">
        <v>42</v>
      </c>
      <c r="HS149" s="8">
        <v>67</v>
      </c>
      <c r="HT149" s="52">
        <v>475</v>
      </c>
      <c r="IB149" s="8">
        <v>122</v>
      </c>
      <c r="IC149" s="28">
        <v>109</v>
      </c>
      <c r="ID149" s="8">
        <v>183</v>
      </c>
      <c r="IE149" s="28">
        <v>55</v>
      </c>
      <c r="IY149" s="8">
        <v>210</v>
      </c>
      <c r="JW149" s="6">
        <v>-285</v>
      </c>
      <c r="JX149" s="12">
        <v>497</v>
      </c>
      <c r="KE149" s="6">
        <v>204</v>
      </c>
      <c r="KF149" s="12">
        <v>702</v>
      </c>
      <c r="KT149" s="8">
        <v>213</v>
      </c>
      <c r="KU149" s="28">
        <v>36</v>
      </c>
      <c r="LF149" s="8">
        <v>-258</v>
      </c>
      <c r="LG149" s="28">
        <v>16</v>
      </c>
      <c r="LJ149" s="8">
        <v>-807</v>
      </c>
      <c r="LK149" s="28">
        <v>580</v>
      </c>
      <c r="LU149" s="8">
        <v>6</v>
      </c>
      <c r="LV149" s="12">
        <v>124</v>
      </c>
      <c r="LW149" s="8">
        <v>554</v>
      </c>
      <c r="LX149" s="28">
        <v>105</v>
      </c>
      <c r="MF149" s="8">
        <v>-744</v>
      </c>
      <c r="MG149" s="12">
        <v>562</v>
      </c>
      <c r="NC149" s="8">
        <v>-9</v>
      </c>
      <c r="ND149" s="12">
        <v>24</v>
      </c>
      <c r="NP149" s="8">
        <v>135</v>
      </c>
      <c r="NQ149" s="12">
        <v>118</v>
      </c>
      <c r="PJ149" s="8">
        <v>14</v>
      </c>
      <c r="PK149" s="12">
        <v>240</v>
      </c>
      <c r="PP149" s="8">
        <v>897</v>
      </c>
      <c r="PQ149" s="28">
        <v>12</v>
      </c>
      <c r="PR149" s="28"/>
      <c r="PS149" s="8">
        <v>634</v>
      </c>
      <c r="RE149" s="6">
        <v>309</v>
      </c>
      <c r="RF149" s="12">
        <v>630</v>
      </c>
      <c r="RG149" s="8">
        <v>242</v>
      </c>
      <c r="RH149" s="28">
        <v>78</v>
      </c>
      <c r="SP149" s="8">
        <v>83</v>
      </c>
      <c r="SY149" s="6">
        <v>209</v>
      </c>
      <c r="TH149" s="8">
        <v>162</v>
      </c>
      <c r="TI149" s="28">
        <v>221</v>
      </c>
      <c r="TX149" s="8">
        <v>-230</v>
      </c>
      <c r="TZ149" s="8">
        <v>977</v>
      </c>
      <c r="UA149" s="12">
        <v>109</v>
      </c>
      <c r="VH149" s="8">
        <v>-233</v>
      </c>
      <c r="VI149" s="28">
        <v>38</v>
      </c>
      <c r="VL149" s="21"/>
      <c r="VQ149" s="6">
        <v>27</v>
      </c>
      <c r="VR149" s="28">
        <v>12</v>
      </c>
      <c r="VZ149" s="8">
        <v>-753</v>
      </c>
      <c r="XK149">
        <v>-3</v>
      </c>
      <c r="XL149" s="1">
        <v>25</v>
      </c>
    </row>
    <row r="150" spans="11:636" x14ac:dyDescent="0.25">
      <c r="K150" s="2">
        <v>1413</v>
      </c>
      <c r="L150" s="1">
        <v>6</v>
      </c>
      <c r="V150">
        <v>657</v>
      </c>
      <c r="W150" s="10">
        <v>133</v>
      </c>
      <c r="AD150">
        <v>-34</v>
      </c>
      <c r="AE150" s="1">
        <v>5</v>
      </c>
      <c r="AJ150" s="2">
        <v>-661</v>
      </c>
      <c r="AK150" s="10">
        <v>226</v>
      </c>
      <c r="BD150" s="8"/>
      <c r="BF150">
        <v>48</v>
      </c>
      <c r="BG150" s="1">
        <v>15</v>
      </c>
      <c r="BN150">
        <v>-173</v>
      </c>
      <c r="BP150">
        <v>-243</v>
      </c>
      <c r="BQ150" s="10">
        <v>3921</v>
      </c>
      <c r="BT150">
        <v>141</v>
      </c>
      <c r="BU150" s="1">
        <v>343</v>
      </c>
      <c r="CE150" s="8">
        <v>289</v>
      </c>
      <c r="CF150" s="28">
        <v>69</v>
      </c>
      <c r="CS150" s="6">
        <v>-1</v>
      </c>
      <c r="CT150" s="28">
        <v>9</v>
      </c>
      <c r="CZ150" s="23">
        <v>-348</v>
      </c>
      <c r="DA150" s="25">
        <v>143</v>
      </c>
      <c r="DF150" s="23">
        <v>111</v>
      </c>
      <c r="DG150" s="25">
        <v>578</v>
      </c>
      <c r="DH150" s="23">
        <v>285</v>
      </c>
      <c r="DI150" s="25">
        <v>39</v>
      </c>
      <c r="DL150" s="8">
        <v>110</v>
      </c>
      <c r="DS150" s="6">
        <v>-27</v>
      </c>
      <c r="DT150" s="52">
        <v>178</v>
      </c>
      <c r="DY150" s="6">
        <v>204</v>
      </c>
      <c r="DZ150" s="52">
        <v>67</v>
      </c>
      <c r="EA150" s="23">
        <v>149</v>
      </c>
      <c r="EB150" s="52">
        <v>112</v>
      </c>
      <c r="EC150" s="52"/>
      <c r="ED150" s="28"/>
      <c r="EG150" s="6">
        <v>288</v>
      </c>
      <c r="EH150" s="28">
        <v>462</v>
      </c>
      <c r="EI150" s="8">
        <v>289</v>
      </c>
      <c r="EJ150" s="52">
        <v>131</v>
      </c>
      <c r="EN150" s="8">
        <v>-144</v>
      </c>
      <c r="EO150" s="28">
        <v>34</v>
      </c>
      <c r="EP150" s="28"/>
      <c r="EQ150" s="28"/>
      <c r="EX150" s="8">
        <v>-558</v>
      </c>
      <c r="EY150" s="28">
        <v>771</v>
      </c>
      <c r="FD150" s="6">
        <v>-783</v>
      </c>
      <c r="FE150" s="28">
        <v>222</v>
      </c>
      <c r="FM150" s="8">
        <v>369</v>
      </c>
      <c r="FN150" s="52">
        <v>246</v>
      </c>
      <c r="FS150" s="8">
        <v>585</v>
      </c>
      <c r="FT150" s="52">
        <v>130</v>
      </c>
      <c r="GC150" s="8">
        <v>-263</v>
      </c>
      <c r="GI150" s="8">
        <v>-22</v>
      </c>
      <c r="GJ150" s="28">
        <v>25</v>
      </c>
      <c r="GP150" s="6">
        <v>33</v>
      </c>
      <c r="GQ150" s="52">
        <v>251</v>
      </c>
      <c r="GT150" s="6">
        <v>886</v>
      </c>
      <c r="GU150" s="52">
        <v>102</v>
      </c>
      <c r="HB150" s="6">
        <v>-151</v>
      </c>
      <c r="HE150" s="6">
        <v>64</v>
      </c>
      <c r="HF150" s="28">
        <v>84</v>
      </c>
      <c r="HS150" s="8">
        <v>-1</v>
      </c>
      <c r="HT150" s="52">
        <v>4</v>
      </c>
      <c r="IB150" s="8">
        <v>555</v>
      </c>
      <c r="IC150" s="28">
        <v>322</v>
      </c>
      <c r="ID150" s="8">
        <v>-466</v>
      </c>
      <c r="IE150" s="28">
        <v>278</v>
      </c>
      <c r="IY150" s="8">
        <v>-132</v>
      </c>
      <c r="JW150" s="6">
        <v>-271</v>
      </c>
      <c r="JX150" s="12">
        <v>439</v>
      </c>
      <c r="KE150" s="6">
        <v>9</v>
      </c>
      <c r="KF150" s="12">
        <v>170</v>
      </c>
      <c r="KT150" s="8">
        <v>38</v>
      </c>
      <c r="KU150" s="28">
        <v>65</v>
      </c>
      <c r="LF150" s="8">
        <v>45</v>
      </c>
      <c r="LG150" s="28">
        <v>13</v>
      </c>
      <c r="LJ150" s="8">
        <v>156</v>
      </c>
      <c r="LK150" s="28">
        <v>24</v>
      </c>
      <c r="LU150" s="8">
        <v>-2</v>
      </c>
      <c r="LV150" s="12">
        <v>47</v>
      </c>
      <c r="LW150" s="8">
        <v>-209</v>
      </c>
      <c r="LX150" s="28">
        <v>697</v>
      </c>
      <c r="MF150" s="8">
        <v>325</v>
      </c>
      <c r="MG150" s="12">
        <v>258</v>
      </c>
      <c r="NC150" s="8">
        <v>-7</v>
      </c>
      <c r="ND150" s="12">
        <v>22</v>
      </c>
      <c r="NP150" s="8">
        <v>76</v>
      </c>
      <c r="NQ150" s="12">
        <v>55</v>
      </c>
      <c r="PJ150" s="8">
        <v>169</v>
      </c>
      <c r="PK150" s="12">
        <v>135</v>
      </c>
      <c r="PP150" s="8">
        <v>915</v>
      </c>
      <c r="PQ150" s="28">
        <v>7</v>
      </c>
      <c r="PR150" s="28"/>
      <c r="PS150" s="8">
        <v>736</v>
      </c>
      <c r="RG150" s="8">
        <v>13</v>
      </c>
      <c r="RH150" s="28">
        <v>118</v>
      </c>
      <c r="SP150" s="8">
        <v>75</v>
      </c>
      <c r="SY150" s="6">
        <v>34</v>
      </c>
      <c r="TH150" s="8">
        <v>239</v>
      </c>
      <c r="TI150" s="28">
        <v>424</v>
      </c>
      <c r="TX150" s="8">
        <v>-244</v>
      </c>
      <c r="TZ150" s="8">
        <v>383</v>
      </c>
      <c r="UA150" s="12">
        <v>547</v>
      </c>
      <c r="VH150" s="8">
        <v>533</v>
      </c>
      <c r="VI150" s="28">
        <v>33</v>
      </c>
      <c r="VL150" s="21"/>
      <c r="VQ150" s="6">
        <v>33</v>
      </c>
      <c r="VR150" s="28">
        <v>10</v>
      </c>
      <c r="VZ150" s="8">
        <v>720</v>
      </c>
      <c r="XK150">
        <v>-21</v>
      </c>
      <c r="XL150" s="1">
        <v>16</v>
      </c>
    </row>
    <row r="151" spans="11:636" x14ac:dyDescent="0.25">
      <c r="K151" s="2">
        <v>2623</v>
      </c>
      <c r="L151" s="1">
        <v>4</v>
      </c>
      <c r="V151">
        <v>2218</v>
      </c>
      <c r="W151" s="10">
        <v>172</v>
      </c>
      <c r="AD151">
        <v>-41</v>
      </c>
      <c r="AE151" s="1">
        <v>5</v>
      </c>
      <c r="AJ151" s="2">
        <v>-582</v>
      </c>
      <c r="AK151" s="10">
        <v>202</v>
      </c>
      <c r="BD151" s="8"/>
      <c r="BF151">
        <v>50</v>
      </c>
      <c r="BG151" s="1">
        <v>14</v>
      </c>
      <c r="BN151">
        <v>1165</v>
      </c>
      <c r="BP151">
        <v>2174</v>
      </c>
      <c r="BQ151" s="10">
        <v>2710</v>
      </c>
      <c r="BT151">
        <v>-174</v>
      </c>
      <c r="BU151" s="1">
        <v>324</v>
      </c>
      <c r="CE151" s="8">
        <v>64</v>
      </c>
      <c r="CF151" s="28">
        <v>28</v>
      </c>
      <c r="CS151" s="6">
        <v>-9</v>
      </c>
      <c r="CT151" s="28">
        <v>3</v>
      </c>
      <c r="CZ151" s="23">
        <v>250</v>
      </c>
      <c r="DA151" s="25">
        <v>842</v>
      </c>
      <c r="DF151" s="23">
        <v>110</v>
      </c>
      <c r="DG151" s="25">
        <v>460</v>
      </c>
      <c r="DH151" s="23">
        <v>25</v>
      </c>
      <c r="DI151" s="25">
        <v>5</v>
      </c>
      <c r="DL151" s="8">
        <v>121</v>
      </c>
      <c r="DS151" s="6">
        <v>-25</v>
      </c>
      <c r="DT151" s="52">
        <v>74</v>
      </c>
      <c r="DY151" s="6">
        <v>-716</v>
      </c>
      <c r="DZ151" s="52">
        <v>36</v>
      </c>
      <c r="EA151" s="23">
        <v>159</v>
      </c>
      <c r="EB151" s="52">
        <v>134</v>
      </c>
      <c r="EC151" s="52"/>
      <c r="ED151" s="28"/>
      <c r="EG151" s="6">
        <v>371</v>
      </c>
      <c r="EH151" s="28">
        <v>472</v>
      </c>
      <c r="EI151" s="8">
        <v>1</v>
      </c>
      <c r="EJ151" s="52">
        <v>548</v>
      </c>
      <c r="EN151" s="8">
        <v>-22</v>
      </c>
      <c r="EO151" s="28">
        <v>33</v>
      </c>
      <c r="EP151" s="28"/>
      <c r="EQ151" s="28"/>
      <c r="EX151" s="8">
        <v>-380</v>
      </c>
      <c r="EY151" s="28">
        <v>711</v>
      </c>
      <c r="FD151" s="6">
        <v>165</v>
      </c>
      <c r="FE151" s="28">
        <v>935</v>
      </c>
      <c r="FM151" s="8">
        <v>101</v>
      </c>
      <c r="FN151" s="52">
        <v>348</v>
      </c>
      <c r="FS151" s="8">
        <v>569</v>
      </c>
      <c r="FT151" s="52">
        <v>126</v>
      </c>
      <c r="GC151" s="8">
        <v>-651</v>
      </c>
      <c r="GI151" s="8">
        <v>3</v>
      </c>
      <c r="GJ151" s="28">
        <v>42</v>
      </c>
      <c r="GP151" s="6">
        <v>144</v>
      </c>
      <c r="GQ151" s="52">
        <v>452</v>
      </c>
      <c r="GT151" s="6">
        <v>532</v>
      </c>
      <c r="GU151" s="52">
        <v>525</v>
      </c>
      <c r="HB151" s="6">
        <v>92</v>
      </c>
      <c r="HE151" s="6">
        <v>-14</v>
      </c>
      <c r="HF151" s="28">
        <v>72</v>
      </c>
      <c r="HS151" s="8">
        <v>-3</v>
      </c>
      <c r="HT151" s="52">
        <v>196</v>
      </c>
      <c r="IB151" s="8">
        <v>111</v>
      </c>
      <c r="IC151" s="28">
        <v>102</v>
      </c>
      <c r="ID151" s="8">
        <v>-174</v>
      </c>
      <c r="IE151" s="28">
        <v>158</v>
      </c>
      <c r="IY151" s="8">
        <v>282</v>
      </c>
      <c r="JW151" s="6">
        <v>-228</v>
      </c>
      <c r="JX151" s="12">
        <v>364</v>
      </c>
      <c r="KE151" s="6">
        <v>131</v>
      </c>
      <c r="KF151" s="12">
        <v>426</v>
      </c>
      <c r="KT151" s="8">
        <v>26</v>
      </c>
      <c r="KU151" s="28">
        <v>11</v>
      </c>
      <c r="LF151" s="8">
        <v>-34</v>
      </c>
      <c r="LG151" s="28">
        <v>11</v>
      </c>
      <c r="LJ151" s="8">
        <v>178</v>
      </c>
      <c r="LK151" s="28">
        <v>560</v>
      </c>
      <c r="LU151" s="8">
        <v>5</v>
      </c>
      <c r="LV151" s="12">
        <v>99</v>
      </c>
      <c r="LW151" s="8">
        <v>720</v>
      </c>
      <c r="LX151" s="28">
        <v>111</v>
      </c>
      <c r="MF151" s="8">
        <v>-713</v>
      </c>
      <c r="MG151" s="12">
        <v>527</v>
      </c>
      <c r="NC151" s="8">
        <v>60</v>
      </c>
      <c r="ND151" s="12">
        <v>158</v>
      </c>
      <c r="NP151" s="8">
        <v>-25</v>
      </c>
      <c r="NQ151" s="12">
        <v>13</v>
      </c>
      <c r="PJ151" s="8">
        <v>49</v>
      </c>
      <c r="PK151" s="12">
        <v>6</v>
      </c>
      <c r="PP151" s="8">
        <v>836</v>
      </c>
      <c r="PQ151" s="28">
        <v>7</v>
      </c>
      <c r="PR151" s="28"/>
      <c r="PS151" s="8">
        <v>316</v>
      </c>
      <c r="RG151" s="8">
        <v>-200</v>
      </c>
      <c r="RH151" s="28">
        <v>160</v>
      </c>
      <c r="SP151" s="8">
        <v>173</v>
      </c>
      <c r="SY151" s="6">
        <v>158</v>
      </c>
      <c r="TH151" s="8">
        <v>185</v>
      </c>
      <c r="TI151" s="28">
        <v>530</v>
      </c>
      <c r="TX151" s="8">
        <v>-487</v>
      </c>
      <c r="TZ151" s="8">
        <v>271</v>
      </c>
      <c r="UA151" s="12">
        <v>809</v>
      </c>
      <c r="VH151" s="8">
        <v>271</v>
      </c>
      <c r="VI151" s="28">
        <v>145</v>
      </c>
      <c r="VL151" s="21"/>
      <c r="VQ151" s="6">
        <v>-48</v>
      </c>
      <c r="VR151" s="28">
        <v>12</v>
      </c>
      <c r="VZ151" s="8">
        <v>377</v>
      </c>
      <c r="XK151">
        <v>148</v>
      </c>
      <c r="XL151" s="1">
        <v>149</v>
      </c>
    </row>
    <row r="152" spans="11:636" x14ac:dyDescent="0.25">
      <c r="K152" s="2">
        <v>652</v>
      </c>
      <c r="L152" s="1">
        <v>8</v>
      </c>
      <c r="V152">
        <v>-1</v>
      </c>
      <c r="W152" s="10">
        <v>592</v>
      </c>
      <c r="AD152">
        <v>-29</v>
      </c>
      <c r="AE152" s="1">
        <v>7</v>
      </c>
      <c r="AJ152" s="2">
        <v>-11</v>
      </c>
      <c r="AK152" s="10">
        <v>81</v>
      </c>
      <c r="BD152" s="8"/>
      <c r="BF152">
        <v>2095</v>
      </c>
      <c r="BG152" s="1">
        <v>536</v>
      </c>
      <c r="BN152">
        <v>-11</v>
      </c>
      <c r="BP152">
        <v>-434</v>
      </c>
      <c r="BQ152" s="10">
        <v>3192</v>
      </c>
      <c r="BT152">
        <v>-43</v>
      </c>
      <c r="BU152" s="1">
        <v>26</v>
      </c>
      <c r="CE152" s="8">
        <v>142</v>
      </c>
      <c r="CF152" s="28">
        <v>29</v>
      </c>
      <c r="CS152" s="6">
        <v>-4</v>
      </c>
      <c r="CT152" s="28">
        <v>1</v>
      </c>
      <c r="CZ152" s="23">
        <v>-5</v>
      </c>
      <c r="DA152" s="25">
        <v>6</v>
      </c>
      <c r="DF152" s="23">
        <v>937</v>
      </c>
      <c r="DG152" s="25">
        <v>112</v>
      </c>
      <c r="DH152" s="23">
        <v>5</v>
      </c>
      <c r="DI152" s="25">
        <v>5</v>
      </c>
      <c r="DL152" s="8">
        <v>156</v>
      </c>
      <c r="DS152" s="6">
        <v>90</v>
      </c>
      <c r="DT152" s="52">
        <v>116</v>
      </c>
      <c r="DY152" s="6">
        <v>-875</v>
      </c>
      <c r="DZ152" s="52">
        <v>224</v>
      </c>
      <c r="EA152" s="23">
        <v>-70</v>
      </c>
      <c r="EB152" s="52">
        <v>148</v>
      </c>
      <c r="EC152" s="52"/>
      <c r="ED152" s="52"/>
      <c r="EG152" s="6">
        <v>434</v>
      </c>
      <c r="EH152" s="28">
        <v>489</v>
      </c>
      <c r="EI152" s="8">
        <v>-809</v>
      </c>
      <c r="EJ152" s="52">
        <v>150</v>
      </c>
      <c r="EN152" s="8">
        <v>24</v>
      </c>
      <c r="EO152" s="28">
        <v>2</v>
      </c>
      <c r="EP152" s="28"/>
      <c r="EQ152" s="28"/>
      <c r="EX152" s="8">
        <v>-110</v>
      </c>
      <c r="EY152" s="28">
        <v>980</v>
      </c>
      <c r="FD152" s="6">
        <v>181</v>
      </c>
      <c r="FE152" s="28">
        <v>231</v>
      </c>
      <c r="FM152" s="8">
        <v>235</v>
      </c>
      <c r="FN152" s="52">
        <v>108</v>
      </c>
      <c r="FS152" s="8">
        <v>569</v>
      </c>
      <c r="FT152" s="52">
        <v>126</v>
      </c>
      <c r="GC152" s="8">
        <v>-389</v>
      </c>
      <c r="GI152" s="8">
        <v>73</v>
      </c>
      <c r="GJ152" s="28">
        <v>56</v>
      </c>
      <c r="GP152" s="6">
        <v>128</v>
      </c>
      <c r="GQ152" s="52">
        <v>382</v>
      </c>
      <c r="GT152" s="6">
        <v>-264</v>
      </c>
      <c r="GU152" s="52">
        <v>792</v>
      </c>
      <c r="HB152" s="6">
        <v>-20</v>
      </c>
      <c r="HE152" s="6">
        <v>72</v>
      </c>
      <c r="HF152" s="28">
        <v>87</v>
      </c>
      <c r="HS152" s="8">
        <v>-31</v>
      </c>
      <c r="HT152" s="52">
        <v>371</v>
      </c>
      <c r="IB152" s="8">
        <v>-289</v>
      </c>
      <c r="IC152" s="28">
        <v>990</v>
      </c>
      <c r="ID152" s="8">
        <v>52</v>
      </c>
      <c r="IE152" s="28">
        <v>700</v>
      </c>
      <c r="IY152" s="8">
        <v>172</v>
      </c>
      <c r="JW152" s="6">
        <v>-211</v>
      </c>
      <c r="JX152" s="12">
        <v>337</v>
      </c>
      <c r="KE152" s="6">
        <v>-2</v>
      </c>
      <c r="KF152" s="12">
        <v>37</v>
      </c>
      <c r="KT152" s="8">
        <v>-41</v>
      </c>
      <c r="KU152" s="28">
        <v>74</v>
      </c>
      <c r="LF152" s="8">
        <v>-57</v>
      </c>
      <c r="LG152" s="28">
        <v>8</v>
      </c>
      <c r="LJ152" s="8">
        <v>516</v>
      </c>
      <c r="LK152" s="28">
        <v>163</v>
      </c>
      <c r="LU152" s="8">
        <v>-3</v>
      </c>
      <c r="LV152" s="12">
        <v>72</v>
      </c>
      <c r="LW152" s="8">
        <v>-59</v>
      </c>
      <c r="LX152" s="28">
        <v>108</v>
      </c>
      <c r="MF152" s="8">
        <v>-954</v>
      </c>
      <c r="MG152" s="12">
        <v>715</v>
      </c>
      <c r="NC152" s="8">
        <v>25</v>
      </c>
      <c r="ND152" s="12">
        <v>72</v>
      </c>
      <c r="NP152" s="8">
        <v>160</v>
      </c>
      <c r="NQ152" s="12">
        <v>100</v>
      </c>
      <c r="PJ152" s="8">
        <v>977</v>
      </c>
      <c r="PK152" s="12">
        <v>674</v>
      </c>
      <c r="PP152" s="8">
        <v>935</v>
      </c>
      <c r="PQ152" s="28">
        <v>5</v>
      </c>
      <c r="PR152" s="28"/>
      <c r="PS152" s="8">
        <v>905</v>
      </c>
      <c r="RG152" s="8">
        <v>-457</v>
      </c>
      <c r="RH152" s="28">
        <v>217</v>
      </c>
      <c r="SP152" s="8">
        <v>910</v>
      </c>
      <c r="SY152" s="6">
        <v>206</v>
      </c>
      <c r="TH152" s="8">
        <v>292</v>
      </c>
      <c r="TI152" s="28">
        <v>754</v>
      </c>
      <c r="TX152" s="8">
        <v>-427</v>
      </c>
      <c r="TZ152" s="8">
        <v>176</v>
      </c>
      <c r="UA152" s="12">
        <v>161</v>
      </c>
      <c r="VH152" s="8">
        <v>271</v>
      </c>
      <c r="VI152" s="28">
        <v>540</v>
      </c>
      <c r="VL152" s="21"/>
      <c r="VQ152" s="6">
        <v>3</v>
      </c>
      <c r="VR152" s="28">
        <v>29</v>
      </c>
      <c r="VZ152" s="8">
        <v>430</v>
      </c>
      <c r="XK152">
        <v>382</v>
      </c>
      <c r="XL152" s="1">
        <v>207</v>
      </c>
    </row>
    <row r="153" spans="11:636" x14ac:dyDescent="0.25">
      <c r="K153" s="2">
        <v>2172</v>
      </c>
      <c r="L153" s="1">
        <v>7</v>
      </c>
      <c r="V153">
        <v>-12</v>
      </c>
      <c r="W153" s="10">
        <v>240</v>
      </c>
      <c r="AD153">
        <v>-6</v>
      </c>
      <c r="AE153" s="1">
        <v>6</v>
      </c>
      <c r="AJ153" s="2">
        <v>-10</v>
      </c>
      <c r="AK153" s="10">
        <v>78</v>
      </c>
      <c r="BD153" s="8"/>
      <c r="BF153">
        <v>1571</v>
      </c>
      <c r="BG153" s="1">
        <v>700</v>
      </c>
      <c r="BN153">
        <v>74</v>
      </c>
      <c r="BP153">
        <v>-522</v>
      </c>
      <c r="BQ153" s="10">
        <v>1955</v>
      </c>
      <c r="BT153">
        <v>189</v>
      </c>
      <c r="BU153" s="1">
        <v>72</v>
      </c>
      <c r="CE153" s="8">
        <v>29</v>
      </c>
      <c r="CF153" s="28">
        <v>54</v>
      </c>
      <c r="CS153" s="6">
        <v>-6</v>
      </c>
      <c r="CT153" s="28">
        <v>4</v>
      </c>
      <c r="CZ153" s="23">
        <v>339</v>
      </c>
      <c r="DA153" s="25">
        <v>86</v>
      </c>
      <c r="DF153" s="23">
        <v>108</v>
      </c>
      <c r="DG153" s="25">
        <v>318</v>
      </c>
      <c r="DH153" s="23">
        <v>41</v>
      </c>
      <c r="DI153" s="25">
        <v>41</v>
      </c>
      <c r="DL153" s="8">
        <v>263</v>
      </c>
      <c r="DS153" s="6">
        <v>30</v>
      </c>
      <c r="DT153" s="52">
        <v>46</v>
      </c>
      <c r="DY153" s="6">
        <v>123</v>
      </c>
      <c r="DZ153" s="52">
        <v>445</v>
      </c>
      <c r="EA153" s="23">
        <v>24</v>
      </c>
      <c r="EB153" s="52">
        <v>313</v>
      </c>
      <c r="EC153" s="52"/>
      <c r="ED153" s="52"/>
      <c r="EG153" s="6">
        <v>-160</v>
      </c>
      <c r="EH153" s="28">
        <v>878</v>
      </c>
      <c r="EI153" s="8">
        <v>-101</v>
      </c>
      <c r="EJ153" s="52">
        <v>51</v>
      </c>
      <c r="EN153" s="8">
        <v>6</v>
      </c>
      <c r="EO153" s="28">
        <v>8</v>
      </c>
      <c r="EP153" s="28"/>
      <c r="EQ153" s="28"/>
      <c r="EX153" s="8">
        <v>-572</v>
      </c>
      <c r="EY153" s="28">
        <v>698</v>
      </c>
      <c r="FD153" s="6">
        <v>-128</v>
      </c>
      <c r="FE153" s="28">
        <v>103</v>
      </c>
      <c r="FM153" s="8">
        <v>517</v>
      </c>
      <c r="FN153" s="52">
        <v>61</v>
      </c>
      <c r="FS153" s="8">
        <v>105</v>
      </c>
      <c r="FT153" s="52">
        <v>131</v>
      </c>
      <c r="GC153" s="8">
        <v>-10</v>
      </c>
      <c r="GI153" s="8">
        <v>-28</v>
      </c>
      <c r="GJ153" s="28">
        <v>26</v>
      </c>
      <c r="GP153" s="6">
        <v>34</v>
      </c>
      <c r="GQ153" s="52">
        <v>189</v>
      </c>
      <c r="GT153" s="6">
        <v>-229</v>
      </c>
      <c r="GU153" s="52">
        <v>687</v>
      </c>
      <c r="HB153" s="6">
        <v>-67</v>
      </c>
      <c r="HE153" s="6">
        <v>40</v>
      </c>
      <c r="HF153" s="28">
        <v>65</v>
      </c>
      <c r="HS153" s="8">
        <v>120</v>
      </c>
      <c r="HT153" s="52">
        <v>193</v>
      </c>
      <c r="IB153" s="8">
        <v>-310</v>
      </c>
      <c r="IC153" s="28">
        <v>100</v>
      </c>
      <c r="ID153" s="8">
        <v>-416</v>
      </c>
      <c r="IE153" s="28">
        <v>93</v>
      </c>
      <c r="IY153" s="8">
        <v>-120</v>
      </c>
      <c r="JW153" s="6">
        <v>-452</v>
      </c>
      <c r="JX153" s="12">
        <v>72</v>
      </c>
      <c r="KE153" s="6">
        <v>-404</v>
      </c>
      <c r="KF153" s="12">
        <v>132</v>
      </c>
      <c r="KT153" s="8">
        <v>-178</v>
      </c>
      <c r="KU153" s="28">
        <v>96</v>
      </c>
      <c r="LF153" s="8">
        <v>-78</v>
      </c>
      <c r="LG153" s="28">
        <v>10</v>
      </c>
      <c r="LJ153" s="8">
        <v>-816</v>
      </c>
      <c r="LK153" s="28">
        <v>39</v>
      </c>
      <c r="LU153" s="8">
        <v>343</v>
      </c>
      <c r="LV153" s="12">
        <v>705</v>
      </c>
      <c r="LW153" s="8">
        <v>389</v>
      </c>
      <c r="LX153" s="28">
        <v>58</v>
      </c>
      <c r="MF153" s="8">
        <v>90</v>
      </c>
      <c r="MG153" s="12">
        <v>351</v>
      </c>
      <c r="NC153" s="8">
        <v>88</v>
      </c>
      <c r="ND153" s="12">
        <v>267</v>
      </c>
      <c r="NP153" s="8">
        <v>18</v>
      </c>
      <c r="NQ153" s="12">
        <v>9</v>
      </c>
      <c r="PJ153" s="8">
        <v>478</v>
      </c>
      <c r="PK153" s="12">
        <v>197</v>
      </c>
      <c r="PP153" s="8">
        <v>962</v>
      </c>
      <c r="PQ153" s="28">
        <v>11</v>
      </c>
      <c r="PR153" s="28"/>
      <c r="PS153" s="8">
        <v>-819</v>
      </c>
      <c r="RG153" s="8">
        <v>260</v>
      </c>
      <c r="RH153" s="28">
        <v>148</v>
      </c>
      <c r="SP153" s="8">
        <v>98</v>
      </c>
      <c r="SY153" s="6">
        <v>-15</v>
      </c>
      <c r="TH153" s="8">
        <v>310</v>
      </c>
      <c r="TI153" s="28">
        <v>719</v>
      </c>
      <c r="TX153" s="8">
        <v>-332</v>
      </c>
      <c r="TZ153" s="8">
        <v>100</v>
      </c>
      <c r="UA153" s="12">
        <v>550</v>
      </c>
      <c r="VH153" s="8">
        <v>396</v>
      </c>
      <c r="VI153" s="28">
        <v>128</v>
      </c>
      <c r="VL153" s="21"/>
      <c r="VQ153" s="6">
        <v>11</v>
      </c>
      <c r="VR153" s="28">
        <v>12</v>
      </c>
      <c r="VZ153" s="8">
        <v>427</v>
      </c>
      <c r="XK153">
        <v>44</v>
      </c>
      <c r="XL153" s="1">
        <v>53</v>
      </c>
    </row>
    <row r="154" spans="11:636" x14ac:dyDescent="0.25">
      <c r="K154" s="2">
        <v>3953</v>
      </c>
      <c r="L154" s="1">
        <v>6</v>
      </c>
      <c r="V154">
        <v>2</v>
      </c>
      <c r="W154" s="10">
        <v>46</v>
      </c>
      <c r="AD154">
        <v>49</v>
      </c>
      <c r="AE154" s="1">
        <v>3</v>
      </c>
      <c r="AJ154" s="2">
        <v>-8</v>
      </c>
      <c r="AK154" s="10">
        <v>59</v>
      </c>
      <c r="BD154" s="8"/>
      <c r="BF154">
        <v>1052</v>
      </c>
      <c r="BG154" s="1">
        <v>315</v>
      </c>
      <c r="BN154">
        <v>28</v>
      </c>
      <c r="BP154">
        <v>272</v>
      </c>
      <c r="BQ154" s="10">
        <v>3595</v>
      </c>
      <c r="BT154">
        <v>181</v>
      </c>
      <c r="BU154" s="1">
        <v>143</v>
      </c>
      <c r="CE154" s="8">
        <v>121</v>
      </c>
      <c r="CF154" s="28">
        <v>64</v>
      </c>
      <c r="CS154" s="6">
        <v>-9</v>
      </c>
      <c r="CT154" s="28">
        <v>1</v>
      </c>
      <c r="CZ154" s="23">
        <v>-35</v>
      </c>
      <c r="DA154" s="25">
        <v>124</v>
      </c>
      <c r="DF154" s="23">
        <v>126</v>
      </c>
      <c r="DG154" s="25">
        <v>552</v>
      </c>
      <c r="DH154" s="23">
        <v>50</v>
      </c>
      <c r="DI154" s="25">
        <v>43</v>
      </c>
      <c r="DL154" s="8">
        <v>88</v>
      </c>
      <c r="DS154" s="6">
        <v>-124</v>
      </c>
      <c r="DT154" s="52">
        <v>207</v>
      </c>
      <c r="DY154" s="6">
        <v>112</v>
      </c>
      <c r="DZ154" s="52">
        <v>665</v>
      </c>
      <c r="EA154" s="23">
        <v>-123</v>
      </c>
      <c r="EB154" s="52">
        <v>280</v>
      </c>
      <c r="EC154" s="52"/>
      <c r="ED154" s="52"/>
      <c r="EG154" s="6">
        <v>-220</v>
      </c>
      <c r="EH154" s="28">
        <v>106</v>
      </c>
      <c r="EI154" s="8">
        <v>-104</v>
      </c>
      <c r="EJ154" s="52">
        <v>647</v>
      </c>
      <c r="EN154" s="8">
        <v>52</v>
      </c>
      <c r="EO154" s="28">
        <v>14</v>
      </c>
      <c r="EP154" s="28"/>
      <c r="EQ154" s="28"/>
      <c r="EX154" s="8">
        <v>-264</v>
      </c>
      <c r="EY154" s="28">
        <v>356</v>
      </c>
      <c r="FD154" s="6">
        <v>539</v>
      </c>
      <c r="FE154" s="28">
        <v>424</v>
      </c>
      <c r="FM154" s="8">
        <v>329</v>
      </c>
      <c r="FN154" s="52">
        <v>245</v>
      </c>
      <c r="FS154" s="8">
        <v>103</v>
      </c>
      <c r="FT154" s="52">
        <v>126</v>
      </c>
      <c r="GC154" s="8">
        <v>682</v>
      </c>
      <c r="GI154" s="8">
        <v>738</v>
      </c>
      <c r="GJ154" s="28">
        <v>821</v>
      </c>
      <c r="GP154" s="6">
        <v>2</v>
      </c>
      <c r="GQ154" s="52">
        <v>12</v>
      </c>
      <c r="GT154" s="6">
        <v>206</v>
      </c>
      <c r="GU154" s="52">
        <v>167</v>
      </c>
      <c r="HB154" s="6">
        <v>84</v>
      </c>
      <c r="HE154" s="6">
        <v>78</v>
      </c>
      <c r="HF154" s="28">
        <v>42</v>
      </c>
      <c r="HS154" s="8">
        <v>-6</v>
      </c>
      <c r="HT154" s="52">
        <v>116</v>
      </c>
      <c r="IB154" s="8">
        <v>-278</v>
      </c>
      <c r="IC154" s="28">
        <v>936</v>
      </c>
      <c r="ID154" s="8">
        <v>-248</v>
      </c>
      <c r="IE154" s="28">
        <v>292</v>
      </c>
      <c r="IY154" s="8">
        <v>123</v>
      </c>
      <c r="JW154" s="6">
        <v>-294</v>
      </c>
      <c r="JX154" s="12">
        <v>514</v>
      </c>
      <c r="KE154" s="6">
        <v>70</v>
      </c>
      <c r="KF154" s="12">
        <v>130</v>
      </c>
      <c r="KT154" s="8">
        <v>92</v>
      </c>
      <c r="KU154" s="28">
        <v>76</v>
      </c>
      <c r="LF154" s="8">
        <v>-2</v>
      </c>
      <c r="LG154" s="28">
        <v>8</v>
      </c>
      <c r="LJ154" s="8">
        <v>195</v>
      </c>
      <c r="LK154" s="28">
        <v>35</v>
      </c>
      <c r="LU154" s="8">
        <v>4</v>
      </c>
      <c r="LV154" s="12">
        <v>98</v>
      </c>
      <c r="LW154" s="8">
        <v>-104</v>
      </c>
      <c r="LX154" s="28">
        <v>157</v>
      </c>
      <c r="MF154" s="8">
        <v>31</v>
      </c>
      <c r="MG154" s="12">
        <v>69</v>
      </c>
      <c r="NC154" s="8">
        <v>-33</v>
      </c>
      <c r="ND154" s="12">
        <v>232</v>
      </c>
      <c r="NP154" s="8">
        <v>177</v>
      </c>
      <c r="NQ154" s="12">
        <v>89</v>
      </c>
      <c r="PJ154" s="8">
        <v>147</v>
      </c>
      <c r="PK154" s="12">
        <v>352</v>
      </c>
      <c r="PP154" s="8">
        <v>980</v>
      </c>
      <c r="PQ154" s="28">
        <v>13</v>
      </c>
      <c r="PR154" s="28"/>
      <c r="PS154" s="8">
        <v>7</v>
      </c>
      <c r="RG154" s="8">
        <v>424</v>
      </c>
      <c r="RH154" s="28">
        <v>205</v>
      </c>
      <c r="SP154" s="8">
        <v>10</v>
      </c>
      <c r="SY154" s="6">
        <v>504</v>
      </c>
      <c r="TH154" s="8">
        <v>428</v>
      </c>
      <c r="TI154" s="28">
        <v>161</v>
      </c>
      <c r="TX154" s="8">
        <v>-249</v>
      </c>
      <c r="TZ154" s="8">
        <v>46</v>
      </c>
      <c r="UA154" s="12">
        <v>174</v>
      </c>
      <c r="VH154" s="8">
        <v>-104</v>
      </c>
      <c r="VI154" s="28">
        <v>333</v>
      </c>
      <c r="VL154" s="21"/>
      <c r="VQ154" s="6">
        <v>24</v>
      </c>
      <c r="VR154" s="28">
        <v>13</v>
      </c>
      <c r="VZ154" s="8">
        <v>260</v>
      </c>
      <c r="XK154">
        <v>-25</v>
      </c>
      <c r="XL154" s="1">
        <v>36</v>
      </c>
    </row>
    <row r="155" spans="11:636" x14ac:dyDescent="0.25">
      <c r="K155" s="2">
        <v>1884</v>
      </c>
      <c r="L155" s="1">
        <v>6</v>
      </c>
      <c r="V155">
        <v>2</v>
      </c>
      <c r="W155" s="10">
        <v>71</v>
      </c>
      <c r="AD155">
        <v>67</v>
      </c>
      <c r="AE155" s="1">
        <v>3</v>
      </c>
      <c r="AJ155" s="2">
        <v>-7</v>
      </c>
      <c r="AK155" s="10">
        <v>56</v>
      </c>
      <c r="BD155" s="8"/>
      <c r="BF155">
        <v>363</v>
      </c>
      <c r="BG155" s="1">
        <v>116</v>
      </c>
      <c r="BN155">
        <v>139</v>
      </c>
      <c r="BP155">
        <v>-361</v>
      </c>
      <c r="BQ155" s="10">
        <v>4210</v>
      </c>
      <c r="BT155">
        <v>-861</v>
      </c>
      <c r="BU155" s="1">
        <v>118</v>
      </c>
      <c r="CE155" s="8">
        <v>84</v>
      </c>
      <c r="CF155" s="28">
        <v>28</v>
      </c>
      <c r="CS155" s="6">
        <v>-8</v>
      </c>
      <c r="CT155" s="28">
        <v>2</v>
      </c>
      <c r="CZ155" s="23">
        <v>914</v>
      </c>
      <c r="DA155" s="25">
        <v>496</v>
      </c>
      <c r="DF155" s="23">
        <v>114</v>
      </c>
      <c r="DG155" s="25">
        <v>561</v>
      </c>
      <c r="DH155" s="23">
        <v>56</v>
      </c>
      <c r="DI155" s="25">
        <v>47</v>
      </c>
      <c r="DL155" s="8">
        <v>267</v>
      </c>
      <c r="DS155" s="6">
        <v>26</v>
      </c>
      <c r="DT155" s="52">
        <v>41</v>
      </c>
      <c r="DY155" s="8">
        <v>-496</v>
      </c>
      <c r="DZ155" s="52">
        <v>20</v>
      </c>
      <c r="EA155" s="23">
        <v>-13</v>
      </c>
      <c r="EB155" s="52">
        <v>100</v>
      </c>
      <c r="EC155" s="52"/>
      <c r="ED155" s="52"/>
      <c r="EG155" s="6">
        <v>-341</v>
      </c>
      <c r="EH155" s="28">
        <v>971</v>
      </c>
      <c r="EI155" s="8">
        <v>4</v>
      </c>
      <c r="EJ155" s="52">
        <v>176</v>
      </c>
      <c r="EN155" s="8">
        <v>60</v>
      </c>
      <c r="EO155" s="28">
        <v>15</v>
      </c>
      <c r="EP155" s="28"/>
      <c r="EQ155" s="28"/>
      <c r="EX155" s="8">
        <v>-621</v>
      </c>
      <c r="EY155" s="28">
        <v>798</v>
      </c>
      <c r="FD155" s="6">
        <v>-984</v>
      </c>
      <c r="FE155" s="28">
        <v>236</v>
      </c>
      <c r="FM155" s="8">
        <v>125</v>
      </c>
      <c r="FN155" s="52">
        <v>52</v>
      </c>
      <c r="FS155" s="8">
        <v>161</v>
      </c>
      <c r="FT155" s="52">
        <v>237</v>
      </c>
      <c r="GC155" s="8">
        <v>2</v>
      </c>
      <c r="GI155" s="8">
        <v>-84</v>
      </c>
      <c r="GJ155" s="28">
        <v>80</v>
      </c>
      <c r="GP155" s="6">
        <v>77</v>
      </c>
      <c r="GQ155" s="52">
        <v>190</v>
      </c>
      <c r="GT155" s="6">
        <v>988</v>
      </c>
      <c r="GU155" s="52">
        <v>88</v>
      </c>
      <c r="HB155" s="6">
        <v>245</v>
      </c>
      <c r="HE155" s="6">
        <v>68</v>
      </c>
      <c r="HF155" s="28">
        <v>67</v>
      </c>
      <c r="HS155" s="8">
        <v>-249</v>
      </c>
      <c r="HT155" s="52">
        <v>79</v>
      </c>
      <c r="IB155" s="8">
        <v>-280</v>
      </c>
      <c r="IC155" s="28">
        <v>994</v>
      </c>
      <c r="ID155" s="8">
        <v>-400</v>
      </c>
      <c r="IE155" s="28">
        <v>139</v>
      </c>
      <c r="IY155" s="8">
        <v>-850</v>
      </c>
      <c r="JW155" s="6">
        <v>-274</v>
      </c>
      <c r="JX155" s="12">
        <v>445</v>
      </c>
      <c r="KE155" s="6">
        <v>534</v>
      </c>
      <c r="KF155" s="12">
        <v>302</v>
      </c>
      <c r="KT155" s="8">
        <v>-7</v>
      </c>
      <c r="KU155" s="28">
        <v>2</v>
      </c>
      <c r="LF155" s="8">
        <v>-74</v>
      </c>
      <c r="LG155" s="28">
        <v>12</v>
      </c>
      <c r="LJ155" s="8">
        <v>509</v>
      </c>
      <c r="LK155" s="28">
        <v>347</v>
      </c>
      <c r="LU155" s="8">
        <v>1</v>
      </c>
      <c r="LV155" s="12">
        <v>28</v>
      </c>
      <c r="LW155" s="8">
        <v>-208</v>
      </c>
      <c r="LX155" s="28">
        <v>129</v>
      </c>
      <c r="MF155" s="8">
        <v>172</v>
      </c>
      <c r="MG155" s="12">
        <v>218</v>
      </c>
      <c r="NC155" s="8">
        <v>-63</v>
      </c>
      <c r="ND155" s="12">
        <v>330</v>
      </c>
      <c r="NP155" s="8">
        <v>92</v>
      </c>
      <c r="NQ155" s="12">
        <v>239</v>
      </c>
      <c r="PJ155" s="8">
        <v>532</v>
      </c>
      <c r="PK155" s="12">
        <v>146</v>
      </c>
      <c r="PP155" s="8">
        <v>-120</v>
      </c>
      <c r="PQ155" s="28">
        <v>21</v>
      </c>
      <c r="PR155" s="28"/>
      <c r="PS155" s="8">
        <v>-181</v>
      </c>
      <c r="RG155" s="8">
        <v>-203</v>
      </c>
      <c r="RH155" s="28">
        <v>97</v>
      </c>
      <c r="SP155" s="8">
        <v>712</v>
      </c>
      <c r="SY155" s="6">
        <v>151</v>
      </c>
      <c r="TH155" s="8">
        <v>288</v>
      </c>
      <c r="TI155" s="28">
        <v>202</v>
      </c>
      <c r="TX155" s="8">
        <v>-167</v>
      </c>
      <c r="TZ155" s="8">
        <v>13</v>
      </c>
      <c r="UA155" s="12">
        <v>437</v>
      </c>
      <c r="VH155" s="8">
        <v>-495</v>
      </c>
      <c r="VI155" s="28">
        <v>655</v>
      </c>
      <c r="VL155" s="21"/>
      <c r="VQ155" s="6">
        <v>23</v>
      </c>
      <c r="VR155" s="28">
        <v>11</v>
      </c>
      <c r="VZ155" s="8">
        <v>283</v>
      </c>
      <c r="XK155">
        <v>106</v>
      </c>
      <c r="XL155" s="1">
        <v>238</v>
      </c>
    </row>
    <row r="156" spans="11:636" x14ac:dyDescent="0.25">
      <c r="K156" s="2">
        <v>3251</v>
      </c>
      <c r="L156" s="1">
        <v>284</v>
      </c>
      <c r="V156">
        <v>8</v>
      </c>
      <c r="W156" s="10">
        <v>172</v>
      </c>
      <c r="AD156">
        <v>67</v>
      </c>
      <c r="AE156" s="1">
        <v>3</v>
      </c>
      <c r="AJ156" s="2">
        <v>88</v>
      </c>
      <c r="AK156" s="10">
        <v>63</v>
      </c>
      <c r="BD156" s="8"/>
      <c r="BF156">
        <v>-11</v>
      </c>
      <c r="BG156" s="1">
        <v>112</v>
      </c>
      <c r="BN156">
        <v>86</v>
      </c>
      <c r="BP156">
        <v>-202</v>
      </c>
      <c r="BQ156" s="10">
        <v>2458</v>
      </c>
      <c r="BT156">
        <v>212</v>
      </c>
      <c r="BU156" s="1">
        <v>184</v>
      </c>
      <c r="CE156" s="8">
        <v>131</v>
      </c>
      <c r="CF156" s="28">
        <v>25</v>
      </c>
      <c r="CS156" s="6">
        <v>8</v>
      </c>
      <c r="CT156" s="28">
        <v>3</v>
      </c>
      <c r="CZ156" s="23">
        <v>-495</v>
      </c>
      <c r="DA156" s="25">
        <v>325</v>
      </c>
      <c r="DF156" s="23">
        <v>111</v>
      </c>
      <c r="DG156" s="25">
        <v>284</v>
      </c>
      <c r="DH156" s="23">
        <v>-75</v>
      </c>
      <c r="DI156" s="25">
        <v>50</v>
      </c>
      <c r="DL156" s="8">
        <v>344</v>
      </c>
      <c r="DS156" s="6">
        <v>116</v>
      </c>
      <c r="DT156" s="52">
        <v>152</v>
      </c>
      <c r="DY156" s="8">
        <v>-147</v>
      </c>
      <c r="DZ156" s="52">
        <v>73</v>
      </c>
      <c r="EA156" s="23">
        <v>9</v>
      </c>
      <c r="EB156" s="52">
        <v>111</v>
      </c>
      <c r="EC156" s="52"/>
      <c r="ED156" s="52"/>
      <c r="EG156" s="6">
        <v>-450</v>
      </c>
      <c r="EH156" s="28">
        <v>820</v>
      </c>
      <c r="EI156" s="8">
        <v>-227</v>
      </c>
      <c r="EJ156" s="52">
        <v>425</v>
      </c>
      <c r="EN156" s="8">
        <v>70</v>
      </c>
      <c r="EO156" s="28">
        <v>15</v>
      </c>
      <c r="EP156" s="28"/>
      <c r="EQ156" s="28"/>
      <c r="EX156" s="8">
        <v>-333</v>
      </c>
      <c r="EY156" s="28">
        <v>870</v>
      </c>
      <c r="FD156" s="6">
        <v>175</v>
      </c>
      <c r="FE156" s="28">
        <v>381</v>
      </c>
      <c r="FM156" s="8">
        <v>315</v>
      </c>
      <c r="FN156" s="52">
        <v>70</v>
      </c>
      <c r="FS156" s="8">
        <v>160</v>
      </c>
      <c r="FT156" s="52">
        <v>235</v>
      </c>
      <c r="GC156" s="8">
        <v>685</v>
      </c>
      <c r="GI156" s="8">
        <v>6</v>
      </c>
      <c r="GJ156" s="28">
        <v>72</v>
      </c>
      <c r="GP156" s="6">
        <v>39</v>
      </c>
      <c r="GQ156" s="52">
        <v>219</v>
      </c>
      <c r="GT156" s="6">
        <v>-103</v>
      </c>
      <c r="GU156" s="52">
        <v>124</v>
      </c>
      <c r="HB156" s="6">
        <v>137</v>
      </c>
      <c r="HE156" s="6">
        <v>92</v>
      </c>
      <c r="HF156" s="28">
        <v>99</v>
      </c>
      <c r="HS156" s="8">
        <v>282</v>
      </c>
      <c r="HT156" s="52">
        <v>205</v>
      </c>
      <c r="IB156" s="8">
        <v>-306</v>
      </c>
      <c r="IC156" s="28">
        <v>101</v>
      </c>
      <c r="ID156" s="8">
        <v>30</v>
      </c>
      <c r="IE156" s="28">
        <v>908</v>
      </c>
      <c r="IY156" s="8">
        <v>150</v>
      </c>
      <c r="JW156" s="6">
        <v>-206</v>
      </c>
      <c r="JX156" s="12">
        <v>33</v>
      </c>
      <c r="KE156" s="6">
        <v>-550</v>
      </c>
      <c r="KF156" s="12">
        <v>173</v>
      </c>
      <c r="KT156" s="8">
        <v>20</v>
      </c>
      <c r="KU156" s="28">
        <v>22</v>
      </c>
      <c r="LF156" s="8">
        <v>-83</v>
      </c>
      <c r="LG156" s="28">
        <v>9</v>
      </c>
      <c r="LJ156" s="8">
        <v>425</v>
      </c>
      <c r="LK156" s="28">
        <v>249</v>
      </c>
      <c r="LU156" s="8">
        <v>4</v>
      </c>
      <c r="LV156" s="12">
        <v>60</v>
      </c>
      <c r="LW156" s="8">
        <v>-732</v>
      </c>
      <c r="LX156" s="28">
        <v>95</v>
      </c>
      <c r="MF156" s="8">
        <v>-727</v>
      </c>
      <c r="MG156" s="12">
        <v>118</v>
      </c>
      <c r="NC156" s="8">
        <v>-74</v>
      </c>
      <c r="ND156" s="12">
        <v>346</v>
      </c>
      <c r="NP156" s="8">
        <v>146</v>
      </c>
      <c r="NQ156" s="12">
        <v>271</v>
      </c>
      <c r="PJ156" s="8">
        <v>153</v>
      </c>
      <c r="PK156" s="12">
        <v>623</v>
      </c>
      <c r="PP156" s="8">
        <v>-323</v>
      </c>
      <c r="PQ156" s="28">
        <v>24</v>
      </c>
      <c r="PR156" s="28"/>
      <c r="PS156" s="8">
        <f>908</f>
        <v>908</v>
      </c>
      <c r="RG156" s="8">
        <v>140</v>
      </c>
      <c r="RH156" s="28">
        <v>92</v>
      </c>
      <c r="SP156" s="8">
        <v>477</v>
      </c>
      <c r="SY156" s="6">
        <v>918</v>
      </c>
      <c r="TH156" s="8">
        <v>339</v>
      </c>
      <c r="TI156" s="28">
        <v>321</v>
      </c>
      <c r="TX156" s="8">
        <v>-101</v>
      </c>
      <c r="TZ156" s="8">
        <v>-1</v>
      </c>
      <c r="UA156" s="12">
        <v>212</v>
      </c>
      <c r="VH156" s="8">
        <v>146</v>
      </c>
      <c r="VI156" s="28">
        <v>874</v>
      </c>
      <c r="VL156" s="21"/>
      <c r="VQ156" s="6">
        <v>22</v>
      </c>
      <c r="VR156" s="28">
        <v>10</v>
      </c>
      <c r="VZ156" s="8">
        <v>-204</v>
      </c>
    </row>
    <row r="157" spans="11:636" x14ac:dyDescent="0.25">
      <c r="K157" s="2">
        <v>3279</v>
      </c>
      <c r="L157" s="1">
        <v>285</v>
      </c>
      <c r="V157">
        <v>4</v>
      </c>
      <c r="W157" s="10">
        <v>41</v>
      </c>
      <c r="AD157">
        <v>152</v>
      </c>
      <c r="AE157" s="1">
        <v>8</v>
      </c>
      <c r="AJ157" s="2">
        <v>88</v>
      </c>
      <c r="AK157" s="10">
        <v>60</v>
      </c>
      <c r="BD157" s="8"/>
      <c r="BF157">
        <v>392</v>
      </c>
      <c r="BG157" s="1">
        <v>74</v>
      </c>
      <c r="BN157">
        <v>-65</v>
      </c>
      <c r="BP157">
        <v>-157</v>
      </c>
      <c r="BQ157" s="10">
        <v>1779</v>
      </c>
      <c r="BT157">
        <v>-112</v>
      </c>
      <c r="BU157" s="1">
        <v>162</v>
      </c>
      <c r="CE157" s="8">
        <v>172</v>
      </c>
      <c r="CF157" s="28">
        <v>43</v>
      </c>
      <c r="CS157" s="6">
        <v>5</v>
      </c>
      <c r="CT157" s="28">
        <v>3</v>
      </c>
      <c r="CZ157" s="23">
        <v>-757</v>
      </c>
      <c r="DA157" s="25">
        <v>947</v>
      </c>
      <c r="DF157" s="23">
        <v>117</v>
      </c>
      <c r="DG157" s="25">
        <v>428</v>
      </c>
      <c r="DH157" s="23">
        <v>-30</v>
      </c>
      <c r="DI157" s="25">
        <v>48</v>
      </c>
      <c r="DL157" s="8">
        <v>294</v>
      </c>
      <c r="DS157" s="6">
        <v>-65</v>
      </c>
      <c r="DT157" s="52">
        <v>111</v>
      </c>
      <c r="DY157" s="8">
        <v>-496</v>
      </c>
      <c r="DZ157" s="52">
        <v>192</v>
      </c>
      <c r="EA157" s="23">
        <v>3</v>
      </c>
      <c r="EB157" s="52">
        <v>513</v>
      </c>
      <c r="EC157" s="52"/>
      <c r="ED157" s="52"/>
      <c r="EG157" s="6">
        <v>-519</v>
      </c>
      <c r="EH157" s="28">
        <v>795</v>
      </c>
      <c r="EI157" s="8">
        <v>18</v>
      </c>
      <c r="EJ157" s="52">
        <v>721</v>
      </c>
      <c r="EN157" s="8">
        <v>74</v>
      </c>
      <c r="EO157" s="28">
        <v>10</v>
      </c>
      <c r="EP157" s="28"/>
      <c r="EQ157" s="28"/>
      <c r="EX157" s="8">
        <v>177</v>
      </c>
      <c r="EY157" s="28">
        <v>731</v>
      </c>
      <c r="FD157" s="6">
        <v>280</v>
      </c>
      <c r="FE157" s="28">
        <v>185</v>
      </c>
      <c r="FM157" s="8">
        <v>-252</v>
      </c>
      <c r="FN157" s="52">
        <v>45</v>
      </c>
      <c r="FS157" s="8">
        <v>160</v>
      </c>
      <c r="FT157" s="52">
        <v>235</v>
      </c>
      <c r="GC157" s="8">
        <v>503</v>
      </c>
      <c r="GI157" s="8">
        <v>-94</v>
      </c>
      <c r="GJ157" s="28">
        <v>58</v>
      </c>
      <c r="GP157" s="6">
        <v>24</v>
      </c>
      <c r="GQ157" s="52">
        <v>319</v>
      </c>
      <c r="GT157" s="6">
        <v>-163</v>
      </c>
      <c r="GU157" s="52">
        <v>192</v>
      </c>
      <c r="HB157" s="6">
        <v>46</v>
      </c>
      <c r="HE157" s="6">
        <v>52</v>
      </c>
      <c r="HF157" s="28">
        <v>94</v>
      </c>
      <c r="HS157" s="8">
        <v>779</v>
      </c>
      <c r="HT157" s="52">
        <v>248</v>
      </c>
      <c r="IB157" s="8">
        <v>114</v>
      </c>
      <c r="IC157" s="28">
        <v>433</v>
      </c>
      <c r="ID157" s="8">
        <v>322</v>
      </c>
      <c r="IE157" s="28">
        <v>251</v>
      </c>
      <c r="IY157" s="8">
        <v>-209</v>
      </c>
      <c r="JW157" s="6">
        <v>-18</v>
      </c>
      <c r="JX157" s="12">
        <v>291</v>
      </c>
      <c r="KE157" s="6">
        <v>330</v>
      </c>
      <c r="KF157" s="12">
        <v>786</v>
      </c>
      <c r="KT157" s="8">
        <v>359</v>
      </c>
      <c r="KU157" s="28">
        <v>13</v>
      </c>
      <c r="LF157" s="8">
        <v>-97</v>
      </c>
      <c r="LG157" s="28">
        <v>7</v>
      </c>
      <c r="LJ157" s="8">
        <v>383</v>
      </c>
      <c r="LK157" s="28">
        <v>232</v>
      </c>
      <c r="LU157" s="8">
        <v>26</v>
      </c>
      <c r="LV157" s="12">
        <v>32</v>
      </c>
      <c r="LW157" s="8">
        <v>219</v>
      </c>
      <c r="LX157" s="28">
        <v>275</v>
      </c>
      <c r="MF157" s="8">
        <v>647</v>
      </c>
      <c r="MG157" s="12">
        <v>149</v>
      </c>
      <c r="NC157" s="8">
        <v>-39</v>
      </c>
      <c r="ND157" s="12">
        <v>396</v>
      </c>
      <c r="NP157" s="8">
        <v>-56</v>
      </c>
      <c r="NQ157" s="12">
        <v>72</v>
      </c>
      <c r="PJ157" s="8">
        <v>14</v>
      </c>
      <c r="PK157" s="12">
        <v>235</v>
      </c>
      <c r="PP157" s="8">
        <v>-147</v>
      </c>
      <c r="PQ157" s="28">
        <v>28</v>
      </c>
      <c r="PR157" s="28"/>
      <c r="PS157" s="8">
        <v>-197</v>
      </c>
      <c r="RG157" s="8">
        <v>-9</v>
      </c>
      <c r="RH157" s="28">
        <v>88</v>
      </c>
      <c r="SP157" s="8">
        <v>591</v>
      </c>
      <c r="TH157" s="8">
        <v>265</v>
      </c>
      <c r="TI157" s="28">
        <v>267</v>
      </c>
      <c r="TX157" s="8">
        <v>-201</v>
      </c>
      <c r="TZ157" s="8">
        <v>-11</v>
      </c>
      <c r="UA157" s="12">
        <v>599</v>
      </c>
      <c r="VH157" s="8">
        <v>309</v>
      </c>
      <c r="VI157" s="28">
        <v>209</v>
      </c>
      <c r="VL157" s="21"/>
      <c r="VQ157" s="6">
        <v>19</v>
      </c>
      <c r="VR157" s="28">
        <v>11</v>
      </c>
      <c r="VZ157" s="8">
        <v>-204</v>
      </c>
    </row>
    <row r="158" spans="11:636" x14ac:dyDescent="0.25">
      <c r="K158" s="2">
        <v>2797</v>
      </c>
      <c r="L158" s="1">
        <v>156</v>
      </c>
      <c r="V158">
        <v>7</v>
      </c>
      <c r="W158" s="10">
        <v>142</v>
      </c>
      <c r="AD158">
        <v>152</v>
      </c>
      <c r="AE158" s="1">
        <v>8</v>
      </c>
      <c r="AJ158" s="2">
        <v>-1905</v>
      </c>
      <c r="AK158" s="10">
        <v>177</v>
      </c>
      <c r="BD158" s="8"/>
      <c r="BF158">
        <v>893</v>
      </c>
      <c r="BG158" s="1">
        <v>290</v>
      </c>
      <c r="BN158">
        <v>-113</v>
      </c>
      <c r="BP158">
        <v>-300</v>
      </c>
      <c r="BQ158" s="10">
        <v>2843</v>
      </c>
      <c r="BT158">
        <v>-119</v>
      </c>
      <c r="BU158" s="1">
        <v>260</v>
      </c>
      <c r="CE158" s="8">
        <v>193</v>
      </c>
      <c r="CF158" s="28">
        <v>36</v>
      </c>
      <c r="CS158" s="6">
        <v>-12</v>
      </c>
      <c r="CT158" s="28">
        <v>5</v>
      </c>
      <c r="CZ158" s="23">
        <v>107</v>
      </c>
      <c r="DA158" s="25">
        <v>111</v>
      </c>
      <c r="DF158" s="23">
        <v>155</v>
      </c>
      <c r="DG158" s="25">
        <v>621</v>
      </c>
      <c r="DH158" s="23">
        <v>-6</v>
      </c>
      <c r="DI158" s="25">
        <v>49</v>
      </c>
      <c r="DL158" s="8">
        <v>164</v>
      </c>
      <c r="DS158" s="6">
        <v>49</v>
      </c>
      <c r="DT158" s="52">
        <v>133</v>
      </c>
      <c r="DY158" s="8">
        <v>-533</v>
      </c>
      <c r="DZ158" s="52">
        <v>211</v>
      </c>
      <c r="EA158" s="23">
        <v>1</v>
      </c>
      <c r="EB158" s="52">
        <v>135</v>
      </c>
      <c r="EC158" s="52"/>
      <c r="ED158" s="52"/>
      <c r="EG158" s="6">
        <v>-380</v>
      </c>
      <c r="EH158" s="28">
        <v>845</v>
      </c>
      <c r="EI158" s="8">
        <v>318</v>
      </c>
      <c r="EJ158" s="52">
        <v>701</v>
      </c>
      <c r="EN158" s="8">
        <v>231</v>
      </c>
      <c r="EO158" s="28">
        <v>15</v>
      </c>
      <c r="EP158" s="28"/>
      <c r="EQ158" s="28"/>
      <c r="EX158" s="8">
        <v>-555</v>
      </c>
      <c r="EY158" s="28">
        <v>354</v>
      </c>
      <c r="FD158" s="6">
        <v>166</v>
      </c>
      <c r="FE158" s="28">
        <v>245</v>
      </c>
      <c r="FM158" s="8">
        <v>120</v>
      </c>
      <c r="FN158" s="52">
        <v>321</v>
      </c>
      <c r="FS158" s="8">
        <v>160</v>
      </c>
      <c r="FT158" s="52">
        <v>235</v>
      </c>
      <c r="GC158" s="8">
        <v>-425</v>
      </c>
      <c r="GI158" s="8">
        <v>-1</v>
      </c>
      <c r="GJ158" s="28">
        <v>93</v>
      </c>
      <c r="GP158" s="6">
        <v>19</v>
      </c>
      <c r="GQ158" s="52">
        <v>151</v>
      </c>
      <c r="GT158" s="6">
        <v>-539</v>
      </c>
      <c r="GU158" s="52">
        <v>120</v>
      </c>
      <c r="HB158" s="6">
        <v>153</v>
      </c>
      <c r="HE158" s="6">
        <v>16</v>
      </c>
      <c r="HF158" s="28">
        <v>102</v>
      </c>
      <c r="HS158" s="8">
        <v>51</v>
      </c>
      <c r="HT158" s="52">
        <v>337</v>
      </c>
      <c r="IB158" s="8">
        <v>126</v>
      </c>
      <c r="IC158" s="28">
        <v>430</v>
      </c>
      <c r="ID158" s="8">
        <v>477</v>
      </c>
      <c r="IE158" s="28">
        <v>60</v>
      </c>
      <c r="IY158" s="8">
        <v>-170</v>
      </c>
      <c r="JW158" s="6">
        <v>-458</v>
      </c>
      <c r="JX158" s="12">
        <v>103</v>
      </c>
      <c r="KE158" s="6">
        <v>-364</v>
      </c>
      <c r="KF158" s="12">
        <v>131</v>
      </c>
      <c r="KT158" s="8">
        <v>12</v>
      </c>
      <c r="KU158" s="28">
        <v>22</v>
      </c>
      <c r="LF158" s="8">
        <v>65</v>
      </c>
      <c r="LG158" s="28">
        <v>28</v>
      </c>
      <c r="LJ158" s="8">
        <v>414</v>
      </c>
      <c r="LK158" s="28">
        <v>367</v>
      </c>
      <c r="LU158" s="8">
        <v>-281</v>
      </c>
      <c r="LV158" s="12">
        <v>280</v>
      </c>
      <c r="LW158" s="8">
        <v>-708</v>
      </c>
      <c r="LX158" s="28">
        <v>155</v>
      </c>
      <c r="MF158" s="8">
        <v>198</v>
      </c>
      <c r="MG158" s="12">
        <v>440</v>
      </c>
      <c r="NC158" s="8">
        <v>10</v>
      </c>
      <c r="ND158" s="12">
        <v>720</v>
      </c>
      <c r="NP158" s="8">
        <v>201</v>
      </c>
      <c r="NQ158" s="12">
        <v>437</v>
      </c>
      <c r="PJ158" s="8">
        <v>168</v>
      </c>
      <c r="PK158" s="12">
        <v>138</v>
      </c>
      <c r="PP158" s="8">
        <v>-4</v>
      </c>
      <c r="PQ158" s="28">
        <v>23</v>
      </c>
      <c r="PR158" s="28"/>
      <c r="PS158" s="8">
        <v>-41</v>
      </c>
      <c r="RG158" s="8">
        <v>421</v>
      </c>
      <c r="RH158" s="28">
        <v>93</v>
      </c>
      <c r="SP158" s="8">
        <v>607</v>
      </c>
      <c r="TH158" s="8">
        <v>570</v>
      </c>
      <c r="TI158" s="28">
        <v>398</v>
      </c>
      <c r="TX158" s="8">
        <v>-195</v>
      </c>
      <c r="TZ158" s="8">
        <v>973</v>
      </c>
      <c r="UA158" s="12">
        <v>258</v>
      </c>
      <c r="VH158" s="8">
        <v>199</v>
      </c>
      <c r="VI158" s="28">
        <v>685</v>
      </c>
      <c r="VL158" s="21"/>
      <c r="VQ158" s="6">
        <v>20</v>
      </c>
      <c r="VR158" s="28">
        <v>12</v>
      </c>
      <c r="VZ158" s="8">
        <v>132</v>
      </c>
    </row>
    <row r="159" spans="11:636" x14ac:dyDescent="0.25">
      <c r="K159" s="2">
        <v>2794</v>
      </c>
      <c r="L159" s="1">
        <v>157</v>
      </c>
      <c r="V159">
        <v>6</v>
      </c>
      <c r="W159" s="10">
        <v>138</v>
      </c>
      <c r="AD159">
        <v>138</v>
      </c>
      <c r="AE159" s="1">
        <v>9</v>
      </c>
      <c r="AJ159" s="2">
        <v>-2581</v>
      </c>
      <c r="AK159" s="10">
        <v>223</v>
      </c>
      <c r="BD159" s="8"/>
      <c r="BF159">
        <v>-381</v>
      </c>
      <c r="BG159" s="1">
        <v>435</v>
      </c>
      <c r="BN159">
        <v>-36</v>
      </c>
      <c r="BT159">
        <v>23</v>
      </c>
      <c r="BU159" s="1">
        <v>76</v>
      </c>
      <c r="CE159" s="8">
        <v>147</v>
      </c>
      <c r="CF159" s="28">
        <v>42</v>
      </c>
      <c r="CS159" s="6">
        <v>-5</v>
      </c>
      <c r="CT159" s="28">
        <v>2</v>
      </c>
      <c r="CZ159" s="23">
        <v>-46</v>
      </c>
      <c r="DA159" s="25">
        <v>108</v>
      </c>
      <c r="DF159" s="23">
        <v>116</v>
      </c>
      <c r="DG159" s="25">
        <v>210</v>
      </c>
      <c r="DH159" s="23">
        <v>-64</v>
      </c>
      <c r="DI159" s="25">
        <v>50</v>
      </c>
      <c r="DL159" s="8">
        <v>366</v>
      </c>
      <c r="DS159" s="6">
        <v>24</v>
      </c>
      <c r="DT159" s="52">
        <v>67</v>
      </c>
      <c r="DY159" s="8">
        <v>-719</v>
      </c>
      <c r="DZ159" s="52">
        <v>203</v>
      </c>
      <c r="EA159" s="23">
        <v>-82</v>
      </c>
      <c r="EB159" s="52">
        <v>117</v>
      </c>
      <c r="EC159" s="52"/>
      <c r="ED159" s="52"/>
      <c r="EG159" s="6">
        <v>-303</v>
      </c>
      <c r="EH159" s="28">
        <v>172</v>
      </c>
      <c r="EI159" s="8">
        <v>245</v>
      </c>
      <c r="EJ159" s="52">
        <v>706</v>
      </c>
      <c r="EN159" s="8">
        <v>318</v>
      </c>
      <c r="EO159" s="28">
        <v>18</v>
      </c>
      <c r="EP159" s="28"/>
      <c r="EQ159" s="28"/>
      <c r="EX159" s="8">
        <v>-204</v>
      </c>
      <c r="EY159" s="28">
        <v>464</v>
      </c>
      <c r="FD159" s="6">
        <v>-139</v>
      </c>
      <c r="FE159" s="28">
        <v>189</v>
      </c>
      <c r="FM159" s="8">
        <v>346</v>
      </c>
      <c r="FN159" s="52">
        <v>245</v>
      </c>
      <c r="FS159" s="8">
        <v>115</v>
      </c>
      <c r="FT159" s="52">
        <v>120</v>
      </c>
      <c r="GC159" s="8">
        <v>-280</v>
      </c>
      <c r="GI159" s="8">
        <v>-120</v>
      </c>
      <c r="GJ159" s="28">
        <v>104</v>
      </c>
      <c r="GP159" s="6">
        <v>4</v>
      </c>
      <c r="GQ159" s="52">
        <v>108</v>
      </c>
      <c r="GT159" s="6">
        <v>402</v>
      </c>
      <c r="GU159" s="52">
        <v>885</v>
      </c>
      <c r="HB159" s="6">
        <v>-3</v>
      </c>
      <c r="HE159" s="6">
        <v>9</v>
      </c>
      <c r="HF159" s="28">
        <v>71</v>
      </c>
      <c r="HS159" s="8">
        <v>-3</v>
      </c>
      <c r="HT159" s="52">
        <v>7</v>
      </c>
      <c r="IB159" s="8">
        <v>-300</v>
      </c>
      <c r="IC159" s="28">
        <v>101</v>
      </c>
      <c r="ID159" s="8">
        <v>348</v>
      </c>
      <c r="IE159" s="28">
        <v>297</v>
      </c>
      <c r="IY159" s="8">
        <v>-130</v>
      </c>
      <c r="JW159" s="6">
        <v>-275</v>
      </c>
      <c r="JX159" s="12">
        <v>666</v>
      </c>
      <c r="KE159" s="6">
        <v>470</v>
      </c>
      <c r="KF159" s="12">
        <v>626</v>
      </c>
      <c r="KT159" s="8">
        <v>104</v>
      </c>
      <c r="KU159" s="28">
        <v>6</v>
      </c>
      <c r="LF159" s="8">
        <v>-69</v>
      </c>
      <c r="LG159" s="28">
        <v>23</v>
      </c>
      <c r="LJ159" s="8">
        <v>521</v>
      </c>
      <c r="LK159" s="28">
        <v>300</v>
      </c>
      <c r="LU159" s="8">
        <v>3</v>
      </c>
      <c r="LV159" s="12">
        <v>4</v>
      </c>
      <c r="LW159" s="8">
        <v>-142</v>
      </c>
      <c r="LX159" s="28">
        <v>138</v>
      </c>
      <c r="MF159" s="8">
        <v>240</v>
      </c>
      <c r="MG159" s="12">
        <v>394</v>
      </c>
      <c r="NC159" s="8">
        <v>-23</v>
      </c>
      <c r="ND159" s="12">
        <v>769</v>
      </c>
      <c r="NP159" s="8">
        <v>318</v>
      </c>
      <c r="NQ159" s="12">
        <v>217</v>
      </c>
      <c r="PJ159" s="8">
        <v>248</v>
      </c>
      <c r="PK159" s="12">
        <v>743</v>
      </c>
      <c r="PP159" s="8">
        <v>-94</v>
      </c>
      <c r="PQ159" s="28">
        <v>21</v>
      </c>
      <c r="PR159" s="28"/>
      <c r="PS159" s="8">
        <v>-18</v>
      </c>
      <c r="RG159" s="8">
        <v>47</v>
      </c>
      <c r="RH159" s="28">
        <v>315</v>
      </c>
      <c r="SP159" s="8">
        <v>-2</v>
      </c>
      <c r="TH159" s="8">
        <v>13</v>
      </c>
      <c r="TI159" s="28">
        <v>138</v>
      </c>
      <c r="TX159" s="8">
        <v>-823</v>
      </c>
      <c r="TZ159" s="8">
        <v>862</v>
      </c>
      <c r="UA159" s="12">
        <v>627</v>
      </c>
      <c r="VH159" s="8">
        <v>504</v>
      </c>
      <c r="VI159" s="28">
        <v>164</v>
      </c>
      <c r="VL159" s="21"/>
      <c r="VQ159" s="6">
        <v>18</v>
      </c>
      <c r="VR159" s="28">
        <v>12</v>
      </c>
      <c r="VZ159" s="8">
        <v>134</v>
      </c>
    </row>
    <row r="160" spans="11:636" x14ac:dyDescent="0.25">
      <c r="K160" s="2">
        <v>2883</v>
      </c>
      <c r="L160" s="1">
        <v>133</v>
      </c>
      <c r="V160">
        <v>11</v>
      </c>
      <c r="W160" s="10">
        <v>241</v>
      </c>
      <c r="AD160">
        <v>138</v>
      </c>
      <c r="AE160" s="1">
        <v>9</v>
      </c>
      <c r="AJ160" s="2">
        <v>80</v>
      </c>
      <c r="AK160" s="10">
        <v>80</v>
      </c>
      <c r="BD160" s="8"/>
      <c r="BF160">
        <v>442</v>
      </c>
      <c r="BG160" s="1">
        <v>168</v>
      </c>
      <c r="BN160">
        <v>-247</v>
      </c>
      <c r="BT160">
        <v>675</v>
      </c>
      <c r="BU160" s="1">
        <v>675</v>
      </c>
      <c r="CE160" s="8">
        <v>126</v>
      </c>
      <c r="CF160" s="28">
        <v>47</v>
      </c>
      <c r="CS160" s="6">
        <v>-1</v>
      </c>
      <c r="CT160" s="28">
        <v>2</v>
      </c>
      <c r="CZ160" s="23">
        <v>60</v>
      </c>
      <c r="DA160" s="25">
        <v>13</v>
      </c>
      <c r="DF160" s="23">
        <v>119</v>
      </c>
      <c r="DG160" s="25">
        <v>409</v>
      </c>
      <c r="DH160" s="23">
        <v>-13</v>
      </c>
      <c r="DI160" s="25">
        <v>52</v>
      </c>
      <c r="DL160" s="8">
        <v>2</v>
      </c>
      <c r="DS160" s="6">
        <v>923</v>
      </c>
      <c r="DT160" s="52">
        <v>86</v>
      </c>
      <c r="DY160" s="8">
        <v>-427</v>
      </c>
      <c r="DZ160" s="52">
        <v>132</v>
      </c>
      <c r="EA160" s="23">
        <v>724</v>
      </c>
      <c r="EB160" s="52">
        <v>257</v>
      </c>
      <c r="EC160" s="52"/>
      <c r="ED160" s="52"/>
      <c r="EG160" s="6">
        <v>718</v>
      </c>
      <c r="EH160" s="28">
        <v>194</v>
      </c>
      <c r="EI160" s="8">
        <v>1</v>
      </c>
      <c r="EJ160" s="52">
        <v>379</v>
      </c>
      <c r="EN160" s="8">
        <v>-39</v>
      </c>
      <c r="EO160" s="28">
        <v>11</v>
      </c>
      <c r="EP160" s="28"/>
      <c r="EQ160" s="28"/>
      <c r="EX160" s="8">
        <v>-700</v>
      </c>
      <c r="EY160" s="28">
        <v>347</v>
      </c>
      <c r="FD160" s="6">
        <v>669</v>
      </c>
      <c r="FE160" s="28">
        <v>514</v>
      </c>
      <c r="FM160" s="8">
        <v>-764</v>
      </c>
      <c r="FN160" s="52">
        <v>230</v>
      </c>
      <c r="FS160" s="8">
        <v>114</v>
      </c>
      <c r="FT160" s="52">
        <v>116</v>
      </c>
      <c r="GC160" s="8">
        <v>-659</v>
      </c>
      <c r="GI160" s="8">
        <v>-30</v>
      </c>
      <c r="GJ160" s="28">
        <v>100</v>
      </c>
      <c r="GP160" s="6">
        <v>16</v>
      </c>
      <c r="GQ160" s="52">
        <v>168</v>
      </c>
      <c r="GT160" s="6">
        <v>-126</v>
      </c>
      <c r="GU160" s="52">
        <v>149</v>
      </c>
      <c r="HB160" s="6">
        <v>236</v>
      </c>
      <c r="HE160" s="6">
        <v>31</v>
      </c>
      <c r="HF160" s="28">
        <v>30</v>
      </c>
      <c r="HS160" s="8">
        <v>7</v>
      </c>
      <c r="HT160" s="52">
        <v>27</v>
      </c>
      <c r="IB160" s="8">
        <v>-296</v>
      </c>
      <c r="IC160" s="28">
        <v>997</v>
      </c>
      <c r="ID160" s="8">
        <v>538</v>
      </c>
      <c r="IE160" s="28">
        <v>52</v>
      </c>
      <c r="IY160" s="8">
        <v>-510</v>
      </c>
      <c r="JW160" s="6">
        <v>-424</v>
      </c>
      <c r="JX160" s="12">
        <v>963</v>
      </c>
      <c r="KE160" s="6">
        <v>-96</v>
      </c>
      <c r="KF160" s="12">
        <v>269</v>
      </c>
      <c r="KT160" s="8">
        <v>-499</v>
      </c>
      <c r="KU160" s="28">
        <v>14</v>
      </c>
      <c r="LF160" s="8">
        <v>-108</v>
      </c>
      <c r="LG160" s="28">
        <v>18</v>
      </c>
      <c r="LJ160" s="8">
        <v>239</v>
      </c>
      <c r="LK160" s="28">
        <v>339</v>
      </c>
      <c r="LU160" s="8">
        <v>60</v>
      </c>
      <c r="LV160" s="12">
        <v>59</v>
      </c>
      <c r="LW160" s="8">
        <v>-650</v>
      </c>
      <c r="LX160" s="28">
        <v>84</v>
      </c>
      <c r="MF160" s="8">
        <v>123</v>
      </c>
      <c r="MG160" s="12">
        <v>254</v>
      </c>
      <c r="NC160" s="8">
        <v>13</v>
      </c>
      <c r="ND160" s="12">
        <v>734</v>
      </c>
      <c r="NP160" s="8">
        <v>928</v>
      </c>
      <c r="NQ160" s="12">
        <v>552</v>
      </c>
      <c r="PJ160" s="8">
        <v>243</v>
      </c>
      <c r="PK160" s="12">
        <v>998</v>
      </c>
      <c r="PP160" s="8">
        <v>-259</v>
      </c>
      <c r="PQ160" s="28">
        <v>19</v>
      </c>
      <c r="PR160" s="28"/>
      <c r="PS160" s="8">
        <v>-440</v>
      </c>
      <c r="RG160" s="8">
        <v>481</v>
      </c>
      <c r="RH160" s="28">
        <v>184</v>
      </c>
      <c r="SP160" s="8">
        <v>219</v>
      </c>
      <c r="TH160" s="8">
        <v>94</v>
      </c>
      <c r="TI160" s="28">
        <v>68</v>
      </c>
      <c r="TZ160" s="8">
        <v>466</v>
      </c>
      <c r="UA160" s="12">
        <v>747</v>
      </c>
      <c r="VH160" s="8">
        <v>-767</v>
      </c>
      <c r="VI160" s="28">
        <v>299</v>
      </c>
      <c r="VL160" s="21"/>
      <c r="VQ160" s="6">
        <v>20</v>
      </c>
      <c r="VR160" s="28">
        <v>11</v>
      </c>
      <c r="VZ160" s="8">
        <v>315</v>
      </c>
    </row>
    <row r="161" spans="11:598" x14ac:dyDescent="0.25">
      <c r="K161" s="2">
        <v>2876</v>
      </c>
      <c r="L161" s="1">
        <v>133</v>
      </c>
      <c r="V161">
        <v>11</v>
      </c>
      <c r="W161" s="10">
        <v>275</v>
      </c>
      <c r="AD161">
        <v>-127</v>
      </c>
      <c r="AE161" s="1">
        <v>8</v>
      </c>
      <c r="AJ161" s="2">
        <v>93</v>
      </c>
      <c r="AK161" s="10">
        <v>87</v>
      </c>
      <c r="BD161" s="8"/>
      <c r="BF161">
        <v>1359</v>
      </c>
      <c r="BG161" s="1">
        <v>302</v>
      </c>
      <c r="BN161">
        <v>1145</v>
      </c>
      <c r="BT161">
        <v>-183</v>
      </c>
      <c r="BU161" s="1">
        <v>376</v>
      </c>
      <c r="CE161" s="8">
        <v>170</v>
      </c>
      <c r="CF161" s="28">
        <v>40</v>
      </c>
      <c r="CS161" s="6">
        <v>15</v>
      </c>
      <c r="CT161" s="28">
        <v>4</v>
      </c>
      <c r="CZ161" s="23">
        <v>-14</v>
      </c>
      <c r="DA161" s="25">
        <v>159</v>
      </c>
      <c r="DF161" s="23">
        <v>146</v>
      </c>
      <c r="DG161" s="25">
        <v>151</v>
      </c>
      <c r="DH161" s="23">
        <v>291</v>
      </c>
      <c r="DI161" s="25">
        <v>53</v>
      </c>
      <c r="DL161" s="8">
        <v>25</v>
      </c>
      <c r="DS161" s="6">
        <v>-72</v>
      </c>
      <c r="DT161" s="52">
        <v>407</v>
      </c>
      <c r="DY161" s="8">
        <v>154</v>
      </c>
      <c r="DZ161" s="52">
        <v>46</v>
      </c>
      <c r="EA161" s="23">
        <v>485</v>
      </c>
      <c r="EB161" s="52">
        <v>576</v>
      </c>
      <c r="EC161" s="52"/>
      <c r="ED161" s="52"/>
      <c r="EG161" s="6">
        <v>179</v>
      </c>
      <c r="EH161" s="28">
        <v>219</v>
      </c>
      <c r="EI161" s="8">
        <v>-720</v>
      </c>
      <c r="EJ161" s="52">
        <v>102</v>
      </c>
      <c r="EN161" s="8">
        <v>-159</v>
      </c>
      <c r="EO161" s="28">
        <v>14</v>
      </c>
      <c r="EP161" s="28"/>
      <c r="EQ161" s="28"/>
      <c r="EX161" s="8">
        <v>380</v>
      </c>
      <c r="EY161" s="28">
        <v>14</v>
      </c>
      <c r="FD161" s="6">
        <v>127</v>
      </c>
      <c r="FE161" s="28">
        <v>142</v>
      </c>
      <c r="FM161" s="8">
        <v>-126</v>
      </c>
      <c r="FN161" s="52">
        <v>665</v>
      </c>
      <c r="FS161" s="8">
        <v>162</v>
      </c>
      <c r="FT161" s="52">
        <v>24</v>
      </c>
      <c r="GC161" s="8">
        <v>-306</v>
      </c>
      <c r="GI161" s="8">
        <v>-57</v>
      </c>
      <c r="GJ161" s="28">
        <v>89</v>
      </c>
      <c r="GP161" s="6">
        <v>12</v>
      </c>
      <c r="GQ161" s="52">
        <v>224</v>
      </c>
      <c r="GT161" s="6">
        <v>-585</v>
      </c>
      <c r="GU161" s="52">
        <v>773</v>
      </c>
      <c r="HB161" s="6">
        <v>72</v>
      </c>
      <c r="HE161" s="6">
        <v>-25</v>
      </c>
      <c r="HF161" s="28">
        <v>23</v>
      </c>
      <c r="HS161" s="8">
        <v>-9</v>
      </c>
      <c r="HT161" s="52">
        <v>80</v>
      </c>
      <c r="IB161" s="8">
        <v>-727</v>
      </c>
      <c r="IC161" s="28">
        <v>369</v>
      </c>
      <c r="ID161" s="8">
        <v>17</v>
      </c>
      <c r="IE161" s="28">
        <v>961</v>
      </c>
      <c r="IY161" s="8">
        <v>170</v>
      </c>
      <c r="JW161" s="6">
        <v>-286</v>
      </c>
      <c r="JX161" s="12">
        <v>383</v>
      </c>
      <c r="KE161" s="6">
        <v>66</v>
      </c>
      <c r="KF161" s="12">
        <v>115</v>
      </c>
      <c r="KT161" s="8">
        <v>-178</v>
      </c>
      <c r="KU161" s="28">
        <v>21</v>
      </c>
      <c r="LF161" s="8">
        <v>-138</v>
      </c>
      <c r="LG161" s="28">
        <v>18</v>
      </c>
      <c r="LJ161" s="8">
        <v>224</v>
      </c>
      <c r="LK161" s="28">
        <v>502</v>
      </c>
      <c r="LU161" s="8">
        <v>-67</v>
      </c>
      <c r="LV161" s="12">
        <v>79</v>
      </c>
      <c r="LW161" s="8">
        <v>892</v>
      </c>
      <c r="LX161" s="28">
        <v>75</v>
      </c>
      <c r="MF161" s="8">
        <v>809</v>
      </c>
      <c r="MG161" s="12">
        <v>103</v>
      </c>
      <c r="NC161" s="8">
        <v>46</v>
      </c>
      <c r="ND161" s="12">
        <v>450</v>
      </c>
      <c r="NP161" s="8">
        <v>11</v>
      </c>
      <c r="NQ161" s="12">
        <v>108</v>
      </c>
      <c r="PJ161" s="8">
        <v>106</v>
      </c>
      <c r="PK161" s="12">
        <v>246</v>
      </c>
      <c r="PP161" s="8">
        <v>-162</v>
      </c>
      <c r="PQ161" s="28">
        <v>18</v>
      </c>
      <c r="PR161" s="28"/>
      <c r="PS161" s="8">
        <v>187</v>
      </c>
      <c r="RG161" s="8">
        <v>-153</v>
      </c>
      <c r="RH161" s="28">
        <v>151</v>
      </c>
      <c r="SP161" s="8">
        <v>305</v>
      </c>
      <c r="TH161" s="8">
        <v>38</v>
      </c>
      <c r="TI161" s="28">
        <v>105</v>
      </c>
      <c r="TZ161" s="8">
        <v>213</v>
      </c>
      <c r="UA161" s="12">
        <v>152</v>
      </c>
      <c r="VH161" s="8">
        <v>-118</v>
      </c>
      <c r="VI161" s="28">
        <v>866</v>
      </c>
      <c r="VL161" s="21"/>
      <c r="VQ161" s="6">
        <v>18</v>
      </c>
      <c r="VR161" s="28">
        <v>12</v>
      </c>
      <c r="VZ161" s="8">
        <v>728</v>
      </c>
    </row>
    <row r="162" spans="11:598" x14ac:dyDescent="0.25">
      <c r="K162" s="2">
        <v>2841</v>
      </c>
      <c r="L162" s="1">
        <v>132</v>
      </c>
      <c r="V162">
        <v>8</v>
      </c>
      <c r="W162" s="10">
        <v>154</v>
      </c>
      <c r="AD162">
        <v>-127</v>
      </c>
      <c r="AE162" s="1">
        <v>8</v>
      </c>
      <c r="AJ162" s="2">
        <v>-1282</v>
      </c>
      <c r="AK162" s="10">
        <v>171</v>
      </c>
      <c r="BD162" s="8"/>
      <c r="BF162">
        <v>-133</v>
      </c>
      <c r="BG162" s="1">
        <v>148</v>
      </c>
      <c r="BN162">
        <v>3</v>
      </c>
      <c r="BT162">
        <v>102</v>
      </c>
      <c r="BU162" s="1">
        <v>120</v>
      </c>
      <c r="CE162" s="8">
        <v>27</v>
      </c>
      <c r="CF162" s="28">
        <v>23</v>
      </c>
      <c r="CS162" s="6">
        <v>-9</v>
      </c>
      <c r="CT162" s="28">
        <v>4</v>
      </c>
      <c r="CZ162" s="23">
        <v>-197</v>
      </c>
      <c r="DA162" s="25">
        <v>197</v>
      </c>
      <c r="DF162" s="23">
        <v>118</v>
      </c>
      <c r="DG162" s="25">
        <v>155</v>
      </c>
      <c r="DH162" s="23">
        <v>21</v>
      </c>
      <c r="DI162" s="25">
        <v>6</v>
      </c>
      <c r="DL162" s="8">
        <v>3</v>
      </c>
      <c r="DS162" s="6">
        <v>28</v>
      </c>
      <c r="DT162" s="52">
        <v>258</v>
      </c>
      <c r="DY162" s="8">
        <v>-262</v>
      </c>
      <c r="DZ162" s="52">
        <v>131</v>
      </c>
      <c r="EA162" s="23">
        <v>-169</v>
      </c>
      <c r="EB162" s="52">
        <v>102</v>
      </c>
      <c r="EC162" s="52"/>
      <c r="ED162" s="52"/>
      <c r="EG162" s="6">
        <v>275</v>
      </c>
      <c r="EH162" s="28">
        <v>204</v>
      </c>
      <c r="EI162" s="8">
        <v>-242</v>
      </c>
      <c r="EJ162" s="52">
        <v>97</v>
      </c>
      <c r="EN162" s="8">
        <v>-130</v>
      </c>
      <c r="EO162" s="28">
        <v>17</v>
      </c>
      <c r="EP162" s="28"/>
      <c r="EQ162" s="28"/>
      <c r="EX162" s="8">
        <v>-40</v>
      </c>
      <c r="EY162" s="28">
        <v>2</v>
      </c>
      <c r="FD162" s="6">
        <v>309</v>
      </c>
      <c r="FE162" s="28">
        <v>243</v>
      </c>
      <c r="FM162" s="8">
        <v>-149</v>
      </c>
      <c r="FN162" s="52">
        <v>66</v>
      </c>
      <c r="FS162" s="8">
        <v>150</v>
      </c>
      <c r="FT162" s="52">
        <v>22</v>
      </c>
      <c r="GC162" s="8">
        <v>-11</v>
      </c>
      <c r="GI162" s="8">
        <v>-154</v>
      </c>
      <c r="GJ162" s="28">
        <v>82</v>
      </c>
      <c r="GP162" s="6">
        <v>12</v>
      </c>
      <c r="GQ162" s="52">
        <v>197</v>
      </c>
      <c r="GT162" s="6">
        <v>-207</v>
      </c>
      <c r="GU162" s="52">
        <v>102</v>
      </c>
      <c r="HB162" s="6">
        <v>215</v>
      </c>
      <c r="HE162" s="6">
        <v>-45</v>
      </c>
      <c r="HF162" s="28">
        <v>58</v>
      </c>
      <c r="HS162" s="8">
        <v>-67</v>
      </c>
      <c r="HT162" s="52">
        <v>279</v>
      </c>
      <c r="IB162" s="8">
        <v>-409</v>
      </c>
      <c r="IC162" s="28">
        <v>420</v>
      </c>
      <c r="IY162" s="8">
        <v>-316</v>
      </c>
      <c r="JW162" s="6">
        <v>-963</v>
      </c>
      <c r="JX162" s="12">
        <v>192</v>
      </c>
      <c r="KE162" s="6">
        <v>340</v>
      </c>
      <c r="KF162" s="12">
        <v>979</v>
      </c>
      <c r="KT162" s="8">
        <v>317</v>
      </c>
      <c r="KU162" s="28">
        <v>27</v>
      </c>
      <c r="LF162" s="8">
        <v>-10</v>
      </c>
      <c r="LG162" s="28">
        <v>7</v>
      </c>
      <c r="LJ162" s="8">
        <v>-254</v>
      </c>
      <c r="LK162" s="28">
        <v>472</v>
      </c>
      <c r="LU162" s="8">
        <v>98</v>
      </c>
      <c r="LV162" s="12">
        <v>10</v>
      </c>
      <c r="LW162" s="8">
        <v>49</v>
      </c>
      <c r="LX162" s="28">
        <v>8</v>
      </c>
      <c r="MF162" s="8">
        <v>-268</v>
      </c>
      <c r="MG162" s="12">
        <v>229</v>
      </c>
      <c r="NC162" s="8">
        <v>-65</v>
      </c>
      <c r="ND162" s="12">
        <v>527</v>
      </c>
      <c r="NP162" s="8">
        <v>60</v>
      </c>
      <c r="NQ162" s="12">
        <v>414</v>
      </c>
      <c r="PJ162" s="8">
        <v>178</v>
      </c>
      <c r="PK162" s="12">
        <v>105</v>
      </c>
      <c r="PP162" s="8">
        <v>-165</v>
      </c>
      <c r="PQ162" s="28">
        <v>18</v>
      </c>
      <c r="PR162" s="28"/>
      <c r="PS162" s="8">
        <v>54</v>
      </c>
      <c r="RG162" s="8">
        <v>-501</v>
      </c>
      <c r="RH162" s="28">
        <v>184</v>
      </c>
      <c r="SP162" s="8">
        <v>707</v>
      </c>
      <c r="TH162" s="8">
        <v>71</v>
      </c>
      <c r="TI162" s="28">
        <v>146</v>
      </c>
      <c r="TZ162" s="8">
        <v>5</v>
      </c>
      <c r="UA162" s="12">
        <v>204</v>
      </c>
      <c r="VH162" s="8">
        <v>744</v>
      </c>
      <c r="VI162" s="28">
        <v>153</v>
      </c>
      <c r="VL162" s="21"/>
      <c r="VQ162" s="6">
        <v>-609</v>
      </c>
      <c r="VR162" s="28">
        <v>133</v>
      </c>
      <c r="VZ162" s="8">
        <v>284</v>
      </c>
    </row>
    <row r="163" spans="11:598" x14ac:dyDescent="0.25">
      <c r="K163" s="2">
        <v>2830</v>
      </c>
      <c r="L163" s="1">
        <v>132</v>
      </c>
      <c r="V163">
        <v>4</v>
      </c>
      <c r="W163" s="10">
        <v>87</v>
      </c>
      <c r="AD163">
        <v>-147</v>
      </c>
      <c r="AE163" s="1">
        <v>6</v>
      </c>
      <c r="AJ163" s="2">
        <v>-1777</v>
      </c>
      <c r="AK163" s="10">
        <v>225</v>
      </c>
      <c r="BD163" s="8"/>
      <c r="BF163">
        <v>23</v>
      </c>
      <c r="BG163" s="1">
        <v>6</v>
      </c>
      <c r="BN163">
        <v>129</v>
      </c>
      <c r="BT163">
        <v>834</v>
      </c>
      <c r="BU163" s="1">
        <v>346</v>
      </c>
      <c r="CE163" s="8">
        <v>19</v>
      </c>
      <c r="CF163" s="28">
        <v>41</v>
      </c>
      <c r="CS163" s="6">
        <v>210</v>
      </c>
      <c r="CT163" s="28">
        <v>10</v>
      </c>
      <c r="CZ163" s="23">
        <v>119</v>
      </c>
      <c r="DA163" s="25">
        <v>349</v>
      </c>
      <c r="DF163" s="23">
        <v>121</v>
      </c>
      <c r="DG163" s="25">
        <v>171</v>
      </c>
      <c r="DH163" s="23">
        <v>9</v>
      </c>
      <c r="DI163" s="25">
        <v>9</v>
      </c>
      <c r="DL163" s="8">
        <v>-5</v>
      </c>
      <c r="DS163" s="6">
        <v>119</v>
      </c>
      <c r="DT163" s="52">
        <v>197</v>
      </c>
      <c r="DY163" s="8">
        <v>-122</v>
      </c>
      <c r="DZ163" s="52">
        <v>327</v>
      </c>
      <c r="EA163" s="23">
        <v>35</v>
      </c>
      <c r="EB163" s="52">
        <v>279</v>
      </c>
      <c r="EC163" s="52"/>
      <c r="ED163" s="52"/>
      <c r="EG163" s="6">
        <v>336</v>
      </c>
      <c r="EH163" s="28">
        <v>250</v>
      </c>
      <c r="EI163" s="8">
        <v>-71</v>
      </c>
      <c r="EJ163" s="52">
        <v>453</v>
      </c>
      <c r="EN163" s="8">
        <v>-130</v>
      </c>
      <c r="EO163" s="28">
        <v>50</v>
      </c>
      <c r="EP163" s="28"/>
      <c r="EQ163" s="28"/>
      <c r="EX163" s="8">
        <v>-200</v>
      </c>
      <c r="EY163" s="28">
        <v>482</v>
      </c>
      <c r="FD163" s="6">
        <v>106</v>
      </c>
      <c r="FE163" s="28">
        <v>104</v>
      </c>
      <c r="FM163" s="8">
        <v>-173</v>
      </c>
      <c r="FN163" s="52">
        <v>401</v>
      </c>
      <c r="FS163" s="8">
        <v>150</v>
      </c>
      <c r="FT163" s="52">
        <v>22</v>
      </c>
      <c r="GC163" s="8">
        <v>684</v>
      </c>
      <c r="GI163" s="8">
        <v>-116</v>
      </c>
      <c r="GJ163" s="28">
        <v>96</v>
      </c>
      <c r="GP163" s="6">
        <v>28</v>
      </c>
      <c r="GQ163" s="52">
        <v>285</v>
      </c>
      <c r="GT163" s="6">
        <v>143</v>
      </c>
      <c r="GU163" s="52">
        <v>604</v>
      </c>
      <c r="HB163" s="6">
        <v>323</v>
      </c>
      <c r="HE163" s="6">
        <v>-16</v>
      </c>
      <c r="HF163" s="28">
        <v>35</v>
      </c>
      <c r="HS163" s="8">
        <v>5</v>
      </c>
      <c r="HT163" s="52">
        <v>768</v>
      </c>
      <c r="IB163" s="8">
        <v>-787</v>
      </c>
      <c r="IC163" s="28">
        <v>347</v>
      </c>
      <c r="IY163" s="8">
        <v>124</v>
      </c>
      <c r="JW163" s="6">
        <v>-943</v>
      </c>
      <c r="JX163" s="12">
        <v>188</v>
      </c>
      <c r="KE163" s="6">
        <v>9</v>
      </c>
      <c r="KF163" s="12">
        <v>138</v>
      </c>
      <c r="KT163" s="8">
        <v>150</v>
      </c>
      <c r="KU163" s="28">
        <v>27</v>
      </c>
      <c r="LF163" s="8">
        <v>-98</v>
      </c>
      <c r="LG163" s="28">
        <v>9</v>
      </c>
      <c r="LJ163" s="8">
        <v>153</v>
      </c>
      <c r="LK163" s="28">
        <v>394</v>
      </c>
      <c r="LU163" s="8">
        <v>183</v>
      </c>
      <c r="LV163" s="12">
        <v>258</v>
      </c>
      <c r="LW163" s="8">
        <v>-324</v>
      </c>
      <c r="LX163" s="28">
        <v>188</v>
      </c>
      <c r="MF163" s="8">
        <v>108</v>
      </c>
      <c r="MG163" s="12">
        <v>87</v>
      </c>
      <c r="NC163" s="8">
        <v>-85</v>
      </c>
      <c r="ND163" s="12">
        <v>659</v>
      </c>
      <c r="NP163" s="8">
        <v>-1</v>
      </c>
      <c r="NQ163" s="12">
        <v>365</v>
      </c>
      <c r="PP163" s="8">
        <v>-222</v>
      </c>
      <c r="PQ163" s="28">
        <v>17</v>
      </c>
      <c r="PR163" s="28"/>
      <c r="PS163" s="8">
        <v>400</v>
      </c>
      <c r="RG163" s="8">
        <v>-363</v>
      </c>
      <c r="RH163" s="28">
        <v>105</v>
      </c>
      <c r="SP163" s="8">
        <v>116</v>
      </c>
      <c r="TH163" s="8">
        <v>119</v>
      </c>
      <c r="TI163" s="28">
        <v>110</v>
      </c>
      <c r="TZ163" s="8">
        <v>-127</v>
      </c>
      <c r="UA163" s="12">
        <v>262</v>
      </c>
      <c r="VH163" s="8">
        <v>108</v>
      </c>
      <c r="VI163" s="28">
        <v>374</v>
      </c>
      <c r="VL163" s="21"/>
      <c r="VQ163" s="6">
        <v>-517</v>
      </c>
      <c r="VR163" s="28">
        <v>136</v>
      </c>
      <c r="VZ163" s="8">
        <v>327</v>
      </c>
    </row>
    <row r="164" spans="11:598" x14ac:dyDescent="0.25">
      <c r="K164" s="2">
        <v>2923</v>
      </c>
      <c r="L164" s="1">
        <v>278</v>
      </c>
      <c r="V164">
        <v>28</v>
      </c>
      <c r="W164" s="10">
        <v>173</v>
      </c>
      <c r="AD164">
        <v>-147</v>
      </c>
      <c r="AE164" s="1">
        <v>6</v>
      </c>
      <c r="AJ164" s="2">
        <f>2</f>
        <v>2</v>
      </c>
      <c r="AK164" s="10">
        <v>109</v>
      </c>
      <c r="BD164" s="8"/>
      <c r="BF164">
        <v>16</v>
      </c>
      <c r="BG164" s="1">
        <v>5</v>
      </c>
      <c r="BN164">
        <v>2</v>
      </c>
      <c r="BT164">
        <v>191</v>
      </c>
      <c r="BU164" s="1">
        <v>367</v>
      </c>
      <c r="CE164" s="8">
        <v>70</v>
      </c>
      <c r="CF164" s="28">
        <v>61</v>
      </c>
      <c r="CZ164" s="23">
        <v>-264</v>
      </c>
      <c r="DA164" s="25">
        <v>211</v>
      </c>
      <c r="DF164" s="23">
        <v>116</v>
      </c>
      <c r="DG164" s="25">
        <v>160</v>
      </c>
      <c r="DH164" s="23">
        <v>75</v>
      </c>
      <c r="DI164" s="25">
        <v>39</v>
      </c>
      <c r="DL164" s="8">
        <v>13</v>
      </c>
      <c r="DS164" s="6">
        <v>-94</v>
      </c>
      <c r="DT164" s="52">
        <v>161</v>
      </c>
      <c r="DY164" s="8">
        <v>-726</v>
      </c>
      <c r="DZ164" s="52">
        <v>191</v>
      </c>
      <c r="EA164" s="23">
        <v>-224</v>
      </c>
      <c r="EB164" s="52">
        <v>697</v>
      </c>
      <c r="EC164" s="52"/>
      <c r="ED164" s="52"/>
      <c r="EG164" s="6">
        <v>512</v>
      </c>
      <c r="EH164" s="28">
        <v>221</v>
      </c>
      <c r="EI164" s="8">
        <v>7</v>
      </c>
      <c r="EJ164" s="52">
        <v>393</v>
      </c>
      <c r="EN164" s="8">
        <v>-94</v>
      </c>
      <c r="EO164" s="28">
        <v>23</v>
      </c>
      <c r="EP164" s="28"/>
      <c r="EQ164" s="28"/>
      <c r="EX164" s="8">
        <v>-329</v>
      </c>
      <c r="EY164" s="28">
        <v>472</v>
      </c>
      <c r="FD164" s="6">
        <v>141</v>
      </c>
      <c r="FE164" s="28">
        <v>309</v>
      </c>
      <c r="FM164" s="8">
        <v>-743</v>
      </c>
      <c r="FN164" s="52">
        <v>326</v>
      </c>
      <c r="FS164" s="8">
        <v>-1</v>
      </c>
      <c r="FT164" s="52">
        <v>2</v>
      </c>
      <c r="GC164" s="8">
        <v>-194</v>
      </c>
      <c r="GI164" s="8">
        <v>-131</v>
      </c>
      <c r="GJ164" s="28">
        <v>117</v>
      </c>
      <c r="GP164" s="6">
        <v>99</v>
      </c>
      <c r="GQ164" s="52">
        <v>425</v>
      </c>
      <c r="GT164" s="6">
        <v>907</v>
      </c>
      <c r="GU164" s="52">
        <v>116</v>
      </c>
      <c r="HB164" s="6">
        <v>-218</v>
      </c>
      <c r="HE164" s="6">
        <v>-14</v>
      </c>
      <c r="HF164" s="28">
        <v>41</v>
      </c>
      <c r="HS164" s="8">
        <v>1</v>
      </c>
      <c r="HT164" s="52">
        <v>159</v>
      </c>
      <c r="IB164" s="8">
        <v>-537</v>
      </c>
      <c r="IC164" s="28">
        <v>380</v>
      </c>
      <c r="IY164" s="8">
        <v>-6</v>
      </c>
      <c r="JW164" s="6">
        <v>-15</v>
      </c>
      <c r="JX164" s="12">
        <v>256</v>
      </c>
      <c r="KE164" s="6">
        <v>20</v>
      </c>
      <c r="KF164" s="12">
        <v>54</v>
      </c>
      <c r="KT164" s="8">
        <v>23</v>
      </c>
      <c r="KU164" s="28">
        <v>160</v>
      </c>
      <c r="LF164" s="8">
        <v>-110</v>
      </c>
      <c r="LG164" s="28">
        <v>7</v>
      </c>
      <c r="LJ164" s="8">
        <v>-968</v>
      </c>
      <c r="LK164" s="28">
        <v>318</v>
      </c>
      <c r="LU164" s="8">
        <v>38</v>
      </c>
      <c r="LV164" s="12">
        <v>52</v>
      </c>
      <c r="LW164" s="8">
        <v>2</v>
      </c>
      <c r="LX164" s="28">
        <v>191</v>
      </c>
      <c r="MF164" s="8">
        <v>-26</v>
      </c>
      <c r="MG164" s="12">
        <v>3</v>
      </c>
      <c r="NC164" s="8">
        <v>-147</v>
      </c>
      <c r="ND164" s="12">
        <v>585</v>
      </c>
      <c r="NP164" s="8">
        <v>-762</v>
      </c>
      <c r="NQ164" s="12">
        <v>312</v>
      </c>
      <c r="PP164" s="8">
        <v>-136</v>
      </c>
      <c r="PQ164" s="28">
        <v>19</v>
      </c>
      <c r="PR164" s="28"/>
      <c r="PS164" s="8">
        <v>-414</v>
      </c>
      <c r="RG164" s="8">
        <v>409</v>
      </c>
      <c r="RH164" s="28">
        <v>97</v>
      </c>
      <c r="SP164" s="8">
        <v>-80</v>
      </c>
      <c r="TH164" s="8">
        <v>70</v>
      </c>
      <c r="TI164" s="28">
        <v>98</v>
      </c>
      <c r="TZ164" s="8">
        <v>-185</v>
      </c>
      <c r="UA164" s="12">
        <v>339</v>
      </c>
      <c r="VH164" s="8">
        <v>275</v>
      </c>
      <c r="VI164" s="28">
        <v>124</v>
      </c>
      <c r="VL164" s="21"/>
      <c r="VQ164" s="6">
        <v>-520</v>
      </c>
      <c r="VR164" s="28">
        <v>130</v>
      </c>
      <c r="VZ164" s="8">
        <v>312</v>
      </c>
    </row>
    <row r="165" spans="11:598" x14ac:dyDescent="0.25">
      <c r="K165" s="2">
        <v>2917</v>
      </c>
      <c r="L165" s="1">
        <v>278</v>
      </c>
      <c r="V165">
        <v>42</v>
      </c>
      <c r="W165" s="10">
        <v>171</v>
      </c>
      <c r="AD165">
        <v>-177</v>
      </c>
      <c r="AE165" s="1">
        <v>6</v>
      </c>
      <c r="AJ165" s="2">
        <v>-2</v>
      </c>
      <c r="AK165" s="10">
        <v>118</v>
      </c>
      <c r="BD165" s="8"/>
      <c r="BF165">
        <v>95</v>
      </c>
      <c r="BG165" s="1">
        <v>102</v>
      </c>
      <c r="BN165">
        <v>40</v>
      </c>
      <c r="BT165">
        <v>205</v>
      </c>
      <c r="BU165" s="1">
        <v>108</v>
      </c>
      <c r="CE165" s="8">
        <v>23</v>
      </c>
      <c r="CF165" s="28">
        <v>30</v>
      </c>
      <c r="CZ165" s="23">
        <v>148</v>
      </c>
      <c r="DA165" s="25">
        <v>927</v>
      </c>
      <c r="DF165" s="23">
        <v>118</v>
      </c>
      <c r="DG165" s="25">
        <v>152</v>
      </c>
      <c r="DH165" s="23">
        <v>74</v>
      </c>
      <c r="DI165" s="25">
        <v>42</v>
      </c>
      <c r="DL165" s="8">
        <v>-9</v>
      </c>
      <c r="DS165" s="6">
        <v>100</v>
      </c>
      <c r="DT165" s="52">
        <v>195</v>
      </c>
      <c r="DY165" s="8">
        <v>-197</v>
      </c>
      <c r="DZ165" s="52">
        <v>421</v>
      </c>
      <c r="EA165" s="23">
        <v>368</v>
      </c>
      <c r="EB165" s="52">
        <v>906</v>
      </c>
      <c r="EC165" s="52"/>
      <c r="ED165" s="52"/>
      <c r="EG165" s="6">
        <v>584</v>
      </c>
      <c r="EH165" s="28">
        <v>261</v>
      </c>
      <c r="EI165" s="8">
        <v>-163</v>
      </c>
      <c r="EJ165" s="52">
        <v>340</v>
      </c>
      <c r="EN165" s="8">
        <v>-94</v>
      </c>
      <c r="EO165" s="28">
        <v>14</v>
      </c>
      <c r="EP165" s="28"/>
      <c r="EQ165" s="28"/>
      <c r="EX165" s="8">
        <v>727</v>
      </c>
      <c r="EY165" s="28">
        <v>128</v>
      </c>
      <c r="FD165" s="6">
        <v>-154</v>
      </c>
      <c r="FE165" s="28">
        <v>133</v>
      </c>
      <c r="FM165" s="8">
        <v>-587</v>
      </c>
      <c r="FN165" s="52">
        <v>146</v>
      </c>
      <c r="FS165" s="8">
        <v>-49</v>
      </c>
      <c r="FT165" s="52">
        <v>113</v>
      </c>
      <c r="GC165" s="8">
        <v>-448</v>
      </c>
      <c r="GI165" s="8">
        <v>27</v>
      </c>
      <c r="GJ165" s="28">
        <v>11</v>
      </c>
      <c r="GP165" s="6">
        <v>85</v>
      </c>
      <c r="GQ165" s="52">
        <v>345</v>
      </c>
      <c r="GT165" s="6">
        <v>121</v>
      </c>
      <c r="GU165" s="52">
        <v>155</v>
      </c>
      <c r="HB165" s="6">
        <v>-279</v>
      </c>
      <c r="HE165" s="6">
        <v>-4</v>
      </c>
      <c r="HF165" s="28">
        <v>26</v>
      </c>
      <c r="HS165" s="8">
        <v>-327</v>
      </c>
      <c r="HT165" s="52">
        <v>360</v>
      </c>
      <c r="IB165" s="8">
        <v>-712</v>
      </c>
      <c r="IC165" s="28">
        <v>718</v>
      </c>
      <c r="IY165" s="8">
        <v>464</v>
      </c>
      <c r="JW165" s="6">
        <v>-10</v>
      </c>
      <c r="JX165" s="12">
        <v>187</v>
      </c>
      <c r="KE165" s="6">
        <v>46</v>
      </c>
      <c r="KF165" s="12">
        <v>772</v>
      </c>
      <c r="KT165" s="8">
        <v>275</v>
      </c>
      <c r="KU165" s="28">
        <v>9</v>
      </c>
      <c r="LF165" s="8">
        <v>-119</v>
      </c>
      <c r="LG165" s="28">
        <v>7</v>
      </c>
      <c r="LJ165" s="8">
        <v>-632</v>
      </c>
      <c r="LK165" s="28">
        <v>342</v>
      </c>
      <c r="LU165" s="8">
        <v>-9</v>
      </c>
      <c r="LV165" s="12">
        <v>135</v>
      </c>
      <c r="LW165" s="8">
        <v>81</v>
      </c>
      <c r="LX165" s="28">
        <v>105</v>
      </c>
      <c r="MF165" s="8">
        <v>-117</v>
      </c>
      <c r="MG165" s="12">
        <v>115</v>
      </c>
      <c r="NC165" s="8">
        <v>-146</v>
      </c>
      <c r="ND165" s="12">
        <v>978</v>
      </c>
      <c r="NP165" s="8">
        <v>931</v>
      </c>
      <c r="NQ165" s="12">
        <v>468</v>
      </c>
      <c r="PP165" s="8">
        <v>-252</v>
      </c>
      <c r="PQ165" s="28">
        <v>16</v>
      </c>
      <c r="PR165" s="28"/>
      <c r="PS165" s="8">
        <v>-352</v>
      </c>
      <c r="RG165" s="8">
        <v>787</v>
      </c>
      <c r="RH165" s="28">
        <v>105</v>
      </c>
      <c r="SP165" s="8">
        <v>586</v>
      </c>
      <c r="TH165" s="8">
        <v>110</v>
      </c>
      <c r="TI165" s="28">
        <v>108</v>
      </c>
      <c r="TZ165" s="8">
        <v>-193</v>
      </c>
      <c r="UA165" s="12">
        <v>374</v>
      </c>
      <c r="VH165" s="8">
        <v>693</v>
      </c>
      <c r="VI165" s="28">
        <v>455</v>
      </c>
      <c r="VL165" s="21"/>
      <c r="VQ165" s="6">
        <v>-518</v>
      </c>
      <c r="VR165" s="28">
        <v>127</v>
      </c>
      <c r="VZ165" s="8">
        <v>348</v>
      </c>
    </row>
    <row r="166" spans="11:598" x14ac:dyDescent="0.25">
      <c r="K166" s="2">
        <v>2655</v>
      </c>
      <c r="L166" s="1">
        <v>169</v>
      </c>
      <c r="V166">
        <v>29</v>
      </c>
      <c r="W166" s="10">
        <v>179</v>
      </c>
      <c r="AD166">
        <v>-178</v>
      </c>
      <c r="AE166" s="1">
        <v>6</v>
      </c>
      <c r="AJ166" s="2">
        <v>-40</v>
      </c>
      <c r="AK166" s="10">
        <v>261</v>
      </c>
      <c r="BD166" s="8"/>
      <c r="BF166">
        <v>774</v>
      </c>
      <c r="BG166" s="1">
        <v>65</v>
      </c>
      <c r="BT166">
        <v>-459</v>
      </c>
      <c r="BU166" s="1">
        <v>849</v>
      </c>
      <c r="CE166" s="8">
        <v>-52</v>
      </c>
      <c r="CF166" s="28">
        <v>60</v>
      </c>
      <c r="CZ166" s="23">
        <v>-37</v>
      </c>
      <c r="DA166" s="25">
        <v>17</v>
      </c>
      <c r="DF166" s="23">
        <v>118</v>
      </c>
      <c r="DG166" s="25">
        <v>153</v>
      </c>
      <c r="DH166" s="23">
        <v>93</v>
      </c>
      <c r="DI166" s="25">
        <v>47</v>
      </c>
      <c r="DL166" s="8">
        <v>1</v>
      </c>
      <c r="DS166" s="6">
        <v>5</v>
      </c>
      <c r="DT166" s="52">
        <v>6</v>
      </c>
      <c r="DY166" s="8">
        <v>124</v>
      </c>
      <c r="DZ166" s="52">
        <v>12</v>
      </c>
      <c r="EA166" s="23">
        <v>-878</v>
      </c>
      <c r="EB166" s="52">
        <v>615</v>
      </c>
      <c r="EC166" s="52"/>
      <c r="ED166" s="52"/>
      <c r="EG166" s="6">
        <v>113</v>
      </c>
      <c r="EH166" s="28">
        <v>218</v>
      </c>
      <c r="EI166" s="8">
        <v>13</v>
      </c>
      <c r="EJ166" s="52">
        <v>642</v>
      </c>
      <c r="EN166" s="8">
        <v>-101</v>
      </c>
      <c r="EO166" s="28">
        <v>18</v>
      </c>
      <c r="EP166" s="28"/>
      <c r="EQ166" s="28"/>
      <c r="EX166" s="8">
        <v>-742</v>
      </c>
      <c r="EY166" s="28">
        <v>140</v>
      </c>
      <c r="FD166" s="6">
        <v>665</v>
      </c>
      <c r="FE166" s="28">
        <v>725</v>
      </c>
      <c r="FM166" s="8">
        <v>-667</v>
      </c>
      <c r="FN166" s="52">
        <v>582</v>
      </c>
      <c r="FS166" s="8">
        <v>-64</v>
      </c>
      <c r="FT166" s="52">
        <v>114</v>
      </c>
      <c r="GC166" s="8">
        <v>686</v>
      </c>
      <c r="GI166" s="8">
        <v>28</v>
      </c>
      <c r="GJ166" s="28">
        <v>7</v>
      </c>
      <c r="GP166" s="6">
        <v>-21</v>
      </c>
      <c r="GQ166" s="52">
        <v>189</v>
      </c>
      <c r="GT166" s="6">
        <v>189</v>
      </c>
      <c r="GU166" s="52">
        <v>657</v>
      </c>
      <c r="HB166" s="6">
        <v>-30</v>
      </c>
      <c r="HE166" s="6">
        <v>18</v>
      </c>
      <c r="HF166" s="28">
        <v>12</v>
      </c>
      <c r="HS166" s="8">
        <v>140</v>
      </c>
      <c r="HT166" s="52">
        <v>205</v>
      </c>
      <c r="IB166" s="8">
        <v>-222</v>
      </c>
      <c r="IC166" s="28">
        <v>753</v>
      </c>
      <c r="IY166" s="8">
        <v>-683</v>
      </c>
      <c r="JW166" s="6">
        <v>-604</v>
      </c>
      <c r="JX166" s="12">
        <v>203</v>
      </c>
      <c r="KE166" s="6">
        <v>-346</v>
      </c>
      <c r="KF166" s="12">
        <v>960</v>
      </c>
      <c r="KT166" s="8">
        <v>-85</v>
      </c>
      <c r="KU166" s="28">
        <v>26</v>
      </c>
      <c r="LF166" s="8">
        <v>103</v>
      </c>
      <c r="LG166" s="28">
        <v>32</v>
      </c>
      <c r="LJ166" s="8">
        <v>-367</v>
      </c>
      <c r="LK166" s="28">
        <v>410</v>
      </c>
      <c r="LU166" s="8">
        <v>133</v>
      </c>
      <c r="LV166" s="12">
        <v>172</v>
      </c>
      <c r="LW166" s="8">
        <v>431</v>
      </c>
      <c r="LX166" s="28">
        <v>64</v>
      </c>
      <c r="MF166" s="8">
        <v>-227</v>
      </c>
      <c r="MG166" s="12">
        <v>364</v>
      </c>
      <c r="NC166" s="8">
        <v>-118</v>
      </c>
      <c r="ND166" s="12">
        <v>784</v>
      </c>
      <c r="PP166" s="8">
        <v>-199</v>
      </c>
      <c r="PQ166" s="28">
        <v>15</v>
      </c>
      <c r="PR166" s="28"/>
      <c r="PS166" s="8">
        <v>-17</v>
      </c>
      <c r="RG166" s="8">
        <v>142</v>
      </c>
      <c r="RH166" s="28">
        <v>89</v>
      </c>
      <c r="SP166" s="8">
        <v>632</v>
      </c>
      <c r="TH166" s="8">
        <v>97</v>
      </c>
      <c r="TI166" s="28">
        <v>96</v>
      </c>
      <c r="TZ166" s="8">
        <v>-132</v>
      </c>
      <c r="UA166" s="12">
        <v>395</v>
      </c>
      <c r="VH166" s="8">
        <v>-633</v>
      </c>
      <c r="VI166" s="28">
        <v>166</v>
      </c>
      <c r="VL166" s="21"/>
      <c r="VQ166" s="6">
        <v>-551</v>
      </c>
      <c r="VR166" s="28">
        <v>137</v>
      </c>
      <c r="VZ166" s="8">
        <v>598</v>
      </c>
    </row>
    <row r="167" spans="11:598" x14ac:dyDescent="0.25">
      <c r="K167" s="2">
        <v>2642</v>
      </c>
      <c r="L167" s="1">
        <v>169</v>
      </c>
      <c r="V167">
        <v>28</v>
      </c>
      <c r="W167" s="10">
        <v>164</v>
      </c>
      <c r="AD167">
        <v>-193</v>
      </c>
      <c r="AE167" s="1">
        <v>9</v>
      </c>
      <c r="AJ167" s="2">
        <v>-38</v>
      </c>
      <c r="AK167" s="10">
        <v>263</v>
      </c>
      <c r="BD167" s="8"/>
      <c r="BF167">
        <v>163</v>
      </c>
      <c r="BG167" s="1">
        <v>47</v>
      </c>
      <c r="BT167">
        <v>470</v>
      </c>
      <c r="BU167" s="1">
        <v>155</v>
      </c>
      <c r="CE167" s="8">
        <v>-71</v>
      </c>
      <c r="CF167" s="28">
        <v>76</v>
      </c>
      <c r="CZ167" s="23">
        <v>34</v>
      </c>
      <c r="DA167" s="25">
        <v>10</v>
      </c>
      <c r="DF167" s="23">
        <v>960</v>
      </c>
      <c r="DG167" s="25">
        <v>132</v>
      </c>
      <c r="DH167" s="23">
        <v>-20</v>
      </c>
      <c r="DI167" s="25">
        <v>52</v>
      </c>
      <c r="DL167" s="8">
        <v>36</v>
      </c>
      <c r="DS167" s="6">
        <v>79</v>
      </c>
      <c r="DT167" s="52">
        <v>104</v>
      </c>
      <c r="EA167" s="23">
        <v>787</v>
      </c>
      <c r="EB167" s="52">
        <v>630</v>
      </c>
      <c r="EC167" s="52"/>
      <c r="ED167" s="52"/>
      <c r="EG167" s="6">
        <v>201</v>
      </c>
      <c r="EH167" s="28">
        <v>265</v>
      </c>
      <c r="EI167" s="8">
        <v>246</v>
      </c>
      <c r="EJ167" s="52">
        <v>524</v>
      </c>
      <c r="EN167" s="8">
        <v>-122</v>
      </c>
      <c r="EO167" s="28">
        <v>16</v>
      </c>
      <c r="EP167" s="28"/>
      <c r="EQ167" s="28"/>
      <c r="EX167" s="8">
        <v>177</v>
      </c>
      <c r="EY167" s="28">
        <v>127</v>
      </c>
      <c r="FD167" s="48">
        <v>-189</v>
      </c>
      <c r="FE167" s="28">
        <v>416</v>
      </c>
      <c r="FM167" s="8">
        <v>531</v>
      </c>
      <c r="FN167" s="52">
        <v>127</v>
      </c>
      <c r="FS167" s="8">
        <v>-4</v>
      </c>
      <c r="FT167" s="52">
        <v>13</v>
      </c>
      <c r="GC167" s="8">
        <v>497</v>
      </c>
      <c r="GI167" s="8">
        <v>-16</v>
      </c>
      <c r="GJ167" s="28">
        <v>15</v>
      </c>
      <c r="GP167" s="6">
        <v>69</v>
      </c>
      <c r="GQ167" s="52">
        <v>218</v>
      </c>
      <c r="GT167" s="6">
        <v>202</v>
      </c>
      <c r="GU167" s="52">
        <v>768</v>
      </c>
      <c r="HB167" s="6">
        <v>-57</v>
      </c>
      <c r="HE167" s="6">
        <v>-38</v>
      </c>
      <c r="HF167" s="28">
        <v>20</v>
      </c>
      <c r="HS167" s="8">
        <v>34</v>
      </c>
      <c r="HT167" s="52">
        <v>215</v>
      </c>
      <c r="IB167" s="8">
        <v>-591</v>
      </c>
      <c r="IC167" s="28">
        <v>396</v>
      </c>
      <c r="IY167" s="8">
        <v>414</v>
      </c>
      <c r="JW167" s="6">
        <v>-440</v>
      </c>
      <c r="JX167" s="12">
        <v>147</v>
      </c>
      <c r="KE167" s="6">
        <v>55</v>
      </c>
      <c r="KF167" s="12">
        <v>850</v>
      </c>
      <c r="KT167" s="8">
        <v>3</v>
      </c>
      <c r="KU167" s="28">
        <v>28</v>
      </c>
      <c r="LF167" s="8">
        <v>-100</v>
      </c>
      <c r="LG167" s="28">
        <v>27</v>
      </c>
      <c r="LJ167" s="8">
        <v>-181</v>
      </c>
      <c r="LK167" s="28">
        <v>266</v>
      </c>
      <c r="LU167" s="8">
        <v>-239</v>
      </c>
      <c r="LV167" s="12">
        <v>253</v>
      </c>
      <c r="LW167" s="8">
        <v>-110</v>
      </c>
      <c r="LX167" s="28">
        <v>196</v>
      </c>
      <c r="MF167" s="8">
        <v>-873</v>
      </c>
      <c r="MG167" s="12">
        <v>21</v>
      </c>
      <c r="NC167" s="8">
        <v>-166</v>
      </c>
      <c r="ND167" s="12">
        <v>115</v>
      </c>
      <c r="PP167" s="8">
        <v>-235</v>
      </c>
      <c r="PQ167" s="28">
        <v>11</v>
      </c>
      <c r="PR167" s="28"/>
      <c r="PS167" s="8">
        <v>934</v>
      </c>
      <c r="RG167" s="8">
        <v>-209</v>
      </c>
      <c r="RH167" s="28">
        <v>197</v>
      </c>
      <c r="SP167" s="8">
        <v>149</v>
      </c>
      <c r="TH167" s="8">
        <v>249</v>
      </c>
      <c r="TI167" s="28">
        <v>170</v>
      </c>
      <c r="TZ167" s="8">
        <v>911</v>
      </c>
      <c r="UA167" s="12">
        <v>404</v>
      </c>
      <c r="VH167" s="8">
        <v>-92</v>
      </c>
      <c r="VI167" s="28">
        <v>33</v>
      </c>
      <c r="VL167" s="21"/>
      <c r="VQ167" s="6">
        <v>-566</v>
      </c>
      <c r="VR167" s="28">
        <v>141</v>
      </c>
      <c r="VZ167" s="8">
        <v>731</v>
      </c>
    </row>
    <row r="168" spans="11:598" x14ac:dyDescent="0.25">
      <c r="K168" s="2">
        <v>2825</v>
      </c>
      <c r="L168" s="1">
        <v>148</v>
      </c>
      <c r="V168">
        <v>31</v>
      </c>
      <c r="W168" s="10">
        <v>251</v>
      </c>
      <c r="AD168">
        <v>-193</v>
      </c>
      <c r="AE168" s="1">
        <v>9</v>
      </c>
      <c r="AJ168" s="2">
        <v>111</v>
      </c>
      <c r="AK168" s="10">
        <v>1</v>
      </c>
      <c r="BD168" s="8"/>
      <c r="BF168">
        <v>12743</v>
      </c>
      <c r="BG168" s="1">
        <v>1866</v>
      </c>
      <c r="BT168">
        <v>154</v>
      </c>
      <c r="BU168" s="1">
        <v>196</v>
      </c>
      <c r="CE168" s="8">
        <v>43</v>
      </c>
      <c r="CF168" s="28">
        <v>78</v>
      </c>
      <c r="CZ168" s="23">
        <v>-4</v>
      </c>
      <c r="DA168" s="25">
        <v>6</v>
      </c>
      <c r="DG168" s="25"/>
      <c r="DH168" s="23">
        <v>22</v>
      </c>
      <c r="DI168" s="25">
        <v>52</v>
      </c>
      <c r="DL168" s="8">
        <v>-10</v>
      </c>
      <c r="DS168" s="6">
        <v>359</v>
      </c>
      <c r="DT168" s="52">
        <v>38</v>
      </c>
      <c r="EA168" s="23">
        <v>-48</v>
      </c>
      <c r="EB168" s="52">
        <v>285</v>
      </c>
      <c r="EC168" s="52"/>
      <c r="ED168" s="52"/>
      <c r="EG168" s="6">
        <v>-445</v>
      </c>
      <c r="EH168" s="28">
        <v>455</v>
      </c>
      <c r="EI168" s="8">
        <v>321</v>
      </c>
      <c r="EJ168" s="52">
        <v>113</v>
      </c>
      <c r="EN168" s="8">
        <v>-78</v>
      </c>
      <c r="EO168" s="28">
        <v>17</v>
      </c>
      <c r="EP168" s="28"/>
      <c r="EQ168" s="28"/>
      <c r="EX168" s="8">
        <v>502</v>
      </c>
      <c r="EY168" s="28">
        <v>122</v>
      </c>
      <c r="FD168" s="6">
        <v>-531</v>
      </c>
      <c r="FE168" s="28">
        <v>491</v>
      </c>
      <c r="FM168" s="8">
        <v>-390</v>
      </c>
      <c r="FN168" s="52">
        <v>303</v>
      </c>
      <c r="FS168" s="8">
        <v>-52</v>
      </c>
      <c r="FT168" s="52">
        <v>121</v>
      </c>
      <c r="GC168" s="8">
        <v>-417</v>
      </c>
      <c r="GI168" s="8">
        <v>15</v>
      </c>
      <c r="GJ168" s="28">
        <v>28</v>
      </c>
      <c r="GP168" s="6">
        <v>-151</v>
      </c>
      <c r="GQ168" s="52">
        <v>475</v>
      </c>
      <c r="GT168" s="6">
        <v>-239</v>
      </c>
      <c r="GU168" s="52">
        <v>123</v>
      </c>
      <c r="HB168" s="6">
        <v>-38</v>
      </c>
      <c r="HE168" s="6">
        <v>-14</v>
      </c>
      <c r="HF168" s="28">
        <v>47</v>
      </c>
      <c r="HS168" s="8">
        <v>12</v>
      </c>
      <c r="HT168" s="52">
        <v>134</v>
      </c>
      <c r="IB168" s="8">
        <v>-341</v>
      </c>
      <c r="IC168" s="28">
        <v>459</v>
      </c>
      <c r="IY168" s="8">
        <v>-106</v>
      </c>
      <c r="JW168" s="6">
        <v>-405</v>
      </c>
      <c r="JX168" s="12">
        <v>119</v>
      </c>
      <c r="KE168" s="6">
        <v>691</v>
      </c>
      <c r="KF168" s="12">
        <v>545</v>
      </c>
      <c r="KT168" s="8">
        <v>14</v>
      </c>
      <c r="KU168" s="28">
        <v>30</v>
      </c>
      <c r="LF168" s="8">
        <v>-153</v>
      </c>
      <c r="LG168" s="28">
        <v>15</v>
      </c>
      <c r="LJ168" s="8">
        <v>-354</v>
      </c>
      <c r="LK168" s="28">
        <v>398</v>
      </c>
      <c r="LU168" s="8">
        <v>-68</v>
      </c>
      <c r="LV168" s="12">
        <v>113</v>
      </c>
      <c r="LW168" s="8">
        <v>-236</v>
      </c>
      <c r="LX168" s="28">
        <v>159</v>
      </c>
      <c r="MF168" s="8">
        <v>-148</v>
      </c>
      <c r="MG168" s="12">
        <v>79</v>
      </c>
      <c r="NC168" s="8">
        <v>149</v>
      </c>
      <c r="ND168" s="12">
        <v>181</v>
      </c>
      <c r="PP168" s="8">
        <v>-99</v>
      </c>
      <c r="PQ168" s="28">
        <v>21</v>
      </c>
      <c r="PR168" s="28"/>
      <c r="PS168" s="8">
        <v>-555</v>
      </c>
      <c r="RG168" s="8">
        <v>-630</v>
      </c>
      <c r="RH168" s="28">
        <v>250</v>
      </c>
      <c r="SP168" s="8">
        <v>296</v>
      </c>
      <c r="TH168" s="8">
        <v>57</v>
      </c>
      <c r="TI168" s="28">
        <v>166</v>
      </c>
      <c r="TZ168" s="8">
        <v>-370</v>
      </c>
      <c r="UA168" s="12">
        <v>185</v>
      </c>
      <c r="VH168" s="8">
        <v>243</v>
      </c>
      <c r="VI168" s="28">
        <v>88</v>
      </c>
      <c r="VL168" s="21"/>
      <c r="VQ168" s="6">
        <v>-554</v>
      </c>
      <c r="VR168" s="28">
        <v>139</v>
      </c>
      <c r="VZ168" s="8">
        <v>-294</v>
      </c>
    </row>
    <row r="169" spans="11:598" x14ac:dyDescent="0.25">
      <c r="K169" s="2">
        <v>2813</v>
      </c>
      <c r="L169" s="1">
        <v>148</v>
      </c>
      <c r="V169">
        <v>-4</v>
      </c>
      <c r="W169" s="10">
        <v>32</v>
      </c>
      <c r="AD169">
        <v>17</v>
      </c>
      <c r="AE169" s="1">
        <v>3</v>
      </c>
      <c r="AJ169" s="2">
        <v>2040</v>
      </c>
      <c r="AK169" s="10">
        <v>198</v>
      </c>
      <c r="BD169" s="8"/>
      <c r="BF169">
        <v>5380</v>
      </c>
      <c r="BG169" s="1">
        <v>2141</v>
      </c>
      <c r="BT169">
        <v>245</v>
      </c>
      <c r="BU169" s="1">
        <v>239</v>
      </c>
      <c r="CE169" s="8">
        <v>25</v>
      </c>
      <c r="CF169" s="28">
        <v>38</v>
      </c>
      <c r="CZ169" s="23">
        <v>13</v>
      </c>
      <c r="DA169" s="25">
        <v>115</v>
      </c>
      <c r="DG169" s="25"/>
      <c r="DH169" s="23">
        <v>42</v>
      </c>
      <c r="DI169" s="25">
        <v>53</v>
      </c>
      <c r="DL169" s="8">
        <v>-9</v>
      </c>
      <c r="DS169" s="6">
        <v>-80</v>
      </c>
      <c r="DT169" s="52">
        <v>428</v>
      </c>
      <c r="EA169" s="23">
        <v>-5</v>
      </c>
      <c r="EB169" s="52">
        <v>210</v>
      </c>
      <c r="EC169" s="52"/>
      <c r="ED169" s="52"/>
      <c r="EG169" s="6">
        <v>-428</v>
      </c>
      <c r="EH169" s="28">
        <v>452</v>
      </c>
      <c r="EI169" s="8">
        <v>1</v>
      </c>
      <c r="EJ169" s="52">
        <v>400</v>
      </c>
      <c r="EN169" s="8">
        <v>-141</v>
      </c>
      <c r="EO169" s="28">
        <v>14</v>
      </c>
      <c r="EP169" s="28"/>
      <c r="EQ169" s="28"/>
      <c r="EX169" s="8">
        <v>-153</v>
      </c>
      <c r="EY169" s="28">
        <v>127</v>
      </c>
      <c r="FD169" s="6">
        <v>116</v>
      </c>
      <c r="FE169" s="28">
        <v>760</v>
      </c>
      <c r="FM169" s="8">
        <v>-371</v>
      </c>
      <c r="FN169" s="52">
        <v>294</v>
      </c>
      <c r="FS169" s="8">
        <v>-67</v>
      </c>
      <c r="FT169" s="52">
        <v>120</v>
      </c>
      <c r="GC169" s="8">
        <v>-243</v>
      </c>
      <c r="GI169" s="8">
        <v>50</v>
      </c>
      <c r="GJ169" s="28">
        <v>38</v>
      </c>
      <c r="GP169" s="6">
        <v>-157</v>
      </c>
      <c r="GQ169" s="52">
        <v>188</v>
      </c>
      <c r="GT169" s="6">
        <v>-293</v>
      </c>
      <c r="GU169" s="52">
        <v>147</v>
      </c>
      <c r="HB169" s="6">
        <v>-181</v>
      </c>
      <c r="HE169" s="6">
        <v>-1</v>
      </c>
      <c r="HF169" s="28">
        <v>29</v>
      </c>
      <c r="HS169" s="8">
        <v>3</v>
      </c>
      <c r="HT169" s="52">
        <v>175</v>
      </c>
      <c r="IB169" s="8">
        <v>988</v>
      </c>
      <c r="IC169" s="28">
        <v>627</v>
      </c>
      <c r="IY169" s="8">
        <v>298</v>
      </c>
      <c r="JW169" s="6">
        <v>-753</v>
      </c>
      <c r="JX169" s="12">
        <v>223</v>
      </c>
      <c r="KE169" s="6">
        <v>-365</v>
      </c>
      <c r="KF169" s="12">
        <v>155</v>
      </c>
      <c r="KT169" s="8">
        <v>-21</v>
      </c>
      <c r="KU169" s="28">
        <v>29</v>
      </c>
      <c r="LF169" s="8">
        <v>-223</v>
      </c>
      <c r="LG169" s="28">
        <v>18</v>
      </c>
      <c r="LJ169" s="8">
        <v>-331</v>
      </c>
      <c r="LK169" s="28">
        <v>444</v>
      </c>
      <c r="LU169" s="8">
        <v>-21</v>
      </c>
      <c r="LV169" s="12">
        <v>22</v>
      </c>
      <c r="LW169" s="8">
        <v>-124</v>
      </c>
      <c r="LX169" s="28">
        <v>104</v>
      </c>
      <c r="MF169" s="8">
        <v>-233</v>
      </c>
      <c r="MG169" s="12">
        <v>483</v>
      </c>
      <c r="NC169" s="8">
        <v>14</v>
      </c>
      <c r="ND169" s="12">
        <v>42</v>
      </c>
      <c r="PP169" s="8">
        <v>-29</v>
      </c>
      <c r="PQ169" s="28">
        <v>24</v>
      </c>
      <c r="PR169" s="28"/>
      <c r="PS169" s="8">
        <v>162</v>
      </c>
      <c r="RG169" s="8">
        <v>294</v>
      </c>
      <c r="RH169" s="28">
        <v>205</v>
      </c>
      <c r="SP169" s="8">
        <v>586</v>
      </c>
      <c r="TH169" s="8">
        <v>167</v>
      </c>
      <c r="TI169" s="28">
        <v>199</v>
      </c>
      <c r="TZ169" s="8">
        <v>-376</v>
      </c>
      <c r="UA169" s="12">
        <v>306</v>
      </c>
      <c r="VH169" s="8">
        <v>533</v>
      </c>
      <c r="VI169" s="28">
        <v>33</v>
      </c>
      <c r="VL169" s="21"/>
      <c r="VQ169" s="6">
        <v>-541</v>
      </c>
      <c r="VR169" s="28">
        <v>132</v>
      </c>
      <c r="VZ169" s="8">
        <v>-366</v>
      </c>
    </row>
    <row r="170" spans="11:598" x14ac:dyDescent="0.25">
      <c r="K170" s="2">
        <v>2801</v>
      </c>
      <c r="L170" s="1">
        <v>146</v>
      </c>
      <c r="V170">
        <v>49</v>
      </c>
      <c r="W170" s="10">
        <v>174</v>
      </c>
      <c r="AD170">
        <v>17</v>
      </c>
      <c r="AE170" s="1">
        <v>5</v>
      </c>
      <c r="AJ170" s="2">
        <v>31</v>
      </c>
      <c r="AK170" s="10">
        <v>42</v>
      </c>
      <c r="BD170" s="8"/>
      <c r="BF170">
        <v>3638</v>
      </c>
      <c r="BG170" s="1">
        <v>938</v>
      </c>
      <c r="BT170">
        <v>-125</v>
      </c>
      <c r="BU170" s="1">
        <v>225</v>
      </c>
      <c r="CE170" s="8">
        <v>-1</v>
      </c>
      <c r="CF170" s="28">
        <v>27</v>
      </c>
      <c r="CZ170" s="23">
        <v>-113</v>
      </c>
      <c r="DA170" s="25">
        <v>175</v>
      </c>
      <c r="DG170" s="25"/>
      <c r="DH170" s="23">
        <v>-83</v>
      </c>
      <c r="DI170" s="25">
        <v>58</v>
      </c>
      <c r="DL170" s="8">
        <v>-6</v>
      </c>
      <c r="DS170" s="6">
        <v>27</v>
      </c>
      <c r="DT170" s="52">
        <v>255</v>
      </c>
      <c r="EA170" s="23">
        <v>-3</v>
      </c>
      <c r="EB170" s="52">
        <v>352</v>
      </c>
      <c r="EC170" s="52"/>
      <c r="ED170" s="52"/>
      <c r="EG170" s="6">
        <v>-464</v>
      </c>
      <c r="EH170" s="28">
        <v>451</v>
      </c>
      <c r="EI170" s="8">
        <v>-953</v>
      </c>
      <c r="EJ170" s="52">
        <v>115</v>
      </c>
      <c r="EN170" s="8">
        <v>-6</v>
      </c>
      <c r="EO170" s="28">
        <v>13</v>
      </c>
      <c r="EP170" s="28"/>
      <c r="EQ170" s="28"/>
      <c r="EX170" s="8">
        <v>238</v>
      </c>
      <c r="EY170" s="28">
        <v>120</v>
      </c>
      <c r="FD170" s="6">
        <v>-692</v>
      </c>
      <c r="FE170" s="28">
        <v>319</v>
      </c>
      <c r="FM170" s="8">
        <v>-116</v>
      </c>
      <c r="FN170" s="52">
        <v>40</v>
      </c>
      <c r="FS170" s="8">
        <v>-19</v>
      </c>
      <c r="FT170" s="52">
        <v>21</v>
      </c>
      <c r="GC170" s="8">
        <v>-663</v>
      </c>
      <c r="GI170" s="8">
        <v>-34</v>
      </c>
      <c r="GJ170" s="28">
        <v>39</v>
      </c>
      <c r="GP170" s="6">
        <v>-209</v>
      </c>
      <c r="GQ170" s="52">
        <v>622</v>
      </c>
      <c r="GT170" s="6">
        <v>-799</v>
      </c>
      <c r="GU170" s="52">
        <v>765</v>
      </c>
      <c r="HB170" s="6">
        <v>-46</v>
      </c>
      <c r="HE170" s="6">
        <v>47</v>
      </c>
      <c r="HF170" s="28">
        <v>28</v>
      </c>
      <c r="HS170" s="8">
        <v>-9</v>
      </c>
      <c r="HT170" s="52">
        <v>6</v>
      </c>
      <c r="IB170" s="8">
        <v>432</v>
      </c>
      <c r="IC170" s="28">
        <v>679</v>
      </c>
      <c r="IY170" s="8">
        <v>177</v>
      </c>
      <c r="JW170" s="6">
        <v>105</v>
      </c>
      <c r="JX170" s="12">
        <v>133</v>
      </c>
      <c r="KE170" s="6">
        <v>572</v>
      </c>
      <c r="KF170" s="12">
        <v>165</v>
      </c>
      <c r="KT170" s="8">
        <v>-16</v>
      </c>
      <c r="KU170" s="28">
        <v>32</v>
      </c>
      <c r="LF170" s="8">
        <v>-31</v>
      </c>
      <c r="LG170" s="28">
        <v>11</v>
      </c>
      <c r="LJ170" s="8">
        <v>686</v>
      </c>
      <c r="LK170" s="28">
        <v>168</v>
      </c>
      <c r="LU170" s="8">
        <v>-41</v>
      </c>
      <c r="LV170" s="12">
        <v>51</v>
      </c>
      <c r="LW170" s="8">
        <v>232</v>
      </c>
      <c r="LX170" s="28">
        <v>308</v>
      </c>
      <c r="MF170" s="8">
        <v>-230</v>
      </c>
      <c r="MG170" s="12">
        <v>440</v>
      </c>
      <c r="NC170" s="8">
        <v>123</v>
      </c>
      <c r="ND170" s="12">
        <v>214</v>
      </c>
      <c r="PP170" s="8">
        <v>939</v>
      </c>
      <c r="PQ170" s="28">
        <v>16</v>
      </c>
      <c r="PR170" s="28"/>
      <c r="PS170" s="8">
        <v>163</v>
      </c>
      <c r="RG170" s="8">
        <v>588</v>
      </c>
      <c r="RH170" s="28">
        <v>256</v>
      </c>
      <c r="SP170" s="8">
        <v>872</v>
      </c>
      <c r="TH170" s="8">
        <v>467</v>
      </c>
      <c r="TI170" s="28">
        <v>175</v>
      </c>
      <c r="TZ170" s="8">
        <v>-383</v>
      </c>
      <c r="UA170" s="12">
        <v>386</v>
      </c>
      <c r="VH170" s="8">
        <v>-280</v>
      </c>
      <c r="VL170" s="21"/>
      <c r="VQ170" s="6">
        <v>-556</v>
      </c>
      <c r="VR170" s="28">
        <v>142</v>
      </c>
      <c r="VZ170" s="8">
        <v>247</v>
      </c>
    </row>
    <row r="171" spans="11:598" x14ac:dyDescent="0.25">
      <c r="K171" s="2">
        <v>2788</v>
      </c>
      <c r="L171" s="1">
        <v>146</v>
      </c>
      <c r="V171">
        <v>29</v>
      </c>
      <c r="W171" s="10">
        <v>169</v>
      </c>
      <c r="AD171">
        <v>40</v>
      </c>
      <c r="AE171" s="1">
        <v>5</v>
      </c>
      <c r="AJ171" s="2">
        <v>1593</v>
      </c>
      <c r="AK171" s="10">
        <v>224</v>
      </c>
      <c r="BD171" s="8"/>
      <c r="BF171">
        <v>-2138</v>
      </c>
      <c r="BG171" s="1">
        <v>406</v>
      </c>
      <c r="BT171">
        <v>422</v>
      </c>
      <c r="BU171" s="1">
        <v>413</v>
      </c>
      <c r="CE171" s="8">
        <v>-72</v>
      </c>
      <c r="CF171" s="28">
        <v>81</v>
      </c>
      <c r="CZ171" s="23">
        <v>789</v>
      </c>
      <c r="DA171" s="25">
        <v>222</v>
      </c>
      <c r="DG171" s="25"/>
      <c r="DH171" s="23">
        <v>48</v>
      </c>
      <c r="DI171" s="25">
        <v>63</v>
      </c>
      <c r="DL171" s="8">
        <v>-3</v>
      </c>
      <c r="DS171" s="6">
        <v>117</v>
      </c>
      <c r="DT171" s="52">
        <v>198</v>
      </c>
      <c r="EA171" s="23">
        <v>-170</v>
      </c>
      <c r="EB171" s="52">
        <v>251</v>
      </c>
      <c r="EC171" s="52"/>
      <c r="ED171" s="52"/>
      <c r="EG171" s="6">
        <v>-479</v>
      </c>
      <c r="EH171" s="28">
        <v>454</v>
      </c>
      <c r="EI171" s="8">
        <v>26</v>
      </c>
      <c r="EJ171" s="52">
        <v>9</v>
      </c>
      <c r="EN171" s="8">
        <v>-105</v>
      </c>
      <c r="EO171" s="28">
        <v>15</v>
      </c>
      <c r="EP171" s="28"/>
      <c r="EQ171" s="28"/>
      <c r="EX171" s="8">
        <v>-25</v>
      </c>
      <c r="EY171" s="28">
        <v>1</v>
      </c>
      <c r="FD171" s="6">
        <v>-230</v>
      </c>
      <c r="FE171" s="28">
        <v>538</v>
      </c>
      <c r="FM171" s="8">
        <v>-737</v>
      </c>
      <c r="FN171" s="52">
        <v>77</v>
      </c>
      <c r="FS171" s="8">
        <v>66</v>
      </c>
      <c r="FT171" s="52">
        <v>77</v>
      </c>
      <c r="GC171" s="8">
        <v>-314</v>
      </c>
      <c r="GI171" s="8">
        <v>120</v>
      </c>
      <c r="GJ171" s="28">
        <v>137</v>
      </c>
      <c r="GP171" s="6">
        <v>-221</v>
      </c>
      <c r="GQ171" s="52">
        <v>431</v>
      </c>
      <c r="GT171" s="6">
        <v>703</v>
      </c>
      <c r="GU171" s="52">
        <v>663</v>
      </c>
      <c r="HB171" s="6">
        <v>-177</v>
      </c>
      <c r="HE171" s="6">
        <v>13</v>
      </c>
      <c r="HF171" s="28">
        <v>24</v>
      </c>
      <c r="HS171" s="8">
        <v>-249</v>
      </c>
      <c r="HT171" s="52">
        <v>265</v>
      </c>
      <c r="IB171" s="8">
        <v>962</v>
      </c>
      <c r="IC171" s="28">
        <v>603</v>
      </c>
      <c r="IY171" s="8">
        <v>-496</v>
      </c>
      <c r="JW171" s="6">
        <v>968</v>
      </c>
      <c r="JX171" s="12">
        <v>122</v>
      </c>
      <c r="KE171" s="6">
        <v>-202</v>
      </c>
      <c r="KF171" s="12">
        <v>897</v>
      </c>
      <c r="KT171" s="8">
        <v>-43</v>
      </c>
      <c r="KU171" s="28">
        <v>30</v>
      </c>
      <c r="LF171" s="8">
        <v>-159</v>
      </c>
      <c r="LG171" s="28">
        <v>8</v>
      </c>
      <c r="LJ171" s="8">
        <v>578</v>
      </c>
      <c r="LK171" s="28">
        <v>192</v>
      </c>
      <c r="LU171" s="8">
        <v>-525</v>
      </c>
      <c r="LV171" s="12">
        <v>58</v>
      </c>
      <c r="LW171" s="8">
        <v>-847</v>
      </c>
      <c r="LX171" s="28">
        <v>188</v>
      </c>
      <c r="MF171" s="8">
        <v>-962</v>
      </c>
      <c r="MG171" s="12">
        <v>177</v>
      </c>
      <c r="NC171" s="8">
        <v>-6</v>
      </c>
      <c r="ND171" s="12">
        <v>16</v>
      </c>
      <c r="PP171" s="8">
        <v>649</v>
      </c>
      <c r="PQ171" s="28">
        <v>20</v>
      </c>
      <c r="PR171" s="28"/>
      <c r="PS171" s="8">
        <v>390</v>
      </c>
      <c r="SP171" s="8">
        <v>657</v>
      </c>
      <c r="TH171" s="8">
        <v>640</v>
      </c>
      <c r="TI171" s="28">
        <v>374</v>
      </c>
      <c r="TZ171" s="8">
        <v>-365</v>
      </c>
      <c r="UA171" s="12">
        <v>351</v>
      </c>
      <c r="VH171" s="8">
        <v>839</v>
      </c>
      <c r="VL171" s="21"/>
      <c r="VQ171" s="6">
        <v>-21</v>
      </c>
      <c r="VR171" s="28">
        <v>57</v>
      </c>
      <c r="VZ171" s="8">
        <v>131</v>
      </c>
    </row>
    <row r="172" spans="11:598" x14ac:dyDescent="0.25">
      <c r="K172" s="2">
        <v>2344</v>
      </c>
      <c r="L172" s="1">
        <v>405</v>
      </c>
      <c r="V172">
        <v>-276</v>
      </c>
      <c r="W172" s="10">
        <v>95</v>
      </c>
      <c r="AD172">
        <v>40</v>
      </c>
      <c r="AE172" s="1">
        <v>8</v>
      </c>
      <c r="AJ172" s="2">
        <v>-600</v>
      </c>
      <c r="AK172" s="10">
        <v>182</v>
      </c>
      <c r="BD172" s="8"/>
      <c r="BF172">
        <v>783</v>
      </c>
      <c r="BG172" s="1">
        <v>440</v>
      </c>
      <c r="BT172">
        <v>-207</v>
      </c>
      <c r="BU172" s="1">
        <v>310</v>
      </c>
      <c r="CE172" s="8">
        <v>33</v>
      </c>
      <c r="CF172" s="28">
        <v>50</v>
      </c>
      <c r="CZ172" s="23">
        <v>225</v>
      </c>
      <c r="DA172" s="25">
        <v>157</v>
      </c>
      <c r="DG172" s="25"/>
      <c r="DH172" s="23">
        <v>-81</v>
      </c>
      <c r="DI172" s="25">
        <v>44</v>
      </c>
      <c r="DL172" s="8">
        <v>-7</v>
      </c>
      <c r="DS172" s="6">
        <v>-76</v>
      </c>
      <c r="DT172" s="52">
        <v>185</v>
      </c>
      <c r="EA172" s="23">
        <v>89</v>
      </c>
      <c r="EB172" s="52">
        <v>173</v>
      </c>
      <c r="EC172" s="52"/>
      <c r="ED172" s="52"/>
      <c r="EG172" s="6">
        <v>-469</v>
      </c>
      <c r="EH172" s="28">
        <v>456</v>
      </c>
      <c r="EI172" s="8">
        <v>-72</v>
      </c>
      <c r="EJ172" s="52">
        <v>460</v>
      </c>
      <c r="EN172" s="8">
        <v>-89</v>
      </c>
      <c r="EO172" s="28">
        <v>12</v>
      </c>
      <c r="EP172" s="28"/>
      <c r="EQ172" s="28"/>
      <c r="EX172" s="8">
        <v>211</v>
      </c>
      <c r="EY172" s="28">
        <v>206</v>
      </c>
      <c r="FD172" s="6">
        <v>679</v>
      </c>
      <c r="FE172" s="28">
        <v>468</v>
      </c>
      <c r="FM172" s="8">
        <v>583</v>
      </c>
      <c r="FN172" s="52">
        <v>196</v>
      </c>
      <c r="FS172" s="8">
        <v>59</v>
      </c>
      <c r="FT172" s="52">
        <v>63</v>
      </c>
      <c r="GC172" s="8">
        <v>-10</v>
      </c>
      <c r="GI172" s="8">
        <v>-53</v>
      </c>
      <c r="GJ172" s="28">
        <v>130</v>
      </c>
      <c r="GP172" s="6">
        <v>-458</v>
      </c>
      <c r="GQ172" s="52">
        <v>130</v>
      </c>
      <c r="GT172" s="6">
        <v>-518</v>
      </c>
      <c r="GU172" s="52">
        <v>262</v>
      </c>
      <c r="HB172" s="6">
        <v>-333</v>
      </c>
      <c r="HE172" s="6">
        <v>41</v>
      </c>
      <c r="HF172" s="28">
        <v>18</v>
      </c>
      <c r="HS172" s="8">
        <v>-6</v>
      </c>
      <c r="HT172" s="52">
        <v>50</v>
      </c>
      <c r="IB172" s="8">
        <v>493</v>
      </c>
      <c r="IC172" s="28">
        <v>620</v>
      </c>
      <c r="IY172" s="8">
        <v>956</v>
      </c>
      <c r="JW172" s="6">
        <v>15</v>
      </c>
      <c r="JX172" s="12">
        <v>158</v>
      </c>
      <c r="KE172" s="6">
        <v>286</v>
      </c>
      <c r="KF172" s="12">
        <v>473</v>
      </c>
      <c r="KT172" s="8">
        <v>-73</v>
      </c>
      <c r="KU172" s="28">
        <v>27</v>
      </c>
      <c r="LF172" s="8">
        <v>-164</v>
      </c>
      <c r="LG172" s="28">
        <v>7</v>
      </c>
      <c r="LJ172" s="8">
        <v>465</v>
      </c>
      <c r="LK172" s="28">
        <v>117</v>
      </c>
      <c r="LU172" s="8">
        <v>19</v>
      </c>
      <c r="LV172" s="12">
        <v>28</v>
      </c>
      <c r="LW172" s="8">
        <v>-193</v>
      </c>
      <c r="LX172" s="28">
        <v>174</v>
      </c>
      <c r="MF172" s="8">
        <v>-124</v>
      </c>
      <c r="MG172" s="12">
        <v>219</v>
      </c>
      <c r="NC172" s="8">
        <v>-8</v>
      </c>
      <c r="ND172" s="12">
        <v>24</v>
      </c>
      <c r="PP172" s="8">
        <v>814</v>
      </c>
      <c r="PQ172" s="28">
        <v>34</v>
      </c>
      <c r="PR172" s="28"/>
      <c r="PS172" s="8">
        <v>-583</v>
      </c>
      <c r="TH172" s="8">
        <v>245</v>
      </c>
      <c r="TI172" s="28">
        <v>402</v>
      </c>
      <c r="TZ172" s="8">
        <v>-325</v>
      </c>
      <c r="UA172" s="12">
        <v>294</v>
      </c>
      <c r="VH172" s="8">
        <v>-162</v>
      </c>
      <c r="VL172" s="21"/>
      <c r="VQ172" s="6">
        <v>4</v>
      </c>
      <c r="VR172" s="28">
        <v>6</v>
      </c>
      <c r="VZ172" s="8">
        <v>212</v>
      </c>
    </row>
    <row r="173" spans="11:598" x14ac:dyDescent="0.25">
      <c r="K173" s="2">
        <v>2534</v>
      </c>
      <c r="L173" s="1">
        <v>381</v>
      </c>
      <c r="V173">
        <v>826</v>
      </c>
      <c r="W173" s="10">
        <v>165</v>
      </c>
      <c r="AD173">
        <v>139</v>
      </c>
      <c r="AE173" s="1">
        <v>8</v>
      </c>
      <c r="AJ173" s="2">
        <v>-601</v>
      </c>
      <c r="AK173" s="10">
        <v>182</v>
      </c>
      <c r="BD173" s="8"/>
      <c r="BF173">
        <v>1602</v>
      </c>
      <c r="BG173" s="1">
        <v>210</v>
      </c>
      <c r="BT173">
        <v>-203</v>
      </c>
      <c r="BU173" s="1">
        <v>443</v>
      </c>
      <c r="CE173" s="8">
        <v>28</v>
      </c>
      <c r="CF173" s="28">
        <v>49</v>
      </c>
      <c r="CZ173" s="23">
        <v>369</v>
      </c>
      <c r="DA173" s="25">
        <v>190</v>
      </c>
      <c r="DG173" s="25"/>
      <c r="DH173" s="23">
        <v>160</v>
      </c>
      <c r="DI173" s="25">
        <v>303</v>
      </c>
      <c r="DL173" s="8">
        <v>7</v>
      </c>
      <c r="DS173" s="6">
        <v>26</v>
      </c>
      <c r="DT173" s="52">
        <v>134</v>
      </c>
      <c r="EA173" s="23">
        <v>997</v>
      </c>
      <c r="EB173" s="52">
        <v>640</v>
      </c>
      <c r="EC173" s="52"/>
      <c r="ED173" s="52"/>
      <c r="EG173" s="6">
        <v>-486</v>
      </c>
      <c r="EH173" s="28">
        <v>458</v>
      </c>
      <c r="EI173" s="8">
        <v>7</v>
      </c>
      <c r="EJ173" s="52">
        <v>405</v>
      </c>
      <c r="EN173" s="8">
        <v>-124</v>
      </c>
      <c r="EO173" s="28">
        <v>15</v>
      </c>
      <c r="EP173" s="28"/>
      <c r="EQ173" s="28"/>
      <c r="EX173" s="8">
        <v>329</v>
      </c>
      <c r="EY173" s="28">
        <v>204</v>
      </c>
      <c r="FD173" s="6">
        <v>-304</v>
      </c>
      <c r="FE173" s="28">
        <v>275</v>
      </c>
      <c r="FM173" s="8">
        <v>122</v>
      </c>
      <c r="FN173" s="52">
        <v>164</v>
      </c>
      <c r="FS173" s="8">
        <v>-18</v>
      </c>
      <c r="FT173" s="52">
        <v>19</v>
      </c>
      <c r="GC173" s="8">
        <v>689</v>
      </c>
      <c r="GI173" s="8">
        <v>34</v>
      </c>
      <c r="GJ173" s="28">
        <v>103</v>
      </c>
      <c r="GP173" s="6">
        <v>-60</v>
      </c>
      <c r="GQ173" s="52">
        <v>11</v>
      </c>
      <c r="GT173" s="6">
        <v>-243</v>
      </c>
      <c r="GU173" s="52">
        <v>137</v>
      </c>
      <c r="HB173" s="6">
        <v>42</v>
      </c>
      <c r="HE173" s="6">
        <v>31</v>
      </c>
      <c r="HF173" s="28">
        <v>30</v>
      </c>
      <c r="HS173" s="8">
        <v>1</v>
      </c>
      <c r="HT173" s="52">
        <v>119</v>
      </c>
      <c r="IB173" s="8">
        <v>-111</v>
      </c>
      <c r="IC173" s="28">
        <v>430</v>
      </c>
      <c r="IY173" s="8">
        <v>-124</v>
      </c>
      <c r="JW173" s="6">
        <v>16</v>
      </c>
      <c r="JX173" s="12">
        <v>166</v>
      </c>
      <c r="KE173" s="6">
        <v>-141</v>
      </c>
      <c r="KF173" s="12">
        <v>473</v>
      </c>
      <c r="KT173" s="8">
        <v>86</v>
      </c>
      <c r="KU173" s="28">
        <v>30</v>
      </c>
      <c r="LF173" s="8">
        <v>-171</v>
      </c>
      <c r="LG173" s="28">
        <v>8</v>
      </c>
      <c r="LJ173" s="8">
        <v>725</v>
      </c>
      <c r="LK173" s="28">
        <v>144</v>
      </c>
      <c r="LU173" s="8">
        <v>244</v>
      </c>
      <c r="LV173" s="12">
        <v>354</v>
      </c>
      <c r="LW173" s="8">
        <v>-109</v>
      </c>
      <c r="LX173" s="28">
        <v>96</v>
      </c>
      <c r="MF173" s="8">
        <v>-171</v>
      </c>
      <c r="MG173" s="12">
        <v>306</v>
      </c>
      <c r="NC173" s="8">
        <v>62</v>
      </c>
      <c r="ND173" s="12">
        <v>162</v>
      </c>
      <c r="PP173" s="8">
        <v>113</v>
      </c>
      <c r="PQ173" s="28">
        <v>25</v>
      </c>
      <c r="PR173" s="28"/>
      <c r="PS173" s="8">
        <v>320</v>
      </c>
      <c r="TH173" s="8">
        <v>-568</v>
      </c>
      <c r="TI173" s="28">
        <v>673</v>
      </c>
      <c r="TZ173" s="8">
        <v>-279</v>
      </c>
      <c r="UA173" s="12">
        <v>253</v>
      </c>
      <c r="VH173" s="8">
        <v>671</v>
      </c>
      <c r="VL173" s="21"/>
      <c r="VQ173" s="6">
        <v>4</v>
      </c>
      <c r="VR173" s="28">
        <v>8</v>
      </c>
      <c r="VZ173" s="8">
        <v>214</v>
      </c>
    </row>
    <row r="174" spans="11:598" x14ac:dyDescent="0.25">
      <c r="K174" s="2">
        <v>2438</v>
      </c>
      <c r="L174" s="1">
        <v>257</v>
      </c>
      <c r="V174">
        <v>7894</v>
      </c>
      <c r="W174" s="10">
        <v>49</v>
      </c>
      <c r="AD174">
        <v>140</v>
      </c>
      <c r="AE174" s="1">
        <v>9</v>
      </c>
      <c r="AJ174" s="2">
        <v>-635</v>
      </c>
      <c r="AK174" s="10">
        <v>185</v>
      </c>
      <c r="BD174" s="8"/>
      <c r="BF174">
        <v>3324</v>
      </c>
      <c r="BG174" s="1">
        <v>872</v>
      </c>
      <c r="BT174">
        <v>23</v>
      </c>
      <c r="BU174" s="1">
        <v>76</v>
      </c>
      <c r="CE174" s="8">
        <v>-16</v>
      </c>
      <c r="CF174" s="28">
        <v>49</v>
      </c>
      <c r="CZ174" s="23">
        <v>163</v>
      </c>
      <c r="DA174" s="25">
        <v>517</v>
      </c>
      <c r="DG174" s="25"/>
      <c r="DH174" s="23">
        <v>-454</v>
      </c>
      <c r="DI174" s="25">
        <v>316</v>
      </c>
      <c r="DL174" s="8">
        <v>-7</v>
      </c>
      <c r="DS174" s="6">
        <v>122</v>
      </c>
      <c r="DT174" s="52">
        <v>292</v>
      </c>
      <c r="EA174" s="23">
        <v>416</v>
      </c>
      <c r="EB174" s="52">
        <v>353</v>
      </c>
      <c r="EC174" s="52"/>
      <c r="ED174" s="52"/>
      <c r="EG174" s="6">
        <v>-486</v>
      </c>
      <c r="EH174" s="28">
        <v>461</v>
      </c>
      <c r="EI174" s="8">
        <v>-172</v>
      </c>
      <c r="EJ174" s="52">
        <v>358</v>
      </c>
      <c r="EN174" s="8">
        <v>-137</v>
      </c>
      <c r="EO174" s="28">
        <v>18</v>
      </c>
      <c r="EP174" s="28"/>
      <c r="EQ174" s="28"/>
      <c r="EX174" s="8">
        <v>-156</v>
      </c>
      <c r="EY174" s="28">
        <v>191</v>
      </c>
      <c r="FD174" s="6">
        <v>455</v>
      </c>
      <c r="FE174" s="28">
        <v>226</v>
      </c>
      <c r="FM174" s="8">
        <v>-709</v>
      </c>
      <c r="FN174" s="52">
        <v>258</v>
      </c>
      <c r="FS174" s="8">
        <v>70</v>
      </c>
      <c r="FT174" s="52">
        <v>81</v>
      </c>
      <c r="GC174" s="8">
        <v>-371</v>
      </c>
      <c r="GI174" s="8">
        <v>-99</v>
      </c>
      <c r="GJ174" s="28">
        <v>88</v>
      </c>
      <c r="GP174" s="6">
        <v>166</v>
      </c>
      <c r="GQ174" s="52">
        <v>55</v>
      </c>
      <c r="GT174" s="6">
        <v>72</v>
      </c>
      <c r="GU174" s="52">
        <v>136</v>
      </c>
      <c r="HB174" s="6">
        <v>-289</v>
      </c>
      <c r="HE174" s="6">
        <v>104</v>
      </c>
      <c r="HF174" s="28">
        <v>67</v>
      </c>
      <c r="HS174" s="8">
        <v>-201</v>
      </c>
      <c r="HT174" s="52">
        <v>554</v>
      </c>
      <c r="IB174" s="8">
        <v>-176</v>
      </c>
      <c r="IC174" s="28">
        <v>382</v>
      </c>
      <c r="IY174" s="8">
        <v>16</v>
      </c>
      <c r="JW174" s="6">
        <v>166</v>
      </c>
      <c r="JX174" s="12">
        <v>278</v>
      </c>
      <c r="KE174" s="6">
        <v>45</v>
      </c>
      <c r="KF174" s="12">
        <v>937</v>
      </c>
      <c r="KT174" s="8">
        <v>-45</v>
      </c>
      <c r="KU174" s="28">
        <v>27</v>
      </c>
      <c r="LF174" s="8">
        <v>186</v>
      </c>
      <c r="LG174" s="28">
        <v>51</v>
      </c>
      <c r="LJ174" s="8">
        <v>105</v>
      </c>
      <c r="LK174" s="28">
        <v>173</v>
      </c>
      <c r="LW174" s="8">
        <v>845</v>
      </c>
      <c r="LX174" s="28">
        <v>86</v>
      </c>
      <c r="MF174" s="8">
        <v>241</v>
      </c>
      <c r="MG174" s="12">
        <v>201</v>
      </c>
      <c r="NC174" s="8">
        <v>28</v>
      </c>
      <c r="ND174" s="12">
        <v>80</v>
      </c>
      <c r="PP174" s="8">
        <v>938</v>
      </c>
      <c r="PQ174" s="28">
        <v>26</v>
      </c>
      <c r="PR174" s="28"/>
      <c r="PS174" s="8">
        <v>183</v>
      </c>
      <c r="TH174" s="8">
        <v>324</v>
      </c>
      <c r="TI174" s="28">
        <v>516</v>
      </c>
      <c r="TZ174" s="8">
        <v>-240</v>
      </c>
      <c r="UA174" s="12">
        <v>224</v>
      </c>
      <c r="VH174" s="8">
        <v>-174</v>
      </c>
      <c r="VL174" s="21"/>
      <c r="VQ174" s="6">
        <v>703</v>
      </c>
      <c r="VR174" s="28">
        <v>363</v>
      </c>
      <c r="VZ174" s="8">
        <v>2101</v>
      </c>
    </row>
    <row r="175" spans="11:598" x14ac:dyDescent="0.25">
      <c r="K175" s="2">
        <v>2627</v>
      </c>
      <c r="L175" s="1">
        <v>254</v>
      </c>
      <c r="V175">
        <v>-1</v>
      </c>
      <c r="W175" s="10">
        <v>796</v>
      </c>
      <c r="AD175">
        <v>181</v>
      </c>
      <c r="AE175" s="1">
        <v>9</v>
      </c>
      <c r="AJ175" s="2">
        <v>-639</v>
      </c>
      <c r="AK175" s="10">
        <v>186</v>
      </c>
      <c r="BD175" s="8"/>
      <c r="BF175">
        <v>-5702</v>
      </c>
      <c r="BG175" s="1">
        <v>1530</v>
      </c>
      <c r="BT175">
        <v>121</v>
      </c>
      <c r="BU175" s="1">
        <v>129</v>
      </c>
      <c r="CE175" s="8">
        <v>44</v>
      </c>
      <c r="CF175" s="28">
        <v>49</v>
      </c>
      <c r="CZ175" s="23">
        <v>214</v>
      </c>
      <c r="DA175" s="25">
        <v>282</v>
      </c>
      <c r="DG175" s="25"/>
      <c r="DH175" s="23">
        <v>553</v>
      </c>
      <c r="DI175" s="25">
        <v>251</v>
      </c>
      <c r="DL175" s="8">
        <v>100</v>
      </c>
      <c r="DS175" s="6">
        <v>199</v>
      </c>
      <c r="DT175" s="52">
        <v>207</v>
      </c>
      <c r="EA175" s="23">
        <v>192</v>
      </c>
      <c r="EB175" s="52">
        <v>387</v>
      </c>
      <c r="EC175" s="52"/>
      <c r="ED175" s="52"/>
      <c r="EG175" s="6">
        <v>-260</v>
      </c>
      <c r="EH175" s="28">
        <v>101</v>
      </c>
      <c r="EI175" s="8">
        <v>13</v>
      </c>
      <c r="EJ175" s="52">
        <v>645</v>
      </c>
      <c r="EN175" s="8">
        <v>10</v>
      </c>
      <c r="EO175" s="28">
        <v>17</v>
      </c>
      <c r="EP175" s="28"/>
      <c r="EQ175" s="28"/>
      <c r="EX175" s="8">
        <v>526</v>
      </c>
      <c r="EY175" s="28">
        <v>191</v>
      </c>
      <c r="FD175" s="6">
        <v>-577</v>
      </c>
      <c r="FE175" s="28">
        <v>380</v>
      </c>
      <c r="FM175" s="8">
        <v>-722</v>
      </c>
      <c r="FN175" s="52">
        <v>657</v>
      </c>
      <c r="FS175" s="8">
        <v>63</v>
      </c>
      <c r="FT175" s="52">
        <v>67</v>
      </c>
      <c r="GC175" s="8">
        <v>851</v>
      </c>
      <c r="GI175" s="8">
        <v>32</v>
      </c>
      <c r="GJ175" s="28">
        <v>149</v>
      </c>
      <c r="GP175" s="6">
        <v>-164</v>
      </c>
      <c r="GQ175" s="52">
        <v>348</v>
      </c>
      <c r="GT175" s="6">
        <v>104</v>
      </c>
      <c r="GU175" s="52">
        <v>167</v>
      </c>
      <c r="HB175" s="6">
        <v>353</v>
      </c>
      <c r="HE175" s="6">
        <v>70</v>
      </c>
      <c r="HF175" s="28">
        <v>51</v>
      </c>
      <c r="HS175" s="8">
        <v>144</v>
      </c>
      <c r="HT175" s="52">
        <v>105</v>
      </c>
      <c r="IB175" s="8">
        <v>-287</v>
      </c>
      <c r="IC175" s="28">
        <v>166</v>
      </c>
      <c r="IY175" s="8">
        <v>-884</v>
      </c>
      <c r="JW175" s="6">
        <v>172</v>
      </c>
      <c r="JX175" s="12">
        <v>289</v>
      </c>
      <c r="KE175" s="6">
        <v>200</v>
      </c>
      <c r="KF175" s="12">
        <v>691</v>
      </c>
      <c r="KT175" s="8">
        <v>12</v>
      </c>
      <c r="KU175" s="28">
        <v>31</v>
      </c>
      <c r="LF175" s="8">
        <v>-170</v>
      </c>
      <c r="LG175" s="28">
        <v>39</v>
      </c>
      <c r="LJ175" s="8">
        <v>726</v>
      </c>
      <c r="LK175" s="28">
        <v>148</v>
      </c>
      <c r="LW175" s="8">
        <v>59</v>
      </c>
      <c r="LX175" s="28">
        <v>8</v>
      </c>
      <c r="MF175" s="8">
        <v>-289</v>
      </c>
      <c r="MG175" s="12">
        <v>190</v>
      </c>
      <c r="NC175" s="8">
        <v>90</v>
      </c>
      <c r="ND175" s="12">
        <v>270</v>
      </c>
      <c r="PP175" s="8">
        <v>871</v>
      </c>
      <c r="PQ175" s="28">
        <v>31</v>
      </c>
      <c r="PR175" s="28"/>
      <c r="PS175" s="8">
        <v>162</v>
      </c>
      <c r="TH175" s="8">
        <v>647</v>
      </c>
      <c r="TI175" s="28">
        <v>714</v>
      </c>
      <c r="TZ175" s="8">
        <v>-130</v>
      </c>
      <c r="UA175" s="12">
        <v>204</v>
      </c>
      <c r="VH175" s="8">
        <v>782</v>
      </c>
      <c r="VL175" s="21"/>
      <c r="VQ175" s="6">
        <v>671</v>
      </c>
      <c r="VR175" s="28">
        <v>143</v>
      </c>
      <c r="VZ175" s="8">
        <v>-125</v>
      </c>
    </row>
    <row r="176" spans="11:598" x14ac:dyDescent="0.25">
      <c r="K176" s="2">
        <v>2911</v>
      </c>
      <c r="L176" s="1">
        <v>322</v>
      </c>
      <c r="V176">
        <v>-11</v>
      </c>
      <c r="W176" s="10">
        <v>234</v>
      </c>
      <c r="AD176">
        <v>-31</v>
      </c>
      <c r="AE176" s="1">
        <v>7</v>
      </c>
      <c r="AJ176" s="2">
        <v>3</v>
      </c>
      <c r="AK176" s="10">
        <v>19</v>
      </c>
      <c r="BD176" s="8"/>
      <c r="BF176">
        <v>609</v>
      </c>
      <c r="BG176" s="1">
        <v>514</v>
      </c>
      <c r="BT176">
        <v>-392</v>
      </c>
      <c r="BU176" s="1">
        <v>892</v>
      </c>
      <c r="CE176" s="8">
        <v>20</v>
      </c>
      <c r="CF176" s="28">
        <v>92</v>
      </c>
      <c r="CZ176" s="23">
        <v>592</v>
      </c>
      <c r="DA176" s="25">
        <v>122</v>
      </c>
      <c r="DG176" s="25"/>
      <c r="DH176" s="23">
        <v>166</v>
      </c>
      <c r="DI176" s="25">
        <v>319</v>
      </c>
      <c r="DL176" s="8">
        <v>916</v>
      </c>
      <c r="DS176" s="6">
        <v>-59</v>
      </c>
      <c r="DT176" s="52">
        <v>402</v>
      </c>
      <c r="EA176" s="23">
        <v>-971</v>
      </c>
      <c r="EB176" s="52">
        <v>324</v>
      </c>
      <c r="EC176" s="52"/>
      <c r="ED176" s="52"/>
      <c r="EG176" s="6">
        <v>114</v>
      </c>
      <c r="EH176" s="28">
        <v>186</v>
      </c>
      <c r="EI176" s="8">
        <v>251</v>
      </c>
      <c r="EJ176" s="52">
        <v>532</v>
      </c>
      <c r="EN176" s="8">
        <v>217</v>
      </c>
      <c r="EO176" s="28">
        <v>15</v>
      </c>
      <c r="EP176" s="28"/>
      <c r="EQ176" s="28"/>
      <c r="EX176" s="8">
        <v>-133</v>
      </c>
      <c r="EY176" s="28">
        <v>135</v>
      </c>
      <c r="FD176" s="6">
        <v>447</v>
      </c>
      <c r="FE176" s="28">
        <v>161</v>
      </c>
      <c r="FM176" s="8">
        <v>-751</v>
      </c>
      <c r="FN176" s="52">
        <v>473</v>
      </c>
      <c r="FS176" s="8">
        <v>-18</v>
      </c>
      <c r="FT176" s="52">
        <v>19</v>
      </c>
      <c r="GC176" s="8">
        <v>-734</v>
      </c>
      <c r="GI176" s="8">
        <v>-84</v>
      </c>
      <c r="GJ176" s="28">
        <v>161</v>
      </c>
      <c r="GP176" s="6">
        <v>-224</v>
      </c>
      <c r="GQ176" s="52">
        <v>820</v>
      </c>
      <c r="GT176" s="6">
        <v>272</v>
      </c>
      <c r="GU176" s="52">
        <v>132</v>
      </c>
      <c r="HB176" s="6">
        <v>105</v>
      </c>
      <c r="HE176" s="6">
        <v>57</v>
      </c>
      <c r="HF176" s="28">
        <v>42</v>
      </c>
      <c r="HS176" s="8">
        <v>99</v>
      </c>
      <c r="HT176" s="52">
        <v>521</v>
      </c>
      <c r="IB176" s="8">
        <v>-455</v>
      </c>
      <c r="IC176" s="28">
        <v>164</v>
      </c>
      <c r="IY176" s="8">
        <v>-924</v>
      </c>
      <c r="JW176" s="6">
        <v>170</v>
      </c>
      <c r="JX176" s="12">
        <v>245</v>
      </c>
      <c r="KE176" s="6">
        <v>9</v>
      </c>
      <c r="KF176" s="12">
        <v>181</v>
      </c>
      <c r="KT176" s="8">
        <v>122</v>
      </c>
      <c r="KU176" s="28">
        <v>33</v>
      </c>
      <c r="LF176" s="8">
        <v>-245</v>
      </c>
      <c r="LG176" s="28">
        <v>28</v>
      </c>
      <c r="LJ176" s="8">
        <v>854</v>
      </c>
      <c r="LK176" s="28">
        <v>159</v>
      </c>
      <c r="LW176" s="8">
        <v>-337</v>
      </c>
      <c r="LX176" s="28">
        <v>242</v>
      </c>
      <c r="MF176" s="8">
        <v>-141</v>
      </c>
      <c r="MG176" s="12">
        <v>460</v>
      </c>
      <c r="NC176" s="8">
        <v>88</v>
      </c>
      <c r="ND176" s="12">
        <v>182</v>
      </c>
      <c r="PP176" s="8">
        <v>795</v>
      </c>
      <c r="PQ176" s="28">
        <v>26</v>
      </c>
      <c r="PR176" s="28"/>
      <c r="PS176" s="8">
        <v>-141</v>
      </c>
      <c r="TH176" s="8">
        <v>-359</v>
      </c>
      <c r="TI176" s="28">
        <v>177</v>
      </c>
      <c r="TZ176" s="8">
        <v>-246</v>
      </c>
      <c r="UA176" s="12">
        <v>679</v>
      </c>
      <c r="VH176" s="8">
        <v>652</v>
      </c>
      <c r="VL176" s="21"/>
      <c r="VQ176" s="6">
        <v>684</v>
      </c>
      <c r="VR176" s="28">
        <v>140</v>
      </c>
      <c r="VZ176" s="8">
        <v>-351</v>
      </c>
    </row>
    <row r="177" spans="11:598" x14ac:dyDescent="0.25">
      <c r="K177" s="2">
        <v>3078</v>
      </c>
      <c r="L177" s="1">
        <v>285</v>
      </c>
      <c r="V177">
        <v>6</v>
      </c>
      <c r="W177" s="10">
        <v>118</v>
      </c>
      <c r="AD177">
        <v>-31</v>
      </c>
      <c r="AE177" s="1">
        <v>7</v>
      </c>
      <c r="AJ177" s="2">
        <v>-15</v>
      </c>
      <c r="AK177" s="10">
        <v>94</v>
      </c>
      <c r="BD177" s="8"/>
      <c r="BF177">
        <v>4214</v>
      </c>
      <c r="BG177" s="1">
        <v>932</v>
      </c>
      <c r="BT177">
        <v>198</v>
      </c>
      <c r="BU177" s="1">
        <v>288</v>
      </c>
      <c r="CE177" s="8">
        <v>69</v>
      </c>
      <c r="CF177" s="28">
        <v>56</v>
      </c>
      <c r="CZ177" s="23">
        <v>-462</v>
      </c>
      <c r="DA177" s="25">
        <v>134</v>
      </c>
      <c r="DG177" s="25"/>
      <c r="DH177" s="23">
        <v>-778</v>
      </c>
      <c r="DI177" s="25">
        <v>348</v>
      </c>
      <c r="DL177" s="8">
        <v>913</v>
      </c>
      <c r="DS177" s="6">
        <v>29</v>
      </c>
      <c r="DT177" s="52">
        <v>179</v>
      </c>
      <c r="EA177" s="23">
        <v>-492</v>
      </c>
      <c r="EB177" s="52">
        <v>207</v>
      </c>
      <c r="EC177" s="52"/>
      <c r="ED177" s="52"/>
      <c r="EG177" s="6">
        <v>117</v>
      </c>
      <c r="EH177" s="28">
        <v>425</v>
      </c>
      <c r="EI177" s="8">
        <v>106</v>
      </c>
      <c r="EJ177" s="52">
        <v>101</v>
      </c>
      <c r="EN177" s="8">
        <v>-326</v>
      </c>
      <c r="EO177" s="28">
        <v>15</v>
      </c>
      <c r="EP177" s="28"/>
      <c r="EQ177" s="28"/>
      <c r="EX177" s="8">
        <v>-580</v>
      </c>
      <c r="EY177" s="28">
        <v>213</v>
      </c>
      <c r="FD177" s="6">
        <v>114</v>
      </c>
      <c r="FE177" s="28">
        <v>304</v>
      </c>
      <c r="FM177" s="8">
        <v>-557</v>
      </c>
      <c r="FN177" s="52">
        <v>475</v>
      </c>
      <c r="FS177" s="8">
        <v>70</v>
      </c>
      <c r="FT177" s="52">
        <v>81</v>
      </c>
      <c r="GC177" s="8">
        <v>922</v>
      </c>
      <c r="GI177" s="8">
        <v>26</v>
      </c>
      <c r="GJ177" s="28">
        <v>157</v>
      </c>
      <c r="GP177" s="6">
        <v>843</v>
      </c>
      <c r="GQ177" s="52">
        <v>406</v>
      </c>
      <c r="GT177" s="6">
        <v>40</v>
      </c>
      <c r="GU177" s="52">
        <v>193</v>
      </c>
      <c r="HB177" s="6">
        <v>-1</v>
      </c>
      <c r="HE177" s="6">
        <v>9</v>
      </c>
      <c r="HF177" s="28">
        <v>37</v>
      </c>
      <c r="HS177" s="8">
        <v>15</v>
      </c>
      <c r="HT177" s="52">
        <v>170</v>
      </c>
      <c r="IB177" s="8">
        <v>108</v>
      </c>
      <c r="IC177" s="28">
        <v>617</v>
      </c>
      <c r="IY177" s="8">
        <v>-591</v>
      </c>
      <c r="JW177" s="6">
        <v>183</v>
      </c>
      <c r="JX177" s="12">
        <v>264</v>
      </c>
      <c r="KE177" s="6">
        <v>129</v>
      </c>
      <c r="KF177" s="12">
        <v>420</v>
      </c>
      <c r="KT177" s="8">
        <v>237</v>
      </c>
      <c r="KU177" s="28">
        <v>17</v>
      </c>
      <c r="LF177" s="8">
        <v>-308</v>
      </c>
      <c r="LG177" s="28">
        <v>29</v>
      </c>
      <c r="LJ177" s="8">
        <v>879</v>
      </c>
      <c r="LK177" s="28">
        <v>214</v>
      </c>
      <c r="LW177" s="8">
        <v>66</v>
      </c>
      <c r="LX177" s="28">
        <v>234</v>
      </c>
      <c r="MF177" s="8">
        <v>-505</v>
      </c>
      <c r="MG177" s="12">
        <v>313</v>
      </c>
      <c r="NC177" s="8">
        <v>-105</v>
      </c>
      <c r="ND177" s="12">
        <v>158</v>
      </c>
      <c r="PP177" s="8">
        <v>713</v>
      </c>
      <c r="PQ177" s="28">
        <v>21</v>
      </c>
      <c r="PR177" s="28"/>
      <c r="PS177" s="8">
        <v>188</v>
      </c>
      <c r="TH177" s="8">
        <v>114</v>
      </c>
      <c r="TI177" s="28">
        <v>503</v>
      </c>
      <c r="TZ177" s="8">
        <v>-433</v>
      </c>
      <c r="UA177" s="12">
        <v>160</v>
      </c>
      <c r="VH177" s="8">
        <v>-514</v>
      </c>
      <c r="VL177" s="21"/>
      <c r="VQ177" s="6">
        <v>692</v>
      </c>
      <c r="VR177" s="28">
        <v>142</v>
      </c>
      <c r="VZ177" s="8">
        <v>-444</v>
      </c>
    </row>
    <row r="178" spans="11:598" x14ac:dyDescent="0.25">
      <c r="K178" s="2">
        <v>3128</v>
      </c>
      <c r="L178" s="1">
        <v>220</v>
      </c>
      <c r="V178">
        <v>-6</v>
      </c>
      <c r="W178" s="10">
        <v>85</v>
      </c>
      <c r="AD178">
        <v>-30</v>
      </c>
      <c r="AE178" s="1">
        <v>8</v>
      </c>
      <c r="AJ178" s="2">
        <v>-2</v>
      </c>
      <c r="AK178" s="10">
        <v>13</v>
      </c>
      <c r="BD178" s="8"/>
      <c r="BF178">
        <v>-1825</v>
      </c>
      <c r="BG178" s="1">
        <v>509</v>
      </c>
      <c r="BT178">
        <v>182</v>
      </c>
      <c r="BU178" s="1">
        <v>131</v>
      </c>
      <c r="CE178" s="8">
        <v>47</v>
      </c>
      <c r="CF178" s="28">
        <v>142</v>
      </c>
      <c r="CZ178" s="23">
        <v>167</v>
      </c>
      <c r="DA178" s="25">
        <v>976</v>
      </c>
      <c r="DG178" s="25"/>
      <c r="DH178" s="23">
        <v>-515</v>
      </c>
      <c r="DI178" s="25">
        <v>225</v>
      </c>
      <c r="DL178" s="8">
        <v>985</v>
      </c>
      <c r="DS178" s="6">
        <v>25</v>
      </c>
      <c r="DT178" s="52">
        <v>171</v>
      </c>
      <c r="EA178" s="23">
        <v>102</v>
      </c>
      <c r="EB178" s="52">
        <v>396</v>
      </c>
      <c r="EC178" s="52"/>
      <c r="ED178" s="52"/>
      <c r="EG178" s="6">
        <v>189</v>
      </c>
      <c r="EH178" s="28">
        <v>470</v>
      </c>
      <c r="EI178" s="8">
        <v>1</v>
      </c>
      <c r="EJ178" s="52">
        <v>410</v>
      </c>
      <c r="EN178" s="8">
        <f>196</f>
        <v>196</v>
      </c>
      <c r="EO178" s="28">
        <v>15</v>
      </c>
      <c r="EP178" s="28"/>
      <c r="EQ178" s="28"/>
      <c r="EX178" s="8">
        <v>-196</v>
      </c>
      <c r="EY178" s="28">
        <v>198</v>
      </c>
      <c r="FD178" s="6">
        <v>-718</v>
      </c>
      <c r="FE178" s="28">
        <v>133</v>
      </c>
      <c r="FM178" s="8">
        <v>-332</v>
      </c>
      <c r="FN178" s="52">
        <v>181</v>
      </c>
      <c r="FS178" s="8">
        <v>63</v>
      </c>
      <c r="FT178" s="52">
        <v>67</v>
      </c>
      <c r="GC178" s="8">
        <v>672</v>
      </c>
      <c r="GI178" s="8">
        <v>-5</v>
      </c>
      <c r="GJ178" s="28">
        <v>149</v>
      </c>
      <c r="GP178" s="6">
        <v>227</v>
      </c>
      <c r="GQ178" s="52">
        <v>30</v>
      </c>
      <c r="GT178" s="6">
        <v>-1</v>
      </c>
      <c r="GU178" s="52">
        <v>9</v>
      </c>
      <c r="HB178" s="6">
        <v>119</v>
      </c>
      <c r="HE178" s="6">
        <v>7</v>
      </c>
      <c r="HF178" s="28">
        <v>20</v>
      </c>
      <c r="HS178" s="8">
        <v>10</v>
      </c>
      <c r="HT178" s="52">
        <v>606</v>
      </c>
      <c r="IB178" s="8">
        <v>493</v>
      </c>
      <c r="IC178" s="28">
        <v>696</v>
      </c>
      <c r="IY178" s="8">
        <v>-186</v>
      </c>
      <c r="JW178" s="6">
        <v>-251</v>
      </c>
      <c r="JX178" s="12">
        <v>86</v>
      </c>
      <c r="KE178" s="6">
        <v>-3</v>
      </c>
      <c r="KF178" s="12">
        <v>68</v>
      </c>
      <c r="KT178" s="8">
        <v>312</v>
      </c>
      <c r="KU178" s="28">
        <v>17</v>
      </c>
      <c r="LF178" s="8">
        <v>-26</v>
      </c>
      <c r="LG178" s="28">
        <v>24</v>
      </c>
      <c r="LJ178" s="8">
        <v>557</v>
      </c>
      <c r="LK178" s="28">
        <v>191</v>
      </c>
      <c r="LW178" s="8">
        <v>-163</v>
      </c>
      <c r="LX178" s="28">
        <v>108</v>
      </c>
      <c r="MF178" s="8">
        <v>695</v>
      </c>
      <c r="MG178" s="12">
        <v>187</v>
      </c>
      <c r="NC178" s="8">
        <v>-32</v>
      </c>
      <c r="ND178" s="12">
        <v>50</v>
      </c>
      <c r="PP178" s="8">
        <v>778</v>
      </c>
      <c r="PQ178" s="28">
        <v>35</v>
      </c>
      <c r="PR178" s="28"/>
      <c r="PS178" s="8">
        <v>249</v>
      </c>
      <c r="TH178" s="8">
        <v>647</v>
      </c>
      <c r="TI178" s="28">
        <v>68</v>
      </c>
      <c r="TZ178" s="8">
        <v>-203</v>
      </c>
      <c r="UA178" s="12">
        <v>165</v>
      </c>
      <c r="VH178" s="8">
        <v>570</v>
      </c>
      <c r="VL178" s="21"/>
      <c r="VQ178" s="6">
        <v>680</v>
      </c>
      <c r="VR178" s="28">
        <v>147</v>
      </c>
      <c r="VZ178" s="8">
        <v>-175</v>
      </c>
    </row>
    <row r="179" spans="11:598" x14ac:dyDescent="0.25">
      <c r="K179" s="2">
        <v>3145</v>
      </c>
      <c r="L179" s="1">
        <v>220</v>
      </c>
      <c r="V179">
        <v>1</v>
      </c>
      <c r="W179" s="10">
        <v>6</v>
      </c>
      <c r="AD179">
        <v>-30</v>
      </c>
      <c r="AE179" s="1">
        <v>8</v>
      </c>
      <c r="AJ179" s="2">
        <v>-15</v>
      </c>
      <c r="AK179" s="10">
        <v>93</v>
      </c>
      <c r="BD179" s="8"/>
      <c r="BF179">
        <v>33</v>
      </c>
      <c r="BG179" s="1">
        <v>2</v>
      </c>
      <c r="BT179">
        <v>155</v>
      </c>
      <c r="BU179" s="1">
        <v>134</v>
      </c>
      <c r="CE179" s="8">
        <v>-84</v>
      </c>
      <c r="CF179" s="28">
        <v>94</v>
      </c>
      <c r="CZ179" s="23">
        <v>792</v>
      </c>
      <c r="DA179" s="25">
        <v>305</v>
      </c>
      <c r="DG179" s="25"/>
      <c r="DH179" s="23">
        <v>-744</v>
      </c>
      <c r="DI179" s="25">
        <v>246</v>
      </c>
      <c r="DL179" s="8">
        <v>100</v>
      </c>
      <c r="DS179" s="6">
        <v>34</v>
      </c>
      <c r="DT179" s="52">
        <v>254</v>
      </c>
      <c r="EA179" s="23">
        <v>383</v>
      </c>
      <c r="EB179" s="52">
        <v>410</v>
      </c>
      <c r="EC179" s="52"/>
      <c r="ED179" s="52"/>
      <c r="EG179" s="6">
        <v>293</v>
      </c>
      <c r="EH179" s="28">
        <v>437</v>
      </c>
      <c r="EI179" s="8">
        <v>-969</v>
      </c>
      <c r="EJ179" s="52">
        <v>116</v>
      </c>
      <c r="EN179" s="8">
        <v>-251</v>
      </c>
      <c r="EO179" s="28">
        <v>18</v>
      </c>
      <c r="EP179" s="28"/>
      <c r="EQ179" s="28"/>
      <c r="EX179" s="8">
        <v>308</v>
      </c>
      <c r="EY179" s="28">
        <v>148</v>
      </c>
      <c r="FD179" s="6">
        <v>763</v>
      </c>
      <c r="FE179" s="28">
        <v>459</v>
      </c>
      <c r="FM179" s="8">
        <v>-175</v>
      </c>
      <c r="FN179" s="52">
        <v>44</v>
      </c>
      <c r="FS179" s="8">
        <v>511</v>
      </c>
      <c r="FT179" s="52">
        <v>99</v>
      </c>
      <c r="GC179" s="8">
        <v>492</v>
      </c>
      <c r="GI179" s="8">
        <v>-86</v>
      </c>
      <c r="GJ179" s="28">
        <v>143</v>
      </c>
      <c r="GP179" s="6">
        <v>387</v>
      </c>
      <c r="GQ179" s="52">
        <v>50</v>
      </c>
      <c r="GT179" s="6">
        <v>28</v>
      </c>
      <c r="GU179" s="52">
        <v>408</v>
      </c>
      <c r="HB179" s="6">
        <v>197</v>
      </c>
      <c r="HE179" s="6">
        <v>-15</v>
      </c>
      <c r="HF179" s="28">
        <v>24</v>
      </c>
      <c r="HS179" s="8">
        <v>-48</v>
      </c>
      <c r="HT179" s="52">
        <v>118</v>
      </c>
      <c r="IB179" s="8">
        <v>192</v>
      </c>
      <c r="IC179" s="28">
        <v>153</v>
      </c>
      <c r="IY179" s="8">
        <v>-85</v>
      </c>
      <c r="JW179" s="6">
        <v>-33</v>
      </c>
      <c r="JX179" s="12">
        <v>114</v>
      </c>
      <c r="KE179" s="6">
        <v>-405</v>
      </c>
      <c r="KF179" s="12">
        <v>133</v>
      </c>
      <c r="KT179" s="8">
        <v>2</v>
      </c>
      <c r="KU179" s="28">
        <v>3</v>
      </c>
      <c r="LF179" s="8">
        <v>-205</v>
      </c>
      <c r="LG179" s="28">
        <v>16</v>
      </c>
      <c r="LJ179" s="8">
        <v>162</v>
      </c>
      <c r="LK179" s="28">
        <v>183</v>
      </c>
      <c r="LW179" s="8">
        <v>484</v>
      </c>
      <c r="LX179" s="28">
        <v>68</v>
      </c>
      <c r="MF179" s="8">
        <v>299</v>
      </c>
      <c r="MG179" s="12">
        <v>69</v>
      </c>
      <c r="NC179" s="8">
        <v>40</v>
      </c>
      <c r="ND179" s="12">
        <v>132</v>
      </c>
      <c r="PP179" s="8">
        <v>859</v>
      </c>
      <c r="PQ179" s="28">
        <v>25</v>
      </c>
      <c r="PR179" s="28"/>
      <c r="PS179" s="8">
        <v>-33</v>
      </c>
      <c r="TH179" s="8">
        <v>277</v>
      </c>
      <c r="TI179" s="28">
        <v>370</v>
      </c>
      <c r="TZ179" s="8">
        <v>-50</v>
      </c>
      <c r="UA179" s="12">
        <v>183</v>
      </c>
      <c r="VH179" s="8">
        <v>268</v>
      </c>
      <c r="VL179" s="21"/>
      <c r="VQ179" s="6">
        <v>701</v>
      </c>
      <c r="VR179" s="28">
        <v>144</v>
      </c>
      <c r="VZ179" s="8">
        <v>-174</v>
      </c>
    </row>
    <row r="180" spans="11:598" x14ac:dyDescent="0.25">
      <c r="K180" s="2">
        <v>3904</v>
      </c>
      <c r="L180" s="1">
        <v>581</v>
      </c>
      <c r="V180">
        <v>-7</v>
      </c>
      <c r="W180" s="10">
        <v>11</v>
      </c>
      <c r="AD180">
        <v>-11</v>
      </c>
      <c r="AE180" s="1">
        <v>10</v>
      </c>
      <c r="AJ180" s="2">
        <v>-76</v>
      </c>
      <c r="AK180" s="10">
        <v>74</v>
      </c>
      <c r="BD180" s="8"/>
      <c r="BF180">
        <v>20</v>
      </c>
      <c r="BG180" s="1">
        <v>2</v>
      </c>
      <c r="BT180">
        <v>537</v>
      </c>
      <c r="BU180" s="1">
        <v>197</v>
      </c>
      <c r="CE180" s="8">
        <v>67</v>
      </c>
      <c r="CF180" s="28">
        <v>71</v>
      </c>
      <c r="CZ180" s="23">
        <v>-115</v>
      </c>
      <c r="DA180" s="25">
        <v>178</v>
      </c>
      <c r="DG180" s="25"/>
      <c r="DH180" s="23">
        <v>-806</v>
      </c>
      <c r="DI180" s="25">
        <v>262</v>
      </c>
      <c r="DL180" s="8">
        <v>101</v>
      </c>
      <c r="DS180" s="6">
        <v>42</v>
      </c>
      <c r="DT180" s="52">
        <v>317</v>
      </c>
      <c r="EA180" s="23">
        <v>141</v>
      </c>
      <c r="EB180" s="52">
        <v>250</v>
      </c>
      <c r="EC180" s="52"/>
      <c r="ED180" s="52"/>
      <c r="EG180" s="6">
        <v>541</v>
      </c>
      <c r="EH180" s="28">
        <v>503</v>
      </c>
      <c r="EI180" s="8">
        <v>-241</v>
      </c>
      <c r="EJ180" s="52">
        <v>82</v>
      </c>
      <c r="EN180" s="8">
        <v>125</v>
      </c>
      <c r="EO180" s="28">
        <v>18</v>
      </c>
      <c r="EP180" s="28"/>
      <c r="EQ180" s="28"/>
      <c r="EX180" s="8">
        <v>522</v>
      </c>
      <c r="EY180" s="28">
        <v>139</v>
      </c>
      <c r="FD180" s="6">
        <v>175</v>
      </c>
      <c r="FE180" s="28">
        <v>734</v>
      </c>
      <c r="FM180" s="8">
        <v>-189</v>
      </c>
      <c r="FN180" s="52">
        <v>715</v>
      </c>
      <c r="FS180" s="8">
        <v>556</v>
      </c>
      <c r="FT180" s="52">
        <v>97</v>
      </c>
      <c r="GC180" s="8">
        <v>-403</v>
      </c>
      <c r="GI180" s="8">
        <v>-62</v>
      </c>
      <c r="GJ180" s="28">
        <v>152</v>
      </c>
      <c r="GP180" s="6">
        <v>123</v>
      </c>
      <c r="GQ180" s="52">
        <v>156</v>
      </c>
      <c r="GT180" s="6">
        <v>26</v>
      </c>
      <c r="GU180" s="52">
        <v>504</v>
      </c>
      <c r="HB180" s="6">
        <v>568</v>
      </c>
      <c r="HE180" s="6">
        <v>32</v>
      </c>
      <c r="HF180" s="28">
        <v>63</v>
      </c>
      <c r="HS180" s="8">
        <v>-46</v>
      </c>
      <c r="HT180" s="52">
        <v>151</v>
      </c>
      <c r="IB180" s="8">
        <v>144</v>
      </c>
      <c r="IC180" s="28">
        <v>136</v>
      </c>
      <c r="IY180" s="8">
        <v>1</v>
      </c>
      <c r="JW180" s="6">
        <v>-4</v>
      </c>
      <c r="JX180" s="12">
        <v>119</v>
      </c>
      <c r="KE180" s="6">
        <v>70</v>
      </c>
      <c r="KF180" s="12">
        <v>131</v>
      </c>
      <c r="KT180" s="8">
        <v>-13</v>
      </c>
      <c r="KU180" s="28">
        <v>24</v>
      </c>
      <c r="LF180" s="8">
        <v>-214</v>
      </c>
      <c r="LG180" s="28">
        <v>12</v>
      </c>
      <c r="LJ180" s="8">
        <v>513</v>
      </c>
      <c r="LK180" s="28">
        <v>163</v>
      </c>
      <c r="LW180" s="8">
        <v>-887</v>
      </c>
      <c r="LX180" s="28">
        <v>243</v>
      </c>
      <c r="MF180" s="8">
        <v>686</v>
      </c>
      <c r="MG180" s="12">
        <v>126</v>
      </c>
      <c r="NC180" s="8">
        <v>1</v>
      </c>
      <c r="ND180" s="12">
        <v>23</v>
      </c>
      <c r="PP180" s="8">
        <v>821</v>
      </c>
      <c r="PQ180" s="28">
        <v>27</v>
      </c>
      <c r="PR180" s="28"/>
      <c r="PS180" s="8">
        <v>-13</v>
      </c>
      <c r="TH180" s="8">
        <v>533</v>
      </c>
      <c r="TI180" s="28">
        <v>124</v>
      </c>
      <c r="TZ180" s="8">
        <v>67</v>
      </c>
      <c r="UA180" s="12">
        <v>127</v>
      </c>
      <c r="VH180" s="8">
        <v>350</v>
      </c>
      <c r="VL180" s="21"/>
      <c r="VQ180" s="6">
        <v>542</v>
      </c>
      <c r="VR180" s="28">
        <v>247</v>
      </c>
      <c r="VZ180" s="8">
        <v>412</v>
      </c>
    </row>
    <row r="181" spans="11:598" x14ac:dyDescent="0.25">
      <c r="K181" s="2">
        <v>2805</v>
      </c>
      <c r="L181" s="1">
        <v>256</v>
      </c>
      <c r="V181">
        <v>-6</v>
      </c>
      <c r="W181" s="10">
        <v>95</v>
      </c>
      <c r="AD181">
        <v>-11</v>
      </c>
      <c r="AE181" s="1">
        <v>10</v>
      </c>
      <c r="AJ181" s="2">
        <v>-97</v>
      </c>
      <c r="AK181" s="10">
        <v>92</v>
      </c>
      <c r="BD181" s="8"/>
      <c r="BF181">
        <v>224</v>
      </c>
      <c r="BG181" s="1">
        <v>471</v>
      </c>
      <c r="BT181">
        <v>-146</v>
      </c>
      <c r="BU181" s="1">
        <v>274</v>
      </c>
      <c r="CE181" s="8">
        <v>63</v>
      </c>
      <c r="CF181" s="28">
        <v>80</v>
      </c>
      <c r="CZ181" s="23">
        <v>2</v>
      </c>
      <c r="DA181" s="25">
        <v>3</v>
      </c>
      <c r="DG181" s="25"/>
      <c r="DH181" s="23">
        <v>-126</v>
      </c>
      <c r="DI181" s="25">
        <v>283</v>
      </c>
      <c r="DL181" s="8">
        <v>962</v>
      </c>
      <c r="DS181" s="6">
        <v>21</v>
      </c>
      <c r="DT181" s="52">
        <v>160</v>
      </c>
      <c r="EA181" s="23">
        <v>159</v>
      </c>
      <c r="EB181" s="52">
        <v>441</v>
      </c>
      <c r="EC181" s="52"/>
      <c r="ED181" s="52"/>
      <c r="EG181" s="6">
        <v>748</v>
      </c>
      <c r="EH181" s="28">
        <v>450</v>
      </c>
      <c r="EI181" s="8">
        <v>-19</v>
      </c>
      <c r="EJ181" s="52">
        <v>499</v>
      </c>
      <c r="EN181" s="8">
        <v>-124</v>
      </c>
      <c r="EO181" s="28">
        <v>56</v>
      </c>
      <c r="EP181" s="28"/>
      <c r="EQ181" s="28"/>
      <c r="EX181" s="8">
        <v>-309</v>
      </c>
      <c r="EY181" s="28">
        <v>149</v>
      </c>
      <c r="FD181" s="6">
        <v>241</v>
      </c>
      <c r="FE181" s="28">
        <v>183</v>
      </c>
      <c r="FM181" s="8">
        <v>-18</v>
      </c>
      <c r="FN181" s="52">
        <v>15</v>
      </c>
      <c r="FS181" s="8">
        <v>535</v>
      </c>
      <c r="FT181" s="52">
        <v>93</v>
      </c>
      <c r="GC181" s="8">
        <v>-212</v>
      </c>
      <c r="GI181" s="8">
        <v>-106</v>
      </c>
      <c r="GJ181" s="28">
        <v>171</v>
      </c>
      <c r="GP181" s="6">
        <v>266</v>
      </c>
      <c r="GQ181" s="52">
        <v>171</v>
      </c>
      <c r="GT181" s="6">
        <v>-92</v>
      </c>
      <c r="GU181" s="52">
        <v>177</v>
      </c>
      <c r="HB181" s="6">
        <v>248</v>
      </c>
      <c r="HE181" s="6">
        <v>69</v>
      </c>
      <c r="HF181" s="28">
        <v>49</v>
      </c>
      <c r="HS181" s="8">
        <v>14</v>
      </c>
      <c r="HT181" s="52">
        <v>200</v>
      </c>
      <c r="IB181" s="8">
        <v>208</v>
      </c>
      <c r="IC181" s="28">
        <v>153</v>
      </c>
      <c r="IY181" s="8">
        <v>-471</v>
      </c>
      <c r="JW181" s="6">
        <v>-3</v>
      </c>
      <c r="JX181" s="12">
        <v>117</v>
      </c>
      <c r="KE181" s="6">
        <v>551</v>
      </c>
      <c r="KF181" s="12">
        <v>239</v>
      </c>
      <c r="KT181" s="8">
        <v>-279</v>
      </c>
      <c r="KU181" s="28">
        <v>14</v>
      </c>
      <c r="LF181" s="8">
        <v>-215</v>
      </c>
      <c r="LG181" s="28">
        <v>13</v>
      </c>
      <c r="LJ181" s="8">
        <v>-278</v>
      </c>
      <c r="LK181" s="28">
        <v>155</v>
      </c>
      <c r="LW181" s="8">
        <v>-194</v>
      </c>
      <c r="LX181" s="28">
        <v>237</v>
      </c>
      <c r="MF181" s="8">
        <v>16</v>
      </c>
      <c r="MG181" s="12">
        <v>4</v>
      </c>
      <c r="NC181" s="8">
        <v>15</v>
      </c>
      <c r="ND181" s="12">
        <v>280</v>
      </c>
      <c r="PP181" s="8">
        <v>454</v>
      </c>
      <c r="PQ181" s="28">
        <v>16</v>
      </c>
      <c r="PR181" s="28"/>
      <c r="PS181" s="8">
        <v>-5</v>
      </c>
      <c r="TH181" s="8">
        <v>-454</v>
      </c>
      <c r="TI181" s="28">
        <v>17</v>
      </c>
      <c r="TZ181" s="8">
        <v>136</v>
      </c>
      <c r="UA181" s="12">
        <v>143</v>
      </c>
      <c r="VH181" s="8">
        <v>-227</v>
      </c>
      <c r="VL181" s="21"/>
      <c r="VQ181" s="6">
        <v>698</v>
      </c>
      <c r="VR181" s="28">
        <v>148</v>
      </c>
      <c r="VZ181" s="8">
        <v>403</v>
      </c>
    </row>
    <row r="182" spans="11:598" x14ac:dyDescent="0.25">
      <c r="K182" s="2">
        <v>2874</v>
      </c>
      <c r="L182" s="1">
        <v>224</v>
      </c>
      <c r="V182">
        <v>-4</v>
      </c>
      <c r="W182" s="10">
        <v>96</v>
      </c>
      <c r="AD182">
        <v>-13</v>
      </c>
      <c r="AE182" s="1">
        <v>10</v>
      </c>
      <c r="AJ182" s="2">
        <v>-2552</v>
      </c>
      <c r="AK182" s="10">
        <v>461</v>
      </c>
      <c r="BD182" s="8"/>
      <c r="BF182">
        <v>-136</v>
      </c>
      <c r="BG182" s="1">
        <v>483</v>
      </c>
      <c r="BT182">
        <v>142</v>
      </c>
      <c r="BU182" s="1">
        <v>480</v>
      </c>
      <c r="CE182" s="8">
        <v>68</v>
      </c>
      <c r="CF182" s="28">
        <v>75</v>
      </c>
      <c r="CZ182" s="23">
        <v>25</v>
      </c>
      <c r="DA182" s="25">
        <v>10</v>
      </c>
      <c r="DG182" s="25"/>
      <c r="DH182" s="23">
        <v>-112</v>
      </c>
      <c r="DI182" s="25">
        <v>271</v>
      </c>
      <c r="DL182" s="8">
        <v>101</v>
      </c>
      <c r="DS182" s="6">
        <v>23</v>
      </c>
      <c r="DT182" s="52">
        <v>189</v>
      </c>
      <c r="EA182" s="23">
        <v>9</v>
      </c>
      <c r="EB182" s="52">
        <v>313</v>
      </c>
      <c r="EC182" s="52"/>
      <c r="ED182" s="52"/>
      <c r="EG182" s="6">
        <v>965</v>
      </c>
      <c r="EH182" s="28">
        <v>540</v>
      </c>
      <c r="EI182" s="8">
        <v>-19</v>
      </c>
      <c r="EJ182" s="52">
        <v>193</v>
      </c>
      <c r="EN182" s="8">
        <v>141</v>
      </c>
      <c r="EO182" s="28">
        <v>18</v>
      </c>
      <c r="EP182" s="28"/>
      <c r="EQ182" s="28"/>
      <c r="EX182" s="8">
        <v>590</v>
      </c>
      <c r="EY182" s="28">
        <v>130</v>
      </c>
      <c r="FD182" s="6">
        <v>-581</v>
      </c>
      <c r="FE182" s="28">
        <v>303</v>
      </c>
      <c r="FM182" s="8">
        <v>62</v>
      </c>
      <c r="FN182" s="52">
        <v>26</v>
      </c>
      <c r="FS182" s="8">
        <v>517</v>
      </c>
      <c r="FT182" s="52">
        <v>99</v>
      </c>
      <c r="GC182" s="8">
        <v>-656</v>
      </c>
      <c r="GI182" s="8">
        <v>33</v>
      </c>
      <c r="GJ182" s="28">
        <v>18</v>
      </c>
      <c r="GP182" s="6">
        <v>-174</v>
      </c>
      <c r="GQ182" s="52">
        <v>199</v>
      </c>
      <c r="GT182" s="6">
        <v>-162</v>
      </c>
      <c r="GU182" s="52">
        <v>591</v>
      </c>
      <c r="HB182" s="6">
        <v>180</v>
      </c>
      <c r="HE182" s="6">
        <v>56</v>
      </c>
      <c r="HF182" s="28">
        <v>50</v>
      </c>
      <c r="HS182" s="8">
        <v>1</v>
      </c>
      <c r="HT182" s="52">
        <v>144</v>
      </c>
      <c r="IB182" s="8">
        <v>373</v>
      </c>
      <c r="IC182" s="28">
        <v>285</v>
      </c>
      <c r="IY182" s="8">
        <v>139</v>
      </c>
      <c r="JW182" s="6">
        <v>-254</v>
      </c>
      <c r="JX182" s="12">
        <v>87</v>
      </c>
      <c r="KE182" s="6">
        <v>-7</v>
      </c>
      <c r="KF182" s="12">
        <v>25</v>
      </c>
      <c r="KT182" s="8">
        <v>68</v>
      </c>
      <c r="KU182" s="28">
        <v>24</v>
      </c>
      <c r="LF182" s="8">
        <v>247</v>
      </c>
      <c r="LG182" s="28">
        <v>93</v>
      </c>
      <c r="LJ182" s="8">
        <v>598</v>
      </c>
      <c r="LK182" s="28">
        <v>184</v>
      </c>
      <c r="LW182" s="8">
        <v>-142</v>
      </c>
      <c r="LX182" s="28">
        <v>112</v>
      </c>
      <c r="MF182" s="8">
        <v>-191</v>
      </c>
      <c r="MG182" s="12">
        <v>367</v>
      </c>
      <c r="NC182" s="8">
        <v>-33</v>
      </c>
      <c r="ND182" s="12">
        <v>109</v>
      </c>
      <c r="PP182" s="8">
        <v>222</v>
      </c>
      <c r="PQ182" s="28">
        <v>20</v>
      </c>
      <c r="PR182" s="28"/>
      <c r="PS182" s="8">
        <v>45</v>
      </c>
      <c r="TH182" s="8">
        <v>135</v>
      </c>
      <c r="TI182" s="28">
        <v>48</v>
      </c>
      <c r="TZ182" s="8">
        <v>157</v>
      </c>
      <c r="UA182" s="12">
        <v>147</v>
      </c>
      <c r="VH182" s="8">
        <v>-280</v>
      </c>
      <c r="VL182" s="21"/>
      <c r="VQ182" s="6">
        <v>-3</v>
      </c>
      <c r="VR182" s="28">
        <v>22</v>
      </c>
      <c r="VZ182" s="8">
        <v>-90</v>
      </c>
    </row>
    <row r="183" spans="11:598" x14ac:dyDescent="0.25">
      <c r="K183" s="2">
        <v>2767</v>
      </c>
      <c r="L183" s="1">
        <v>218</v>
      </c>
      <c r="V183">
        <v>17</v>
      </c>
      <c r="W183" s="10">
        <v>262</v>
      </c>
      <c r="AD183">
        <v>-13</v>
      </c>
      <c r="AE183" s="1">
        <v>10</v>
      </c>
      <c r="AJ183" s="2">
        <v>-2459</v>
      </c>
      <c r="AK183" s="10">
        <v>425</v>
      </c>
      <c r="BD183" s="8"/>
      <c r="BF183">
        <v>774</v>
      </c>
      <c r="BG183" s="1">
        <v>66</v>
      </c>
      <c r="BT183">
        <v>862</v>
      </c>
      <c r="BU183" s="1">
        <v>914</v>
      </c>
      <c r="CE183" s="8">
        <v>-16</v>
      </c>
      <c r="CF183" s="28">
        <v>77</v>
      </c>
      <c r="CZ183" s="23">
        <v>-32</v>
      </c>
      <c r="DA183" s="25">
        <v>16</v>
      </c>
      <c r="DG183" s="25"/>
      <c r="DH183" s="23">
        <v>-142</v>
      </c>
      <c r="DI183" s="25">
        <v>276</v>
      </c>
      <c r="DL183" s="8">
        <v>113</v>
      </c>
      <c r="DS183" s="6">
        <v>17</v>
      </c>
      <c r="DT183" s="52">
        <v>176</v>
      </c>
      <c r="EA183" s="23">
        <v>-368</v>
      </c>
      <c r="EB183" s="52">
        <v>587</v>
      </c>
      <c r="EC183" s="52"/>
      <c r="ED183" s="52"/>
      <c r="EG183" s="6">
        <v>158</v>
      </c>
      <c r="EH183" s="28">
        <v>463</v>
      </c>
      <c r="EI183" s="8">
        <v>-71</v>
      </c>
      <c r="EJ183" s="52">
        <v>455</v>
      </c>
      <c r="EN183" s="8">
        <v>-235</v>
      </c>
      <c r="EO183" s="28">
        <v>57</v>
      </c>
      <c r="EP183" s="28"/>
      <c r="EQ183" s="28"/>
      <c r="EX183" s="8">
        <v>295</v>
      </c>
      <c r="EY183" s="28">
        <v>127</v>
      </c>
      <c r="FD183" s="6">
        <v>141</v>
      </c>
      <c r="FE183" s="28">
        <v>119</v>
      </c>
      <c r="FM183" s="8">
        <v>-283</v>
      </c>
      <c r="FN183" s="52">
        <v>319</v>
      </c>
      <c r="FS183" s="8">
        <v>559</v>
      </c>
      <c r="FT183" s="52">
        <v>97</v>
      </c>
      <c r="GC183" s="8">
        <v>-54</v>
      </c>
      <c r="GI183" s="8">
        <v>31</v>
      </c>
      <c r="GJ183" s="28">
        <v>10</v>
      </c>
      <c r="GP183" s="6">
        <v>-126</v>
      </c>
      <c r="GQ183" s="52">
        <v>107</v>
      </c>
      <c r="GT183" s="6">
        <v>39</v>
      </c>
      <c r="GU183" s="52">
        <v>139</v>
      </c>
      <c r="HB183" s="6">
        <v>403</v>
      </c>
      <c r="HE183" s="6">
        <v>8</v>
      </c>
      <c r="HF183" s="28">
        <v>39</v>
      </c>
      <c r="HS183" s="8">
        <v>6</v>
      </c>
      <c r="HT183" s="52">
        <v>20</v>
      </c>
      <c r="IB183" s="8">
        <v>175</v>
      </c>
      <c r="IC183" s="28">
        <v>164</v>
      </c>
      <c r="IY183" s="8">
        <v>-30</v>
      </c>
      <c r="JW183" s="6">
        <v>-332</v>
      </c>
      <c r="JX183" s="12">
        <v>113</v>
      </c>
      <c r="KE183" s="6">
        <v>-593</v>
      </c>
      <c r="KF183" s="12">
        <v>644</v>
      </c>
      <c r="KT183" s="8">
        <v>67</v>
      </c>
      <c r="KU183" s="28">
        <v>7</v>
      </c>
      <c r="LF183" s="8">
        <v>-339</v>
      </c>
      <c r="LG183" s="28">
        <v>79</v>
      </c>
      <c r="LJ183" s="8">
        <v>-245</v>
      </c>
      <c r="LK183" s="28">
        <v>155</v>
      </c>
      <c r="LW183" s="8">
        <v>324</v>
      </c>
      <c r="LX183" s="28">
        <v>360</v>
      </c>
      <c r="MF183" s="8">
        <v>-403</v>
      </c>
      <c r="MG183" s="12">
        <v>553</v>
      </c>
      <c r="NC183" s="8">
        <v>4</v>
      </c>
      <c r="ND183" s="12">
        <v>371</v>
      </c>
      <c r="PP183" s="8">
        <v>184</v>
      </c>
      <c r="PQ183" s="28">
        <v>32</v>
      </c>
      <c r="PR183" s="28"/>
      <c r="PS183" s="8">
        <v>53</v>
      </c>
      <c r="TH183" s="8">
        <v>165</v>
      </c>
      <c r="TI183" s="28">
        <v>6</v>
      </c>
      <c r="TZ183" s="8">
        <v>151</v>
      </c>
      <c r="UA183" s="12">
        <v>149</v>
      </c>
      <c r="VH183" s="8">
        <v>142</v>
      </c>
      <c r="VL183" s="21"/>
      <c r="VQ183" s="6">
        <v>13</v>
      </c>
      <c r="VR183" s="28">
        <v>20</v>
      </c>
      <c r="VZ183" s="8">
        <v>-107</v>
      </c>
    </row>
    <row r="184" spans="11:598" x14ac:dyDescent="0.25">
      <c r="K184" s="2">
        <v>2429</v>
      </c>
      <c r="L184" s="1">
        <v>220</v>
      </c>
      <c r="V184">
        <v>-19</v>
      </c>
      <c r="W184" s="10">
        <v>128</v>
      </c>
      <c r="AD184">
        <v>12</v>
      </c>
      <c r="AE184" s="1">
        <v>4</v>
      </c>
      <c r="AJ184" s="2">
        <v>-467</v>
      </c>
      <c r="AK184" s="10">
        <v>286</v>
      </c>
      <c r="BD184" s="8"/>
      <c r="BF184">
        <v>163</v>
      </c>
      <c r="BG184" s="1">
        <v>48</v>
      </c>
      <c r="BT184">
        <v>-676</v>
      </c>
      <c r="BU184" s="1">
        <v>907</v>
      </c>
      <c r="CE184" s="8">
        <v>23</v>
      </c>
      <c r="CF184" s="28">
        <v>85</v>
      </c>
      <c r="CZ184" s="23">
        <v>-4</v>
      </c>
      <c r="DA184" s="25">
        <v>6</v>
      </c>
      <c r="DG184" s="25"/>
      <c r="DH184" s="23">
        <v>-175</v>
      </c>
      <c r="DI184" s="25">
        <v>292</v>
      </c>
      <c r="DL184" s="8">
        <v>125</v>
      </c>
      <c r="DS184" s="6">
        <v>88</v>
      </c>
      <c r="DT184" s="52">
        <v>123</v>
      </c>
      <c r="EA184" s="23">
        <v>-31</v>
      </c>
      <c r="EB184" s="52">
        <v>754</v>
      </c>
      <c r="EC184" s="52"/>
      <c r="ED184" s="52"/>
      <c r="EG184" s="6">
        <v>267</v>
      </c>
      <c r="EH184" s="28">
        <v>551</v>
      </c>
      <c r="EI184" s="8">
        <v>7</v>
      </c>
      <c r="EJ184" s="52">
        <v>398</v>
      </c>
      <c r="EN184" s="8">
        <v>-59</v>
      </c>
      <c r="EO184" s="28">
        <v>56</v>
      </c>
      <c r="EP184" s="28"/>
      <c r="EQ184" s="28"/>
      <c r="EX184" s="8">
        <v>332</v>
      </c>
      <c r="EY184" s="28">
        <v>147</v>
      </c>
      <c r="FD184" s="6">
        <v>928</v>
      </c>
      <c r="FE184" s="28">
        <v>288</v>
      </c>
      <c r="FM184" s="8">
        <v>948</v>
      </c>
      <c r="FN184" s="52">
        <v>196</v>
      </c>
      <c r="FS184" s="8">
        <v>539</v>
      </c>
      <c r="FT184" s="52">
        <v>94</v>
      </c>
      <c r="GC184" s="8">
        <v>-11</v>
      </c>
      <c r="GI184" s="8">
        <v>-19</v>
      </c>
      <c r="GJ184" s="28">
        <v>23</v>
      </c>
      <c r="GP184" s="6">
        <v>168</v>
      </c>
      <c r="GQ184" s="52">
        <v>286</v>
      </c>
      <c r="GT184" s="6">
        <v>-526</v>
      </c>
      <c r="GU184" s="52">
        <v>101</v>
      </c>
      <c r="HB184" s="6">
        <v>139</v>
      </c>
      <c r="HE184" s="6">
        <v>25</v>
      </c>
      <c r="HF184" s="28">
        <v>22</v>
      </c>
      <c r="HS184" s="8">
        <v>978</v>
      </c>
      <c r="HT184" s="52">
        <v>159</v>
      </c>
      <c r="IB184" s="8">
        <v>161</v>
      </c>
      <c r="IC184" s="28">
        <v>171</v>
      </c>
      <c r="IY184" s="8">
        <v>390</v>
      </c>
      <c r="JW184" s="6">
        <v>-252</v>
      </c>
      <c r="JX184" s="12">
        <v>86</v>
      </c>
      <c r="KE184" s="6">
        <v>-347</v>
      </c>
      <c r="KF184" s="12">
        <v>606</v>
      </c>
      <c r="KT184" s="8">
        <v>-296</v>
      </c>
      <c r="KU184" s="28">
        <v>14</v>
      </c>
      <c r="LF184" s="8">
        <v>-433</v>
      </c>
      <c r="LG184" s="28">
        <v>62</v>
      </c>
      <c r="LJ184" s="8">
        <v>146</v>
      </c>
      <c r="LK184" s="28">
        <v>204</v>
      </c>
      <c r="LW184" s="8">
        <v>-732</v>
      </c>
      <c r="LX184" s="28">
        <v>234</v>
      </c>
      <c r="MF184" s="8">
        <v>-533</v>
      </c>
      <c r="MG184" s="12">
        <v>54</v>
      </c>
      <c r="NC184" s="8">
        <v>-83</v>
      </c>
      <c r="ND184" s="12">
        <v>215</v>
      </c>
      <c r="PP184" s="8">
        <v>-149</v>
      </c>
      <c r="PQ184" s="28">
        <v>26</v>
      </c>
      <c r="PR184" s="28"/>
      <c r="PS184" s="8">
        <v>34</v>
      </c>
      <c r="TH184" s="8">
        <v>728</v>
      </c>
      <c r="TI184" s="28">
        <v>35</v>
      </c>
      <c r="TZ184" s="8">
        <v>98</v>
      </c>
      <c r="UA184" s="12">
        <v>150</v>
      </c>
      <c r="VH184" s="8">
        <v>501</v>
      </c>
      <c r="VL184" s="21"/>
      <c r="VQ184" s="6">
        <v>12</v>
      </c>
      <c r="VR184" s="28">
        <v>28</v>
      </c>
      <c r="VZ184" s="8">
        <v>410</v>
      </c>
    </row>
    <row r="185" spans="11:598" x14ac:dyDescent="0.25">
      <c r="K185" s="2">
        <v>2622</v>
      </c>
      <c r="L185" s="1">
        <v>217</v>
      </c>
      <c r="V185">
        <v>-6</v>
      </c>
      <c r="W185" s="10">
        <v>80</v>
      </c>
      <c r="AD185">
        <v>12</v>
      </c>
      <c r="AE185" s="1">
        <v>4</v>
      </c>
      <c r="AJ185" s="2">
        <v>-696</v>
      </c>
      <c r="AK185" s="10">
        <v>414</v>
      </c>
      <c r="BD185" s="8"/>
      <c r="BF185">
        <v>12875</v>
      </c>
      <c r="BG185" s="1">
        <v>1895</v>
      </c>
      <c r="BT185">
        <v>138</v>
      </c>
      <c r="BU185" s="1">
        <v>134</v>
      </c>
      <c r="CE185" s="8">
        <v>-9</v>
      </c>
      <c r="CF185" s="28">
        <v>103</v>
      </c>
      <c r="CZ185" s="23">
        <v>13</v>
      </c>
      <c r="DA185" s="25">
        <v>101</v>
      </c>
      <c r="DG185" s="25"/>
      <c r="DH185" s="23">
        <v>-167</v>
      </c>
      <c r="DI185" s="25">
        <v>303</v>
      </c>
      <c r="DL185" s="8">
        <v>109</v>
      </c>
      <c r="DS185" s="6">
        <v>144</v>
      </c>
      <c r="DT185" s="52">
        <v>205</v>
      </c>
      <c r="EA185" s="23">
        <v>102</v>
      </c>
      <c r="EB185" s="52">
        <v>498</v>
      </c>
      <c r="EC185" s="52"/>
      <c r="ED185" s="52"/>
      <c r="EG185" s="6">
        <v>243</v>
      </c>
      <c r="EH185" s="28">
        <v>103</v>
      </c>
      <c r="EI185" s="8">
        <v>-173</v>
      </c>
      <c r="EJ185" s="52">
        <v>360</v>
      </c>
      <c r="EN185" s="8">
        <v>66</v>
      </c>
      <c r="EO185" s="28">
        <v>3</v>
      </c>
      <c r="EP185" s="28"/>
      <c r="EQ185" s="28"/>
      <c r="EX185" s="8">
        <v>181</v>
      </c>
      <c r="EY185" s="28">
        <v>120</v>
      </c>
      <c r="FD185" s="6">
        <v>-953</v>
      </c>
      <c r="FE185" s="28">
        <v>108</v>
      </c>
      <c r="FM185" s="8">
        <v>-465</v>
      </c>
      <c r="FN185" s="52">
        <v>351</v>
      </c>
      <c r="FS185" s="8">
        <v>440</v>
      </c>
      <c r="FT185" s="52">
        <v>108</v>
      </c>
      <c r="GC185" s="8">
        <v>680</v>
      </c>
      <c r="GI185" s="8">
        <v>3</v>
      </c>
      <c r="GJ185" s="28">
        <v>46</v>
      </c>
      <c r="GP185" s="6">
        <v>911</v>
      </c>
      <c r="GQ185" s="52">
        <v>319</v>
      </c>
      <c r="GT185" s="6">
        <v>102</v>
      </c>
      <c r="GU185" s="52">
        <v>220</v>
      </c>
      <c r="HB185" s="6">
        <v>31</v>
      </c>
      <c r="HE185" s="6">
        <v>30</v>
      </c>
      <c r="HF185" s="28">
        <v>36</v>
      </c>
      <c r="HS185" s="8">
        <v>82</v>
      </c>
      <c r="HT185" s="52">
        <v>511</v>
      </c>
      <c r="IB185" s="8">
        <v>137</v>
      </c>
      <c r="IC185" s="28">
        <v>146</v>
      </c>
      <c r="IY185" s="8">
        <v>-425</v>
      </c>
      <c r="JW185" s="6">
        <v>-255</v>
      </c>
      <c r="JX185" s="12">
        <v>87</v>
      </c>
      <c r="KE185" s="6">
        <v>-135</v>
      </c>
      <c r="KF185" s="12">
        <v>124</v>
      </c>
      <c r="KT185" s="8">
        <v>-219</v>
      </c>
      <c r="KU185" s="28">
        <v>21</v>
      </c>
      <c r="LF185" s="8">
        <v>-506</v>
      </c>
      <c r="LG185" s="28">
        <v>61</v>
      </c>
      <c r="LJ185" s="8">
        <v>778</v>
      </c>
      <c r="LK185" s="28">
        <v>198</v>
      </c>
      <c r="LW185" s="8">
        <v>-148</v>
      </c>
      <c r="LX185" s="28">
        <v>245</v>
      </c>
      <c r="MF185" s="8">
        <v>-147</v>
      </c>
      <c r="MG185" s="12">
        <v>244</v>
      </c>
      <c r="NC185" s="8">
        <v>-13</v>
      </c>
      <c r="ND185" s="12">
        <v>29</v>
      </c>
      <c r="PP185" s="8">
        <v>-205</v>
      </c>
      <c r="PQ185" s="28">
        <v>28</v>
      </c>
      <c r="PR185" s="28"/>
      <c r="PS185" s="8">
        <v>6</v>
      </c>
      <c r="TH185" s="8">
        <v>73</v>
      </c>
      <c r="TI185" s="28">
        <v>12</v>
      </c>
      <c r="TZ185" s="8">
        <v>-76</v>
      </c>
      <c r="UA185" s="12">
        <v>151</v>
      </c>
      <c r="VH185" s="8">
        <v>209</v>
      </c>
      <c r="VL185" s="21"/>
      <c r="VQ185" s="6">
        <v>27</v>
      </c>
      <c r="VR185" s="28">
        <v>30</v>
      </c>
      <c r="VZ185" s="8">
        <v>413</v>
      </c>
    </row>
    <row r="186" spans="11:598" x14ac:dyDescent="0.25">
      <c r="K186" s="2">
        <v>3494</v>
      </c>
      <c r="L186" s="1">
        <v>373</v>
      </c>
      <c r="V186">
        <v>-11</v>
      </c>
      <c r="W186" s="10">
        <v>134</v>
      </c>
      <c r="AD186">
        <v>23</v>
      </c>
      <c r="AE186" s="1">
        <v>4</v>
      </c>
      <c r="AJ186" s="2">
        <v>-3208</v>
      </c>
      <c r="AK186" s="10">
        <v>178</v>
      </c>
      <c r="BD186" s="8"/>
      <c r="BF186">
        <v>5423</v>
      </c>
      <c r="BG186" s="1">
        <v>2154</v>
      </c>
      <c r="BT186">
        <v>275</v>
      </c>
      <c r="BU186" s="1">
        <v>225</v>
      </c>
      <c r="CE186" s="8">
        <v>21</v>
      </c>
      <c r="CF186" s="28">
        <v>85</v>
      </c>
      <c r="CZ186" s="23">
        <v>-71</v>
      </c>
      <c r="DA186" s="25">
        <v>186</v>
      </c>
      <c r="DG186" s="25"/>
      <c r="DH186" s="23">
        <v>664</v>
      </c>
      <c r="DI186" s="25">
        <v>317</v>
      </c>
      <c r="DL186" s="8">
        <v>108</v>
      </c>
      <c r="DS186" s="6">
        <v>-106</v>
      </c>
      <c r="DT186" s="52">
        <v>138</v>
      </c>
      <c r="EA186" s="23">
        <v>-40</v>
      </c>
      <c r="EB186" s="52">
        <v>157</v>
      </c>
      <c r="EC186" s="52"/>
      <c r="ED186" s="52"/>
      <c r="EG186" s="6">
        <v>247</v>
      </c>
      <c r="EH186" s="28">
        <v>104</v>
      </c>
      <c r="EI186" s="8">
        <v>13</v>
      </c>
      <c r="EJ186" s="52">
        <v>644</v>
      </c>
      <c r="EN186" s="8">
        <v>73</v>
      </c>
      <c r="EO186" s="28">
        <v>14</v>
      </c>
      <c r="EP186" s="28"/>
      <c r="EQ186" s="28"/>
      <c r="EX186" s="8">
        <v>382</v>
      </c>
      <c r="EY186" s="28">
        <v>123</v>
      </c>
      <c r="FD186" s="6">
        <v>766</v>
      </c>
      <c r="FE186" s="28">
        <v>360</v>
      </c>
      <c r="FM186" s="8">
        <v>-167</v>
      </c>
      <c r="FN186" s="52">
        <v>244</v>
      </c>
      <c r="FS186" s="8">
        <v>500</v>
      </c>
      <c r="FT186" s="52">
        <v>161</v>
      </c>
      <c r="GC186" s="8">
        <v>-793</v>
      </c>
      <c r="GI186" s="8">
        <v>62</v>
      </c>
      <c r="GJ186" s="28">
        <v>64</v>
      </c>
      <c r="GP186" s="6">
        <v>601</v>
      </c>
      <c r="GQ186" s="52">
        <v>171</v>
      </c>
      <c r="GT186" s="6">
        <v>-522</v>
      </c>
      <c r="GU186" s="52">
        <v>562</v>
      </c>
      <c r="HB186" s="6">
        <v>98</v>
      </c>
      <c r="HE186" s="6">
        <v>60</v>
      </c>
      <c r="HF186" s="28">
        <v>69</v>
      </c>
      <c r="HS186" s="8">
        <v>4</v>
      </c>
      <c r="HT186" s="52">
        <v>159</v>
      </c>
      <c r="IB186" s="8">
        <v>166</v>
      </c>
      <c r="IC186" s="28">
        <v>1169</v>
      </c>
      <c r="IY186" s="8">
        <v>370</v>
      </c>
      <c r="JW186" s="6">
        <v>132</v>
      </c>
      <c r="JX186" s="12">
        <v>88</v>
      </c>
      <c r="KE186" s="6">
        <v>-524</v>
      </c>
      <c r="KF186" s="12">
        <v>607</v>
      </c>
      <c r="KT186" s="8">
        <v>-513</v>
      </c>
      <c r="KU186" s="28">
        <v>24</v>
      </c>
      <c r="LF186" s="8">
        <v>-45</v>
      </c>
      <c r="LG186" s="28">
        <v>33</v>
      </c>
      <c r="LJ186" s="8">
        <v>149</v>
      </c>
      <c r="LK186" s="28">
        <v>538</v>
      </c>
      <c r="LW186" s="8">
        <v>-129</v>
      </c>
      <c r="LX186" s="28">
        <v>109</v>
      </c>
      <c r="MF186" s="8">
        <v>273</v>
      </c>
      <c r="MG186" s="12">
        <v>30</v>
      </c>
      <c r="NC186" s="8">
        <v>-13</v>
      </c>
      <c r="ND186" s="12">
        <v>13</v>
      </c>
      <c r="PP186" s="8">
        <v>-114</v>
      </c>
      <c r="PQ186" s="28">
        <v>31</v>
      </c>
      <c r="PR186" s="28"/>
      <c r="PS186" s="8">
        <v>1</v>
      </c>
      <c r="TH186" s="8">
        <v>-221</v>
      </c>
      <c r="TI186" s="28">
        <v>110</v>
      </c>
      <c r="TZ186" s="8">
        <v>267</v>
      </c>
      <c r="UA186" s="12">
        <v>442</v>
      </c>
      <c r="VH186" s="8">
        <v>459</v>
      </c>
      <c r="VL186" s="21"/>
      <c r="VQ186" s="6">
        <v>28</v>
      </c>
      <c r="VR186" s="28">
        <v>32</v>
      </c>
    </row>
    <row r="187" spans="11:598" x14ac:dyDescent="0.25">
      <c r="K187" s="2">
        <v>2977</v>
      </c>
      <c r="L187" s="1">
        <v>163</v>
      </c>
      <c r="V187">
        <v>-13</v>
      </c>
      <c r="W187" s="10">
        <v>138</v>
      </c>
      <c r="AD187">
        <v>23</v>
      </c>
      <c r="AE187" s="1">
        <v>4</v>
      </c>
      <c r="AJ187" s="2">
        <v>-8237</v>
      </c>
      <c r="AK187" s="10">
        <v>327</v>
      </c>
      <c r="BD187" s="8"/>
      <c r="BF187">
        <v>3661</v>
      </c>
      <c r="BG187" s="1">
        <v>943</v>
      </c>
      <c r="BT187">
        <v>-787</v>
      </c>
      <c r="BU187" s="1">
        <v>120</v>
      </c>
      <c r="CE187" s="8">
        <v>11</v>
      </c>
      <c r="CF187" s="28">
        <v>69</v>
      </c>
      <c r="CZ187" s="23">
        <v>930</v>
      </c>
      <c r="DA187" s="25">
        <v>216</v>
      </c>
      <c r="DG187" s="25"/>
      <c r="DH187" s="23">
        <v>145</v>
      </c>
      <c r="DI187" s="25">
        <v>369</v>
      </c>
      <c r="DL187" s="8">
        <v>983</v>
      </c>
      <c r="DS187" s="6">
        <v>-95</v>
      </c>
      <c r="DT187" s="52">
        <v>91</v>
      </c>
      <c r="EA187" s="23">
        <v>-72</v>
      </c>
      <c r="EB187" s="52">
        <v>345</v>
      </c>
      <c r="EC187" s="52"/>
      <c r="ED187" s="52"/>
      <c r="EG187" s="6">
        <v>239</v>
      </c>
      <c r="EH187" s="28">
        <v>104</v>
      </c>
      <c r="EI187" s="8">
        <v>247</v>
      </c>
      <c r="EJ187" s="52">
        <v>524</v>
      </c>
      <c r="EN187" s="8">
        <v>28</v>
      </c>
      <c r="EO187" s="28">
        <v>27</v>
      </c>
      <c r="EP187" s="28"/>
      <c r="EQ187" s="28"/>
      <c r="EX187" s="8">
        <v>936</v>
      </c>
      <c r="EY187" s="28">
        <v>108</v>
      </c>
      <c r="FD187" s="6">
        <v>-170</v>
      </c>
      <c r="FE187" s="28">
        <v>622</v>
      </c>
      <c r="FM187" s="8">
        <v>-640</v>
      </c>
      <c r="FN187" s="52">
        <v>480</v>
      </c>
      <c r="FS187" s="8">
        <v>-17</v>
      </c>
      <c r="FT187" s="52">
        <v>6</v>
      </c>
      <c r="GC187" s="8">
        <v>128</v>
      </c>
      <c r="GI187" s="8">
        <v>19</v>
      </c>
      <c r="GJ187" s="28">
        <v>18</v>
      </c>
      <c r="GP187" s="6">
        <v>753</v>
      </c>
      <c r="GQ187" s="52">
        <v>102</v>
      </c>
      <c r="GT187" s="6">
        <v>507</v>
      </c>
      <c r="GU187" s="52">
        <v>496</v>
      </c>
      <c r="HB187" s="6">
        <v>22</v>
      </c>
      <c r="HE187" s="6">
        <v>55</v>
      </c>
      <c r="HF187" s="28">
        <v>54</v>
      </c>
      <c r="HS187" s="8">
        <v>-6</v>
      </c>
      <c r="HT187" s="52">
        <v>210</v>
      </c>
      <c r="IB187" s="8">
        <v>520</v>
      </c>
      <c r="IC187" s="28">
        <v>288</v>
      </c>
      <c r="IY187" s="8">
        <v>-134</v>
      </c>
      <c r="JW187" s="6">
        <v>104</v>
      </c>
      <c r="JX187" s="12">
        <v>7</v>
      </c>
      <c r="KE187" s="6">
        <v>-202</v>
      </c>
      <c r="KF187" s="12">
        <v>308</v>
      </c>
      <c r="KT187" s="8">
        <v>-599</v>
      </c>
      <c r="KU187" s="28">
        <v>25</v>
      </c>
      <c r="LF187" s="8">
        <v>-286</v>
      </c>
      <c r="LG187" s="28">
        <v>33</v>
      </c>
      <c r="LJ187" s="8">
        <v>751</v>
      </c>
      <c r="LK187" s="28">
        <v>676</v>
      </c>
      <c r="LW187" s="8">
        <v>645</v>
      </c>
      <c r="LX187" s="28">
        <v>98</v>
      </c>
      <c r="MF187" s="8">
        <v>419</v>
      </c>
      <c r="MG187" s="12">
        <v>74</v>
      </c>
      <c r="NC187" s="8">
        <v>-185</v>
      </c>
      <c r="ND187" s="12">
        <v>343</v>
      </c>
      <c r="PP187" s="8">
        <v>-61</v>
      </c>
      <c r="PQ187" s="28">
        <v>22</v>
      </c>
      <c r="PR187" s="28"/>
      <c r="PS187" s="8">
        <v>2</v>
      </c>
      <c r="TH187" s="8">
        <v>107</v>
      </c>
      <c r="TI187" s="28">
        <v>221</v>
      </c>
      <c r="TZ187" s="8">
        <v>220</v>
      </c>
      <c r="UA187" s="12">
        <v>686</v>
      </c>
      <c r="VH187" s="8">
        <v>-177</v>
      </c>
      <c r="VL187" s="21"/>
      <c r="VQ187" s="6">
        <v>-14</v>
      </c>
      <c r="VR187" s="28">
        <v>9</v>
      </c>
    </row>
    <row r="188" spans="11:598" x14ac:dyDescent="0.25">
      <c r="K188" s="2">
        <v>2918</v>
      </c>
      <c r="L188" s="1">
        <v>197</v>
      </c>
      <c r="V188">
        <v>-11</v>
      </c>
      <c r="W188" s="10">
        <v>141</v>
      </c>
      <c r="AD188">
        <v>59</v>
      </c>
      <c r="AE188" s="1">
        <v>5</v>
      </c>
      <c r="AJ188" s="2">
        <v>2</v>
      </c>
      <c r="AK188" s="10">
        <v>93</v>
      </c>
      <c r="BD188" s="8"/>
      <c r="BF188">
        <v>-2148</v>
      </c>
      <c r="BG188" s="1">
        <v>408</v>
      </c>
      <c r="BT188">
        <v>-616</v>
      </c>
      <c r="BU188" s="1">
        <v>134</v>
      </c>
      <c r="CE188" s="8">
        <v>29</v>
      </c>
      <c r="CF188" s="28">
        <v>58</v>
      </c>
      <c r="CZ188" s="23">
        <v>316</v>
      </c>
      <c r="DA188" s="25">
        <v>144</v>
      </c>
      <c r="DG188" s="25"/>
      <c r="DH188" s="23">
        <v>233</v>
      </c>
      <c r="DI188" s="25">
        <v>539</v>
      </c>
      <c r="DL188" s="8">
        <v>939</v>
      </c>
      <c r="DS188" s="6">
        <v>360</v>
      </c>
      <c r="DT188" s="52">
        <v>259</v>
      </c>
      <c r="EA188" s="23">
        <v>16</v>
      </c>
      <c r="EB188" s="52">
        <v>261</v>
      </c>
      <c r="EC188" s="52"/>
      <c r="ED188" s="52"/>
      <c r="EG188" s="6">
        <v>240</v>
      </c>
      <c r="EH188" s="28">
        <v>105</v>
      </c>
      <c r="EI188" s="8">
        <v>106</v>
      </c>
      <c r="EJ188" s="52">
        <v>101</v>
      </c>
      <c r="EN188" s="8">
        <v>7</v>
      </c>
      <c r="EO188" s="28">
        <v>30</v>
      </c>
      <c r="EP188" s="28"/>
      <c r="EQ188" s="28"/>
      <c r="EX188" s="8">
        <v>454</v>
      </c>
      <c r="EY188" s="28">
        <v>149</v>
      </c>
      <c r="FD188" s="6">
        <v>522</v>
      </c>
      <c r="FE188" s="28">
        <v>181</v>
      </c>
      <c r="FM188" s="8">
        <v>-44</v>
      </c>
      <c r="FN188" s="52">
        <v>44</v>
      </c>
      <c r="FS188" s="8">
        <v>446</v>
      </c>
      <c r="FT188" s="52">
        <v>109</v>
      </c>
      <c r="GC188" s="8">
        <v>-110</v>
      </c>
      <c r="GI188" s="8">
        <v>-168</v>
      </c>
      <c r="GJ188" s="28">
        <v>714</v>
      </c>
      <c r="GP188" s="6">
        <v>13</v>
      </c>
      <c r="GQ188" s="52">
        <v>42</v>
      </c>
      <c r="GT188" s="6">
        <v>35</v>
      </c>
      <c r="GU188" s="52">
        <v>179</v>
      </c>
      <c r="HB188" s="6">
        <v>58</v>
      </c>
      <c r="HE188" s="6">
        <v>153</v>
      </c>
      <c r="HF188" s="28">
        <v>65</v>
      </c>
      <c r="HS188" s="8">
        <v>-21</v>
      </c>
      <c r="HT188" s="52">
        <v>154</v>
      </c>
      <c r="IB188" s="8">
        <v>410</v>
      </c>
      <c r="IC188" s="28">
        <v>158</v>
      </c>
      <c r="IY188" s="8">
        <v>267</v>
      </c>
      <c r="JW188" s="6">
        <v>36</v>
      </c>
      <c r="JX188" s="12">
        <v>203</v>
      </c>
      <c r="KE188" s="6">
        <v>-243</v>
      </c>
      <c r="KF188" s="12">
        <v>352</v>
      </c>
      <c r="KT188" s="8">
        <v>-336</v>
      </c>
      <c r="KU188" s="28">
        <v>153</v>
      </c>
      <c r="LF188" s="8">
        <v>-304</v>
      </c>
      <c r="LG188" s="28">
        <v>23</v>
      </c>
      <c r="LJ188" s="8">
        <v>103</v>
      </c>
      <c r="LK188" s="28">
        <v>393</v>
      </c>
      <c r="LW188" s="8">
        <v>56</v>
      </c>
      <c r="LX188" s="28">
        <v>9</v>
      </c>
      <c r="MF188" s="8">
        <v>-700</v>
      </c>
      <c r="MG188" s="12">
        <v>119</v>
      </c>
      <c r="NC188" s="8">
        <v>-125</v>
      </c>
      <c r="ND188" s="12">
        <v>234</v>
      </c>
      <c r="PP188" s="8">
        <v>-332</v>
      </c>
      <c r="PQ188" s="28">
        <v>20</v>
      </c>
      <c r="PR188" s="28"/>
      <c r="PS188" s="8">
        <v>10</v>
      </c>
      <c r="TH188" s="8">
        <v>147</v>
      </c>
      <c r="TI188" s="28">
        <v>24</v>
      </c>
      <c r="TZ188" s="8">
        <v>166</v>
      </c>
      <c r="UA188" s="12">
        <v>972</v>
      </c>
      <c r="VH188" s="8">
        <v>-968</v>
      </c>
      <c r="VL188" s="21"/>
      <c r="VQ188" s="6">
        <v>-13</v>
      </c>
      <c r="VR188" s="28">
        <v>9</v>
      </c>
    </row>
    <row r="189" spans="11:598" x14ac:dyDescent="0.25">
      <c r="K189" s="2">
        <v>2921</v>
      </c>
      <c r="L189" s="1">
        <v>160</v>
      </c>
      <c r="V189">
        <v>-11</v>
      </c>
      <c r="W189" s="10">
        <v>128</v>
      </c>
      <c r="AD189">
        <v>60</v>
      </c>
      <c r="AE189" s="1">
        <v>6</v>
      </c>
      <c r="AJ189" s="2">
        <v>-21</v>
      </c>
      <c r="AK189" s="10">
        <v>228</v>
      </c>
      <c r="BD189" s="8"/>
      <c r="BF189">
        <v>774</v>
      </c>
      <c r="BG189" s="1">
        <v>442</v>
      </c>
      <c r="BT189">
        <v>107</v>
      </c>
      <c r="BU189" s="1">
        <v>356</v>
      </c>
      <c r="CE189" s="8">
        <v>48</v>
      </c>
      <c r="CF189" s="28">
        <v>127</v>
      </c>
      <c r="CZ189" s="23">
        <v>375</v>
      </c>
      <c r="DA189" s="25">
        <v>191</v>
      </c>
      <c r="DG189" s="25"/>
      <c r="DH189" s="23">
        <v>-495</v>
      </c>
      <c r="DI189" s="25">
        <v>232</v>
      </c>
      <c r="DL189" s="8">
        <v>104</v>
      </c>
      <c r="DS189" s="6">
        <v>96</v>
      </c>
      <c r="DT189" s="52">
        <v>36</v>
      </c>
      <c r="EA189" s="23">
        <v>-15</v>
      </c>
      <c r="EB189" s="52">
        <v>332</v>
      </c>
      <c r="EC189" s="52"/>
      <c r="ED189" s="52"/>
      <c r="EG189" s="6">
        <v>242</v>
      </c>
      <c r="EH189" s="28">
        <v>105</v>
      </c>
      <c r="EI189" s="8">
        <v>1</v>
      </c>
      <c r="EJ189" s="52">
        <v>407</v>
      </c>
      <c r="EN189" s="8">
        <v>26</v>
      </c>
      <c r="EO189" s="28">
        <v>31</v>
      </c>
      <c r="EP189" s="28"/>
      <c r="EQ189" s="28"/>
      <c r="EX189" s="8">
        <v>-177</v>
      </c>
      <c r="EY189" s="28">
        <v>119</v>
      </c>
      <c r="FD189" s="6">
        <v>-411</v>
      </c>
      <c r="FE189" s="28">
        <v>294</v>
      </c>
      <c r="FM189" s="8">
        <v>-230</v>
      </c>
      <c r="FN189" s="52">
        <v>69</v>
      </c>
      <c r="FS189" s="8">
        <v>506</v>
      </c>
      <c r="FT189" s="52">
        <v>163</v>
      </c>
      <c r="GC189" s="8">
        <v>-364</v>
      </c>
      <c r="GI189" s="8">
        <v>-53</v>
      </c>
      <c r="GJ189" s="28">
        <v>63</v>
      </c>
      <c r="GP189" s="6">
        <v>61</v>
      </c>
      <c r="GQ189" s="52">
        <v>724</v>
      </c>
      <c r="GT189" s="6">
        <v>1</v>
      </c>
      <c r="GU189" s="52">
        <v>6</v>
      </c>
      <c r="HB189" s="6">
        <v>118</v>
      </c>
      <c r="HE189" s="6">
        <v>103</v>
      </c>
      <c r="HF189" s="28">
        <v>52</v>
      </c>
      <c r="HS189" s="8">
        <v>-868</v>
      </c>
      <c r="HT189" s="52">
        <v>415</v>
      </c>
      <c r="IB189" s="8">
        <v>-978</v>
      </c>
      <c r="IC189" s="28">
        <v>409</v>
      </c>
      <c r="IY189" s="8">
        <v>186</v>
      </c>
      <c r="JW189" s="6">
        <v>-324</v>
      </c>
      <c r="JX189" s="12">
        <v>112</v>
      </c>
      <c r="KE189" s="6">
        <v>-168</v>
      </c>
      <c r="KF189" s="12">
        <v>319</v>
      </c>
      <c r="KT189" s="8">
        <v>-447</v>
      </c>
      <c r="KU189" s="28">
        <v>8</v>
      </c>
      <c r="LF189" s="8">
        <v>-267</v>
      </c>
      <c r="LG189" s="28">
        <v>23</v>
      </c>
      <c r="LJ189" s="8">
        <v>457</v>
      </c>
      <c r="LK189" s="28">
        <v>482</v>
      </c>
      <c r="LW189" s="8">
        <v>-633</v>
      </c>
      <c r="LX189" s="28">
        <v>308</v>
      </c>
      <c r="MF189" s="8">
        <v>-636</v>
      </c>
      <c r="MG189" s="12">
        <v>400</v>
      </c>
      <c r="NC189" s="8">
        <v>-142</v>
      </c>
      <c r="ND189" s="12">
        <v>229</v>
      </c>
      <c r="PP189" s="8">
        <v>-178</v>
      </c>
      <c r="PQ189" s="28">
        <v>30</v>
      </c>
      <c r="PR189" s="28"/>
      <c r="PS189" s="8">
        <v>2</v>
      </c>
      <c r="TH189" s="8">
        <v>506</v>
      </c>
      <c r="TI189" s="28">
        <v>185</v>
      </c>
      <c r="TZ189" s="8">
        <v>126</v>
      </c>
      <c r="UA189" s="12">
        <v>619</v>
      </c>
      <c r="VH189" s="8">
        <v>835</v>
      </c>
      <c r="VL189" s="21"/>
      <c r="VQ189" s="6">
        <v>-18</v>
      </c>
      <c r="VR189" s="28">
        <v>12</v>
      </c>
    </row>
    <row r="190" spans="11:598" x14ac:dyDescent="0.25">
      <c r="V190">
        <v>-12</v>
      </c>
      <c r="W190" s="10">
        <v>196</v>
      </c>
      <c r="AD190">
        <v>65</v>
      </c>
      <c r="AE190" s="1">
        <v>6</v>
      </c>
      <c r="AJ190" s="2">
        <v>-59</v>
      </c>
      <c r="AK190" s="10">
        <v>265</v>
      </c>
      <c r="BD190" s="8"/>
      <c r="BF190">
        <v>1608</v>
      </c>
      <c r="BG190" s="1">
        <v>211</v>
      </c>
      <c r="BT190">
        <v>288</v>
      </c>
      <c r="BU190" s="1">
        <v>380</v>
      </c>
      <c r="CE190" s="8">
        <v>82</v>
      </c>
      <c r="CF190" s="28">
        <v>203</v>
      </c>
      <c r="CZ190" s="23">
        <v>163</v>
      </c>
      <c r="DA190" s="25">
        <v>506</v>
      </c>
      <c r="DG190" s="25"/>
      <c r="DH190" s="23">
        <v>-630</v>
      </c>
      <c r="DI190" s="25">
        <v>252</v>
      </c>
      <c r="DL190" s="8">
        <v>213</v>
      </c>
      <c r="DS190" s="6">
        <v>534</v>
      </c>
      <c r="DT190" s="52">
        <v>124</v>
      </c>
      <c r="EA190" s="23">
        <v>-3</v>
      </c>
      <c r="EB190" s="52">
        <v>127</v>
      </c>
      <c r="EC190" s="52"/>
      <c r="ED190" s="52"/>
      <c r="EG190" s="6">
        <v>-418</v>
      </c>
      <c r="EH190" s="28">
        <v>111</v>
      </c>
      <c r="EI190" s="8">
        <v>-974</v>
      </c>
      <c r="EJ190" s="52">
        <v>117</v>
      </c>
      <c r="EN190" s="8">
        <v>90</v>
      </c>
      <c r="EO190" s="28">
        <v>18</v>
      </c>
      <c r="EP190" s="28"/>
      <c r="EQ190" s="28"/>
      <c r="EX190" s="8">
        <v>576</v>
      </c>
      <c r="EY190" s="28">
        <v>106</v>
      </c>
      <c r="FD190" s="6">
        <v>440</v>
      </c>
      <c r="FE190" s="28">
        <v>124</v>
      </c>
      <c r="FM190" s="8">
        <v>-143</v>
      </c>
      <c r="FN190" s="52">
        <v>263</v>
      </c>
      <c r="FS190" s="8">
        <v>-10</v>
      </c>
      <c r="FT190" s="52">
        <v>3</v>
      </c>
      <c r="GC190" s="8">
        <v>-894</v>
      </c>
      <c r="GI190" s="8">
        <v>81</v>
      </c>
      <c r="GJ190" s="28">
        <v>45</v>
      </c>
      <c r="GP190" s="6">
        <v>155</v>
      </c>
      <c r="GQ190" s="52">
        <v>434</v>
      </c>
      <c r="GT190" s="6">
        <v>4</v>
      </c>
      <c r="GU190" s="52">
        <v>108</v>
      </c>
      <c r="HB190" s="6">
        <v>125</v>
      </c>
      <c r="HE190" s="6">
        <v>4</v>
      </c>
      <c r="HF190" s="28">
        <v>28</v>
      </c>
      <c r="HS190" s="8">
        <v>-2</v>
      </c>
      <c r="HT190" s="52">
        <v>7</v>
      </c>
      <c r="IB190" s="8">
        <v>-984</v>
      </c>
      <c r="IC190" s="28">
        <v>410</v>
      </c>
      <c r="IY190" s="8">
        <v>-570</v>
      </c>
      <c r="JW190" s="6">
        <v>-310</v>
      </c>
      <c r="JX190" s="12">
        <v>105</v>
      </c>
      <c r="KE190" s="6">
        <v>343</v>
      </c>
      <c r="KF190" s="12">
        <v>788</v>
      </c>
      <c r="KT190" s="8">
        <v>-38</v>
      </c>
      <c r="KU190" s="28">
        <v>29</v>
      </c>
      <c r="LF190" s="8">
        <v>-240</v>
      </c>
      <c r="LG190" s="28">
        <v>161</v>
      </c>
      <c r="LJ190" s="8">
        <v>646</v>
      </c>
      <c r="LK190" s="28">
        <v>607</v>
      </c>
      <c r="LW190" s="8">
        <v>171</v>
      </c>
      <c r="LX190" s="28">
        <v>275</v>
      </c>
      <c r="MF190" s="8">
        <v>-110</v>
      </c>
      <c r="MG190" s="12">
        <v>284</v>
      </c>
      <c r="NC190" s="8">
        <v>292</v>
      </c>
      <c r="ND190" s="12">
        <v>165</v>
      </c>
      <c r="PP190" s="8">
        <v>-181</v>
      </c>
      <c r="PQ190" s="28">
        <v>26</v>
      </c>
      <c r="PR190" s="28"/>
      <c r="PS190" s="8">
        <v>28</v>
      </c>
      <c r="TH190" s="8">
        <v>67</v>
      </c>
      <c r="TI190" s="28">
        <v>43</v>
      </c>
      <c r="TZ190" s="8">
        <v>94</v>
      </c>
      <c r="UA190" s="12">
        <v>357</v>
      </c>
      <c r="VH190" s="8">
        <v>109</v>
      </c>
      <c r="VL190" s="21"/>
      <c r="VQ190" s="6">
        <v>-12</v>
      </c>
      <c r="VR190" s="28">
        <v>10</v>
      </c>
    </row>
    <row r="191" spans="11:598" x14ac:dyDescent="0.25">
      <c r="V191">
        <v>6</v>
      </c>
      <c r="W191" s="10">
        <v>128</v>
      </c>
      <c r="AD191">
        <v>65</v>
      </c>
      <c r="AE191" s="1">
        <v>6</v>
      </c>
      <c r="AJ191" s="2">
        <v>-36</v>
      </c>
      <c r="AK191" s="10">
        <v>215</v>
      </c>
      <c r="BD191" s="8"/>
      <c r="BF191">
        <v>3331</v>
      </c>
      <c r="BG191" s="1">
        <v>878</v>
      </c>
      <c r="BT191">
        <v>-116</v>
      </c>
      <c r="BU191" s="1">
        <v>351</v>
      </c>
      <c r="CE191" s="8">
        <v>60</v>
      </c>
      <c r="CF191" s="28">
        <v>120</v>
      </c>
      <c r="CZ191" s="23">
        <v>186</v>
      </c>
      <c r="DA191" s="25">
        <v>295</v>
      </c>
      <c r="DG191" s="25"/>
      <c r="DH191" s="23">
        <v>-790</v>
      </c>
      <c r="DI191" s="25">
        <v>276</v>
      </c>
      <c r="DL191" s="8">
        <v>-67</v>
      </c>
      <c r="DS191" s="6">
        <v>-47</v>
      </c>
      <c r="DT191" s="52">
        <v>303</v>
      </c>
      <c r="EA191" s="23">
        <v>-2</v>
      </c>
      <c r="EB191" s="52">
        <v>330</v>
      </c>
      <c r="EC191" s="52"/>
      <c r="ED191" s="52"/>
      <c r="EG191" s="6">
        <v>591</v>
      </c>
      <c r="EH191" s="28">
        <v>229</v>
      </c>
      <c r="EI191" s="8">
        <v>-243</v>
      </c>
      <c r="EJ191" s="52">
        <v>83</v>
      </c>
      <c r="EN191" s="8">
        <v>247</v>
      </c>
      <c r="EO191" s="28">
        <v>24</v>
      </c>
      <c r="EP191" s="28"/>
      <c r="EQ191" s="28"/>
      <c r="EX191" s="8">
        <v>510</v>
      </c>
      <c r="EY191" s="28">
        <v>105</v>
      </c>
      <c r="FD191" s="6">
        <v>543</v>
      </c>
      <c r="FE191" s="28">
        <v>203</v>
      </c>
      <c r="FM191" s="8">
        <v>-503</v>
      </c>
      <c r="FN191" s="52">
        <v>53</v>
      </c>
      <c r="FS191" s="8">
        <v>446</v>
      </c>
      <c r="FT191" s="52">
        <v>109</v>
      </c>
      <c r="GC191" s="8">
        <v>692</v>
      </c>
      <c r="GI191" s="8">
        <v>-18</v>
      </c>
      <c r="GJ191" s="28">
        <v>77</v>
      </c>
      <c r="GP191" s="6">
        <v>-119</v>
      </c>
      <c r="GQ191" s="52">
        <v>273</v>
      </c>
      <c r="GT191" s="6">
        <v>138</v>
      </c>
      <c r="GU191" s="52">
        <v>983</v>
      </c>
      <c r="HB191" s="6">
        <v>224</v>
      </c>
      <c r="HE191" s="6">
        <v>-36</v>
      </c>
      <c r="HF191" s="28">
        <v>29</v>
      </c>
      <c r="HS191" s="8">
        <v>-1</v>
      </c>
      <c r="HT191" s="52">
        <v>173</v>
      </c>
      <c r="IB191" s="8">
        <v>-942</v>
      </c>
      <c r="IC191" s="28">
        <v>417</v>
      </c>
      <c r="IY191" s="8">
        <v>121</v>
      </c>
      <c r="JW191" s="6">
        <v>-307</v>
      </c>
      <c r="JX191" s="12">
        <v>931</v>
      </c>
      <c r="KE191" s="6">
        <v>-214</v>
      </c>
      <c r="KF191" s="12">
        <v>947</v>
      </c>
      <c r="KT191" s="8">
        <v>-5</v>
      </c>
      <c r="KU191" s="28">
        <v>31</v>
      </c>
      <c r="LF191" s="8">
        <v>-146</v>
      </c>
      <c r="LG191" s="28">
        <v>149</v>
      </c>
      <c r="LJ191" s="8">
        <v>-121</v>
      </c>
      <c r="LK191" s="28">
        <v>511</v>
      </c>
      <c r="LW191" s="8">
        <v>-275</v>
      </c>
      <c r="LX191" s="28">
        <v>126</v>
      </c>
      <c r="MF191" s="8">
        <v>-283</v>
      </c>
      <c r="MG191" s="12">
        <v>67</v>
      </c>
      <c r="NC191" s="8">
        <v>222</v>
      </c>
      <c r="ND191" s="12">
        <v>246</v>
      </c>
      <c r="PP191" s="8">
        <v>135</v>
      </c>
      <c r="PQ191" s="28">
        <v>23</v>
      </c>
      <c r="PR191" s="28"/>
      <c r="PS191" s="8">
        <v>102</v>
      </c>
      <c r="TH191" s="8">
        <v>161</v>
      </c>
      <c r="TI191" s="28">
        <v>102</v>
      </c>
      <c r="TZ191" s="8">
        <v>64</v>
      </c>
      <c r="UA191" s="12">
        <v>235</v>
      </c>
      <c r="VH191" s="8">
        <v>498</v>
      </c>
      <c r="VL191" s="21"/>
      <c r="VQ191" s="6">
        <v>-18</v>
      </c>
      <c r="VR191" s="28">
        <v>12</v>
      </c>
    </row>
    <row r="192" spans="11:598" x14ac:dyDescent="0.25">
      <c r="V192">
        <v>-18</v>
      </c>
      <c r="W192" s="10">
        <v>118</v>
      </c>
      <c r="AD192">
        <v>-51</v>
      </c>
      <c r="AE192" s="1">
        <v>7</v>
      </c>
      <c r="AJ192" s="2">
        <v>-53</v>
      </c>
      <c r="AK192" s="10">
        <v>63</v>
      </c>
      <c r="BD192" s="8"/>
      <c r="BF192">
        <v>-5782</v>
      </c>
      <c r="BG192" s="1">
        <v>1548</v>
      </c>
      <c r="BT192">
        <v>514</v>
      </c>
      <c r="BU192" s="1">
        <v>108</v>
      </c>
      <c r="CE192" s="8">
        <v>214</v>
      </c>
      <c r="CF192" s="28">
        <v>24</v>
      </c>
      <c r="CZ192" s="23">
        <v>616</v>
      </c>
      <c r="DA192" s="25">
        <v>116</v>
      </c>
      <c r="DG192" s="25"/>
      <c r="DH192" s="23">
        <v>-119</v>
      </c>
      <c r="DI192" s="25">
        <v>305</v>
      </c>
      <c r="DL192" s="8">
        <v>20</v>
      </c>
      <c r="DS192" s="6">
        <v>31</v>
      </c>
      <c r="DT192" s="52">
        <v>168</v>
      </c>
      <c r="EA192" s="23">
        <v>29</v>
      </c>
      <c r="EB192" s="52">
        <v>864</v>
      </c>
      <c r="EC192" s="52"/>
      <c r="ED192" s="52"/>
      <c r="EG192" s="6">
        <v>900</v>
      </c>
      <c r="EH192" s="28">
        <v>258</v>
      </c>
      <c r="EI192" s="8">
        <v>-389</v>
      </c>
      <c r="EJ192" s="52">
        <v>593</v>
      </c>
      <c r="EN192" s="8">
        <v>345</v>
      </c>
      <c r="EO192" s="28">
        <v>28</v>
      </c>
      <c r="EP192" s="28"/>
      <c r="EQ192" s="28"/>
      <c r="EX192" s="8">
        <v>-134</v>
      </c>
      <c r="EY192" s="28">
        <v>195</v>
      </c>
      <c r="FD192" s="6">
        <v>-755</v>
      </c>
      <c r="FE192" s="28">
        <v>114</v>
      </c>
      <c r="FM192" s="8">
        <v>-180</v>
      </c>
      <c r="FN192" s="52">
        <v>90</v>
      </c>
      <c r="FS192" s="8">
        <v>506</v>
      </c>
      <c r="FT192" s="52">
        <v>163</v>
      </c>
      <c r="GC192" s="8">
        <v>-750</v>
      </c>
      <c r="GI192" s="8">
        <v>-20</v>
      </c>
      <c r="GJ192" s="28">
        <v>20</v>
      </c>
      <c r="GP192" s="6">
        <v>-7</v>
      </c>
      <c r="GQ192" s="52">
        <v>24</v>
      </c>
      <c r="GT192" s="6">
        <v>77</v>
      </c>
      <c r="GU192" s="52">
        <v>548</v>
      </c>
      <c r="HB192" s="6">
        <v>64</v>
      </c>
      <c r="HE192" s="6">
        <v>-15</v>
      </c>
      <c r="HF192" s="28">
        <v>74</v>
      </c>
      <c r="HS192" s="8">
        <v>-44</v>
      </c>
      <c r="HT192" s="52">
        <v>262</v>
      </c>
      <c r="IB192" s="8">
        <v>-957</v>
      </c>
      <c r="IC192" s="28">
        <v>419</v>
      </c>
      <c r="IY192" s="8">
        <v>-820</v>
      </c>
      <c r="JW192" s="6">
        <v>373</v>
      </c>
      <c r="JX192" s="12">
        <v>44</v>
      </c>
      <c r="KE192" s="6">
        <v>-148</v>
      </c>
      <c r="KF192" s="12">
        <v>210</v>
      </c>
      <c r="KT192" s="8">
        <v>51</v>
      </c>
      <c r="KU192" s="28">
        <v>31</v>
      </c>
      <c r="LF192" s="8">
        <v>-154</v>
      </c>
      <c r="LG192" s="28">
        <v>124</v>
      </c>
      <c r="LJ192" s="8">
        <v>411</v>
      </c>
      <c r="LK192" s="28">
        <v>624</v>
      </c>
      <c r="LW192" s="8">
        <v>-568</v>
      </c>
      <c r="LX192" s="28">
        <v>190</v>
      </c>
      <c r="MF192" s="8">
        <v>127</v>
      </c>
      <c r="MG192" s="12">
        <v>302</v>
      </c>
      <c r="NC192" s="8">
        <v>379</v>
      </c>
      <c r="ND192" s="12">
        <v>311</v>
      </c>
      <c r="PP192" s="8">
        <v>985</v>
      </c>
      <c r="PQ192" s="28">
        <v>9</v>
      </c>
      <c r="PR192" s="28"/>
      <c r="PS192" s="8">
        <v>-183</v>
      </c>
      <c r="TH192" s="8">
        <v>685</v>
      </c>
      <c r="TI192" s="28">
        <v>102</v>
      </c>
      <c r="TZ192" s="8">
        <v>39</v>
      </c>
      <c r="UA192" s="12">
        <v>169</v>
      </c>
      <c r="VH192" s="8">
        <v>638</v>
      </c>
      <c r="VL192" s="21"/>
      <c r="VQ192" s="6">
        <v>-553</v>
      </c>
      <c r="VR192" s="28">
        <v>788</v>
      </c>
    </row>
    <row r="193" spans="22:590" x14ac:dyDescent="0.25">
      <c r="V193">
        <v>-1</v>
      </c>
      <c r="W193" s="10">
        <v>141</v>
      </c>
      <c r="AD193">
        <v>-50</v>
      </c>
      <c r="AE193" s="1">
        <v>7</v>
      </c>
      <c r="AJ193" s="2">
        <v>2534</v>
      </c>
      <c r="AK193" s="10">
        <v>326</v>
      </c>
      <c r="BD193" s="8"/>
      <c r="BF193">
        <v>638</v>
      </c>
      <c r="BG193" s="1">
        <v>523</v>
      </c>
      <c r="BT193">
        <v>-178</v>
      </c>
      <c r="BU193" s="1">
        <v>231</v>
      </c>
      <c r="CE193" s="8">
        <v>-188</v>
      </c>
      <c r="CF193" s="28">
        <v>22</v>
      </c>
      <c r="CZ193" s="23">
        <v>-470</v>
      </c>
      <c r="DA193" s="25">
        <v>134</v>
      </c>
      <c r="DG193" s="25"/>
      <c r="DH193" s="23">
        <v>-921</v>
      </c>
      <c r="DI193" s="25">
        <v>297</v>
      </c>
      <c r="DL193" s="8">
        <v>-39</v>
      </c>
      <c r="DS193" s="6">
        <v>18</v>
      </c>
      <c r="DT193" s="52">
        <v>115</v>
      </c>
      <c r="EA193" s="23">
        <v>3</v>
      </c>
      <c r="EB193" s="52">
        <v>404</v>
      </c>
      <c r="EC193" s="52"/>
      <c r="ED193" s="52"/>
      <c r="EG193" s="6">
        <v>127</v>
      </c>
      <c r="EH193" s="28">
        <v>240</v>
      </c>
      <c r="EI193" s="8">
        <v>-132</v>
      </c>
      <c r="EJ193" s="52">
        <v>80</v>
      </c>
      <c r="EN193" s="8">
        <v>13</v>
      </c>
      <c r="EO193" s="28">
        <v>18</v>
      </c>
      <c r="EP193" s="28"/>
      <c r="EQ193" s="28"/>
      <c r="EX193" s="8">
        <v>200</v>
      </c>
      <c r="EY193" s="28">
        <v>105</v>
      </c>
      <c r="FD193" s="6">
        <v>28</v>
      </c>
      <c r="FE193" s="28">
        <v>44</v>
      </c>
      <c r="FM193" s="8">
        <v>-147</v>
      </c>
      <c r="FN193" s="52">
        <v>66</v>
      </c>
      <c r="FS193" s="8">
        <v>-10</v>
      </c>
      <c r="FT193" s="52">
        <v>3</v>
      </c>
      <c r="GC193" s="8">
        <v>-928</v>
      </c>
      <c r="GI193" s="8">
        <v>-162</v>
      </c>
      <c r="GJ193" s="28">
        <v>83</v>
      </c>
      <c r="GP193" s="6">
        <v>-141</v>
      </c>
      <c r="GQ193" s="52">
        <v>287</v>
      </c>
      <c r="GT193" s="6">
        <v>-117</v>
      </c>
      <c r="GU193" s="52">
        <v>138</v>
      </c>
      <c r="HB193" s="6">
        <v>-4</v>
      </c>
      <c r="HE193" s="6">
        <v>4</v>
      </c>
      <c r="HF193" s="28">
        <v>58</v>
      </c>
      <c r="HS193" s="8">
        <v>124</v>
      </c>
      <c r="HT193" s="52">
        <v>928</v>
      </c>
      <c r="IB193" s="8">
        <v>-428</v>
      </c>
      <c r="IC193" s="28">
        <v>584</v>
      </c>
      <c r="IY193" s="8">
        <v>40</v>
      </c>
      <c r="JW193" s="6">
        <v>699</v>
      </c>
      <c r="JX193" s="12">
        <v>83</v>
      </c>
      <c r="KE193" s="6">
        <v>-167</v>
      </c>
      <c r="KF193" s="12">
        <v>386</v>
      </c>
      <c r="KT193" s="8">
        <v>-6</v>
      </c>
      <c r="KU193" s="28">
        <v>32</v>
      </c>
      <c r="LF193" s="8">
        <v>-213</v>
      </c>
      <c r="LG193" s="28">
        <v>129</v>
      </c>
      <c r="LJ193" s="8">
        <v>-220</v>
      </c>
      <c r="LK193" s="28">
        <v>725</v>
      </c>
      <c r="LW193" s="8">
        <v>147</v>
      </c>
      <c r="LX193" s="28">
        <v>244</v>
      </c>
      <c r="MF193" s="8">
        <v>-278</v>
      </c>
      <c r="MG193" s="12">
        <v>64</v>
      </c>
      <c r="NC193" s="8">
        <v>182</v>
      </c>
      <c r="ND193" s="12">
        <v>176</v>
      </c>
      <c r="PP193" s="8">
        <v>897</v>
      </c>
      <c r="PQ193" s="28">
        <v>8</v>
      </c>
      <c r="PR193" s="28"/>
      <c r="PS193" s="8">
        <v>-2</v>
      </c>
      <c r="TH193" s="8">
        <v>86</v>
      </c>
      <c r="TI193" s="28">
        <v>14</v>
      </c>
      <c r="TZ193" s="8">
        <v>19</v>
      </c>
      <c r="UA193" s="12">
        <v>127</v>
      </c>
      <c r="VH193" s="8">
        <v>-180</v>
      </c>
      <c r="VL193" s="21"/>
      <c r="VQ193" s="6">
        <v>152</v>
      </c>
      <c r="VR193" s="28">
        <v>33</v>
      </c>
    </row>
    <row r="194" spans="22:590" x14ac:dyDescent="0.25">
      <c r="V194">
        <v>-88</v>
      </c>
      <c r="W194" s="10">
        <v>34</v>
      </c>
      <c r="AD194">
        <v>-50</v>
      </c>
      <c r="AE194" s="1">
        <v>7</v>
      </c>
      <c r="AJ194" s="2">
        <v>-651</v>
      </c>
      <c r="AK194" s="10">
        <v>205</v>
      </c>
      <c r="BD194" s="8"/>
      <c r="BF194">
        <v>4142</v>
      </c>
      <c r="BG194" s="1">
        <v>993</v>
      </c>
      <c r="BT194">
        <v>536</v>
      </c>
      <c r="BU194" s="1">
        <v>278</v>
      </c>
      <c r="CE194" s="8">
        <v>-110</v>
      </c>
      <c r="CF194" s="28">
        <v>26</v>
      </c>
      <c r="CZ194" s="23">
        <v>-188</v>
      </c>
      <c r="DA194" s="25">
        <v>988</v>
      </c>
      <c r="DG194" s="25"/>
      <c r="DH194" s="23">
        <v>-123</v>
      </c>
      <c r="DI194" s="25">
        <v>310</v>
      </c>
      <c r="DL194" s="8">
        <v>2</v>
      </c>
      <c r="DS194" s="6">
        <v>23</v>
      </c>
      <c r="DT194" s="52">
        <v>175</v>
      </c>
      <c r="EA194" s="23">
        <v>-334</v>
      </c>
      <c r="EB194" s="52">
        <v>683</v>
      </c>
      <c r="EC194" s="52"/>
      <c r="ED194" s="52"/>
      <c r="EG194" s="6">
        <v>161</v>
      </c>
      <c r="EH194" s="28">
        <v>295</v>
      </c>
      <c r="EI194" s="8">
        <v>-107</v>
      </c>
      <c r="EJ194" s="52">
        <v>669</v>
      </c>
      <c r="EN194" s="8">
        <v>-65</v>
      </c>
      <c r="EO194" s="28">
        <v>27</v>
      </c>
      <c r="EP194" s="28"/>
      <c r="EQ194" s="28"/>
      <c r="EX194" s="8">
        <v>559</v>
      </c>
      <c r="EY194" s="28">
        <v>107</v>
      </c>
      <c r="FD194" s="6">
        <v>-662</v>
      </c>
      <c r="FE194" s="28">
        <v>414</v>
      </c>
      <c r="FM194" s="8">
        <v>-541</v>
      </c>
      <c r="FN194" s="52">
        <v>314</v>
      </c>
      <c r="FS194" s="8">
        <v>-43</v>
      </c>
      <c r="FT194" s="52">
        <v>252</v>
      </c>
      <c r="GI194" s="8">
        <v>-67</v>
      </c>
      <c r="GJ194" s="28">
        <v>96</v>
      </c>
      <c r="GP194" s="6">
        <v>8</v>
      </c>
      <c r="GQ194" s="52">
        <v>290</v>
      </c>
      <c r="GT194" s="6">
        <v>-772</v>
      </c>
      <c r="GU194" s="52">
        <v>102</v>
      </c>
      <c r="HB194" s="6">
        <v>-115</v>
      </c>
      <c r="HE194" s="6">
        <v>114</v>
      </c>
      <c r="HF194" s="28">
        <v>56</v>
      </c>
      <c r="HS194" s="8">
        <v>170</v>
      </c>
      <c r="HT194" s="52">
        <v>402</v>
      </c>
      <c r="IB194" s="8">
        <v>-357</v>
      </c>
      <c r="IC194" s="28">
        <v>597</v>
      </c>
      <c r="IY194" s="8">
        <v>-234</v>
      </c>
      <c r="JW194" s="6">
        <v>-8</v>
      </c>
      <c r="JX194" s="12">
        <v>74</v>
      </c>
      <c r="KE194" s="6">
        <v>-213</v>
      </c>
      <c r="KF194" s="12">
        <v>241</v>
      </c>
      <c r="KT194" s="8">
        <v>25</v>
      </c>
      <c r="KU194" s="28">
        <v>36</v>
      </c>
      <c r="LF194" s="8">
        <v>-136</v>
      </c>
      <c r="LG194" s="28">
        <v>73</v>
      </c>
      <c r="LJ194" s="8">
        <v>-318</v>
      </c>
      <c r="LK194" s="28">
        <v>646</v>
      </c>
      <c r="LW194" s="8">
        <v>62</v>
      </c>
      <c r="LX194" s="28">
        <v>222</v>
      </c>
      <c r="MF194" s="8">
        <v>-330</v>
      </c>
      <c r="MG194" s="12">
        <v>77</v>
      </c>
      <c r="NC194" s="8">
        <v>122</v>
      </c>
      <c r="ND194" s="12">
        <v>131</v>
      </c>
      <c r="PP194" s="8">
        <v>100</v>
      </c>
      <c r="PQ194" s="28">
        <v>13</v>
      </c>
      <c r="PR194" s="28"/>
      <c r="PS194" s="8">
        <v>-2</v>
      </c>
      <c r="TH194" s="8">
        <v>376</v>
      </c>
      <c r="TI194" s="28">
        <v>72</v>
      </c>
      <c r="TZ194" s="8">
        <v>995</v>
      </c>
      <c r="UA194" s="12">
        <v>694</v>
      </c>
      <c r="VH194" s="8">
        <v>353</v>
      </c>
      <c r="VL194" s="21"/>
      <c r="VQ194" s="6">
        <v>150</v>
      </c>
      <c r="VR194" s="28">
        <v>36</v>
      </c>
    </row>
    <row r="195" spans="22:590" x14ac:dyDescent="0.25">
      <c r="V195">
        <v>778</v>
      </c>
      <c r="W195" s="10">
        <v>158</v>
      </c>
      <c r="AD195">
        <v>-90</v>
      </c>
      <c r="AE195" s="1">
        <v>9</v>
      </c>
      <c r="AJ195" s="2">
        <v>7987</v>
      </c>
      <c r="AK195" s="10">
        <v>302</v>
      </c>
      <c r="BD195" s="8"/>
      <c r="BF195">
        <v>-1843</v>
      </c>
      <c r="BG195" s="1">
        <v>513</v>
      </c>
      <c r="BT195">
        <v>614</v>
      </c>
      <c r="BU195" s="1">
        <v>107</v>
      </c>
      <c r="CE195" s="8">
        <v>-117</v>
      </c>
      <c r="CF195" s="28">
        <v>43</v>
      </c>
      <c r="CZ195" s="23">
        <v>20</v>
      </c>
      <c r="DA195" s="25">
        <v>155</v>
      </c>
      <c r="DG195" s="25"/>
      <c r="DH195" s="23">
        <v>-155</v>
      </c>
      <c r="DI195" s="25">
        <v>340</v>
      </c>
      <c r="DL195" s="8">
        <v>4</v>
      </c>
      <c r="DS195" s="6">
        <v>23</v>
      </c>
      <c r="DT195" s="52">
        <v>231</v>
      </c>
      <c r="EA195" s="23">
        <v>310</v>
      </c>
      <c r="EB195" s="52">
        <v>796</v>
      </c>
      <c r="EC195" s="52"/>
      <c r="ED195" s="52"/>
      <c r="EG195" s="6">
        <v>200</v>
      </c>
      <c r="EH195" s="28">
        <v>260</v>
      </c>
      <c r="EI195" s="8">
        <v>385</v>
      </c>
      <c r="EJ195" s="52">
        <v>165</v>
      </c>
      <c r="EN195" s="8">
        <v>-53</v>
      </c>
      <c r="EO195" s="28">
        <v>32</v>
      </c>
      <c r="EP195" s="28"/>
      <c r="EQ195" s="28"/>
      <c r="EX195" s="8">
        <v>384</v>
      </c>
      <c r="EY195" s="28">
        <v>115</v>
      </c>
      <c r="FD195" s="8">
        <f>32</f>
        <v>32</v>
      </c>
      <c r="FE195" s="28">
        <v>31</v>
      </c>
      <c r="FM195" s="8">
        <v>-147</v>
      </c>
      <c r="FN195" s="52">
        <v>247</v>
      </c>
      <c r="FS195" s="8">
        <v>-42</v>
      </c>
      <c r="FT195" s="52">
        <v>292</v>
      </c>
      <c r="GI195" s="8">
        <v>-45</v>
      </c>
      <c r="GJ195" s="28">
        <v>76</v>
      </c>
      <c r="GP195" s="6">
        <v>-16</v>
      </c>
      <c r="GQ195" s="52">
        <v>41</v>
      </c>
      <c r="GT195" s="6">
        <v>236</v>
      </c>
      <c r="GU195" s="52">
        <v>117</v>
      </c>
      <c r="HB195" s="6">
        <v>250</v>
      </c>
      <c r="HE195" s="6">
        <v>78</v>
      </c>
      <c r="HF195" s="28">
        <v>52</v>
      </c>
      <c r="HS195" s="8">
        <v>3</v>
      </c>
      <c r="HT195" s="52">
        <v>180</v>
      </c>
      <c r="IB195" s="8">
        <v>-103</v>
      </c>
      <c r="IC195" s="28">
        <v>412</v>
      </c>
      <c r="IY195" s="8">
        <v>-285</v>
      </c>
      <c r="JW195" s="6">
        <v>8</v>
      </c>
      <c r="JX195" s="12">
        <v>89</v>
      </c>
      <c r="KE195" s="6">
        <v>-138</v>
      </c>
      <c r="KF195" s="12">
        <v>225</v>
      </c>
      <c r="KT195" s="8">
        <v>-49</v>
      </c>
      <c r="KU195" s="28">
        <v>33</v>
      </c>
      <c r="LF195" s="8">
        <v>-167</v>
      </c>
      <c r="LG195" s="28">
        <v>77</v>
      </c>
      <c r="LJ195" s="8">
        <v>-151</v>
      </c>
      <c r="LK195" s="28">
        <v>767</v>
      </c>
      <c r="LW195" s="8">
        <v>-19</v>
      </c>
      <c r="LX195" s="28">
        <v>193</v>
      </c>
      <c r="MF195" s="8">
        <v>20</v>
      </c>
      <c r="MG195" s="12">
        <v>24</v>
      </c>
      <c r="NC195" s="8">
        <v>216</v>
      </c>
      <c r="ND195" s="12">
        <v>217</v>
      </c>
      <c r="PP195" s="8">
        <v>987</v>
      </c>
      <c r="PQ195" s="28">
        <v>13</v>
      </c>
      <c r="PR195" s="28"/>
      <c r="PS195" s="8">
        <v>5</v>
      </c>
      <c r="TH195" s="8">
        <v>46</v>
      </c>
      <c r="TI195" s="28">
        <v>24</v>
      </c>
      <c r="TZ195" s="8">
        <v>175</v>
      </c>
      <c r="UA195" s="12">
        <v>678</v>
      </c>
      <c r="VH195" s="8">
        <v>-23</v>
      </c>
      <c r="VL195" s="21"/>
      <c r="VQ195" s="6">
        <v>151</v>
      </c>
      <c r="VR195" s="28">
        <v>34</v>
      </c>
    </row>
    <row r="196" spans="22:590" x14ac:dyDescent="0.25">
      <c r="V196">
        <v>15255</v>
      </c>
      <c r="W196" s="10">
        <v>110</v>
      </c>
      <c r="AD196">
        <v>-90</v>
      </c>
      <c r="AE196" s="1">
        <v>9</v>
      </c>
      <c r="AJ196" s="2">
        <v>-640</v>
      </c>
      <c r="AK196" s="10">
        <v>173</v>
      </c>
      <c r="BD196" s="8"/>
      <c r="BF196">
        <v>33</v>
      </c>
      <c r="BG196" s="1">
        <v>2</v>
      </c>
      <c r="BT196">
        <v>220</v>
      </c>
      <c r="BU196" s="1">
        <v>198</v>
      </c>
      <c r="CE196" s="8">
        <v>36</v>
      </c>
      <c r="CF196" s="28">
        <v>26</v>
      </c>
      <c r="CZ196" s="23">
        <v>-1</v>
      </c>
      <c r="DA196" s="25">
        <v>83</v>
      </c>
      <c r="DG196" s="25"/>
      <c r="DH196" s="23">
        <v>-129</v>
      </c>
      <c r="DI196" s="25">
        <v>366</v>
      </c>
      <c r="DL196" s="8">
        <v>2</v>
      </c>
      <c r="DS196" s="6">
        <v>136</v>
      </c>
      <c r="DT196" s="52">
        <v>161</v>
      </c>
      <c r="EA196" s="23">
        <v>-770</v>
      </c>
      <c r="EB196" s="52">
        <v>573</v>
      </c>
      <c r="EC196" s="52"/>
      <c r="ED196" s="52"/>
      <c r="EG196" s="6">
        <v>193</v>
      </c>
      <c r="EH196" s="28">
        <v>317</v>
      </c>
      <c r="EI196" s="8">
        <v>-222</v>
      </c>
      <c r="EJ196" s="52">
        <v>414</v>
      </c>
      <c r="EN196" s="8">
        <v>-185</v>
      </c>
      <c r="EO196" s="28">
        <v>102</v>
      </c>
      <c r="EP196" s="28"/>
      <c r="EQ196" s="28"/>
      <c r="EX196" s="8">
        <v>435</v>
      </c>
      <c r="EY196" s="28">
        <v>157</v>
      </c>
      <c r="FD196" s="6">
        <v>636</v>
      </c>
      <c r="FE196" s="28">
        <v>398</v>
      </c>
      <c r="FM196" s="8">
        <v>-453</v>
      </c>
      <c r="FN196" s="52">
        <v>207</v>
      </c>
      <c r="FS196" s="8">
        <v>-37</v>
      </c>
      <c r="FT196" s="52">
        <v>239</v>
      </c>
      <c r="GI196" s="8">
        <v>-112</v>
      </c>
      <c r="GJ196" s="28">
        <v>67</v>
      </c>
      <c r="GP196" s="6">
        <v>60</v>
      </c>
      <c r="GQ196" s="52">
        <v>240</v>
      </c>
      <c r="GT196" s="6">
        <v>-422</v>
      </c>
      <c r="GU196" s="52">
        <v>155</v>
      </c>
      <c r="HB196" s="6">
        <v>132</v>
      </c>
      <c r="HE196" s="6">
        <v>40</v>
      </c>
      <c r="HF196" s="28">
        <v>31</v>
      </c>
      <c r="HS196" s="8">
        <v>8</v>
      </c>
      <c r="HT196" s="52">
        <v>108</v>
      </c>
      <c r="IB196" s="8">
        <v>-104</v>
      </c>
      <c r="IC196" s="28">
        <v>417</v>
      </c>
      <c r="IY196" s="8">
        <v>-199</v>
      </c>
      <c r="JW196" s="6">
        <v>165</v>
      </c>
      <c r="JX196" s="12">
        <v>231</v>
      </c>
      <c r="KE196" s="6">
        <v>-210</v>
      </c>
      <c r="KF196" s="12">
        <v>423</v>
      </c>
      <c r="KT196" s="8">
        <v>50</v>
      </c>
      <c r="KU196" s="28">
        <v>32</v>
      </c>
      <c r="LF196" s="8">
        <v>-146</v>
      </c>
      <c r="LG196" s="28">
        <v>66</v>
      </c>
      <c r="LJ196" s="8">
        <v>-242</v>
      </c>
      <c r="LK196" s="28">
        <v>629</v>
      </c>
      <c r="LW196" s="8">
        <v>-835</v>
      </c>
      <c r="LX196" s="28">
        <v>304</v>
      </c>
      <c r="MF196" s="8">
        <v>-410</v>
      </c>
      <c r="MG196" s="12">
        <v>282</v>
      </c>
      <c r="NC196" s="8">
        <v>266</v>
      </c>
      <c r="ND196" s="12">
        <v>283</v>
      </c>
      <c r="PP196" s="8">
        <v>916</v>
      </c>
      <c r="PQ196" s="28">
        <v>13</v>
      </c>
      <c r="PR196" s="28"/>
      <c r="PS196" s="8">
        <v>23</v>
      </c>
      <c r="TH196" s="8">
        <v>-285</v>
      </c>
      <c r="TI196" s="28">
        <v>63</v>
      </c>
      <c r="TZ196" s="8">
        <v>86</v>
      </c>
      <c r="UA196" s="12">
        <v>733</v>
      </c>
      <c r="VH196" s="8">
        <v>152</v>
      </c>
      <c r="VL196" s="21"/>
      <c r="VQ196" s="6">
        <v>161</v>
      </c>
      <c r="VR196" s="28">
        <v>36</v>
      </c>
    </row>
    <row r="197" spans="22:590" x14ac:dyDescent="0.25">
      <c r="V197">
        <v>-1</v>
      </c>
      <c r="W197" s="10">
        <v>681</v>
      </c>
      <c r="AD197">
        <v>-187</v>
      </c>
      <c r="AE197" s="1">
        <v>11</v>
      </c>
      <c r="AJ197" s="2">
        <v>-611</v>
      </c>
      <c r="AK197" s="10">
        <v>194</v>
      </c>
      <c r="BD197" s="8"/>
      <c r="BF197">
        <v>20</v>
      </c>
      <c r="BG197" s="1">
        <v>2</v>
      </c>
      <c r="BT197">
        <v>-96</v>
      </c>
      <c r="BU197" s="1">
        <v>102</v>
      </c>
      <c r="CE197" s="8">
        <v>-678</v>
      </c>
      <c r="CF197" s="28">
        <v>43</v>
      </c>
      <c r="CZ197" s="23">
        <v>1</v>
      </c>
      <c r="DA197" s="25">
        <v>2</v>
      </c>
      <c r="DG197" s="25"/>
      <c r="DH197" s="23">
        <v>201</v>
      </c>
      <c r="DI197" s="25">
        <v>313</v>
      </c>
      <c r="DL197" s="8">
        <v>-1</v>
      </c>
      <c r="DS197" s="6">
        <v>-107</v>
      </c>
      <c r="DT197" s="52">
        <v>143</v>
      </c>
      <c r="EA197" s="23">
        <v>484</v>
      </c>
      <c r="EB197" s="52">
        <v>376</v>
      </c>
      <c r="EC197" s="52"/>
      <c r="ED197" s="52"/>
      <c r="EG197" s="6">
        <v>348</v>
      </c>
      <c r="EH197" s="28">
        <v>274</v>
      </c>
      <c r="EI197" s="8">
        <v>194</v>
      </c>
      <c r="EJ197" s="52">
        <v>759</v>
      </c>
      <c r="EN197" s="8">
        <v>-193</v>
      </c>
      <c r="EO197" s="28">
        <v>32</v>
      </c>
      <c r="EP197" s="28"/>
      <c r="EQ197" s="28"/>
      <c r="EX197" s="8">
        <v>697</v>
      </c>
      <c r="EY197" s="28">
        <v>118</v>
      </c>
      <c r="FD197" s="6">
        <v>158</v>
      </c>
      <c r="FE197" s="28">
        <v>49</v>
      </c>
      <c r="FM197" s="8">
        <v>267</v>
      </c>
      <c r="FN197" s="52">
        <v>213</v>
      </c>
      <c r="FS197" s="8">
        <v>51</v>
      </c>
      <c r="FT197" s="52">
        <v>62</v>
      </c>
      <c r="GI197" s="8">
        <v>-110</v>
      </c>
      <c r="GJ197" s="28">
        <v>78</v>
      </c>
      <c r="GP197" s="6">
        <v>-24</v>
      </c>
      <c r="GQ197" s="52">
        <v>118</v>
      </c>
      <c r="GT197" s="6">
        <v>-105</v>
      </c>
      <c r="GU197" s="52">
        <v>758</v>
      </c>
      <c r="HB197" s="6">
        <v>52</v>
      </c>
      <c r="HE197" s="6">
        <v>15</v>
      </c>
      <c r="HF197" s="28">
        <v>41</v>
      </c>
      <c r="HS197" s="8">
        <v>-59</v>
      </c>
      <c r="HT197" s="52">
        <v>295</v>
      </c>
      <c r="IB197" s="8">
        <v>-346</v>
      </c>
      <c r="IC197" s="28">
        <v>172</v>
      </c>
      <c r="IY197" s="8">
        <v>-112</v>
      </c>
      <c r="JW197" s="6">
        <v>179</v>
      </c>
      <c r="JX197" s="12">
        <v>252</v>
      </c>
      <c r="KE197" s="6">
        <v>-52</v>
      </c>
      <c r="KF197" s="12">
        <v>98</v>
      </c>
      <c r="KT197" s="8">
        <v>-5</v>
      </c>
      <c r="KU197" s="28">
        <v>36</v>
      </c>
      <c r="LF197" s="8">
        <v>-148</v>
      </c>
      <c r="LG197" s="28">
        <v>72</v>
      </c>
      <c r="LJ197" s="8">
        <v>-213</v>
      </c>
      <c r="LK197" s="28">
        <v>536</v>
      </c>
      <c r="LW197" s="8">
        <v>-607</v>
      </c>
      <c r="LX197" s="28">
        <v>231</v>
      </c>
      <c r="MF197" s="8">
        <v>-141</v>
      </c>
      <c r="MG197" s="12">
        <v>564</v>
      </c>
      <c r="NC197" s="8">
        <v>285</v>
      </c>
      <c r="ND197" s="12">
        <v>326</v>
      </c>
      <c r="PP197" s="8">
        <v>710</v>
      </c>
      <c r="PQ197" s="28">
        <v>25</v>
      </c>
      <c r="PR197" s="28"/>
      <c r="PS197" s="8">
        <v>-185</v>
      </c>
      <c r="TH197" s="8">
        <v>146</v>
      </c>
      <c r="TI197" s="28">
        <v>85</v>
      </c>
      <c r="TZ197" s="8">
        <v>276</v>
      </c>
      <c r="UA197" s="12">
        <v>105</v>
      </c>
      <c r="VH197" s="8">
        <v>389</v>
      </c>
      <c r="VL197" s="21"/>
      <c r="VQ197" s="6">
        <v>154</v>
      </c>
      <c r="VR197" s="28">
        <v>34</v>
      </c>
    </row>
    <row r="198" spans="22:590" x14ac:dyDescent="0.25">
      <c r="V198">
        <v>-12</v>
      </c>
      <c r="W198" s="10">
        <v>245</v>
      </c>
      <c r="AD198">
        <v>-187</v>
      </c>
      <c r="AE198" s="1">
        <v>11</v>
      </c>
      <c r="AJ198" s="2">
        <v>-536</v>
      </c>
      <c r="AK198" s="10">
        <v>147</v>
      </c>
      <c r="BD198" s="8"/>
      <c r="BF198">
        <v>88</v>
      </c>
      <c r="BG198" s="1">
        <v>11</v>
      </c>
      <c r="BT198">
        <v>302</v>
      </c>
      <c r="BU198" s="1">
        <v>495</v>
      </c>
      <c r="CE198" s="8">
        <v>145</v>
      </c>
      <c r="CF198" s="28">
        <v>37</v>
      </c>
      <c r="CZ198" s="23">
        <v>15</v>
      </c>
      <c r="DA198" s="25">
        <v>5</v>
      </c>
      <c r="DG198" s="25"/>
      <c r="DH198" s="23">
        <v>69</v>
      </c>
      <c r="DI198" s="25">
        <v>12</v>
      </c>
      <c r="DL198" s="8">
        <v>22</v>
      </c>
      <c r="DS198" s="6">
        <v>-169</v>
      </c>
      <c r="DT198" s="52">
        <v>238</v>
      </c>
      <c r="EA198" s="23">
        <v>-184</v>
      </c>
      <c r="EB198" s="52">
        <v>108</v>
      </c>
      <c r="EC198" s="52"/>
      <c r="ED198" s="52"/>
      <c r="EG198" s="6">
        <v>555</v>
      </c>
      <c r="EH198" s="28">
        <v>298</v>
      </c>
      <c r="EI198" s="8">
        <v>316</v>
      </c>
      <c r="EJ198" s="52">
        <v>693</v>
      </c>
      <c r="EN198" s="8">
        <v>-133</v>
      </c>
      <c r="EO198" s="28">
        <v>24</v>
      </c>
      <c r="EP198" s="28"/>
      <c r="EQ198" s="28"/>
      <c r="EX198" s="8">
        <v>361</v>
      </c>
      <c r="EY198" s="28">
        <v>106</v>
      </c>
      <c r="FD198" s="6">
        <v>243</v>
      </c>
      <c r="FE198" s="28">
        <v>132</v>
      </c>
      <c r="FM198" s="8">
        <v>728</v>
      </c>
      <c r="FN198" s="52">
        <v>459</v>
      </c>
      <c r="FS198" s="8">
        <v>-52</v>
      </c>
      <c r="FT198" s="52">
        <v>145</v>
      </c>
      <c r="GI198" s="8">
        <v>-95</v>
      </c>
      <c r="GJ198" s="28">
        <v>73</v>
      </c>
      <c r="GP198" s="6">
        <v>-340</v>
      </c>
      <c r="GQ198" s="52">
        <v>431</v>
      </c>
      <c r="GT198" s="6">
        <v>-126</v>
      </c>
      <c r="GU198" s="52">
        <v>545</v>
      </c>
      <c r="HB198" s="6">
        <v>16</v>
      </c>
      <c r="HE198" s="6">
        <v>30</v>
      </c>
      <c r="HF198" s="28">
        <v>97</v>
      </c>
      <c r="HS198" s="8">
        <v>-339</v>
      </c>
      <c r="HT198" s="52">
        <v>252</v>
      </c>
      <c r="IB198" s="8">
        <v>-334</v>
      </c>
      <c r="IC198" s="28">
        <v>168</v>
      </c>
      <c r="IY198" s="8">
        <v>-440</v>
      </c>
      <c r="JW198" s="6">
        <v>146</v>
      </c>
      <c r="JX198" s="12">
        <v>202</v>
      </c>
      <c r="KE198" s="6">
        <v>-107</v>
      </c>
      <c r="KF198" s="12">
        <v>274</v>
      </c>
      <c r="KT198" s="8">
        <v>31</v>
      </c>
      <c r="KU198" s="28">
        <v>31</v>
      </c>
      <c r="LF198" s="8">
        <v>-19</v>
      </c>
      <c r="LG198" s="28">
        <v>40</v>
      </c>
      <c r="LJ198" s="8">
        <v>-400</v>
      </c>
      <c r="LK198" s="28">
        <v>622</v>
      </c>
      <c r="LW198" s="8">
        <v>-247</v>
      </c>
      <c r="LX198" s="28">
        <v>192</v>
      </c>
      <c r="MF198" s="8">
        <v>689</v>
      </c>
      <c r="MG198" s="12">
        <v>177</v>
      </c>
      <c r="NC198" s="8">
        <v>103</v>
      </c>
      <c r="ND198" s="12">
        <v>87</v>
      </c>
      <c r="PP198" s="8">
        <v>788</v>
      </c>
      <c r="PQ198" s="28">
        <v>17</v>
      </c>
      <c r="PR198" s="28"/>
      <c r="PS198" s="8">
        <v>163</v>
      </c>
      <c r="TH198" s="8">
        <v>170</v>
      </c>
      <c r="TI198" s="28">
        <v>14</v>
      </c>
      <c r="TZ198" s="8">
        <v>-182</v>
      </c>
      <c r="UA198" s="12">
        <v>360</v>
      </c>
      <c r="VH198" s="8">
        <v>207</v>
      </c>
      <c r="VL198" s="21"/>
      <c r="VQ198" s="6">
        <v>156</v>
      </c>
      <c r="VR198" s="28">
        <v>34</v>
      </c>
    </row>
    <row r="199" spans="22:590" x14ac:dyDescent="0.25">
      <c r="V199">
        <v>4</v>
      </c>
      <c r="W199" s="10">
        <v>78</v>
      </c>
      <c r="AJ199" s="2">
        <v>-628</v>
      </c>
      <c r="AK199" s="10">
        <v>182</v>
      </c>
      <c r="BD199" s="8"/>
      <c r="BF199">
        <v>923</v>
      </c>
      <c r="BG199" s="1">
        <v>66</v>
      </c>
      <c r="BT199">
        <v>-127</v>
      </c>
      <c r="BU199" s="1">
        <v>756</v>
      </c>
      <c r="CE199" s="8">
        <v>57</v>
      </c>
      <c r="CF199" s="28">
        <v>34</v>
      </c>
      <c r="CZ199" s="23">
        <v>-19</v>
      </c>
      <c r="DA199" s="25">
        <v>13</v>
      </c>
      <c r="DG199" s="25"/>
      <c r="DH199" s="23">
        <v>-71</v>
      </c>
      <c r="DI199" s="25">
        <v>9</v>
      </c>
      <c r="DL199" s="8">
        <v>25</v>
      </c>
      <c r="DS199" s="6">
        <v>-96</v>
      </c>
      <c r="DT199" s="52">
        <v>134</v>
      </c>
      <c r="EA199" s="23">
        <v>-623</v>
      </c>
      <c r="EB199" s="52">
        <v>256</v>
      </c>
      <c r="EC199" s="52"/>
      <c r="ED199" s="52"/>
      <c r="EG199" s="6">
        <v>101</v>
      </c>
      <c r="EH199" s="28">
        <v>168</v>
      </c>
      <c r="EI199" s="8">
        <v>259</v>
      </c>
      <c r="EJ199" s="52">
        <v>726</v>
      </c>
      <c r="EN199" s="8">
        <v>-153</v>
      </c>
      <c r="EO199" s="28">
        <v>29</v>
      </c>
      <c r="EP199" s="28"/>
      <c r="EQ199" s="28"/>
      <c r="EX199" s="8">
        <v>558</v>
      </c>
      <c r="EY199" s="28">
        <v>105</v>
      </c>
      <c r="FD199" s="6">
        <v>-17</v>
      </c>
      <c r="FE199" s="28">
        <v>19</v>
      </c>
      <c r="FM199" s="8">
        <v>702</v>
      </c>
      <c r="FN199" s="52">
        <v>364</v>
      </c>
      <c r="FS199" s="8">
        <v>-35</v>
      </c>
      <c r="FT199" s="52">
        <v>126</v>
      </c>
      <c r="GI199" s="8">
        <v>18</v>
      </c>
      <c r="GJ199" s="28">
        <v>8</v>
      </c>
      <c r="GP199" s="6">
        <v>-79</v>
      </c>
      <c r="GQ199" s="52">
        <v>103</v>
      </c>
      <c r="GT199" s="6">
        <v>37</v>
      </c>
      <c r="GU199" s="52">
        <v>148</v>
      </c>
      <c r="HB199" s="6">
        <v>-272</v>
      </c>
      <c r="HE199" s="6">
        <v>52</v>
      </c>
      <c r="HF199" s="28">
        <v>76</v>
      </c>
      <c r="HS199" s="8">
        <v>-5</v>
      </c>
      <c r="HT199" s="52">
        <v>70</v>
      </c>
      <c r="IB199" s="8">
        <v>-936</v>
      </c>
      <c r="IC199" s="28">
        <v>122</v>
      </c>
      <c r="IY199" s="8">
        <v>10</v>
      </c>
      <c r="JW199" s="6">
        <v>176</v>
      </c>
      <c r="JX199" s="12">
        <v>244</v>
      </c>
      <c r="KE199" s="6">
        <v>463</v>
      </c>
      <c r="KF199" s="12">
        <v>615</v>
      </c>
      <c r="KT199" s="8">
        <v>40</v>
      </c>
      <c r="KU199" s="28">
        <v>34</v>
      </c>
      <c r="LF199" s="8">
        <v>-37</v>
      </c>
      <c r="LG199" s="28">
        <v>21</v>
      </c>
      <c r="LJ199" s="8">
        <v>-643</v>
      </c>
      <c r="LK199" s="28">
        <v>520</v>
      </c>
      <c r="LW199" s="8">
        <v>-168</v>
      </c>
      <c r="LX199" s="28">
        <v>163</v>
      </c>
      <c r="MF199" s="8">
        <v>-818</v>
      </c>
      <c r="MG199" s="12">
        <v>150</v>
      </c>
      <c r="NC199" s="8">
        <v>271</v>
      </c>
      <c r="ND199" s="12">
        <v>308</v>
      </c>
      <c r="PP199" s="8">
        <v>664</v>
      </c>
      <c r="PQ199" s="28">
        <v>16</v>
      </c>
      <c r="PR199" s="28"/>
      <c r="PS199" s="8">
        <v>-5</v>
      </c>
      <c r="TH199" s="8">
        <v>209</v>
      </c>
      <c r="TI199" s="28">
        <v>67</v>
      </c>
      <c r="TZ199" s="8">
        <v>-457</v>
      </c>
      <c r="UA199" s="12">
        <v>541</v>
      </c>
      <c r="VH199" s="8">
        <v>517</v>
      </c>
      <c r="VL199" s="21"/>
      <c r="VQ199" s="6">
        <v>179</v>
      </c>
      <c r="VR199" s="28">
        <v>26</v>
      </c>
    </row>
    <row r="200" spans="22:590" x14ac:dyDescent="0.25">
      <c r="V200">
        <v>1</v>
      </c>
      <c r="W200" s="10">
        <v>33</v>
      </c>
      <c r="AJ200" s="2">
        <v>-6</v>
      </c>
      <c r="AK200" s="10">
        <v>243</v>
      </c>
      <c r="BD200" s="8"/>
      <c r="BF200">
        <v>178</v>
      </c>
      <c r="BG200" s="1">
        <v>51</v>
      </c>
      <c r="BT200">
        <v>830</v>
      </c>
      <c r="BU200" s="1">
        <v>323</v>
      </c>
      <c r="CE200" s="8">
        <v>64</v>
      </c>
      <c r="CF200" s="28">
        <v>29</v>
      </c>
      <c r="CZ200" s="23">
        <v>-6</v>
      </c>
      <c r="DA200" s="25">
        <v>6</v>
      </c>
      <c r="DG200" s="25"/>
      <c r="DH200" s="23">
        <v>162</v>
      </c>
      <c r="DI200" s="25">
        <v>92</v>
      </c>
      <c r="DL200" s="8">
        <v>2</v>
      </c>
      <c r="DS200" s="6">
        <v>-218</v>
      </c>
      <c r="DT200" s="52">
        <v>288</v>
      </c>
      <c r="EA200" s="23">
        <v>248</v>
      </c>
      <c r="EB200" s="52">
        <v>213</v>
      </c>
      <c r="EC200" s="52"/>
      <c r="ED200" s="52"/>
      <c r="EG200" s="6">
        <v>107</v>
      </c>
      <c r="EH200" s="28">
        <v>164</v>
      </c>
      <c r="EI200" s="8">
        <v>125</v>
      </c>
      <c r="EJ200" s="52">
        <v>379</v>
      </c>
      <c r="EN200" s="8">
        <v>-160</v>
      </c>
      <c r="EO200" s="28">
        <v>29</v>
      </c>
      <c r="EP200" s="28"/>
      <c r="EQ200" s="28"/>
      <c r="EX200" s="8">
        <v>743</v>
      </c>
      <c r="EY200" s="28">
        <v>142</v>
      </c>
      <c r="FD200" s="6">
        <v>267</v>
      </c>
      <c r="FE200" s="28">
        <v>177</v>
      </c>
      <c r="FM200" s="8">
        <v>294</v>
      </c>
      <c r="FN200" s="52">
        <v>304</v>
      </c>
      <c r="FS200" s="8">
        <v>51</v>
      </c>
      <c r="FT200" s="52">
        <v>61</v>
      </c>
      <c r="GI200" s="8">
        <v>26</v>
      </c>
      <c r="GJ200" s="28">
        <v>5</v>
      </c>
      <c r="GP200" s="6">
        <v>-307</v>
      </c>
      <c r="GQ200" s="52">
        <v>362</v>
      </c>
      <c r="GT200" s="6">
        <v>-169</v>
      </c>
      <c r="GU200" s="52">
        <v>603</v>
      </c>
      <c r="HB200" s="6">
        <v>-155</v>
      </c>
      <c r="HE200" s="6">
        <v>145</v>
      </c>
      <c r="HF200" s="28">
        <v>71</v>
      </c>
      <c r="HS200" s="8">
        <v>-1</v>
      </c>
      <c r="HT200" s="52">
        <v>411</v>
      </c>
      <c r="IB200" s="8">
        <v>-100</v>
      </c>
      <c r="IC200" s="28">
        <v>125</v>
      </c>
      <c r="IY200" s="8">
        <v>-331</v>
      </c>
      <c r="JW200" s="6">
        <v>-398</v>
      </c>
      <c r="JX200" s="12">
        <v>321</v>
      </c>
      <c r="KE200" s="6">
        <v>-61</v>
      </c>
      <c r="KF200" s="12">
        <v>171</v>
      </c>
      <c r="KT200" s="8">
        <v>2</v>
      </c>
      <c r="KU200" s="28">
        <v>39</v>
      </c>
      <c r="LF200" s="8">
        <v>-12</v>
      </c>
      <c r="LG200" s="28">
        <v>20</v>
      </c>
      <c r="LJ200" s="8">
        <v>-120</v>
      </c>
      <c r="LK200" s="28">
        <v>642</v>
      </c>
      <c r="LW200" s="8">
        <v>-333</v>
      </c>
      <c r="LX200" s="28">
        <v>188</v>
      </c>
      <c r="MF200" s="8">
        <v>790</v>
      </c>
      <c r="MG200" s="12">
        <v>376</v>
      </c>
      <c r="NC200" s="8">
        <v>143</v>
      </c>
      <c r="ND200" s="12">
        <v>93</v>
      </c>
      <c r="PP200" s="8">
        <v>492</v>
      </c>
      <c r="PQ200" s="28">
        <v>122</v>
      </c>
      <c r="PR200" s="28"/>
      <c r="PS200" s="8">
        <v>207</v>
      </c>
      <c r="TH200" s="8">
        <v>65</v>
      </c>
      <c r="TI200" s="28">
        <v>16</v>
      </c>
      <c r="TZ200" s="8">
        <v>-552</v>
      </c>
      <c r="UA200" s="12">
        <v>511</v>
      </c>
      <c r="VH200" s="8">
        <v>-155</v>
      </c>
      <c r="VL200" s="21"/>
      <c r="VQ200" s="6">
        <v>176</v>
      </c>
      <c r="VR200" s="28">
        <v>26</v>
      </c>
    </row>
    <row r="201" spans="22:590" x14ac:dyDescent="0.25">
      <c r="V201">
        <v>4</v>
      </c>
      <c r="W201" s="10">
        <v>306</v>
      </c>
      <c r="AJ201" s="2">
        <v>10</v>
      </c>
      <c r="AK201" s="10">
        <v>103</v>
      </c>
      <c r="BD201" s="8"/>
      <c r="BF201">
        <v>12358</v>
      </c>
      <c r="BG201" s="1">
        <v>1878</v>
      </c>
      <c r="BT201">
        <v>107</v>
      </c>
      <c r="BU201" s="1">
        <v>147</v>
      </c>
      <c r="CE201" s="8">
        <v>-465</v>
      </c>
      <c r="CF201" s="28">
        <v>52</v>
      </c>
      <c r="CZ201" s="23">
        <v>63</v>
      </c>
      <c r="DA201" s="25">
        <v>49</v>
      </c>
      <c r="DG201" s="25"/>
      <c r="DH201" s="23">
        <v>71</v>
      </c>
      <c r="DI201" s="25">
        <v>13</v>
      </c>
      <c r="DL201" s="8">
        <v>7</v>
      </c>
      <c r="DS201" s="6">
        <v>41</v>
      </c>
      <c r="DT201" s="52">
        <v>79</v>
      </c>
      <c r="EA201" s="23">
        <v>-13</v>
      </c>
      <c r="EB201" s="52">
        <v>116</v>
      </c>
      <c r="EC201" s="52"/>
      <c r="ED201" s="52"/>
      <c r="EG201" s="6">
        <v>149</v>
      </c>
      <c r="EH201" s="28">
        <v>162</v>
      </c>
      <c r="EI201" s="8">
        <v>-710</v>
      </c>
      <c r="EJ201" s="52">
        <v>100</v>
      </c>
      <c r="EN201" s="8">
        <v>-150</v>
      </c>
      <c r="EO201" s="28">
        <v>29</v>
      </c>
      <c r="EP201" s="28"/>
      <c r="EQ201" s="28"/>
      <c r="EX201" s="8">
        <v>417</v>
      </c>
      <c r="EY201" s="28">
        <v>115</v>
      </c>
      <c r="FD201" s="6">
        <v>18</v>
      </c>
      <c r="FE201" s="28">
        <v>13</v>
      </c>
      <c r="FM201" s="8">
        <v>736</v>
      </c>
      <c r="FN201" s="52">
        <v>278</v>
      </c>
      <c r="FS201" s="8">
        <v>-52</v>
      </c>
      <c r="FT201" s="52">
        <v>147</v>
      </c>
      <c r="GI201" s="8">
        <v>-16</v>
      </c>
      <c r="GJ201" s="28">
        <v>7</v>
      </c>
      <c r="GP201" s="6">
        <v>-123</v>
      </c>
      <c r="GQ201" s="52">
        <v>105</v>
      </c>
      <c r="GT201" s="6">
        <v>11</v>
      </c>
      <c r="GU201" s="52">
        <v>206</v>
      </c>
      <c r="HB201" s="6">
        <v>10</v>
      </c>
      <c r="HE201" s="6">
        <v>89</v>
      </c>
      <c r="HF201" s="28">
        <v>60</v>
      </c>
      <c r="HS201" s="8">
        <v>-7</v>
      </c>
      <c r="HT201" s="52">
        <v>42</v>
      </c>
      <c r="IB201" s="8">
        <v>-333</v>
      </c>
      <c r="IC201" s="28">
        <v>173</v>
      </c>
      <c r="IY201" s="8">
        <v>940</v>
      </c>
      <c r="JW201" s="6">
        <v>-416</v>
      </c>
      <c r="JX201" s="12">
        <v>335</v>
      </c>
      <c r="KE201" s="6">
        <v>69</v>
      </c>
      <c r="KF201" s="12">
        <v>119</v>
      </c>
      <c r="KT201" s="8">
        <v>377</v>
      </c>
      <c r="KU201" s="28">
        <v>17</v>
      </c>
      <c r="LF201" s="8">
        <v>-16</v>
      </c>
      <c r="LG201" s="28">
        <v>30</v>
      </c>
      <c r="LJ201" s="8">
        <v>-659</v>
      </c>
      <c r="LK201" s="28">
        <v>655</v>
      </c>
      <c r="LW201" s="8">
        <v>-3</v>
      </c>
      <c r="LX201" s="28">
        <v>247</v>
      </c>
      <c r="MF201" s="8">
        <v>114</v>
      </c>
      <c r="MG201" s="12">
        <v>284</v>
      </c>
      <c r="NC201" s="8">
        <v>-53</v>
      </c>
      <c r="ND201" s="12">
        <v>59</v>
      </c>
      <c r="PP201" s="8">
        <v>838</v>
      </c>
      <c r="PQ201" s="28">
        <v>16</v>
      </c>
      <c r="PR201" s="28"/>
      <c r="PS201" s="8">
        <v>133</v>
      </c>
      <c r="TH201" s="8">
        <v>-655</v>
      </c>
      <c r="TI201" s="28">
        <v>148</v>
      </c>
      <c r="TZ201" s="8">
        <v>-540</v>
      </c>
      <c r="UA201" s="12">
        <v>558</v>
      </c>
      <c r="VH201" s="8">
        <v>-280</v>
      </c>
      <c r="VL201" s="21"/>
      <c r="VQ201" s="6">
        <v>-176</v>
      </c>
      <c r="VR201" s="28">
        <v>909</v>
      </c>
    </row>
    <row r="202" spans="22:590" x14ac:dyDescent="0.25">
      <c r="V202">
        <v>8</v>
      </c>
      <c r="W202" s="10">
        <v>76</v>
      </c>
      <c r="AJ202" s="2">
        <v>-111</v>
      </c>
      <c r="AK202" s="10">
        <v>249</v>
      </c>
      <c r="BD202" s="8"/>
      <c r="BF202">
        <v>5871</v>
      </c>
      <c r="BG202" s="1">
        <v>2271</v>
      </c>
      <c r="BT202">
        <v>101</v>
      </c>
      <c r="BU202" s="1">
        <v>21</v>
      </c>
      <c r="CE202" s="8">
        <v>382</v>
      </c>
      <c r="CF202" s="28">
        <v>29</v>
      </c>
      <c r="CZ202" s="23">
        <v>-161</v>
      </c>
      <c r="DA202" s="25">
        <v>60</v>
      </c>
      <c r="DG202" s="25"/>
      <c r="DH202" s="23">
        <v>-83</v>
      </c>
      <c r="DI202" s="25">
        <v>10</v>
      </c>
      <c r="DL202" s="8">
        <v>1</v>
      </c>
      <c r="DS202" s="6">
        <v>72</v>
      </c>
      <c r="DT202" s="52">
        <v>110</v>
      </c>
      <c r="EA202" s="23">
        <v>201</v>
      </c>
      <c r="EB202" s="52">
        <v>172</v>
      </c>
      <c r="EC202" s="52"/>
      <c r="ED202" s="52"/>
      <c r="EG202" s="6">
        <v>339</v>
      </c>
      <c r="EH202" s="28">
        <v>164</v>
      </c>
      <c r="EI202" s="8">
        <v>-141</v>
      </c>
      <c r="EJ202" s="52">
        <v>232</v>
      </c>
      <c r="EN202" s="8">
        <v>-181</v>
      </c>
      <c r="EO202" s="28">
        <v>26</v>
      </c>
      <c r="EP202" s="28"/>
      <c r="EQ202" s="28"/>
      <c r="EX202" s="8">
        <v>642</v>
      </c>
      <c r="EY202" s="28">
        <v>952</v>
      </c>
      <c r="FD202" s="6">
        <v>-333</v>
      </c>
      <c r="FE202" s="28">
        <v>171</v>
      </c>
      <c r="FM202" s="8">
        <f>163</f>
        <v>163</v>
      </c>
      <c r="FN202" s="52">
        <v>210</v>
      </c>
      <c r="FS202" s="8">
        <v>35</v>
      </c>
      <c r="FT202" s="52">
        <v>129</v>
      </c>
      <c r="GI202" s="8">
        <v>-6</v>
      </c>
      <c r="GJ202" s="28">
        <v>23</v>
      </c>
      <c r="GP202" s="6">
        <v>70</v>
      </c>
      <c r="GQ202" s="52">
        <v>97</v>
      </c>
      <c r="GT202" s="6">
        <v>24</v>
      </c>
      <c r="GU202" s="52">
        <v>515</v>
      </c>
      <c r="HB202" s="6">
        <v>79</v>
      </c>
      <c r="HE202" s="6">
        <v>45</v>
      </c>
      <c r="HF202" s="28">
        <v>34</v>
      </c>
      <c r="HS202" s="8">
        <v>973</v>
      </c>
      <c r="HT202" s="52">
        <v>613</v>
      </c>
      <c r="IB202" s="8">
        <v>-310</v>
      </c>
      <c r="IC202" s="28">
        <v>169</v>
      </c>
      <c r="IY202" s="8">
        <v>-316</v>
      </c>
      <c r="JW202" s="6">
        <v>-34</v>
      </c>
      <c r="JX202" s="12">
        <v>263</v>
      </c>
      <c r="KE202" s="6">
        <v>329</v>
      </c>
      <c r="KF202" s="12">
        <v>941</v>
      </c>
      <c r="KT202" s="8">
        <v>410</v>
      </c>
      <c r="KU202" s="28">
        <v>17</v>
      </c>
      <c r="LF202" s="8">
        <v>-28</v>
      </c>
      <c r="LG202" s="28">
        <v>33</v>
      </c>
      <c r="LJ202" s="8">
        <v>208</v>
      </c>
      <c r="LK202" s="28">
        <v>446</v>
      </c>
      <c r="LW202" s="8">
        <v>107</v>
      </c>
      <c r="LX202" s="28">
        <v>193</v>
      </c>
      <c r="MF202" s="8">
        <v>173</v>
      </c>
      <c r="MG202" s="12">
        <v>392</v>
      </c>
      <c r="NC202" s="8">
        <v>-56</v>
      </c>
      <c r="ND202" s="12">
        <v>110</v>
      </c>
      <c r="PP202" s="8">
        <v>-46</v>
      </c>
      <c r="PQ202" s="28">
        <v>16</v>
      </c>
      <c r="PR202" s="28"/>
      <c r="PS202" s="8">
        <v>-81</v>
      </c>
      <c r="TH202" s="8">
        <v>139</v>
      </c>
      <c r="TI202" s="28">
        <v>161</v>
      </c>
      <c r="TZ202" s="8">
        <v>-355</v>
      </c>
      <c r="UA202" s="12">
        <v>568</v>
      </c>
      <c r="VH202" s="8">
        <v>142</v>
      </c>
      <c r="VL202" s="21"/>
      <c r="VQ202" s="6">
        <v>-155</v>
      </c>
      <c r="VR202" s="28">
        <v>135</v>
      </c>
    </row>
    <row r="203" spans="22:590" x14ac:dyDescent="0.25">
      <c r="V203">
        <v>3</v>
      </c>
      <c r="W203" s="10">
        <v>164</v>
      </c>
      <c r="AJ203" s="2">
        <v>12</v>
      </c>
      <c r="AK203" s="10">
        <v>120</v>
      </c>
      <c r="BF203">
        <v>3308</v>
      </c>
      <c r="BG203" s="1">
        <v>983</v>
      </c>
      <c r="BT203">
        <v>-306</v>
      </c>
      <c r="BU203" s="1">
        <v>110</v>
      </c>
      <c r="CE203" s="8">
        <v>110</v>
      </c>
      <c r="CF203" s="28">
        <v>31</v>
      </c>
      <c r="CZ203" s="23">
        <v>32</v>
      </c>
      <c r="DA203" s="25">
        <v>82</v>
      </c>
      <c r="DG203" s="25"/>
      <c r="DH203" s="23">
        <v>-168</v>
      </c>
      <c r="DI203" s="25">
        <v>85</v>
      </c>
      <c r="DL203" s="8">
        <v>34</v>
      </c>
      <c r="DS203" s="6">
        <v>61</v>
      </c>
      <c r="DT203" s="52">
        <v>327</v>
      </c>
      <c r="EA203" s="23">
        <v>-25</v>
      </c>
      <c r="EB203" s="52">
        <v>217</v>
      </c>
      <c r="EC203" s="52"/>
      <c r="ED203" s="52"/>
      <c r="EG203" s="6">
        <v>113</v>
      </c>
      <c r="EH203" s="28">
        <v>165</v>
      </c>
      <c r="EI203" s="8">
        <v>-42</v>
      </c>
      <c r="EJ203" s="52">
        <v>776</v>
      </c>
      <c r="EN203" s="8">
        <v>-46</v>
      </c>
      <c r="EO203" s="28">
        <v>21</v>
      </c>
      <c r="EP203" s="28"/>
      <c r="EQ203" s="28"/>
      <c r="EX203" s="8">
        <v>567</v>
      </c>
      <c r="EY203" s="28">
        <v>115</v>
      </c>
      <c r="FD203" s="6">
        <v>-49</v>
      </c>
      <c r="FE203" s="28">
        <v>21</v>
      </c>
      <c r="FM203" s="8">
        <v>3</v>
      </c>
      <c r="FN203" s="52">
        <v>1</v>
      </c>
      <c r="FS203" s="8">
        <v>51</v>
      </c>
      <c r="FT203" s="52">
        <v>61</v>
      </c>
      <c r="GI203" s="8">
        <v>-7</v>
      </c>
      <c r="GJ203" s="28">
        <v>24</v>
      </c>
      <c r="GP203" s="6">
        <v>-238</v>
      </c>
      <c r="GQ203" s="52">
        <v>186</v>
      </c>
      <c r="GT203" s="6">
        <v>-8</v>
      </c>
      <c r="GU203" s="52">
        <v>220</v>
      </c>
      <c r="HB203" s="6">
        <v>-238</v>
      </c>
      <c r="HE203" s="6">
        <v>-22</v>
      </c>
      <c r="HF203" s="28">
        <v>35</v>
      </c>
      <c r="HS203" s="8">
        <v>101</v>
      </c>
      <c r="HT203" s="52">
        <v>262</v>
      </c>
      <c r="IB203" s="8">
        <v>839</v>
      </c>
      <c r="IC203" s="28">
        <v>307</v>
      </c>
      <c r="IY203" s="8">
        <v>-3</v>
      </c>
      <c r="JW203" s="6">
        <v>-36</v>
      </c>
      <c r="JX203" s="12">
        <v>278</v>
      </c>
      <c r="KE203" s="6">
        <v>15</v>
      </c>
      <c r="KF203" s="12">
        <v>232</v>
      </c>
      <c r="KT203" s="8">
        <v>186</v>
      </c>
      <c r="KU203" s="28">
        <v>13</v>
      </c>
      <c r="LF203" s="8">
        <v>-25</v>
      </c>
      <c r="LG203" s="28">
        <v>26</v>
      </c>
      <c r="LJ203" s="8">
        <v>-122</v>
      </c>
      <c r="LK203" s="28">
        <v>658</v>
      </c>
      <c r="LW203" s="8">
        <v>-77</v>
      </c>
      <c r="LX203" s="28">
        <v>240</v>
      </c>
      <c r="MF203" s="8">
        <v>340</v>
      </c>
      <c r="MG203" s="12">
        <v>47</v>
      </c>
      <c r="NC203" s="8">
        <v>-9</v>
      </c>
      <c r="ND203" s="12">
        <v>128</v>
      </c>
      <c r="PP203" s="8">
        <v>-247</v>
      </c>
      <c r="PQ203" s="28">
        <v>22</v>
      </c>
      <c r="PR203" s="28"/>
      <c r="PS203" s="8">
        <v>4</v>
      </c>
      <c r="TH203" s="8">
        <v>261</v>
      </c>
      <c r="TI203" s="28">
        <v>33</v>
      </c>
      <c r="TZ203" s="8">
        <v>800</v>
      </c>
      <c r="UA203" s="12">
        <v>104</v>
      </c>
      <c r="VH203" s="8">
        <v>321</v>
      </c>
      <c r="VL203" s="21"/>
      <c r="VQ203" s="6">
        <v>-159</v>
      </c>
      <c r="VR203" s="28">
        <v>979</v>
      </c>
    </row>
    <row r="204" spans="22:590" x14ac:dyDescent="0.25">
      <c r="V204">
        <v>3</v>
      </c>
      <c r="W204" s="10">
        <v>223</v>
      </c>
      <c r="AJ204" s="2">
        <v>-3337</v>
      </c>
      <c r="AK204" s="10">
        <v>249</v>
      </c>
      <c r="BF204">
        <v>-2285</v>
      </c>
      <c r="BG204" s="1">
        <v>423</v>
      </c>
      <c r="BT204">
        <v>146</v>
      </c>
      <c r="BU204" s="1">
        <v>253</v>
      </c>
      <c r="CE204" s="8">
        <v>-374</v>
      </c>
      <c r="CF204" s="28">
        <v>59</v>
      </c>
      <c r="CZ204" s="23">
        <v>950</v>
      </c>
      <c r="DA204" s="25">
        <v>215</v>
      </c>
      <c r="DG204" s="25"/>
      <c r="DH204" s="23">
        <v>-328</v>
      </c>
      <c r="DI204" s="25">
        <v>94</v>
      </c>
      <c r="DL204" s="8">
        <v>134</v>
      </c>
      <c r="DS204" s="6">
        <v>-246</v>
      </c>
      <c r="DT204" s="52">
        <v>406</v>
      </c>
      <c r="EA204" s="23">
        <v>46</v>
      </c>
      <c r="EB204" s="52">
        <v>227</v>
      </c>
      <c r="EC204" s="52"/>
      <c r="ED204" s="52"/>
      <c r="EG204" s="6">
        <v>833</v>
      </c>
      <c r="EH204" s="28">
        <v>164</v>
      </c>
      <c r="EI204" s="8">
        <v>-1</v>
      </c>
      <c r="EJ204" s="52">
        <v>39</v>
      </c>
      <c r="EN204" s="8">
        <v>-177</v>
      </c>
      <c r="EO204" s="28">
        <v>30</v>
      </c>
      <c r="EP204" s="28"/>
      <c r="EQ204" s="28"/>
      <c r="EX204" s="8">
        <v>837</v>
      </c>
      <c r="EY204" s="28">
        <v>141</v>
      </c>
      <c r="FD204" s="6">
        <v>395</v>
      </c>
      <c r="FE204" s="28">
        <v>57</v>
      </c>
      <c r="FM204" s="8">
        <v>-280</v>
      </c>
      <c r="FN204" s="52">
        <v>167</v>
      </c>
      <c r="FS204" s="8">
        <v>-52</v>
      </c>
      <c r="FT204" s="52">
        <v>147</v>
      </c>
      <c r="GI204" s="8">
        <v>22</v>
      </c>
      <c r="GJ204" s="28">
        <v>27</v>
      </c>
      <c r="GP204" s="6">
        <v>-118</v>
      </c>
      <c r="GQ204" s="52">
        <v>207</v>
      </c>
      <c r="GT204" s="6">
        <v>-48</v>
      </c>
      <c r="GU204" s="52">
        <v>124</v>
      </c>
      <c r="HB204" s="6">
        <v>-134</v>
      </c>
      <c r="HE204" s="6">
        <v>16</v>
      </c>
      <c r="HF204" s="28">
        <v>85</v>
      </c>
      <c r="HS204" s="8">
        <v>10</v>
      </c>
      <c r="HT204" s="52">
        <v>335</v>
      </c>
      <c r="IB204" s="8">
        <v>725</v>
      </c>
      <c r="IC204" s="28">
        <v>295</v>
      </c>
      <c r="IY204" s="8">
        <v>-83</v>
      </c>
      <c r="JW204" s="6">
        <v>-226</v>
      </c>
      <c r="JX204" s="12">
        <v>177</v>
      </c>
      <c r="KE204" s="6">
        <v>19</v>
      </c>
      <c r="KF204" s="12">
        <v>50</v>
      </c>
      <c r="KT204" s="8">
        <v>309</v>
      </c>
      <c r="KU204" s="28">
        <v>19</v>
      </c>
      <c r="LF204" s="8">
        <v>-8</v>
      </c>
      <c r="LG204" s="28">
        <v>15</v>
      </c>
      <c r="LJ204" s="8">
        <v>143</v>
      </c>
      <c r="LK204" s="28">
        <v>320</v>
      </c>
      <c r="LW204" s="8">
        <v>-286</v>
      </c>
      <c r="LX204" s="28">
        <v>136</v>
      </c>
      <c r="MF204" s="8">
        <v>131</v>
      </c>
      <c r="MG204" s="12">
        <v>106</v>
      </c>
      <c r="NC204" s="8">
        <v>8</v>
      </c>
      <c r="ND204" s="12">
        <v>89</v>
      </c>
      <c r="PP204" s="8">
        <v>185</v>
      </c>
      <c r="PQ204" s="28">
        <v>32</v>
      </c>
      <c r="PR204" s="28"/>
      <c r="TH204" s="8">
        <v>461</v>
      </c>
      <c r="TI204" s="28">
        <v>173</v>
      </c>
      <c r="TZ204" s="8">
        <v>107</v>
      </c>
      <c r="UA204" s="12">
        <v>165</v>
      </c>
      <c r="VH204" s="8">
        <v>126</v>
      </c>
      <c r="VL204" s="21"/>
      <c r="VQ204" s="6">
        <v>915</v>
      </c>
      <c r="VR204" s="28">
        <v>380</v>
      </c>
    </row>
    <row r="205" spans="22:590" x14ac:dyDescent="0.25">
      <c r="V205">
        <v>6</v>
      </c>
      <c r="W205" s="10">
        <v>420</v>
      </c>
      <c r="AJ205" s="2">
        <v>-596</v>
      </c>
      <c r="AK205" s="10">
        <v>289</v>
      </c>
      <c r="BF205">
        <v>1154</v>
      </c>
      <c r="BG205" s="1">
        <v>470</v>
      </c>
      <c r="BT205">
        <v>-292</v>
      </c>
      <c r="BU205" s="1">
        <v>620</v>
      </c>
      <c r="CE205" s="8">
        <v>-76</v>
      </c>
      <c r="CF205" s="28">
        <v>47</v>
      </c>
      <c r="CZ205" s="23">
        <v>329</v>
      </c>
      <c r="DA205" s="25">
        <v>142</v>
      </c>
      <c r="DG205" s="25"/>
      <c r="DH205" s="23">
        <v>-348</v>
      </c>
      <c r="DI205" s="25">
        <v>100</v>
      </c>
      <c r="DL205" s="8">
        <v>-18</v>
      </c>
      <c r="DS205" s="6">
        <v>-46</v>
      </c>
      <c r="DT205" s="52">
        <v>534</v>
      </c>
      <c r="EA205" s="23">
        <v>1</v>
      </c>
      <c r="EB205" s="52">
        <v>150</v>
      </c>
      <c r="EC205" s="52"/>
      <c r="ED205" s="52"/>
      <c r="EG205" s="6">
        <v>202</v>
      </c>
      <c r="EH205" s="28">
        <v>165</v>
      </c>
      <c r="EI205" s="8">
        <v>-106</v>
      </c>
      <c r="EJ205" s="52">
        <v>660</v>
      </c>
      <c r="EN205" s="8">
        <v>-104</v>
      </c>
      <c r="EO205" s="28">
        <v>21</v>
      </c>
      <c r="EP205" s="28"/>
      <c r="EQ205" s="28"/>
      <c r="EX205" s="8">
        <v>759</v>
      </c>
      <c r="EY205" s="28">
        <v>117</v>
      </c>
      <c r="FD205" s="6">
        <v>-11</v>
      </c>
      <c r="FE205" s="28">
        <v>13</v>
      </c>
      <c r="FM205" s="8">
        <v>-273</v>
      </c>
      <c r="FN205" s="52">
        <v>153</v>
      </c>
      <c r="FS205" s="8">
        <v>-35</v>
      </c>
      <c r="FT205" s="52">
        <v>129</v>
      </c>
      <c r="GI205" s="8">
        <v>-448</v>
      </c>
      <c r="GJ205" s="28">
        <v>135</v>
      </c>
      <c r="GP205" s="6">
        <v>6</v>
      </c>
      <c r="GQ205" s="52">
        <v>23</v>
      </c>
      <c r="GT205" s="6">
        <v>-97</v>
      </c>
      <c r="GU205" s="52">
        <v>439</v>
      </c>
      <c r="HB205" s="6">
        <v>20</v>
      </c>
      <c r="HE205" s="6">
        <v>-2</v>
      </c>
      <c r="HF205" s="28">
        <v>68</v>
      </c>
      <c r="HS205" s="8">
        <v>13</v>
      </c>
      <c r="HT205" s="52">
        <v>281</v>
      </c>
      <c r="IB205" s="8">
        <v>288</v>
      </c>
      <c r="IC205" s="28">
        <v>164</v>
      </c>
      <c r="IY205" s="8">
        <v>-26</v>
      </c>
      <c r="JW205" s="6">
        <v>-219</v>
      </c>
      <c r="JX205" s="12">
        <v>172</v>
      </c>
      <c r="KE205" s="6">
        <v>52</v>
      </c>
      <c r="KF205" s="12">
        <v>876</v>
      </c>
      <c r="KT205" s="8">
        <v>195</v>
      </c>
      <c r="KU205" s="28">
        <v>27</v>
      </c>
      <c r="LF205" s="8">
        <v>-14</v>
      </c>
      <c r="LG205" s="28">
        <v>19</v>
      </c>
      <c r="LJ205" s="8">
        <v>183</v>
      </c>
      <c r="LK205" s="28">
        <v>445</v>
      </c>
      <c r="LW205" s="8">
        <v>-849</v>
      </c>
      <c r="LX205" s="28">
        <v>228</v>
      </c>
      <c r="MF205" s="8">
        <v>147</v>
      </c>
      <c r="MG205" s="12">
        <v>272</v>
      </c>
      <c r="NC205" s="8">
        <v>-48</v>
      </c>
      <c r="ND205" s="12">
        <v>100</v>
      </c>
      <c r="PP205" s="8">
        <v>152</v>
      </c>
      <c r="PQ205" s="28">
        <v>27</v>
      </c>
      <c r="PR205" s="28"/>
      <c r="TH205" s="8">
        <v>27</v>
      </c>
      <c r="TI205" s="28">
        <v>41</v>
      </c>
      <c r="TZ205" s="8">
        <v>175</v>
      </c>
      <c r="UA205" s="12">
        <v>558</v>
      </c>
      <c r="VH205" s="8">
        <v>669</v>
      </c>
      <c r="VL205" s="21"/>
      <c r="VQ205" s="6">
        <v>-188</v>
      </c>
      <c r="VR205" s="28">
        <v>977</v>
      </c>
    </row>
    <row r="206" spans="22:590" x14ac:dyDescent="0.25">
      <c r="V206">
        <v>17</v>
      </c>
      <c r="W206" s="10">
        <v>353</v>
      </c>
      <c r="AJ206" s="2">
        <v>-638</v>
      </c>
      <c r="AK206" s="10">
        <v>295</v>
      </c>
      <c r="BF206">
        <v>1535</v>
      </c>
      <c r="BG206" s="1">
        <v>214</v>
      </c>
      <c r="BT206">
        <v>430</v>
      </c>
      <c r="BU206" s="1">
        <v>628</v>
      </c>
      <c r="CE206" s="8">
        <v>-62</v>
      </c>
      <c r="CF206" s="28">
        <v>39</v>
      </c>
      <c r="CZ206" s="23">
        <v>375</v>
      </c>
      <c r="DA206" s="25">
        <v>190</v>
      </c>
      <c r="DG206" s="25"/>
      <c r="DH206" s="23">
        <v>-414</v>
      </c>
      <c r="DI206" s="25">
        <v>105</v>
      </c>
      <c r="DL206" s="8">
        <v>-5</v>
      </c>
      <c r="DS206" s="6">
        <v>-19</v>
      </c>
      <c r="DT206" s="52">
        <v>136</v>
      </c>
      <c r="EA206" s="23">
        <v>626</v>
      </c>
      <c r="EB206" s="52">
        <v>484</v>
      </c>
      <c r="EC206" s="52"/>
      <c r="ED206" s="52"/>
      <c r="EG206" s="6">
        <v>-981</v>
      </c>
      <c r="EH206" s="28">
        <v>174</v>
      </c>
      <c r="EI206" s="8">
        <v>397</v>
      </c>
      <c r="EJ206" s="52">
        <v>167</v>
      </c>
      <c r="EN206" s="8">
        <v>-154</v>
      </c>
      <c r="EO206" s="28">
        <v>27</v>
      </c>
      <c r="EP206" s="28"/>
      <c r="EQ206" s="28"/>
      <c r="EX206" s="8">
        <v>807</v>
      </c>
      <c r="EY206" s="28">
        <v>100</v>
      </c>
      <c r="FD206" s="6">
        <v>66</v>
      </c>
      <c r="FE206" s="28">
        <v>122</v>
      </c>
      <c r="FM206" s="8">
        <v>3210</v>
      </c>
      <c r="FN206" s="52">
        <v>119</v>
      </c>
      <c r="FS206" s="8">
        <v>-38</v>
      </c>
      <c r="FT206" s="52">
        <v>248</v>
      </c>
      <c r="GI206" s="8">
        <v>-92</v>
      </c>
      <c r="GJ206" s="28">
        <v>135</v>
      </c>
      <c r="GP206" s="6">
        <v>-6</v>
      </c>
      <c r="GQ206" s="52">
        <v>20</v>
      </c>
      <c r="GT206" s="6">
        <v>61</v>
      </c>
      <c r="GU206" s="52">
        <v>293</v>
      </c>
      <c r="HB206" s="6">
        <v>57</v>
      </c>
      <c r="HE206" s="6">
        <v>158</v>
      </c>
      <c r="HF206" s="28">
        <v>67</v>
      </c>
      <c r="HS206" s="8">
        <v>-12</v>
      </c>
      <c r="HT206" s="52">
        <v>65</v>
      </c>
      <c r="IB206" s="8">
        <v>226</v>
      </c>
      <c r="IC206" s="28">
        <v>165</v>
      </c>
      <c r="IY206" s="8">
        <v>422</v>
      </c>
      <c r="JW206" s="6">
        <v>823</v>
      </c>
      <c r="JX206" s="12">
        <v>59</v>
      </c>
      <c r="KE206" s="6">
        <v>-331</v>
      </c>
      <c r="KF206" s="12">
        <v>924</v>
      </c>
      <c r="KT206" s="8">
        <v>122</v>
      </c>
      <c r="KU206" s="28">
        <v>473</v>
      </c>
      <c r="LF206" s="8">
        <v>-84</v>
      </c>
      <c r="LG206" s="28">
        <v>56</v>
      </c>
      <c r="LJ206" s="8">
        <v>-229</v>
      </c>
      <c r="LK206" s="28">
        <v>514</v>
      </c>
      <c r="LW206" s="8">
        <v>866</v>
      </c>
      <c r="LX206" s="28">
        <v>253</v>
      </c>
      <c r="MF206" s="8">
        <v>678</v>
      </c>
      <c r="MG206" s="12">
        <v>207</v>
      </c>
      <c r="NC206" s="8">
        <v>1</v>
      </c>
      <c r="ND206" s="12">
        <v>134</v>
      </c>
      <c r="PP206" s="8">
        <v>22</v>
      </c>
      <c r="PQ206" s="28">
        <v>30</v>
      </c>
      <c r="PR206" s="28"/>
      <c r="TH206" s="8">
        <v>-462</v>
      </c>
      <c r="TI206" s="28">
        <v>37</v>
      </c>
      <c r="TZ206" s="8">
        <v>209</v>
      </c>
      <c r="UA206" s="12">
        <v>160</v>
      </c>
      <c r="VH206" s="8">
        <v>-952</v>
      </c>
      <c r="VL206" s="21"/>
      <c r="VQ206" s="6">
        <v>-201</v>
      </c>
      <c r="VR206" s="28">
        <v>965</v>
      </c>
    </row>
    <row r="207" spans="22:590" x14ac:dyDescent="0.25">
      <c r="V207">
        <v>3</v>
      </c>
      <c r="W207" s="10">
        <v>84</v>
      </c>
      <c r="AJ207" s="2">
        <v>-1120</v>
      </c>
      <c r="AK207" s="10">
        <v>316</v>
      </c>
      <c r="BF207">
        <v>3130</v>
      </c>
      <c r="BG207" s="1">
        <v>912</v>
      </c>
      <c r="BT207">
        <v>261</v>
      </c>
      <c r="BU207" s="1">
        <v>243</v>
      </c>
      <c r="CE207" s="8">
        <v>155</v>
      </c>
      <c r="CF207" s="28">
        <v>44</v>
      </c>
      <c r="CZ207" s="23">
        <v>157</v>
      </c>
      <c r="DA207" s="25">
        <v>504</v>
      </c>
      <c r="DG207" s="25"/>
      <c r="DH207" s="23">
        <v>-391</v>
      </c>
      <c r="DI207" s="25">
        <v>101</v>
      </c>
      <c r="DL207" s="8">
        <v>-21</v>
      </c>
      <c r="DS207" s="6">
        <v>1</v>
      </c>
      <c r="DT207" s="52">
        <v>9</v>
      </c>
      <c r="EA207" s="23">
        <v>-159</v>
      </c>
      <c r="EB207" s="52">
        <v>54</v>
      </c>
      <c r="EC207" s="52"/>
      <c r="ED207" s="52"/>
      <c r="EG207" s="6">
        <v>-273</v>
      </c>
      <c r="EH207" s="28">
        <v>371</v>
      </c>
      <c r="EI207" s="8">
        <v>-229</v>
      </c>
      <c r="EJ207" s="52">
        <v>427</v>
      </c>
      <c r="EN207" s="8">
        <v>-156</v>
      </c>
      <c r="EO207" s="28">
        <v>30</v>
      </c>
      <c r="EP207" s="28"/>
      <c r="EQ207" s="28"/>
      <c r="EX207" s="8">
        <v>747</v>
      </c>
      <c r="EY207" s="28">
        <v>100</v>
      </c>
      <c r="FD207" s="6">
        <v>9</v>
      </c>
      <c r="FE207" s="28">
        <v>9</v>
      </c>
      <c r="FM207" s="8">
        <v>-929</v>
      </c>
      <c r="FN207" s="52">
        <v>7</v>
      </c>
      <c r="FS207" s="8">
        <v>-37</v>
      </c>
      <c r="FT207" s="52">
        <v>256</v>
      </c>
      <c r="GI207" s="8">
        <v>99</v>
      </c>
      <c r="GJ207" s="28">
        <v>68</v>
      </c>
      <c r="GP207" s="6">
        <v>-24</v>
      </c>
      <c r="GQ207" s="52">
        <v>42</v>
      </c>
      <c r="GT207" s="6">
        <v>951</v>
      </c>
      <c r="GU207" s="52">
        <v>171</v>
      </c>
      <c r="HB207" s="6">
        <v>100</v>
      </c>
      <c r="HE207" s="6">
        <v>94</v>
      </c>
      <c r="HF207" s="28">
        <v>59</v>
      </c>
      <c r="HS207" s="8">
        <v>6</v>
      </c>
      <c r="HT207" s="52">
        <v>4</v>
      </c>
      <c r="IB207" s="8">
        <v>333</v>
      </c>
      <c r="IC207" s="28">
        <v>269</v>
      </c>
      <c r="IY207" s="8">
        <v>88</v>
      </c>
      <c r="JW207" s="6">
        <v>-232</v>
      </c>
      <c r="JX207" s="12">
        <v>178</v>
      </c>
      <c r="KE207" s="6">
        <v>53</v>
      </c>
      <c r="KF207" s="12">
        <v>818</v>
      </c>
      <c r="KT207" s="8">
        <v>532</v>
      </c>
      <c r="KU207" s="28">
        <v>13</v>
      </c>
      <c r="LF207" s="8">
        <v>-46</v>
      </c>
      <c r="LG207" s="28">
        <v>54</v>
      </c>
      <c r="LJ207" s="8">
        <v>-148</v>
      </c>
      <c r="LK207" s="28">
        <v>455</v>
      </c>
      <c r="LW207" s="8">
        <v>149</v>
      </c>
      <c r="LX207" s="28">
        <v>247</v>
      </c>
      <c r="MF207" s="8">
        <v>686</v>
      </c>
      <c r="MG207" s="12">
        <v>314</v>
      </c>
      <c r="NC207" s="8">
        <v>9</v>
      </c>
      <c r="ND207" s="12">
        <v>458</v>
      </c>
      <c r="PP207" s="8">
        <v>161</v>
      </c>
      <c r="PQ207" s="28">
        <v>48</v>
      </c>
      <c r="PR207" s="28"/>
      <c r="TH207" s="8">
        <v>132</v>
      </c>
      <c r="TI207" s="28">
        <v>93</v>
      </c>
      <c r="TZ207" s="8">
        <v>203</v>
      </c>
      <c r="UA207" s="12">
        <v>991</v>
      </c>
      <c r="VH207" s="8">
        <v>612</v>
      </c>
      <c r="VL207" s="21"/>
      <c r="VQ207" s="6">
        <v>-416</v>
      </c>
      <c r="VR207" s="28">
        <v>135</v>
      </c>
    </row>
    <row r="208" spans="22:590" x14ac:dyDescent="0.25">
      <c r="V208">
        <v>-9</v>
      </c>
      <c r="W208" s="10">
        <v>109</v>
      </c>
      <c r="AJ208" s="2">
        <v>-11</v>
      </c>
      <c r="AK208" s="10">
        <v>10</v>
      </c>
      <c r="BF208">
        <v>-5663</v>
      </c>
      <c r="BG208" s="1">
        <v>1598</v>
      </c>
      <c r="BT208">
        <v>302</v>
      </c>
      <c r="BU208" s="1">
        <v>445</v>
      </c>
      <c r="CE208" s="8">
        <v>418</v>
      </c>
      <c r="CF208" s="28">
        <v>95</v>
      </c>
      <c r="CZ208" s="23">
        <v>176</v>
      </c>
      <c r="DA208" s="25">
        <v>297</v>
      </c>
      <c r="DG208" s="25"/>
      <c r="DH208" s="23">
        <v>-494</v>
      </c>
      <c r="DI208" s="25">
        <v>102</v>
      </c>
      <c r="DL208" s="8">
        <v>-15</v>
      </c>
      <c r="DS208" s="6">
        <v>-18</v>
      </c>
      <c r="DT208" s="52">
        <v>185</v>
      </c>
      <c r="EA208" s="23">
        <v>352</v>
      </c>
      <c r="EB208" s="52">
        <v>413</v>
      </c>
      <c r="EC208" s="52"/>
      <c r="ED208" s="52"/>
      <c r="EG208" s="6">
        <v>127</v>
      </c>
      <c r="EH208" s="28">
        <v>501</v>
      </c>
      <c r="EI208" s="8">
        <v>189</v>
      </c>
      <c r="EJ208" s="52">
        <v>742</v>
      </c>
      <c r="EN208" s="8">
        <v>101</v>
      </c>
      <c r="EO208" s="28">
        <v>24</v>
      </c>
      <c r="EP208" s="28"/>
      <c r="EQ208" s="28"/>
      <c r="EX208" s="8">
        <v>944</v>
      </c>
      <c r="EY208" s="28">
        <v>148</v>
      </c>
      <c r="FD208" s="6">
        <v>-134</v>
      </c>
      <c r="FE208" s="28">
        <v>117</v>
      </c>
      <c r="FM208" s="8">
        <v>238</v>
      </c>
      <c r="FN208" s="52">
        <v>292</v>
      </c>
      <c r="FS208" s="8">
        <v>-34</v>
      </c>
      <c r="FT208" s="52">
        <v>238</v>
      </c>
      <c r="GI208" s="8">
        <v>-47</v>
      </c>
      <c r="GJ208" s="28">
        <v>112</v>
      </c>
      <c r="GP208" s="6">
        <v>197</v>
      </c>
      <c r="GQ208" s="52">
        <v>453</v>
      </c>
      <c r="GT208" s="6">
        <v>-543</v>
      </c>
      <c r="GU208" s="52">
        <v>732</v>
      </c>
      <c r="HB208" s="6">
        <v>-14</v>
      </c>
      <c r="HE208" s="6">
        <v>80</v>
      </c>
      <c r="HF208" s="28">
        <v>33</v>
      </c>
      <c r="HS208" s="8">
        <v>-2</v>
      </c>
      <c r="HT208" s="52">
        <v>69</v>
      </c>
      <c r="IB208" s="8">
        <v>436</v>
      </c>
      <c r="IC208" s="28">
        <v>269</v>
      </c>
      <c r="IY208" s="8">
        <v>671</v>
      </c>
      <c r="JW208" s="6">
        <v>-179</v>
      </c>
      <c r="JX208" s="12">
        <v>297</v>
      </c>
      <c r="KE208" s="6">
        <v>709</v>
      </c>
      <c r="KF208" s="12">
        <v>437</v>
      </c>
      <c r="KT208" s="8">
        <v>704</v>
      </c>
      <c r="KU208" s="28">
        <v>19</v>
      </c>
      <c r="LF208" s="8">
        <v>-14</v>
      </c>
      <c r="LG208" s="28">
        <v>37</v>
      </c>
      <c r="LJ208" s="8">
        <v>-179</v>
      </c>
      <c r="LK208" s="28">
        <v>430</v>
      </c>
      <c r="LW208" s="8">
        <v>167</v>
      </c>
      <c r="LX208" s="28">
        <v>215</v>
      </c>
      <c r="MF208" s="8">
        <v>46</v>
      </c>
      <c r="MG208" s="12">
        <v>39</v>
      </c>
      <c r="NC208" s="8">
        <v>-122</v>
      </c>
      <c r="ND208" s="12">
        <v>198</v>
      </c>
      <c r="PP208" s="8">
        <v>8</v>
      </c>
      <c r="PQ208" s="28">
        <v>28</v>
      </c>
      <c r="PR208" s="28"/>
      <c r="TH208" s="8">
        <v>85</v>
      </c>
      <c r="TI208" s="28">
        <v>17</v>
      </c>
      <c r="TZ208" s="8">
        <v>194</v>
      </c>
      <c r="UA208" s="12">
        <v>685</v>
      </c>
      <c r="VH208" s="8">
        <v>152</v>
      </c>
      <c r="VL208" s="21"/>
      <c r="VQ208" s="6">
        <v>-325</v>
      </c>
      <c r="VR208" s="28">
        <v>983</v>
      </c>
    </row>
    <row r="209" spans="22:590" x14ac:dyDescent="0.25">
      <c r="V209">
        <v>-3</v>
      </c>
      <c r="W209" s="10">
        <v>48</v>
      </c>
      <c r="AJ209" s="2">
        <v>-30</v>
      </c>
      <c r="AK209" s="10">
        <v>24</v>
      </c>
      <c r="BF209">
        <v>432</v>
      </c>
      <c r="BG209" s="1">
        <v>546</v>
      </c>
      <c r="BT209">
        <v>-56</v>
      </c>
      <c r="BU209" s="1">
        <v>235</v>
      </c>
      <c r="CE209" s="8">
        <v>-108</v>
      </c>
      <c r="CF209" s="28">
        <v>67</v>
      </c>
      <c r="CZ209" s="23">
        <v>617</v>
      </c>
      <c r="DA209" s="25">
        <v>116</v>
      </c>
      <c r="DG209" s="25"/>
      <c r="DH209" s="23">
        <v>-622</v>
      </c>
      <c r="DI209" s="25">
        <v>108</v>
      </c>
      <c r="DL209" s="8">
        <v>-3</v>
      </c>
      <c r="DS209" s="6">
        <v>16</v>
      </c>
      <c r="DT209" s="52">
        <v>65</v>
      </c>
      <c r="EA209" s="23">
        <v>-786</v>
      </c>
      <c r="EB209" s="52">
        <v>122</v>
      </c>
      <c r="EC209" s="52"/>
      <c r="ED209" s="52"/>
      <c r="EG209" s="6">
        <v>290</v>
      </c>
      <c r="EH209" s="28">
        <v>535</v>
      </c>
      <c r="EI209" s="8">
        <v>319</v>
      </c>
      <c r="EJ209" s="52">
        <v>699</v>
      </c>
      <c r="EN209" s="8">
        <v>-160</v>
      </c>
      <c r="EO209" s="28">
        <v>24</v>
      </c>
      <c r="EP209" s="28"/>
      <c r="EQ209" s="28"/>
      <c r="EX209" s="8">
        <v>104</v>
      </c>
      <c r="EY209" s="28">
        <v>104</v>
      </c>
      <c r="FD209" s="6">
        <v>2</v>
      </c>
      <c r="FE209" s="28">
        <v>14</v>
      </c>
      <c r="FM209" s="8">
        <v>180</v>
      </c>
      <c r="FN209" s="52">
        <v>69</v>
      </c>
      <c r="FS209" s="8">
        <v>-714</v>
      </c>
      <c r="FT209" s="52">
        <v>90</v>
      </c>
      <c r="GI209" s="8">
        <v>-33</v>
      </c>
      <c r="GJ209" s="28">
        <v>33</v>
      </c>
      <c r="GP209" s="6">
        <v>148</v>
      </c>
      <c r="GQ209" s="52">
        <v>132</v>
      </c>
      <c r="GT209" s="6">
        <v>-144</v>
      </c>
      <c r="GU209" s="52">
        <v>380</v>
      </c>
      <c r="HB209" s="6">
        <v>-71</v>
      </c>
      <c r="HE209" s="6">
        <v>-40</v>
      </c>
      <c r="HF209" s="28">
        <v>2</v>
      </c>
      <c r="HS209" s="8">
        <v>4</v>
      </c>
      <c r="HT209" s="52">
        <v>173</v>
      </c>
      <c r="IB209" s="8">
        <v>824</v>
      </c>
      <c r="IC209" s="28">
        <v>291</v>
      </c>
      <c r="IY209" s="8">
        <f>145</f>
        <v>145</v>
      </c>
      <c r="JW209" s="6">
        <v>-211</v>
      </c>
      <c r="JX209" s="12">
        <v>347</v>
      </c>
      <c r="KE209" s="6">
        <v>-147</v>
      </c>
      <c r="KF209" s="12">
        <v>676</v>
      </c>
      <c r="KT209" s="8">
        <v>801</v>
      </c>
      <c r="KU209" s="28">
        <v>29</v>
      </c>
      <c r="LF209" s="8">
        <v>-32</v>
      </c>
      <c r="LG209" s="28">
        <v>33</v>
      </c>
      <c r="LJ209" s="8">
        <v>-172</v>
      </c>
      <c r="LK209" s="28">
        <v>617</v>
      </c>
      <c r="LW209" s="8">
        <v>51</v>
      </c>
      <c r="LX209" s="28">
        <v>394</v>
      </c>
      <c r="MF209" s="8">
        <v>167</v>
      </c>
      <c r="MG209" s="12">
        <v>51</v>
      </c>
      <c r="NC209" s="8">
        <v>32</v>
      </c>
      <c r="ND209" s="12">
        <v>41</v>
      </c>
      <c r="PP209" s="8">
        <v>50</v>
      </c>
      <c r="PQ209" s="28">
        <v>31</v>
      </c>
      <c r="PR209" s="28"/>
      <c r="TH209" s="8">
        <v>847</v>
      </c>
      <c r="TI209" s="28">
        <v>81</v>
      </c>
      <c r="TZ209" s="8">
        <v>182</v>
      </c>
      <c r="UA209" s="12">
        <v>559</v>
      </c>
      <c r="VH209" s="8">
        <v>607</v>
      </c>
      <c r="VL209" s="21"/>
      <c r="VQ209" s="6">
        <v>527</v>
      </c>
      <c r="VR209" s="28">
        <v>245</v>
      </c>
    </row>
    <row r="210" spans="22:590" x14ac:dyDescent="0.25">
      <c r="V210">
        <v>-9</v>
      </c>
      <c r="W210" s="10">
        <v>120</v>
      </c>
      <c r="AJ210" s="2">
        <v>-2528</v>
      </c>
      <c r="AK210" s="10">
        <v>295</v>
      </c>
      <c r="BF210">
        <v>5624</v>
      </c>
      <c r="BG210" s="1">
        <v>1005</v>
      </c>
      <c r="BT210">
        <v>325</v>
      </c>
      <c r="BU210" s="1">
        <v>143</v>
      </c>
      <c r="CE210" s="8">
        <v>221</v>
      </c>
      <c r="CF210" s="28">
        <v>48</v>
      </c>
      <c r="CZ210" s="23">
        <v>-470</v>
      </c>
      <c r="DA210" s="25">
        <v>133</v>
      </c>
      <c r="DG210" s="25"/>
      <c r="DH210" s="23">
        <v>-626</v>
      </c>
      <c r="DI210" s="25">
        <v>111</v>
      </c>
      <c r="DL210" s="8">
        <v>3</v>
      </c>
      <c r="DS210" s="6">
        <v>67</v>
      </c>
      <c r="DT210" s="52">
        <v>70</v>
      </c>
      <c r="EA210" s="23">
        <v>-976</v>
      </c>
      <c r="EB210" s="52">
        <v>151</v>
      </c>
      <c r="EC210" s="52"/>
      <c r="ED210" s="52"/>
      <c r="EG210" s="6">
        <v>283</v>
      </c>
      <c r="EH210" s="28">
        <v>519</v>
      </c>
      <c r="EI210" s="8">
        <v>258</v>
      </c>
      <c r="EJ210" s="52">
        <v>725</v>
      </c>
      <c r="EN210" s="8">
        <v>-393</v>
      </c>
      <c r="EO210" s="28">
        <v>26</v>
      </c>
      <c r="EP210" s="28"/>
      <c r="EQ210" s="28"/>
      <c r="EX210" s="8">
        <v>977</v>
      </c>
      <c r="EY210" s="28">
        <v>104</v>
      </c>
      <c r="FD210" s="6">
        <v>-310</v>
      </c>
      <c r="FE210" s="28">
        <v>8</v>
      </c>
      <c r="FM210" s="8">
        <v>217</v>
      </c>
      <c r="FN210" s="52">
        <v>94</v>
      </c>
      <c r="FS210" s="8">
        <v>-828</v>
      </c>
      <c r="FT210" s="52">
        <v>92</v>
      </c>
      <c r="GI210" s="8">
        <v>-204</v>
      </c>
      <c r="GJ210" s="28">
        <v>156</v>
      </c>
      <c r="GP210" s="6">
        <v>76</v>
      </c>
      <c r="GQ210" s="52">
        <v>194</v>
      </c>
      <c r="GT210" s="6">
        <v>-182</v>
      </c>
      <c r="GU210" s="52">
        <v>286</v>
      </c>
      <c r="HB210" s="6">
        <v>-128</v>
      </c>
      <c r="HE210" s="6">
        <v>-36</v>
      </c>
      <c r="HF210" s="28">
        <v>45</v>
      </c>
      <c r="HS210" s="8">
        <v>660</v>
      </c>
      <c r="HT210" s="52">
        <v>194</v>
      </c>
      <c r="IB210" s="8">
        <v>702</v>
      </c>
      <c r="IC210" s="28">
        <v>283</v>
      </c>
      <c r="IY210" s="8">
        <v>322</v>
      </c>
      <c r="JW210" s="6">
        <v>-18</v>
      </c>
      <c r="JX210" s="12">
        <v>279</v>
      </c>
      <c r="KE210" s="6">
        <v>-424</v>
      </c>
      <c r="KF210" s="12">
        <v>621</v>
      </c>
      <c r="KT210" s="8">
        <v>-28</v>
      </c>
      <c r="KU210" s="28">
        <v>5</v>
      </c>
      <c r="LF210" s="8">
        <v>-62</v>
      </c>
      <c r="LG210" s="28">
        <v>21</v>
      </c>
      <c r="LJ210" s="8">
        <v>-186</v>
      </c>
      <c r="LK210" s="28">
        <v>540</v>
      </c>
      <c r="LW210" s="8">
        <v>-2</v>
      </c>
      <c r="LX210" s="28">
        <v>277</v>
      </c>
      <c r="MF210" s="8">
        <v>-474</v>
      </c>
      <c r="MG210" s="12">
        <v>175</v>
      </c>
      <c r="NC210" s="8">
        <v>-116</v>
      </c>
      <c r="ND210" s="12">
        <v>69</v>
      </c>
      <c r="PP210" s="8">
        <v>368</v>
      </c>
      <c r="PQ210" s="28">
        <v>144</v>
      </c>
      <c r="PR210" s="28"/>
      <c r="TH210" s="8">
        <v>102</v>
      </c>
      <c r="TI210" s="28">
        <v>27</v>
      </c>
      <c r="TZ210" s="8">
        <v>142</v>
      </c>
      <c r="UA210" s="12">
        <v>492</v>
      </c>
      <c r="VH210" s="8">
        <v>688</v>
      </c>
      <c r="VL210" s="21"/>
      <c r="VQ210" s="6">
        <v>492</v>
      </c>
      <c r="VR210" s="28">
        <v>302</v>
      </c>
    </row>
    <row r="211" spans="22:590" x14ac:dyDescent="0.25">
      <c r="V211">
        <v>-8</v>
      </c>
      <c r="W211" s="10">
        <v>100</v>
      </c>
      <c r="AJ211" s="2">
        <v>-2819</v>
      </c>
      <c r="AK211" s="10">
        <v>299</v>
      </c>
      <c r="BF211">
        <v>-1446</v>
      </c>
      <c r="BG211" s="1">
        <v>532</v>
      </c>
      <c r="BT211">
        <v>-147</v>
      </c>
      <c r="BU211" s="1">
        <v>184</v>
      </c>
      <c r="CE211" s="8">
        <v>329</v>
      </c>
      <c r="CF211" s="28">
        <v>53</v>
      </c>
      <c r="CZ211" s="23">
        <v>188</v>
      </c>
      <c r="DA211" s="25">
        <v>992</v>
      </c>
      <c r="DG211" s="25"/>
      <c r="DH211" s="23">
        <v>203</v>
      </c>
      <c r="DI211" s="25">
        <v>117</v>
      </c>
      <c r="DL211" s="8">
        <v>-29</v>
      </c>
      <c r="DS211" s="6">
        <v>-280</v>
      </c>
      <c r="DT211" s="52">
        <v>329</v>
      </c>
      <c r="EA211" s="23">
        <v>253</v>
      </c>
      <c r="EB211" s="52">
        <v>336</v>
      </c>
      <c r="EC211" s="52"/>
      <c r="ED211" s="52"/>
      <c r="EG211" s="6">
        <v>498</v>
      </c>
      <c r="EH211" s="28">
        <v>605</v>
      </c>
      <c r="EI211" s="8">
        <v>124</v>
      </c>
      <c r="EJ211" s="52">
        <v>378</v>
      </c>
      <c r="EN211" s="8">
        <v>-155</v>
      </c>
      <c r="EO211" s="28">
        <v>25</v>
      </c>
      <c r="EP211" s="28"/>
      <c r="EQ211" s="28"/>
      <c r="EX211" s="8">
        <v>101</v>
      </c>
      <c r="EY211" s="28">
        <v>102</v>
      </c>
      <c r="FD211" s="6">
        <v>-23</v>
      </c>
      <c r="FE211" s="28">
        <v>41</v>
      </c>
      <c r="FM211" s="8">
        <v>-146</v>
      </c>
      <c r="FN211" s="52">
        <v>183</v>
      </c>
      <c r="FS211" s="8">
        <v>-915</v>
      </c>
      <c r="FT211" s="52">
        <v>92</v>
      </c>
      <c r="GI211" s="8">
        <v>-47</v>
      </c>
      <c r="GJ211" s="28">
        <v>178</v>
      </c>
      <c r="GP211" s="6">
        <v>519</v>
      </c>
      <c r="GQ211" s="52">
        <v>571</v>
      </c>
      <c r="GT211" s="6">
        <v>-112</v>
      </c>
      <c r="GU211" s="52">
        <v>177</v>
      </c>
      <c r="HB211" s="6">
        <v>-23</v>
      </c>
      <c r="HE211" s="6">
        <v>16</v>
      </c>
      <c r="HF211" s="28">
        <v>37</v>
      </c>
      <c r="HS211" s="8">
        <v>101</v>
      </c>
      <c r="HT211" s="52">
        <v>171</v>
      </c>
      <c r="IB211" s="8">
        <v>-488</v>
      </c>
      <c r="IC211" s="28">
        <v>578</v>
      </c>
      <c r="IY211" s="8">
        <v>396</v>
      </c>
      <c r="JW211" s="6">
        <v>-17</v>
      </c>
      <c r="JX211" s="12">
        <v>269</v>
      </c>
      <c r="KE211" s="6">
        <v>-359</v>
      </c>
      <c r="KF211" s="12">
        <v>847</v>
      </c>
      <c r="KT211" s="8">
        <v>4</v>
      </c>
      <c r="KU211" s="28">
        <v>46</v>
      </c>
      <c r="LF211" s="8">
        <v>-41</v>
      </c>
      <c r="LG211" s="28">
        <v>19</v>
      </c>
      <c r="LJ211" s="8">
        <v>-284</v>
      </c>
      <c r="LK211" s="28">
        <v>614</v>
      </c>
      <c r="LW211" s="8">
        <v>-164</v>
      </c>
      <c r="LX211" s="28">
        <v>226</v>
      </c>
      <c r="MF211" s="8">
        <v>180</v>
      </c>
      <c r="MG211" s="12">
        <v>163</v>
      </c>
      <c r="NC211" s="8">
        <v>-208</v>
      </c>
      <c r="ND211" s="12">
        <v>209</v>
      </c>
      <c r="PP211" s="8">
        <v>-16</v>
      </c>
      <c r="PQ211" s="28">
        <v>27</v>
      </c>
      <c r="PR211" s="28"/>
      <c r="TH211" s="8">
        <v>-246</v>
      </c>
      <c r="TI211" s="28">
        <v>17</v>
      </c>
      <c r="TZ211" s="8">
        <v>76</v>
      </c>
      <c r="UA211" s="12">
        <v>451</v>
      </c>
      <c r="VH211" s="8">
        <v>-131</v>
      </c>
      <c r="VL211" s="21"/>
      <c r="VQ211" s="6">
        <v>459</v>
      </c>
      <c r="VR211" s="28">
        <v>283</v>
      </c>
    </row>
    <row r="212" spans="22:590" x14ac:dyDescent="0.25">
      <c r="V212">
        <v>-9</v>
      </c>
      <c r="W212" s="10">
        <v>126</v>
      </c>
      <c r="AJ212" s="2">
        <v>24</v>
      </c>
      <c r="AK212" s="10">
        <v>144</v>
      </c>
      <c r="BF212">
        <v>34</v>
      </c>
      <c r="BG212" s="1">
        <v>2</v>
      </c>
      <c r="BT212">
        <v>113</v>
      </c>
      <c r="BU212" s="1">
        <v>698</v>
      </c>
      <c r="CE212" s="8">
        <v>207</v>
      </c>
      <c r="CF212" s="28">
        <v>65</v>
      </c>
      <c r="CZ212" s="23">
        <v>29</v>
      </c>
      <c r="DA212" s="25">
        <v>145</v>
      </c>
      <c r="DG212" s="25"/>
      <c r="DH212" s="23">
        <v>37</v>
      </c>
      <c r="DI212" s="25">
        <v>14</v>
      </c>
      <c r="DL212" s="8">
        <v>109</v>
      </c>
      <c r="DS212" s="6">
        <v>25</v>
      </c>
      <c r="DT212" s="52">
        <v>59</v>
      </c>
      <c r="EA212" s="23">
        <v>77</v>
      </c>
      <c r="EB212" s="52">
        <v>219</v>
      </c>
      <c r="EC212" s="52"/>
      <c r="ED212" s="52"/>
      <c r="EG212" s="6">
        <v>360</v>
      </c>
      <c r="EH212" s="28">
        <v>561</v>
      </c>
      <c r="EI212" s="8">
        <v>-736</v>
      </c>
      <c r="EJ212" s="52">
        <v>104</v>
      </c>
      <c r="EN212" s="8">
        <v>-260</v>
      </c>
      <c r="EO212" s="28">
        <v>31</v>
      </c>
      <c r="EP212" s="28"/>
      <c r="EQ212" s="28"/>
      <c r="EX212" s="8">
        <v>898</v>
      </c>
      <c r="EY212" s="28">
        <v>139</v>
      </c>
      <c r="FD212" s="6">
        <v>130</v>
      </c>
      <c r="FE212" s="28">
        <v>49</v>
      </c>
      <c r="FM212" s="8">
        <v>-9</v>
      </c>
      <c r="FN212" s="52">
        <v>8</v>
      </c>
      <c r="FS212" s="8">
        <v>-708</v>
      </c>
      <c r="FT212" s="52">
        <v>91</v>
      </c>
      <c r="GI212" s="8">
        <v>-92</v>
      </c>
      <c r="GJ212" s="28">
        <v>156</v>
      </c>
      <c r="GP212" s="6">
        <v>140</v>
      </c>
      <c r="GQ212" s="52">
        <v>313</v>
      </c>
      <c r="GT212" s="6">
        <v>-100</v>
      </c>
      <c r="GU212" s="52">
        <v>144</v>
      </c>
      <c r="HB212" s="6">
        <v>-87</v>
      </c>
      <c r="HE212" s="6">
        <v>28</v>
      </c>
      <c r="HF212" s="28">
        <v>35</v>
      </c>
      <c r="HS212" s="8">
        <v>81</v>
      </c>
      <c r="HT212" s="52">
        <v>573</v>
      </c>
      <c r="IB212" s="8">
        <v>-435</v>
      </c>
      <c r="IC212" s="28">
        <v>575</v>
      </c>
      <c r="IY212" s="8">
        <v>173</v>
      </c>
      <c r="JW212" s="6">
        <v>-175</v>
      </c>
      <c r="JX212" s="12">
        <v>29</v>
      </c>
      <c r="KE212" s="6">
        <v>-963</v>
      </c>
      <c r="KF212" s="12">
        <v>112</v>
      </c>
      <c r="KT212" s="8">
        <v>-131</v>
      </c>
      <c r="KU212" s="28">
        <v>292</v>
      </c>
      <c r="LF212" s="8">
        <v>-23</v>
      </c>
      <c r="LG212" s="28">
        <v>16</v>
      </c>
      <c r="LJ212" s="8">
        <v>-244</v>
      </c>
      <c r="LK212" s="28">
        <v>595</v>
      </c>
      <c r="LW212" s="8">
        <v>182</v>
      </c>
      <c r="LX212" s="28">
        <v>179</v>
      </c>
      <c r="MF212" s="8">
        <v>-799</v>
      </c>
      <c r="MG212" s="12">
        <v>130</v>
      </c>
      <c r="NC212" s="8">
        <v>-148</v>
      </c>
      <c r="ND212" s="12">
        <v>145</v>
      </c>
      <c r="PP212" s="8">
        <v>726</v>
      </c>
      <c r="PR212" s="12">
        <v>184</v>
      </c>
      <c r="TH212" s="8">
        <v>825</v>
      </c>
      <c r="TI212" s="28">
        <v>50</v>
      </c>
      <c r="TZ212" s="8">
        <v>128</v>
      </c>
      <c r="UA212" s="12">
        <v>565</v>
      </c>
      <c r="VH212" s="8">
        <v>344</v>
      </c>
      <c r="VL212" s="21"/>
      <c r="VQ212" s="6">
        <v>42</v>
      </c>
      <c r="VR212" s="28">
        <v>712</v>
      </c>
    </row>
    <row r="213" spans="22:590" x14ac:dyDescent="0.25">
      <c r="V213">
        <v>11</v>
      </c>
      <c r="W213" s="10">
        <v>280</v>
      </c>
      <c r="AJ213" s="2">
        <v>-3</v>
      </c>
      <c r="AK213" s="10">
        <v>265</v>
      </c>
      <c r="BF213">
        <v>17</v>
      </c>
      <c r="BG213" s="1">
        <v>2</v>
      </c>
      <c r="BT213">
        <v>206</v>
      </c>
      <c r="BU213" s="1">
        <v>307</v>
      </c>
      <c r="CE213" s="8">
        <v>-143</v>
      </c>
      <c r="CF213" s="28">
        <v>56</v>
      </c>
      <c r="CZ213" s="23">
        <v>-5</v>
      </c>
      <c r="DA213" s="25">
        <v>77</v>
      </c>
      <c r="DG213" s="25"/>
      <c r="DH213" s="23">
        <v>-172</v>
      </c>
      <c r="DI213" s="25">
        <v>87</v>
      </c>
      <c r="DL213" s="8">
        <v>-11</v>
      </c>
      <c r="DS213" s="6">
        <v>20</v>
      </c>
      <c r="DT213" s="52">
        <v>42</v>
      </c>
      <c r="EA213" s="23">
        <v>232</v>
      </c>
      <c r="EB213" s="52">
        <v>211</v>
      </c>
      <c r="EC213" s="52"/>
      <c r="ED213" s="52"/>
      <c r="EG213" s="6">
        <v>569</v>
      </c>
      <c r="EH213" s="28">
        <v>693</v>
      </c>
      <c r="EI213" s="8">
        <v>-142</v>
      </c>
      <c r="EJ213" s="52">
        <v>234</v>
      </c>
      <c r="EN213" s="8">
        <v>-392</v>
      </c>
      <c r="EO213" s="28">
        <v>19</v>
      </c>
      <c r="EX213" s="8">
        <v>709</v>
      </c>
      <c r="EY213" s="28">
        <v>106</v>
      </c>
      <c r="FD213" s="6">
        <v>113</v>
      </c>
      <c r="FE213" s="28">
        <v>44</v>
      </c>
      <c r="FM213" s="8">
        <v>-78</v>
      </c>
      <c r="FN213" s="52">
        <v>159</v>
      </c>
      <c r="FS213" s="8">
        <v>-817</v>
      </c>
      <c r="FT213" s="52">
        <v>92</v>
      </c>
      <c r="GI213" s="8">
        <v>-146</v>
      </c>
      <c r="GJ213" s="28">
        <v>143</v>
      </c>
      <c r="GP213" s="6">
        <v>352</v>
      </c>
      <c r="GQ213" s="52">
        <v>579</v>
      </c>
      <c r="GT213" s="6">
        <v>49</v>
      </c>
      <c r="GU213" s="52">
        <v>370</v>
      </c>
      <c r="HB213" s="6">
        <v>-47</v>
      </c>
      <c r="HE213" s="6">
        <v>7</v>
      </c>
      <c r="HF213" s="28">
        <v>28</v>
      </c>
      <c r="HS213" s="8">
        <v>1</v>
      </c>
      <c r="HT213" s="52">
        <v>289</v>
      </c>
      <c r="IB213" s="8">
        <v>-914</v>
      </c>
      <c r="IC213" s="28">
        <v>431</v>
      </c>
      <c r="IY213" s="8">
        <v>190</v>
      </c>
      <c r="JW213" s="6">
        <v>-203</v>
      </c>
      <c r="JX213" s="12">
        <v>334</v>
      </c>
      <c r="KE213" s="6">
        <v>-434</v>
      </c>
      <c r="KF213" s="12">
        <v>695</v>
      </c>
      <c r="KT213" s="8">
        <v>-559</v>
      </c>
      <c r="KU213" s="28">
        <v>210</v>
      </c>
      <c r="LF213" s="8">
        <v>-27</v>
      </c>
      <c r="LG213" s="28">
        <v>10</v>
      </c>
      <c r="LJ213" s="8">
        <v>-139</v>
      </c>
      <c r="LK213" s="28">
        <v>475</v>
      </c>
      <c r="LW213" s="8">
        <v>-62</v>
      </c>
      <c r="LX213" s="28">
        <v>211</v>
      </c>
      <c r="MF213" s="8">
        <v>-191</v>
      </c>
      <c r="MG213" s="12">
        <v>17</v>
      </c>
      <c r="NC213" s="8">
        <v>-306</v>
      </c>
      <c r="ND213" s="12">
        <v>279</v>
      </c>
      <c r="PP213" s="8">
        <v>417</v>
      </c>
      <c r="PR213" s="12">
        <v>550</v>
      </c>
      <c r="TH213" s="8">
        <v>138</v>
      </c>
      <c r="TI213" s="28">
        <v>5</v>
      </c>
      <c r="TZ213" s="8">
        <v>780</v>
      </c>
      <c r="UA213" s="12">
        <v>229</v>
      </c>
      <c r="VH213" s="8">
        <v>-30</v>
      </c>
      <c r="VL213" s="21"/>
      <c r="VQ213" s="6">
        <v>545</v>
      </c>
      <c r="VR213" s="28">
        <v>252</v>
      </c>
    </row>
    <row r="214" spans="22:590" x14ac:dyDescent="0.25">
      <c r="V214">
        <v>-2</v>
      </c>
      <c r="W214" s="10">
        <v>16</v>
      </c>
      <c r="AJ214" s="2">
        <v>46</v>
      </c>
      <c r="AK214" s="10">
        <v>156</v>
      </c>
      <c r="BF214">
        <v>-167</v>
      </c>
      <c r="BG214" s="1">
        <v>504</v>
      </c>
      <c r="BT214">
        <v>41</v>
      </c>
      <c r="BU214" s="1">
        <v>37</v>
      </c>
      <c r="CE214" s="8">
        <v>165</v>
      </c>
      <c r="CF214" s="28">
        <v>60</v>
      </c>
      <c r="CZ214" s="23">
        <v>1</v>
      </c>
      <c r="DA214" s="25">
        <v>2</v>
      </c>
      <c r="DG214" s="25"/>
      <c r="DH214" s="23">
        <v>-293</v>
      </c>
      <c r="DI214" s="25">
        <v>95</v>
      </c>
      <c r="DL214" s="8">
        <v>14</v>
      </c>
      <c r="DS214" s="6">
        <v>228</v>
      </c>
      <c r="DT214" s="52">
        <v>243</v>
      </c>
      <c r="EA214" s="23">
        <v>590</v>
      </c>
      <c r="EB214" s="52">
        <v>458</v>
      </c>
      <c r="EC214" s="52"/>
      <c r="ED214" s="52"/>
      <c r="EG214" s="6">
        <v>736</v>
      </c>
      <c r="EH214" s="28">
        <v>614</v>
      </c>
      <c r="EI214" s="8">
        <v>-470</v>
      </c>
      <c r="EJ214" s="52">
        <v>620</v>
      </c>
      <c r="EN214" s="8">
        <v>-319</v>
      </c>
      <c r="EO214" s="28">
        <v>17</v>
      </c>
      <c r="EX214" s="8">
        <v>668</v>
      </c>
      <c r="EY214" s="28">
        <v>984</v>
      </c>
      <c r="FD214" s="6">
        <v>-135</v>
      </c>
      <c r="FE214" s="28">
        <v>233</v>
      </c>
      <c r="FM214" s="8">
        <v>112</v>
      </c>
      <c r="FN214" s="52">
        <v>54</v>
      </c>
      <c r="FS214" s="8">
        <v>-908</v>
      </c>
      <c r="FT214" s="52">
        <v>93</v>
      </c>
      <c r="GI214" s="8">
        <v>-146</v>
      </c>
      <c r="GJ214" s="28">
        <v>154</v>
      </c>
      <c r="GP214" s="6">
        <v>28</v>
      </c>
      <c r="GQ214" s="52">
        <v>86</v>
      </c>
      <c r="GT214" s="6">
        <v>-145</v>
      </c>
      <c r="GU214" s="52">
        <v>122</v>
      </c>
      <c r="HB214" s="6">
        <v>32</v>
      </c>
      <c r="HE214" s="6">
        <v>49</v>
      </c>
      <c r="HF214" s="28">
        <v>19</v>
      </c>
      <c r="HS214" s="8">
        <v>3</v>
      </c>
      <c r="HT214" s="52">
        <v>129</v>
      </c>
      <c r="IB214" s="8">
        <v>-562</v>
      </c>
      <c r="IC214" s="28">
        <v>530</v>
      </c>
      <c r="IY214" s="8">
        <v>79</v>
      </c>
      <c r="JW214" s="6">
        <v>-129</v>
      </c>
      <c r="JX214" s="12">
        <v>212</v>
      </c>
      <c r="KE214" s="6">
        <v>16</v>
      </c>
      <c r="KF214" s="12">
        <v>33</v>
      </c>
      <c r="KT214" s="8">
        <v>100</v>
      </c>
      <c r="KU214" s="28">
        <v>299</v>
      </c>
      <c r="LF214" s="8">
        <v>-105</v>
      </c>
      <c r="LG214" s="28">
        <v>70</v>
      </c>
      <c r="LJ214" s="8">
        <v>305</v>
      </c>
      <c r="LK214" s="28">
        <v>535</v>
      </c>
      <c r="LW214" s="8">
        <v>473</v>
      </c>
      <c r="LX214" s="28">
        <v>269</v>
      </c>
      <c r="MF214" s="8">
        <v>753</v>
      </c>
      <c r="MG214" s="12">
        <v>78</v>
      </c>
      <c r="NC214" s="8">
        <v>856</v>
      </c>
      <c r="ND214" s="12">
        <v>299</v>
      </c>
      <c r="PP214" s="8">
        <v>-175</v>
      </c>
      <c r="PR214" s="12">
        <v>572</v>
      </c>
      <c r="TH214" s="8">
        <v>685</v>
      </c>
      <c r="TI214" s="28">
        <v>29</v>
      </c>
      <c r="TZ214" s="8">
        <v>416</v>
      </c>
      <c r="UA214" s="12">
        <v>268</v>
      </c>
      <c r="VH214" s="8">
        <v>90</v>
      </c>
      <c r="VL214" s="21"/>
      <c r="VQ214" s="6">
        <v>613</v>
      </c>
      <c r="VR214" s="28">
        <v>267</v>
      </c>
    </row>
    <row r="215" spans="22:590" x14ac:dyDescent="0.25">
      <c r="V215">
        <v>-8</v>
      </c>
      <c r="W215" s="10">
        <v>129</v>
      </c>
      <c r="AJ215" s="2">
        <v>-23</v>
      </c>
      <c r="AK215" s="10">
        <v>207</v>
      </c>
      <c r="BF215">
        <v>268</v>
      </c>
      <c r="BG215" s="1">
        <v>517</v>
      </c>
      <c r="BT215">
        <v>-371</v>
      </c>
      <c r="BU215" s="1">
        <v>262</v>
      </c>
      <c r="CE215" s="8">
        <v>-399</v>
      </c>
      <c r="CF215" s="28">
        <v>85</v>
      </c>
      <c r="CZ215" s="23">
        <v>14</v>
      </c>
      <c r="DA215" s="25">
        <v>4</v>
      </c>
      <c r="DG215" s="25"/>
      <c r="DH215" s="23">
        <v>-317</v>
      </c>
      <c r="DI215" s="25">
        <v>104</v>
      </c>
      <c r="DL215" s="8">
        <v>-46</v>
      </c>
      <c r="DS215" s="6">
        <v>165</v>
      </c>
      <c r="DT215" s="52">
        <v>186</v>
      </c>
      <c r="EA215" s="23">
        <v>177</v>
      </c>
      <c r="EB215" s="52">
        <v>738</v>
      </c>
      <c r="EC215" s="52"/>
      <c r="ED215" s="52"/>
      <c r="EG215" s="6">
        <v>150</v>
      </c>
      <c r="EH215" s="28">
        <v>703</v>
      </c>
      <c r="EI215" s="8">
        <v>-214</v>
      </c>
      <c r="EJ215" s="52">
        <v>122</v>
      </c>
      <c r="EN215" s="8">
        <v>-98</v>
      </c>
      <c r="EO215" s="28">
        <v>27</v>
      </c>
      <c r="EX215" s="8">
        <v>551</v>
      </c>
      <c r="EY215" s="28">
        <v>103</v>
      </c>
      <c r="FD215" s="6">
        <v>927</v>
      </c>
      <c r="FE215" s="28">
        <v>123</v>
      </c>
      <c r="FM215" s="8">
        <v>572</v>
      </c>
      <c r="FN215" s="52">
        <v>177</v>
      </c>
      <c r="FS215" s="8">
        <v>530</v>
      </c>
      <c r="FT215" s="52">
        <v>59</v>
      </c>
      <c r="GI215" s="8">
        <v>-107</v>
      </c>
      <c r="GJ215" s="28">
        <v>135</v>
      </c>
      <c r="GP215" s="6">
        <v>296</v>
      </c>
      <c r="GQ215" s="52">
        <v>704</v>
      </c>
      <c r="GT215" s="6">
        <v>272</v>
      </c>
      <c r="GU215" s="52">
        <v>284</v>
      </c>
      <c r="HB215" s="6">
        <v>-50</v>
      </c>
      <c r="HE215" s="6">
        <v>-17</v>
      </c>
      <c r="HF215" s="28">
        <v>27</v>
      </c>
      <c r="HS215" s="8">
        <v>-57</v>
      </c>
      <c r="HT215" s="52">
        <v>301</v>
      </c>
      <c r="IB215" s="8">
        <v>-561</v>
      </c>
      <c r="IC215" s="28">
        <v>465</v>
      </c>
      <c r="IY215" s="8">
        <v>-61</v>
      </c>
      <c r="JW215" s="6">
        <v>-153</v>
      </c>
      <c r="JX215" s="12">
        <v>251</v>
      </c>
      <c r="KE215" s="6">
        <v>-90</v>
      </c>
      <c r="KF215" s="12">
        <v>176</v>
      </c>
      <c r="KT215" s="8">
        <v>-399</v>
      </c>
      <c r="KU215" s="28">
        <v>106</v>
      </c>
      <c r="LF215" s="8">
        <v>5</v>
      </c>
      <c r="LG215" s="28">
        <v>77</v>
      </c>
      <c r="LJ215" s="8">
        <v>-286</v>
      </c>
      <c r="LK215" s="28">
        <v>434</v>
      </c>
      <c r="LW215" s="8">
        <v>303</v>
      </c>
      <c r="LX215" s="28">
        <v>210</v>
      </c>
      <c r="MF215" s="8">
        <v>-230</v>
      </c>
      <c r="MG215" s="12">
        <v>55</v>
      </c>
      <c r="NC215" s="8">
        <v>318</v>
      </c>
      <c r="ND215" s="12">
        <v>196</v>
      </c>
      <c r="PP215" s="8">
        <v>268</v>
      </c>
      <c r="PR215" s="12">
        <v>773</v>
      </c>
      <c r="TH215" s="8">
        <v>81</v>
      </c>
      <c r="TI215" s="28">
        <v>10</v>
      </c>
      <c r="TZ215" s="8">
        <v>181</v>
      </c>
      <c r="UA215" s="12">
        <v>523</v>
      </c>
      <c r="VH215" s="8">
        <v>319</v>
      </c>
      <c r="VL215" s="21"/>
      <c r="VQ215" s="6">
        <v>108</v>
      </c>
      <c r="VR215" s="28">
        <v>422</v>
      </c>
    </row>
    <row r="216" spans="22:590" x14ac:dyDescent="0.25">
      <c r="V216">
        <v>139</v>
      </c>
      <c r="W216" s="10">
        <v>165</v>
      </c>
      <c r="AJ216" s="2">
        <v>291</v>
      </c>
      <c r="AK216" s="10">
        <v>204</v>
      </c>
      <c r="BF216">
        <v>931</v>
      </c>
      <c r="BG216" s="1">
        <v>68</v>
      </c>
      <c r="BT216">
        <v>246</v>
      </c>
      <c r="BU216" s="1">
        <v>532</v>
      </c>
      <c r="CE216" s="8">
        <v>-112</v>
      </c>
      <c r="CF216" s="28">
        <v>57</v>
      </c>
      <c r="CZ216" s="23">
        <v>-17</v>
      </c>
      <c r="DA216" s="25">
        <v>12</v>
      </c>
      <c r="DG216" s="25"/>
      <c r="DH216" s="23">
        <v>-317</v>
      </c>
      <c r="DI216" s="25">
        <v>112</v>
      </c>
      <c r="DL216" s="8">
        <v>191</v>
      </c>
      <c r="DS216" s="6">
        <v>-129</v>
      </c>
      <c r="DT216" s="52">
        <v>233</v>
      </c>
      <c r="EA216" s="23">
        <v>-267</v>
      </c>
      <c r="EB216" s="52">
        <v>-214</v>
      </c>
      <c r="EC216" s="52"/>
      <c r="ED216" s="52"/>
      <c r="EG216" s="6">
        <v>-103</v>
      </c>
      <c r="EH216" s="28">
        <v>287</v>
      </c>
      <c r="EI216" s="8">
        <v>-721</v>
      </c>
      <c r="EJ216" s="52">
        <v>463</v>
      </c>
      <c r="EN216" s="8">
        <v>393</v>
      </c>
      <c r="EO216" s="28">
        <v>106</v>
      </c>
      <c r="EX216" s="8">
        <v>458</v>
      </c>
      <c r="EY216" s="28">
        <v>121</v>
      </c>
      <c r="FD216" s="6">
        <v>453</v>
      </c>
      <c r="FE216" s="28">
        <v>158</v>
      </c>
      <c r="FM216" s="8">
        <v>411</v>
      </c>
      <c r="FN216" s="52">
        <v>252</v>
      </c>
      <c r="FS216" s="8">
        <v>-282</v>
      </c>
      <c r="FT216" s="52">
        <v>57</v>
      </c>
      <c r="GI216" s="8">
        <v>18</v>
      </c>
      <c r="GJ216" s="28">
        <v>12</v>
      </c>
      <c r="GP216" s="6">
        <v>-18</v>
      </c>
      <c r="GQ216" s="52">
        <v>63</v>
      </c>
      <c r="GT216" s="6">
        <v>237</v>
      </c>
      <c r="GU216" s="52">
        <v>249</v>
      </c>
      <c r="HB216" s="6">
        <v>115</v>
      </c>
      <c r="HE216" s="6">
        <v>-27</v>
      </c>
      <c r="HF216" s="28">
        <v>59</v>
      </c>
      <c r="HS216" s="8">
        <v>-278</v>
      </c>
      <c r="HT216" s="52">
        <v>100</v>
      </c>
      <c r="IB216" s="8">
        <v>-533</v>
      </c>
      <c r="IC216" s="28">
        <v>464</v>
      </c>
      <c r="IY216" s="8">
        <v>259</v>
      </c>
      <c r="JW216" s="6">
        <v>255</v>
      </c>
      <c r="JX216" s="12">
        <v>225</v>
      </c>
      <c r="KE216" s="6">
        <v>-111</v>
      </c>
      <c r="KF216" s="12">
        <v>288</v>
      </c>
      <c r="KT216" s="8">
        <v>6</v>
      </c>
      <c r="KU216" s="28">
        <v>1</v>
      </c>
      <c r="LF216" s="8">
        <v>-5</v>
      </c>
      <c r="LG216" s="28">
        <v>64</v>
      </c>
      <c r="LJ216" s="8">
        <v>-307</v>
      </c>
      <c r="LK216" s="28">
        <v>582</v>
      </c>
      <c r="LW216" s="8">
        <v>-30</v>
      </c>
      <c r="LX216" s="28">
        <v>280</v>
      </c>
      <c r="MF216" s="8">
        <v>-104</v>
      </c>
      <c r="MG216" s="12">
        <v>117</v>
      </c>
      <c r="NC216" s="8">
        <v>419</v>
      </c>
      <c r="ND216" s="12">
        <v>208</v>
      </c>
      <c r="PP216" s="8">
        <v>-383</v>
      </c>
      <c r="PR216" s="12">
        <v>503</v>
      </c>
      <c r="TH216" s="8">
        <v>166</v>
      </c>
      <c r="TI216" s="28">
        <v>45</v>
      </c>
      <c r="TZ216" s="8">
        <v>10</v>
      </c>
      <c r="UA216" s="12">
        <v>151</v>
      </c>
      <c r="VH216" s="8">
        <v>355</v>
      </c>
      <c r="VL216" s="21"/>
      <c r="VQ216" s="6">
        <v>799</v>
      </c>
      <c r="VR216" s="28">
        <v>336</v>
      </c>
    </row>
    <row r="217" spans="22:590" x14ac:dyDescent="0.25">
      <c r="V217">
        <v>478</v>
      </c>
      <c r="W217" s="10">
        <v>117</v>
      </c>
      <c r="AJ217" s="2">
        <v>525</v>
      </c>
      <c r="AK217" s="10">
        <v>210</v>
      </c>
      <c r="BF217">
        <v>180</v>
      </c>
      <c r="BG217" s="1">
        <v>51</v>
      </c>
      <c r="BT217">
        <v>-787</v>
      </c>
      <c r="BU217" s="1">
        <v>129</v>
      </c>
      <c r="CE217" s="8">
        <v>-134</v>
      </c>
      <c r="CF217" s="28">
        <v>62</v>
      </c>
      <c r="CZ217" s="23">
        <v>-6</v>
      </c>
      <c r="DA217" s="25">
        <v>6</v>
      </c>
      <c r="DG217" s="25"/>
      <c r="DH217" s="23">
        <v>-254</v>
      </c>
      <c r="DI217" s="25">
        <v>109</v>
      </c>
      <c r="DL217" s="8">
        <v>-10</v>
      </c>
      <c r="DS217" s="6">
        <v>-67</v>
      </c>
      <c r="DT217" s="52">
        <v>549</v>
      </c>
      <c r="EA217" s="23">
        <v>-256</v>
      </c>
      <c r="EB217" s="52">
        <v>-174</v>
      </c>
      <c r="EC217" s="52"/>
      <c r="ED217" s="52"/>
      <c r="EG217" s="6">
        <v>-100</v>
      </c>
      <c r="EH217" s="28">
        <v>287</v>
      </c>
      <c r="EI217" s="8">
        <v>741</v>
      </c>
      <c r="EJ217" s="52">
        <v>403</v>
      </c>
      <c r="EN217" s="8">
        <v>98</v>
      </c>
      <c r="EO217" s="28">
        <v>22</v>
      </c>
      <c r="EX217" s="8">
        <v>833</v>
      </c>
      <c r="EY217" s="28">
        <v>104</v>
      </c>
      <c r="FD217" s="6">
        <v>-140</v>
      </c>
      <c r="FE217" s="28">
        <v>464</v>
      </c>
      <c r="FM217" s="8">
        <v>321</v>
      </c>
      <c r="FN217" s="52">
        <v>287</v>
      </c>
      <c r="FS217" s="8">
        <v>-514</v>
      </c>
      <c r="FT217" s="52">
        <v>108</v>
      </c>
      <c r="GI217" s="8">
        <v>27</v>
      </c>
      <c r="GJ217" s="28">
        <v>7</v>
      </c>
      <c r="GP217" s="6">
        <v>-30</v>
      </c>
      <c r="GQ217" s="52">
        <v>92</v>
      </c>
      <c r="GT217" s="6">
        <v>416</v>
      </c>
      <c r="GU217" s="52">
        <v>757</v>
      </c>
      <c r="HB217" s="6">
        <v>-1</v>
      </c>
      <c r="HE217" s="6">
        <v>-66</v>
      </c>
      <c r="HF217" s="28">
        <v>40</v>
      </c>
      <c r="HS217" s="8">
        <v>15</v>
      </c>
      <c r="HT217" s="52">
        <v>63</v>
      </c>
      <c r="IB217" s="8">
        <v>-605</v>
      </c>
      <c r="IC217" s="28">
        <v>429</v>
      </c>
      <c r="IY217" s="8">
        <v>-106</v>
      </c>
      <c r="JW217" s="6">
        <v>289</v>
      </c>
      <c r="JX217" s="12">
        <v>255</v>
      </c>
      <c r="KE217" s="6">
        <v>588</v>
      </c>
      <c r="KF217" s="12">
        <v>166</v>
      </c>
      <c r="KT217" s="8">
        <v>409</v>
      </c>
      <c r="KU217" s="28">
        <v>251</v>
      </c>
      <c r="LF217" s="8">
        <v>-66</v>
      </c>
      <c r="LG217" s="28">
        <v>51</v>
      </c>
      <c r="LJ217" s="8">
        <v>-302</v>
      </c>
      <c r="LK217" s="28">
        <v>574</v>
      </c>
      <c r="LW217" s="8">
        <v>-45</v>
      </c>
      <c r="LX217" s="28">
        <v>152</v>
      </c>
      <c r="MF217" s="8">
        <v>-156</v>
      </c>
      <c r="MG217" s="12">
        <v>46</v>
      </c>
      <c r="NC217" s="8">
        <v>179</v>
      </c>
      <c r="ND217" s="12">
        <v>104</v>
      </c>
      <c r="PP217" s="8">
        <v>183</v>
      </c>
      <c r="PR217" s="12">
        <v>520</v>
      </c>
      <c r="TH217" s="8">
        <v>88</v>
      </c>
      <c r="TI217" s="28">
        <v>76</v>
      </c>
      <c r="TZ217" s="8">
        <v>-131</v>
      </c>
      <c r="UA217" s="12">
        <v>108</v>
      </c>
      <c r="VH217" s="8">
        <v>197</v>
      </c>
      <c r="VL217" s="21"/>
      <c r="VQ217" s="6">
        <v>259</v>
      </c>
      <c r="VR217" s="28">
        <v>103</v>
      </c>
    </row>
    <row r="218" spans="22:590" x14ac:dyDescent="0.25">
      <c r="V218">
        <v>18143</v>
      </c>
      <c r="W218" s="10">
        <v>211</v>
      </c>
      <c r="AJ218" s="2">
        <v>9</v>
      </c>
      <c r="AK218" s="10">
        <v>8</v>
      </c>
      <c r="BF218">
        <v>12274</v>
      </c>
      <c r="BG218" s="1">
        <v>1898</v>
      </c>
      <c r="BT218">
        <v>185</v>
      </c>
      <c r="BU218" s="1">
        <v>115</v>
      </c>
      <c r="CE218" s="8">
        <v>287</v>
      </c>
      <c r="CF218" s="28">
        <v>52</v>
      </c>
      <c r="CZ218" s="23">
        <v>64</v>
      </c>
      <c r="DA218" s="25">
        <v>48</v>
      </c>
      <c r="DG218" s="25"/>
      <c r="DH218" s="23">
        <v>-345</v>
      </c>
      <c r="DI218" s="25">
        <v>114</v>
      </c>
      <c r="DL218" s="8">
        <v>-8</v>
      </c>
      <c r="DS218" s="6">
        <v>-22</v>
      </c>
      <c r="DT218" s="52">
        <v>210</v>
      </c>
      <c r="EA218" s="23">
        <v>26</v>
      </c>
      <c r="EB218" s="52">
        <v>126</v>
      </c>
      <c r="EC218" s="52"/>
      <c r="ED218" s="52"/>
      <c r="EG218" s="6">
        <v>-126</v>
      </c>
      <c r="EH218" s="28">
        <v>287</v>
      </c>
      <c r="EI218" s="8">
        <v>-172</v>
      </c>
      <c r="EJ218" s="52">
        <v>357</v>
      </c>
      <c r="EN218" s="8">
        <v>204</v>
      </c>
      <c r="EO218" s="28">
        <v>44</v>
      </c>
      <c r="EX218" s="8">
        <v>735</v>
      </c>
      <c r="EY218" s="28">
        <v>931</v>
      </c>
      <c r="FD218" s="6">
        <v>-3</v>
      </c>
      <c r="FE218" s="28">
        <v>181</v>
      </c>
      <c r="FM218" s="8">
        <v>-27</v>
      </c>
      <c r="FN218" s="52">
        <v>14</v>
      </c>
      <c r="FS218" s="8">
        <v>523</v>
      </c>
      <c r="FT218" s="52">
        <v>58</v>
      </c>
      <c r="GI218" s="8">
        <v>-15</v>
      </c>
      <c r="GJ218" s="28">
        <v>10</v>
      </c>
      <c r="GP218" s="6">
        <v>585</v>
      </c>
      <c r="GQ218" s="52">
        <v>526</v>
      </c>
      <c r="GT218" s="6">
        <v>561</v>
      </c>
      <c r="GU218" s="52">
        <v>108</v>
      </c>
      <c r="HB218" s="6">
        <v>73</v>
      </c>
      <c r="HE218" s="6">
        <v>25</v>
      </c>
      <c r="HF218" s="28">
        <v>38</v>
      </c>
      <c r="HS218" s="8">
        <v>1</v>
      </c>
      <c r="HT218" s="52">
        <v>193</v>
      </c>
      <c r="IB218" s="8">
        <v>-404</v>
      </c>
      <c r="IC218" s="28">
        <v>453</v>
      </c>
      <c r="IY218" s="8">
        <v>124</v>
      </c>
      <c r="JW218" s="6">
        <v>35</v>
      </c>
      <c r="JX218" s="12">
        <v>243</v>
      </c>
      <c r="KE218" s="6">
        <v>-270</v>
      </c>
      <c r="KF218" s="12">
        <v>148</v>
      </c>
      <c r="KT218" s="8">
        <v>513</v>
      </c>
      <c r="KU218" s="28">
        <v>297</v>
      </c>
      <c r="LF218" s="8">
        <v>-87</v>
      </c>
      <c r="LG218" s="28">
        <v>31</v>
      </c>
      <c r="LJ218" s="8">
        <v>571</v>
      </c>
      <c r="LK218" s="28">
        <v>701</v>
      </c>
      <c r="LW218" s="8">
        <v>-831</v>
      </c>
      <c r="LX218" s="28">
        <v>272</v>
      </c>
      <c r="MF218" s="8">
        <v>133</v>
      </c>
      <c r="MG218" s="12">
        <v>131</v>
      </c>
      <c r="NC218" s="8">
        <v>157</v>
      </c>
      <c r="ND218" s="12">
        <v>97</v>
      </c>
      <c r="PP218" s="8">
        <v>958</v>
      </c>
      <c r="PR218" s="12">
        <v>300</v>
      </c>
      <c r="TH218" s="8">
        <v>113</v>
      </c>
      <c r="TI218" s="28">
        <v>20</v>
      </c>
      <c r="TZ218" s="8">
        <v>-181</v>
      </c>
      <c r="UA218" s="12">
        <v>134</v>
      </c>
      <c r="VH218" s="8">
        <v>-124</v>
      </c>
      <c r="VL218" s="21"/>
      <c r="VQ218" s="6">
        <v>265</v>
      </c>
      <c r="VR218" s="28">
        <v>109</v>
      </c>
    </row>
    <row r="219" spans="22:590" x14ac:dyDescent="0.25">
      <c r="V219">
        <v>-2</v>
      </c>
      <c r="W219" s="10">
        <v>155</v>
      </c>
      <c r="AJ219" s="2">
        <v>2543</v>
      </c>
      <c r="AK219" s="10">
        <v>233</v>
      </c>
      <c r="BF219">
        <v>5833</v>
      </c>
      <c r="BG219" s="1">
        <v>2281</v>
      </c>
      <c r="BT219">
        <v>924</v>
      </c>
      <c r="BU219" s="1">
        <v>502</v>
      </c>
      <c r="CE219" s="8">
        <v>518</v>
      </c>
      <c r="CF219" s="28">
        <v>48</v>
      </c>
      <c r="CZ219" s="23">
        <v>-155</v>
      </c>
      <c r="DA219" s="25">
        <v>79</v>
      </c>
      <c r="DG219" s="25"/>
      <c r="DH219" s="23">
        <v>-439</v>
      </c>
      <c r="DI219" s="25">
        <v>126</v>
      </c>
      <c r="DL219" s="8">
        <v>15</v>
      </c>
      <c r="DS219" s="6">
        <v>21</v>
      </c>
      <c r="DT219" s="52">
        <v>99</v>
      </c>
      <c r="EA219" s="23">
        <v>-59</v>
      </c>
      <c r="EB219" s="52">
        <v>-712</v>
      </c>
      <c r="EC219" s="52"/>
      <c r="ED219" s="52"/>
      <c r="EG219" s="6">
        <v>-152</v>
      </c>
      <c r="EH219" s="28">
        <v>292</v>
      </c>
      <c r="EI219" s="8">
        <v>132</v>
      </c>
      <c r="EJ219" s="52">
        <v>638</v>
      </c>
      <c r="EN219" s="8">
        <v>64</v>
      </c>
      <c r="EO219" s="28">
        <v>25</v>
      </c>
      <c r="EX219" s="8">
        <v>697</v>
      </c>
      <c r="EY219" s="28">
        <v>914</v>
      </c>
      <c r="FD219" s="6">
        <v>253</v>
      </c>
      <c r="FE219" s="28">
        <v>913</v>
      </c>
      <c r="FM219" s="8">
        <v>-79</v>
      </c>
      <c r="FN219" s="52">
        <v>149</v>
      </c>
      <c r="FS219" s="8">
        <v>-289</v>
      </c>
      <c r="FT219" s="52">
        <v>58</v>
      </c>
      <c r="GI219" s="8">
        <v>-20</v>
      </c>
      <c r="GJ219" s="28">
        <v>35</v>
      </c>
      <c r="GP219" s="6">
        <v>164</v>
      </c>
      <c r="GQ219" s="52">
        <v>154</v>
      </c>
      <c r="GT219" s="6">
        <v>386</v>
      </c>
      <c r="GU219" s="52">
        <v>280</v>
      </c>
      <c r="HB219" s="6">
        <v>-100</v>
      </c>
      <c r="HE219" s="6">
        <v>2</v>
      </c>
      <c r="HF219" s="28">
        <v>31</v>
      </c>
      <c r="HS219" s="8">
        <v>-95</v>
      </c>
      <c r="HT219" s="52">
        <v>41</v>
      </c>
      <c r="IB219" s="8">
        <v>-571</v>
      </c>
      <c r="IC219" s="28">
        <v>491</v>
      </c>
      <c r="IY219" s="8">
        <v>46</v>
      </c>
      <c r="JW219" s="6">
        <v>-178</v>
      </c>
      <c r="JX219" s="12">
        <v>113</v>
      </c>
      <c r="KE219" s="6">
        <v>-145</v>
      </c>
      <c r="KF219" s="12">
        <v>240</v>
      </c>
      <c r="KT219" s="8">
        <v>684</v>
      </c>
      <c r="KU219" s="28">
        <v>437</v>
      </c>
      <c r="LF219" s="8">
        <v>-76</v>
      </c>
      <c r="LG219" s="28">
        <v>23</v>
      </c>
      <c r="LJ219" s="8">
        <v>281</v>
      </c>
      <c r="LK219" s="28">
        <v>846</v>
      </c>
      <c r="LW219" s="8">
        <v>350</v>
      </c>
      <c r="LX219" s="28">
        <v>253</v>
      </c>
      <c r="MF219" s="8">
        <v>606</v>
      </c>
      <c r="MG219" s="12">
        <v>315</v>
      </c>
      <c r="NC219" s="8">
        <v>319</v>
      </c>
      <c r="ND219" s="12">
        <v>186</v>
      </c>
      <c r="PP219" s="8">
        <v>-969</v>
      </c>
      <c r="PR219" s="12">
        <v>266</v>
      </c>
      <c r="TH219" s="8">
        <v>-14</v>
      </c>
      <c r="TI219" s="28">
        <v>73</v>
      </c>
      <c r="TZ219" s="8">
        <v>-186</v>
      </c>
      <c r="UA219" s="12">
        <v>145</v>
      </c>
      <c r="VH219" s="8">
        <v>-174</v>
      </c>
      <c r="VL219" s="21"/>
      <c r="VQ219" s="6">
        <v>253</v>
      </c>
      <c r="VR219" s="28">
        <v>105</v>
      </c>
    </row>
    <row r="220" spans="22:590" x14ac:dyDescent="0.25">
      <c r="V220">
        <v>-8</v>
      </c>
      <c r="W220" s="10">
        <v>492</v>
      </c>
      <c r="AJ220" s="2">
        <v>-211</v>
      </c>
      <c r="AK220" s="10">
        <v>120</v>
      </c>
      <c r="BF220">
        <v>3309</v>
      </c>
      <c r="BG220" s="1">
        <v>987</v>
      </c>
      <c r="BT220">
        <v>-789</v>
      </c>
      <c r="BU220" s="1">
        <v>917</v>
      </c>
      <c r="CE220" s="8">
        <v>73</v>
      </c>
      <c r="CF220" s="28">
        <v>79</v>
      </c>
      <c r="CZ220" s="23">
        <v>29</v>
      </c>
      <c r="DA220" s="25">
        <v>77</v>
      </c>
      <c r="DG220" s="25"/>
      <c r="DH220" s="23">
        <v>-346</v>
      </c>
      <c r="DI220" s="25">
        <v>134</v>
      </c>
      <c r="DL220" s="8">
        <v>-1</v>
      </c>
      <c r="DS220" s="6">
        <v>234</v>
      </c>
      <c r="DT220" s="52">
        <v>514</v>
      </c>
      <c r="EA220" s="23">
        <v>128</v>
      </c>
      <c r="EB220" s="52">
        <v>103</v>
      </c>
      <c r="EC220" s="52"/>
      <c r="ED220" s="52"/>
      <c r="EG220" s="6">
        <v>-208</v>
      </c>
      <c r="EH220" s="28">
        <v>295</v>
      </c>
      <c r="EI220" s="8">
        <v>251</v>
      </c>
      <c r="EJ220" s="52">
        <v>532</v>
      </c>
      <c r="EN220" s="8">
        <v>96</v>
      </c>
      <c r="EO220" s="28">
        <v>26</v>
      </c>
      <c r="EX220" s="8">
        <v>119</v>
      </c>
      <c r="EY220" s="28">
        <v>120</v>
      </c>
      <c r="FD220" s="6">
        <v>253</v>
      </c>
      <c r="FE220" s="28">
        <v>913</v>
      </c>
      <c r="FM220" s="8">
        <v>451</v>
      </c>
      <c r="FN220" s="52">
        <v>164</v>
      </c>
      <c r="FS220" s="8">
        <v>-524</v>
      </c>
      <c r="FT220" s="52">
        <v>110</v>
      </c>
      <c r="GI220" s="8">
        <v>-20</v>
      </c>
      <c r="GJ220" s="28">
        <v>36</v>
      </c>
      <c r="GP220" s="6">
        <v>432</v>
      </c>
      <c r="GQ220" s="52">
        <v>352</v>
      </c>
      <c r="GT220" s="6">
        <v>-791</v>
      </c>
      <c r="GU220" s="52">
        <v>429</v>
      </c>
      <c r="HB220" s="6">
        <v>3</v>
      </c>
      <c r="HE220" s="6">
        <v>28</v>
      </c>
      <c r="HF220" s="28">
        <v>15</v>
      </c>
      <c r="HS220" s="8">
        <v>697</v>
      </c>
      <c r="HT220" s="52">
        <v>754</v>
      </c>
      <c r="IB220" s="8">
        <v>-509</v>
      </c>
      <c r="IC220" s="28">
        <v>488</v>
      </c>
      <c r="IY220" s="8">
        <v>-159</v>
      </c>
      <c r="JW220" s="6">
        <v>-507</v>
      </c>
      <c r="JX220" s="12">
        <v>252</v>
      </c>
      <c r="KE220" s="6">
        <v>-221</v>
      </c>
      <c r="KF220" s="12">
        <v>634</v>
      </c>
      <c r="KT220" s="8">
        <v>371</v>
      </c>
      <c r="KU220" s="28">
        <v>432</v>
      </c>
      <c r="LF220" s="8">
        <v>-53</v>
      </c>
      <c r="LG220" s="28">
        <v>22</v>
      </c>
      <c r="LJ220" s="8">
        <v>385</v>
      </c>
      <c r="LK220" s="28">
        <v>557</v>
      </c>
      <c r="LW220" s="8">
        <v>-164</v>
      </c>
      <c r="LX220" s="28">
        <v>285</v>
      </c>
      <c r="MF220" s="8">
        <v>229</v>
      </c>
      <c r="MG220" s="12">
        <v>429</v>
      </c>
      <c r="NC220" s="8">
        <v>383</v>
      </c>
      <c r="ND220" s="12">
        <v>233</v>
      </c>
      <c r="PP220" s="8">
        <v>138</v>
      </c>
      <c r="PR220" s="12">
        <v>397</v>
      </c>
      <c r="TH220" s="8">
        <v>73</v>
      </c>
      <c r="TI220" s="28">
        <v>13</v>
      </c>
      <c r="TZ220" s="8">
        <v>-126</v>
      </c>
      <c r="UA220" s="12">
        <v>152</v>
      </c>
      <c r="VH220" s="8">
        <v>140</v>
      </c>
      <c r="VL220" s="21"/>
      <c r="VQ220" s="6">
        <v>309</v>
      </c>
      <c r="VR220" s="28">
        <v>124</v>
      </c>
    </row>
    <row r="221" spans="22:590" x14ac:dyDescent="0.25">
      <c r="V221">
        <v>-2</v>
      </c>
      <c r="W221" s="10">
        <v>95</v>
      </c>
      <c r="AJ221" s="2">
        <v>-127</v>
      </c>
      <c r="AK221" s="10">
        <v>72</v>
      </c>
      <c r="BF221">
        <v>-2294</v>
      </c>
      <c r="BG221" s="1">
        <v>424</v>
      </c>
      <c r="BT221">
        <v>280</v>
      </c>
      <c r="BU221" s="1">
        <v>470</v>
      </c>
      <c r="CE221" s="8">
        <v>82</v>
      </c>
      <c r="CF221" s="28">
        <v>71</v>
      </c>
      <c r="CZ221" s="23">
        <v>291</v>
      </c>
      <c r="DA221" s="25">
        <v>238</v>
      </c>
      <c r="DG221" s="25"/>
      <c r="DH221" s="23">
        <v>108</v>
      </c>
      <c r="DI221" s="25">
        <v>119</v>
      </c>
      <c r="DL221" s="8">
        <v>6</v>
      </c>
      <c r="DS221" s="6">
        <v>-289</v>
      </c>
      <c r="DT221" s="52">
        <v>503</v>
      </c>
      <c r="EA221" s="23">
        <v>-447</v>
      </c>
      <c r="EB221" s="52">
        <v>-264</v>
      </c>
      <c r="EC221" s="52"/>
      <c r="ED221" s="52"/>
      <c r="EG221" s="6">
        <v>-212</v>
      </c>
      <c r="EH221" s="28">
        <v>297</v>
      </c>
      <c r="EI221" s="8">
        <v>335</v>
      </c>
      <c r="EJ221" s="52">
        <v>114</v>
      </c>
      <c r="EN221" s="8">
        <v>-118</v>
      </c>
      <c r="EO221" s="28">
        <v>23</v>
      </c>
      <c r="EX221" s="8">
        <v>829</v>
      </c>
      <c r="EY221" s="28">
        <v>957</v>
      </c>
      <c r="FD221" s="6">
        <v>796</v>
      </c>
      <c r="FE221" s="28">
        <v>139</v>
      </c>
      <c r="FM221" s="8">
        <v>52</v>
      </c>
      <c r="FN221" s="52">
        <v>62</v>
      </c>
      <c r="FS221" s="8">
        <v>523</v>
      </c>
      <c r="FT221" s="52">
        <v>58</v>
      </c>
      <c r="GI221" s="8">
        <v>-85</v>
      </c>
      <c r="GJ221" s="28">
        <v>5</v>
      </c>
      <c r="GP221" s="6">
        <v>72</v>
      </c>
      <c r="GQ221" s="52">
        <v>31</v>
      </c>
      <c r="GT221" s="6">
        <v>-623</v>
      </c>
      <c r="GU221" s="52">
        <v>660</v>
      </c>
      <c r="HB221" s="6">
        <v>54</v>
      </c>
      <c r="HE221" s="6">
        <v>-10</v>
      </c>
      <c r="HF221" s="28">
        <v>33</v>
      </c>
      <c r="HS221" s="8">
        <v>511</v>
      </c>
      <c r="HT221" s="52">
        <v>286</v>
      </c>
      <c r="IB221" s="8">
        <v>-590</v>
      </c>
      <c r="IC221" s="28">
        <v>467</v>
      </c>
      <c r="IY221" s="8">
        <v>-30</v>
      </c>
      <c r="JW221" s="6">
        <v>-148</v>
      </c>
      <c r="JX221" s="12">
        <v>857</v>
      </c>
      <c r="KE221" s="8">
        <f>246</f>
        <v>246</v>
      </c>
      <c r="KF221" s="12">
        <v>326</v>
      </c>
      <c r="KT221" s="8">
        <v>494</v>
      </c>
      <c r="KU221" s="28">
        <v>179</v>
      </c>
      <c r="LF221" s="8">
        <v>-41</v>
      </c>
      <c r="LG221" s="28">
        <v>25</v>
      </c>
      <c r="LJ221" s="8">
        <v>105</v>
      </c>
      <c r="LK221" s="28">
        <v>886</v>
      </c>
      <c r="LW221" s="8">
        <v>-60</v>
      </c>
      <c r="LX221" s="28">
        <v>247</v>
      </c>
      <c r="MF221" s="8">
        <v>75</v>
      </c>
      <c r="MG221" s="12">
        <v>29</v>
      </c>
      <c r="NC221" s="8">
        <v>472</v>
      </c>
      <c r="ND221" s="12">
        <v>303</v>
      </c>
      <c r="PP221" s="8">
        <v>-48</v>
      </c>
      <c r="PR221" s="12">
        <v>497</v>
      </c>
      <c r="TH221" s="8">
        <v>-688</v>
      </c>
      <c r="TZ221" s="8">
        <v>743</v>
      </c>
      <c r="UA221" s="12">
        <v>191</v>
      </c>
      <c r="VH221" s="8">
        <v>357</v>
      </c>
      <c r="VL221" s="21"/>
      <c r="VQ221" s="6">
        <v>266</v>
      </c>
      <c r="VR221" s="28">
        <v>106</v>
      </c>
    </row>
    <row r="222" spans="22:590" x14ac:dyDescent="0.25">
      <c r="V222">
        <v>1</v>
      </c>
      <c r="W222" s="10">
        <v>48</v>
      </c>
      <c r="AJ222" s="2">
        <v>-254</v>
      </c>
      <c r="AK222" s="10">
        <v>136</v>
      </c>
      <c r="BF222">
        <v>1171</v>
      </c>
      <c r="BG222" s="1">
        <v>472</v>
      </c>
      <c r="BT222">
        <v>273</v>
      </c>
      <c r="BU222" s="1">
        <v>373</v>
      </c>
      <c r="CE222" s="8">
        <v>-18</v>
      </c>
      <c r="CF222" s="28">
        <v>89</v>
      </c>
      <c r="CZ222" s="23">
        <v>343</v>
      </c>
      <c r="DA222" s="25">
        <v>282</v>
      </c>
      <c r="DG222" s="25"/>
      <c r="DH222" s="23">
        <v>257</v>
      </c>
      <c r="DI222" s="25">
        <v>937</v>
      </c>
      <c r="DL222" s="8">
        <v>-2</v>
      </c>
      <c r="DS222" s="6">
        <v>-33</v>
      </c>
      <c r="DT222" s="52">
        <v>107</v>
      </c>
      <c r="EA222" s="23">
        <v>8</v>
      </c>
      <c r="EB222" s="52">
        <v>653</v>
      </c>
      <c r="EC222" s="52"/>
      <c r="ED222" s="52"/>
      <c r="EG222" s="6">
        <v>-248</v>
      </c>
      <c r="EH222" s="28">
        <v>300</v>
      </c>
      <c r="EI222" s="8">
        <v>96</v>
      </c>
      <c r="EJ222" s="52">
        <v>413</v>
      </c>
      <c r="EN222" s="8">
        <v>-81</v>
      </c>
      <c r="EO222" s="28">
        <v>23</v>
      </c>
      <c r="EX222" s="8">
        <v>779</v>
      </c>
      <c r="EY222" s="28">
        <v>907</v>
      </c>
      <c r="FD222" s="6">
        <v>-105</v>
      </c>
      <c r="FE222" s="28">
        <v>233</v>
      </c>
      <c r="FM222" s="8">
        <v>960</v>
      </c>
      <c r="FN222" s="52">
        <v>183</v>
      </c>
      <c r="FS222" s="8">
        <v>-289</v>
      </c>
      <c r="FT222" s="52">
        <v>58</v>
      </c>
      <c r="GI222" s="8">
        <v>698</v>
      </c>
      <c r="GJ222" s="28">
        <v>661</v>
      </c>
      <c r="GP222" s="6">
        <v>184</v>
      </c>
      <c r="GQ222" s="52">
        <v>209</v>
      </c>
      <c r="GT222" s="6">
        <v>-9</v>
      </c>
      <c r="GU222" s="52">
        <v>6</v>
      </c>
      <c r="HB222" s="6">
        <v>83</v>
      </c>
      <c r="HE222" s="6">
        <v>4</v>
      </c>
      <c r="HF222" s="28">
        <v>76</v>
      </c>
      <c r="HS222" s="8">
        <v>5</v>
      </c>
      <c r="HT222" s="52">
        <v>109</v>
      </c>
      <c r="IB222" s="8">
        <v>-483</v>
      </c>
      <c r="IC222" s="28">
        <v>468</v>
      </c>
      <c r="IY222" s="8">
        <v>-620</v>
      </c>
      <c r="JW222" s="6">
        <v>-157</v>
      </c>
      <c r="JX222" s="12">
        <v>111</v>
      </c>
      <c r="KE222" s="6">
        <v>-197</v>
      </c>
      <c r="KF222" s="12">
        <v>410</v>
      </c>
      <c r="KT222" s="8">
        <v>163</v>
      </c>
      <c r="KU222" s="28">
        <v>461</v>
      </c>
      <c r="LF222" s="8">
        <v>-185</v>
      </c>
      <c r="LG222" s="28">
        <v>127</v>
      </c>
      <c r="LJ222" s="8">
        <v>-290</v>
      </c>
      <c r="LK222" s="28">
        <v>105</v>
      </c>
      <c r="LW222" s="8">
        <v>-790</v>
      </c>
      <c r="LX222" s="28">
        <v>450</v>
      </c>
      <c r="MF222" s="8">
        <v>-537</v>
      </c>
      <c r="MG222" s="12">
        <v>262</v>
      </c>
      <c r="NC222" s="8">
        <v>686</v>
      </c>
      <c r="ND222" s="12">
        <v>322</v>
      </c>
      <c r="PP222" s="8">
        <v>-335</v>
      </c>
      <c r="PR222" s="12">
        <v>323</v>
      </c>
      <c r="TH222" s="8">
        <v>530</v>
      </c>
      <c r="TZ222" s="8">
        <v>-185</v>
      </c>
      <c r="UA222" s="12">
        <v>150</v>
      </c>
      <c r="VH222" s="8">
        <v>310</v>
      </c>
      <c r="VL222" s="21"/>
      <c r="VQ222" s="6">
        <v>245</v>
      </c>
      <c r="VR222" s="28">
        <v>105</v>
      </c>
    </row>
    <row r="223" spans="22:590" x14ac:dyDescent="0.25">
      <c r="V223">
        <v>7</v>
      </c>
      <c r="W223" s="10">
        <v>199</v>
      </c>
      <c r="AJ223" s="2">
        <v>-143</v>
      </c>
      <c r="AK223" s="10">
        <v>75</v>
      </c>
      <c r="BF223">
        <v>1543</v>
      </c>
      <c r="BG223" s="1">
        <v>214</v>
      </c>
      <c r="BT223">
        <v>127</v>
      </c>
      <c r="BU223" s="1">
        <v>390</v>
      </c>
      <c r="CE223" s="8">
        <v>-14</v>
      </c>
      <c r="CF223" s="28">
        <v>177</v>
      </c>
      <c r="CZ223" s="23">
        <v>196</v>
      </c>
      <c r="DA223" s="25">
        <v>151</v>
      </c>
      <c r="DG223" s="25"/>
      <c r="DH223" s="23">
        <v>-42</v>
      </c>
      <c r="DI223" s="25">
        <v>56</v>
      </c>
      <c r="DL223" s="8">
        <v>1</v>
      </c>
      <c r="DS223" s="6">
        <v>274</v>
      </c>
      <c r="DT223" s="52">
        <v>292</v>
      </c>
      <c r="EA223" s="23">
        <v>-21</v>
      </c>
      <c r="EB223" s="52">
        <v>-314</v>
      </c>
      <c r="EC223" s="52"/>
      <c r="ED223" s="52"/>
      <c r="EG223" s="6">
        <v>-390</v>
      </c>
      <c r="EH223" s="28">
        <v>871</v>
      </c>
      <c r="EI223" s="8">
        <v>-973</v>
      </c>
      <c r="EJ223" s="52">
        <v>117</v>
      </c>
      <c r="EN223" s="8">
        <v>19</v>
      </c>
      <c r="EO223" s="28">
        <v>26</v>
      </c>
      <c r="EX223" s="8">
        <v>503</v>
      </c>
      <c r="EY223" s="28">
        <v>914</v>
      </c>
      <c r="FD223" s="6">
        <v>341</v>
      </c>
      <c r="FE223" s="28">
        <v>134</v>
      </c>
      <c r="FM223" s="8">
        <v>78</v>
      </c>
      <c r="FN223" s="52">
        <v>77</v>
      </c>
      <c r="FS223" s="8">
        <v>-524</v>
      </c>
      <c r="FT223" s="52">
        <v>110</v>
      </c>
      <c r="GI223" s="8">
        <v>-108</v>
      </c>
      <c r="GJ223" s="28">
        <v>76</v>
      </c>
      <c r="GP223" s="6">
        <v>688</v>
      </c>
      <c r="GQ223" s="52">
        <v>322</v>
      </c>
      <c r="GT223" s="6">
        <v>-851</v>
      </c>
      <c r="GU223" s="52">
        <v>987</v>
      </c>
      <c r="HB223" s="6">
        <v>118</v>
      </c>
      <c r="HE223" s="6">
        <v>38</v>
      </c>
      <c r="HF223" s="28">
        <v>56</v>
      </c>
      <c r="HS223" s="8">
        <v>3</v>
      </c>
      <c r="HT223" s="52">
        <v>13</v>
      </c>
      <c r="IB223" s="8">
        <v>-556</v>
      </c>
      <c r="IC223" s="28">
        <v>487</v>
      </c>
      <c r="IY223" s="8">
        <v>-190</v>
      </c>
      <c r="JW223" s="6">
        <v>-656</v>
      </c>
      <c r="JX223" s="12">
        <v>335</v>
      </c>
      <c r="KE223" s="6">
        <v>56</v>
      </c>
      <c r="KF223" s="12">
        <v>140</v>
      </c>
      <c r="KT223" s="8">
        <v>454</v>
      </c>
      <c r="KU223" s="28">
        <v>491</v>
      </c>
      <c r="LF223" s="8">
        <v>-93</v>
      </c>
      <c r="LG223" s="28">
        <v>178</v>
      </c>
      <c r="LJ223" s="8">
        <v>-180</v>
      </c>
      <c r="LK223" s="28">
        <v>801</v>
      </c>
      <c r="LW223" s="8">
        <v>-267</v>
      </c>
      <c r="LX223" s="28">
        <v>301</v>
      </c>
      <c r="MF223" s="8">
        <v>534</v>
      </c>
      <c r="MG223" s="12">
        <v>169</v>
      </c>
      <c r="NC223" s="8">
        <v>97</v>
      </c>
      <c r="ND223" s="12">
        <v>200</v>
      </c>
      <c r="PP223" s="8">
        <v>109</v>
      </c>
      <c r="PR223" s="12">
        <v>202</v>
      </c>
      <c r="TH223" s="8">
        <v>555</v>
      </c>
      <c r="TZ223" s="8">
        <v>-24</v>
      </c>
      <c r="UA223" s="12">
        <v>370</v>
      </c>
      <c r="VH223" s="8">
        <v>250</v>
      </c>
      <c r="VL223" s="21"/>
      <c r="VQ223" s="6">
        <v>-495</v>
      </c>
      <c r="VR223" s="28">
        <v>256</v>
      </c>
    </row>
    <row r="224" spans="22:590" x14ac:dyDescent="0.25">
      <c r="V224">
        <v>7</v>
      </c>
      <c r="W224" s="10">
        <v>162</v>
      </c>
      <c r="AJ224" s="2">
        <v>-21</v>
      </c>
      <c r="AK224" s="10">
        <v>22</v>
      </c>
      <c r="BF224">
        <v>3177</v>
      </c>
      <c r="BG224" s="1">
        <v>918</v>
      </c>
      <c r="BT224">
        <v>495</v>
      </c>
      <c r="BU224" s="1">
        <v>142</v>
      </c>
      <c r="CE224" s="8">
        <v>-28</v>
      </c>
      <c r="CF224" s="28">
        <v>84</v>
      </c>
      <c r="CZ224" s="23">
        <v>-656</v>
      </c>
      <c r="DA224" s="25">
        <v>730</v>
      </c>
      <c r="DG224" s="25"/>
      <c r="DH224" s="23">
        <v>-180</v>
      </c>
      <c r="DI224" s="25">
        <v>723</v>
      </c>
      <c r="DL224" s="8">
        <v>-6</v>
      </c>
      <c r="DS224" s="6">
        <v>-49</v>
      </c>
      <c r="DT224" s="52">
        <v>572</v>
      </c>
      <c r="EA224" s="23">
        <v>-11</v>
      </c>
      <c r="EB224" s="52">
        <v>-199</v>
      </c>
      <c r="EC224" s="52"/>
      <c r="ED224" s="52"/>
      <c r="EG224" s="6">
        <v>-102</v>
      </c>
      <c r="EH224" s="28">
        <v>130</v>
      </c>
      <c r="EI224" s="8">
        <v>-752</v>
      </c>
      <c r="EJ224" s="52">
        <v>105</v>
      </c>
      <c r="EN224" s="8">
        <v>52</v>
      </c>
      <c r="EO224" s="28">
        <v>34</v>
      </c>
      <c r="EX224" s="8">
        <v>532</v>
      </c>
      <c r="EY224" s="28">
        <v>123</v>
      </c>
      <c r="FD224" s="6">
        <v>-148</v>
      </c>
      <c r="FE224" s="28">
        <v>536</v>
      </c>
      <c r="FM224" s="8">
        <v>123</v>
      </c>
      <c r="FN224" s="52">
        <v>282</v>
      </c>
      <c r="FS224" s="8">
        <v>-114</v>
      </c>
      <c r="FT224" s="52">
        <v>77</v>
      </c>
      <c r="GI224" s="8">
        <v>-57</v>
      </c>
      <c r="GJ224" s="28">
        <v>112</v>
      </c>
      <c r="GP224" s="6">
        <v>74</v>
      </c>
      <c r="GQ224" s="52">
        <v>89</v>
      </c>
      <c r="GT224" s="6">
        <v>-545</v>
      </c>
      <c r="GU224" s="52">
        <v>574</v>
      </c>
      <c r="HB224" s="6">
        <v>39</v>
      </c>
      <c r="HE224" s="6">
        <v>7</v>
      </c>
      <c r="HF224" s="28">
        <v>48</v>
      </c>
      <c r="HS224" s="8">
        <v>-7</v>
      </c>
      <c r="HT224" s="52">
        <v>40</v>
      </c>
      <c r="IB224" s="8">
        <v>-484</v>
      </c>
      <c r="IC224" s="28">
        <v>485</v>
      </c>
      <c r="IY224" s="8">
        <v>514</v>
      </c>
      <c r="JW224" s="6">
        <v>-123</v>
      </c>
      <c r="JX224" s="12">
        <v>728</v>
      </c>
      <c r="KE224" s="6">
        <v>36</v>
      </c>
      <c r="KF224" s="12">
        <v>86</v>
      </c>
      <c r="KT224" s="8">
        <v>-12</v>
      </c>
      <c r="KU224" s="28">
        <v>489</v>
      </c>
      <c r="LF224" s="8">
        <v>-145</v>
      </c>
      <c r="LG224" s="28">
        <v>95</v>
      </c>
      <c r="LJ224" s="8">
        <v>-147</v>
      </c>
      <c r="LK224" s="28">
        <v>786</v>
      </c>
      <c r="LW224" s="8">
        <v>-369</v>
      </c>
      <c r="LX224" s="28">
        <v>286</v>
      </c>
      <c r="MF224" s="8">
        <v>900</v>
      </c>
      <c r="MG224" s="12">
        <v>381</v>
      </c>
      <c r="NC224" s="8">
        <v>-72</v>
      </c>
      <c r="ND224" s="12">
        <v>107</v>
      </c>
      <c r="PP224" s="8">
        <v>-178</v>
      </c>
      <c r="PR224" s="12">
        <v>229</v>
      </c>
      <c r="TH224" s="8">
        <v>580</v>
      </c>
      <c r="TZ224" s="8">
        <v>102</v>
      </c>
      <c r="UA224" s="12">
        <v>612</v>
      </c>
      <c r="VH224" s="8">
        <v>-108</v>
      </c>
      <c r="VL224" s="21"/>
      <c r="VQ224" s="6">
        <v>-520</v>
      </c>
      <c r="VR224" s="28">
        <v>287</v>
      </c>
    </row>
    <row r="225" spans="22:590" x14ac:dyDescent="0.25">
      <c r="V225">
        <v>6</v>
      </c>
      <c r="W225" s="10">
        <v>148</v>
      </c>
      <c r="AJ225" s="2">
        <v>316</v>
      </c>
      <c r="AK225" s="10">
        <v>399</v>
      </c>
      <c r="BF225">
        <v>-5597</v>
      </c>
      <c r="BG225" s="1">
        <v>1612</v>
      </c>
      <c r="BT225">
        <v>148</v>
      </c>
      <c r="BU225" s="1">
        <v>647</v>
      </c>
      <c r="BV225" s="1"/>
      <c r="CE225" s="8">
        <v>142</v>
      </c>
      <c r="CF225" s="28">
        <v>186</v>
      </c>
      <c r="CZ225" s="23">
        <v>548</v>
      </c>
      <c r="DA225" s="25">
        <v>427</v>
      </c>
      <c r="DG225" s="25"/>
      <c r="DH225" s="23">
        <v>80</v>
      </c>
      <c r="DI225" s="25">
        <v>43</v>
      </c>
      <c r="DL225" s="8">
        <v>-5</v>
      </c>
      <c r="DS225" s="6">
        <v>266</v>
      </c>
      <c r="DT225" s="52">
        <v>642</v>
      </c>
      <c r="EA225" s="23">
        <v>13</v>
      </c>
      <c r="EB225" s="52">
        <v>144</v>
      </c>
      <c r="EC225" s="52"/>
      <c r="ED225" s="52"/>
      <c r="EG225" s="6">
        <v>682</v>
      </c>
      <c r="EH225" s="28">
        <v>200</v>
      </c>
      <c r="EI225" s="8">
        <v>-19</v>
      </c>
      <c r="EJ225" s="52">
        <v>192</v>
      </c>
      <c r="EN225" s="8">
        <v>271</v>
      </c>
      <c r="EO225" s="28">
        <v>30</v>
      </c>
      <c r="EX225" s="8">
        <v>713</v>
      </c>
      <c r="EY225" s="28">
        <v>930</v>
      </c>
      <c r="FD225" s="6">
        <v>959</v>
      </c>
      <c r="FE225" s="28">
        <v>435</v>
      </c>
      <c r="FM225" s="8">
        <v>113</v>
      </c>
      <c r="FN225" s="52">
        <v>163</v>
      </c>
      <c r="FS225" s="8">
        <v>-140</v>
      </c>
      <c r="FT225" s="52">
        <v>82</v>
      </c>
      <c r="GI225" s="8">
        <v>-251</v>
      </c>
      <c r="GJ225" s="28">
        <v>134</v>
      </c>
      <c r="GP225" s="6">
        <v>-45</v>
      </c>
      <c r="GQ225" s="52">
        <v>153</v>
      </c>
      <c r="GT225" s="6">
        <v>90</v>
      </c>
      <c r="GU225" s="52">
        <v>501</v>
      </c>
      <c r="HB225" s="6">
        <v>52</v>
      </c>
      <c r="HE225" s="6">
        <v>21</v>
      </c>
      <c r="HF225" s="28">
        <v>43</v>
      </c>
      <c r="HS225" s="8">
        <v>-805</v>
      </c>
      <c r="HT225" s="52">
        <v>415</v>
      </c>
      <c r="IB225" s="8">
        <v>-474</v>
      </c>
      <c r="IC225" s="28">
        <v>606</v>
      </c>
      <c r="IY225" s="8">
        <v>470</v>
      </c>
      <c r="JW225" s="6">
        <v>-471</v>
      </c>
      <c r="JX225" s="12">
        <v>198</v>
      </c>
      <c r="KE225" s="6">
        <v>-63</v>
      </c>
      <c r="KF225" s="12">
        <v>198</v>
      </c>
      <c r="KT225" s="8">
        <v>-4</v>
      </c>
      <c r="KU225" s="28">
        <v>74</v>
      </c>
      <c r="LF225" s="8">
        <v>-173</v>
      </c>
      <c r="LG225" s="28">
        <v>88</v>
      </c>
      <c r="LJ225" s="8">
        <v>-578</v>
      </c>
      <c r="LK225" s="28">
        <v>109</v>
      </c>
      <c r="LW225" s="8">
        <v>101</v>
      </c>
      <c r="LX225" s="28">
        <v>208</v>
      </c>
      <c r="MF225" s="8">
        <v>115</v>
      </c>
      <c r="MG225" s="12">
        <v>342</v>
      </c>
      <c r="NC225" s="8">
        <v>-6</v>
      </c>
      <c r="ND225" s="12">
        <v>9</v>
      </c>
      <c r="PP225" s="8">
        <v>80</v>
      </c>
      <c r="PR225" s="12">
        <v>251</v>
      </c>
      <c r="TH225" s="8">
        <v>571</v>
      </c>
      <c r="TZ225" s="8">
        <v>198</v>
      </c>
      <c r="UA225" s="12">
        <v>855</v>
      </c>
      <c r="VH225" s="8">
        <v>207</v>
      </c>
      <c r="VL225" s="21"/>
      <c r="VQ225" s="6">
        <v>-509</v>
      </c>
      <c r="VR225" s="28">
        <v>260</v>
      </c>
    </row>
    <row r="226" spans="22:590" x14ac:dyDescent="0.25">
      <c r="V226">
        <v>8</v>
      </c>
      <c r="W226" s="10">
        <v>202</v>
      </c>
      <c r="AJ226" s="2">
        <v>-206</v>
      </c>
      <c r="AK226" s="10">
        <v>323</v>
      </c>
      <c r="BF226">
        <v>395</v>
      </c>
      <c r="BG226" s="1">
        <v>553</v>
      </c>
      <c r="BT226">
        <v>167</v>
      </c>
      <c r="BU226" s="1">
        <v>64</v>
      </c>
      <c r="CE226" s="8">
        <v>12</v>
      </c>
      <c r="CF226" s="28">
        <v>91</v>
      </c>
      <c r="CZ226" s="23">
        <v>252</v>
      </c>
      <c r="DA226" s="25">
        <v>195</v>
      </c>
      <c r="DG226" s="25"/>
      <c r="DH226" s="23">
        <v>386</v>
      </c>
      <c r="DI226" s="25">
        <v>326</v>
      </c>
      <c r="DL226" s="8">
        <v>-7</v>
      </c>
      <c r="DS226" s="6">
        <v>-302</v>
      </c>
      <c r="DT226" s="52">
        <v>442</v>
      </c>
      <c r="EA226" s="23">
        <v>3</v>
      </c>
      <c r="EB226" s="52">
        <v>81</v>
      </c>
      <c r="EC226" s="52"/>
      <c r="ED226" s="52"/>
      <c r="EG226" s="6">
        <v>170</v>
      </c>
      <c r="EH226" s="28">
        <v>227</v>
      </c>
      <c r="EI226" s="8">
        <v>-714</v>
      </c>
      <c r="EJ226" s="52">
        <v>458</v>
      </c>
      <c r="EN226" s="8">
        <v>56</v>
      </c>
      <c r="EO226" s="28">
        <v>46</v>
      </c>
      <c r="EX226" s="8">
        <v>537</v>
      </c>
      <c r="EY226" s="28">
        <v>962</v>
      </c>
      <c r="FD226" s="6">
        <v>-226</v>
      </c>
      <c r="FE226" s="28">
        <v>409</v>
      </c>
      <c r="FM226" s="8">
        <v>824</v>
      </c>
      <c r="FN226" s="52">
        <v>272</v>
      </c>
      <c r="FS226" s="8">
        <v>-137</v>
      </c>
      <c r="FT226" s="52">
        <v>79</v>
      </c>
      <c r="GI226" s="8">
        <v>-80</v>
      </c>
      <c r="GJ226" s="28">
        <v>92</v>
      </c>
      <c r="GP226" s="6">
        <v>59</v>
      </c>
      <c r="GQ226" s="52">
        <v>165</v>
      </c>
      <c r="GT226" s="6">
        <v>45</v>
      </c>
      <c r="GU226" s="52">
        <v>281</v>
      </c>
      <c r="HB226" s="6">
        <v>126</v>
      </c>
      <c r="HE226" s="6">
        <v>26</v>
      </c>
      <c r="HF226" s="28">
        <v>24</v>
      </c>
      <c r="HS226" s="8">
        <v>-50</v>
      </c>
      <c r="HT226" s="52">
        <v>366</v>
      </c>
      <c r="IB226" s="8">
        <v>-528</v>
      </c>
      <c r="IC226" s="28">
        <v>660</v>
      </c>
      <c r="IY226" s="8">
        <v>440</v>
      </c>
      <c r="JW226" s="6">
        <v>-700</v>
      </c>
      <c r="JX226" s="12">
        <v>263</v>
      </c>
      <c r="KE226" s="6">
        <v>-281</v>
      </c>
      <c r="KF226" s="12">
        <v>466</v>
      </c>
      <c r="KT226" s="8">
        <v>-23</v>
      </c>
      <c r="KU226" s="28">
        <v>410</v>
      </c>
      <c r="LF226" s="8">
        <v>-72</v>
      </c>
      <c r="LG226" s="28">
        <v>73</v>
      </c>
      <c r="LJ226" s="8">
        <v>461</v>
      </c>
      <c r="LK226" s="28">
        <v>115</v>
      </c>
      <c r="LW226" s="8">
        <v>-278</v>
      </c>
      <c r="LX226" s="28">
        <v>245</v>
      </c>
      <c r="MF226" s="8">
        <v>782</v>
      </c>
      <c r="MG226" s="12">
        <v>152</v>
      </c>
      <c r="NC226" s="8">
        <v>37</v>
      </c>
      <c r="ND226" s="12">
        <v>119</v>
      </c>
      <c r="PP226" s="8">
        <v>257</v>
      </c>
      <c r="PR226" s="12">
        <v>508</v>
      </c>
      <c r="TH226" s="8">
        <v>548</v>
      </c>
      <c r="TZ226" s="8">
        <v>238</v>
      </c>
      <c r="UA226" s="12">
        <v>528</v>
      </c>
      <c r="VH226" s="8">
        <v>957</v>
      </c>
      <c r="VL226" s="21"/>
      <c r="VQ226" s="6">
        <v>-504</v>
      </c>
      <c r="VR226" s="28">
        <v>258</v>
      </c>
    </row>
    <row r="227" spans="22:590" x14ac:dyDescent="0.25">
      <c r="V227">
        <v>9</v>
      </c>
      <c r="W227" s="10">
        <v>488</v>
      </c>
      <c r="AJ227" s="2">
        <v>35</v>
      </c>
      <c r="AK227" s="10">
        <v>42</v>
      </c>
      <c r="BF227">
        <v>5834</v>
      </c>
      <c r="BG227" s="1">
        <v>1075</v>
      </c>
      <c r="BT227">
        <v>583</v>
      </c>
      <c r="BU227" s="1">
        <v>624</v>
      </c>
      <c r="CE227" s="8">
        <v>90</v>
      </c>
      <c r="CF227" s="28">
        <v>133</v>
      </c>
      <c r="CZ227" s="23">
        <v>-262</v>
      </c>
      <c r="DA227" s="25">
        <v>114</v>
      </c>
      <c r="DG227" s="25"/>
      <c r="DH227" s="23">
        <v>234</v>
      </c>
      <c r="DI227" s="25">
        <v>107</v>
      </c>
      <c r="DL227" s="8">
        <v>-5</v>
      </c>
      <c r="DS227" s="6">
        <v>-242</v>
      </c>
      <c r="DT227" s="52">
        <v>269</v>
      </c>
      <c r="EA227" s="23">
        <v>2</v>
      </c>
      <c r="EB227" s="52">
        <v>334</v>
      </c>
      <c r="EC227" s="52"/>
      <c r="ED227" s="52"/>
      <c r="EG227" s="6">
        <v>252</v>
      </c>
      <c r="EH227" s="28">
        <v>211</v>
      </c>
      <c r="EI227" s="8">
        <v>72</v>
      </c>
      <c r="EJ227" s="52">
        <v>395</v>
      </c>
      <c r="EN227" s="8">
        <v>139</v>
      </c>
      <c r="EO227" s="28">
        <v>25</v>
      </c>
      <c r="EX227" s="8">
        <v>409</v>
      </c>
      <c r="EY227" s="28">
        <v>939</v>
      </c>
      <c r="FD227" s="6">
        <v>-8</v>
      </c>
      <c r="FE227" s="28">
        <v>256</v>
      </c>
      <c r="FM227" s="8">
        <v>-539</v>
      </c>
      <c r="FN227" s="52">
        <v>49</v>
      </c>
      <c r="FS227" s="8">
        <v>-113</v>
      </c>
      <c r="FT227" s="52">
        <v>76</v>
      </c>
      <c r="GI227" s="8">
        <v>-147</v>
      </c>
      <c r="GJ227" s="28">
        <v>104</v>
      </c>
      <c r="GP227" s="6">
        <v>30</v>
      </c>
      <c r="GQ227" s="52">
        <v>36</v>
      </c>
      <c r="GT227" s="6">
        <v>4</v>
      </c>
      <c r="GU227" s="52">
        <v>153</v>
      </c>
      <c r="HB227" s="6">
        <v>10</v>
      </c>
      <c r="HE227" s="6">
        <v>8</v>
      </c>
      <c r="HF227" s="28">
        <v>40</v>
      </c>
      <c r="HS227" s="8">
        <v>-3</v>
      </c>
      <c r="HT227" s="52">
        <v>134</v>
      </c>
      <c r="IB227" s="8">
        <v>-561</v>
      </c>
      <c r="IC227" s="28">
        <v>490</v>
      </c>
      <c r="IY227" s="8">
        <v>-390</v>
      </c>
      <c r="JW227" s="6">
        <v>-599</v>
      </c>
      <c r="JX227" s="12">
        <v>239</v>
      </c>
      <c r="KE227" s="6">
        <v>-122</v>
      </c>
      <c r="KF227" s="12">
        <v>411</v>
      </c>
      <c r="KT227" s="8">
        <v>-856</v>
      </c>
      <c r="KU227" s="28">
        <v>381</v>
      </c>
      <c r="LF227" s="8">
        <v>-59</v>
      </c>
      <c r="LG227" s="28">
        <v>43</v>
      </c>
      <c r="LJ227" s="8">
        <v>-474</v>
      </c>
      <c r="LK227" s="28">
        <v>106</v>
      </c>
      <c r="LW227" s="8">
        <v>129</v>
      </c>
      <c r="LX227" s="28">
        <v>288</v>
      </c>
      <c r="MF227" s="8">
        <v>548</v>
      </c>
      <c r="MG227" s="12">
        <v>160</v>
      </c>
      <c r="NC227" s="8">
        <v>13</v>
      </c>
      <c r="ND227" s="12">
        <v>234</v>
      </c>
      <c r="PP227" s="8">
        <v>240</v>
      </c>
      <c r="PR227" s="12">
        <v>134</v>
      </c>
      <c r="TH227" s="8">
        <v>548</v>
      </c>
      <c r="TZ227" s="8">
        <v>245</v>
      </c>
      <c r="UA227" s="12">
        <v>445</v>
      </c>
      <c r="VH227" s="8">
        <v>532</v>
      </c>
      <c r="VL227" s="21"/>
      <c r="VQ227" s="6">
        <v>-484</v>
      </c>
      <c r="VR227" s="28">
        <v>261</v>
      </c>
    </row>
    <row r="228" spans="22:590" x14ac:dyDescent="0.25">
      <c r="V228">
        <v>7</v>
      </c>
      <c r="W228" s="10">
        <v>212</v>
      </c>
      <c r="AJ228" s="2">
        <v>-520</v>
      </c>
      <c r="AK228" s="10">
        <v>122</v>
      </c>
      <c r="BF228">
        <v>-1429</v>
      </c>
      <c r="BG228" s="1">
        <v>535</v>
      </c>
      <c r="BT228">
        <v>838</v>
      </c>
      <c r="BU228" s="1">
        <v>270</v>
      </c>
      <c r="CE228" s="8">
        <v>-127</v>
      </c>
      <c r="CF228" s="28">
        <v>136</v>
      </c>
      <c r="CZ228" s="23">
        <v>-145</v>
      </c>
      <c r="DA228" s="25">
        <v>201</v>
      </c>
      <c r="DG228" s="25"/>
      <c r="DH228" s="23">
        <v>-26</v>
      </c>
      <c r="DI228" s="25">
        <v>63</v>
      </c>
      <c r="DL228" s="8">
        <v>-7</v>
      </c>
      <c r="DS228" s="6">
        <v>-182</v>
      </c>
      <c r="DT228" s="52">
        <v>243</v>
      </c>
      <c r="EA228" s="23">
        <v>-346</v>
      </c>
      <c r="EB228" s="52">
        <v>-378</v>
      </c>
      <c r="EC228" s="52"/>
      <c r="ED228" s="52"/>
      <c r="EG228" s="6">
        <v>319</v>
      </c>
      <c r="EH228" s="28">
        <v>259</v>
      </c>
      <c r="EI228" s="8">
        <v>-172</v>
      </c>
      <c r="EJ228" s="52">
        <v>358</v>
      </c>
      <c r="EN228" s="8">
        <v>163</v>
      </c>
      <c r="EO228" s="28">
        <v>25</v>
      </c>
      <c r="EX228" s="8">
        <v>104</v>
      </c>
      <c r="EY228" s="28">
        <v>114</v>
      </c>
      <c r="FD228" s="6">
        <v>161</v>
      </c>
      <c r="FE228" s="28">
        <v>204</v>
      </c>
      <c r="FM228" s="8">
        <v>515</v>
      </c>
      <c r="FN228" s="52">
        <v>398</v>
      </c>
      <c r="FS228" s="8">
        <v>-137</v>
      </c>
      <c r="FT228" s="52">
        <v>80</v>
      </c>
      <c r="GI228" s="8">
        <v>-33</v>
      </c>
      <c r="GJ228" s="28">
        <v>91</v>
      </c>
      <c r="GP228" s="6">
        <v>-44</v>
      </c>
      <c r="GQ228" s="52">
        <v>235</v>
      </c>
      <c r="GT228" s="6">
        <v>2</v>
      </c>
      <c r="GU228" s="52">
        <v>935</v>
      </c>
      <c r="HB228" s="6">
        <v>-48</v>
      </c>
      <c r="HE228" s="6">
        <v>-9</v>
      </c>
      <c r="HF228" s="28">
        <v>84</v>
      </c>
      <c r="HS228" s="8">
        <v>-155</v>
      </c>
      <c r="HT228" s="52">
        <v>297</v>
      </c>
      <c r="IB228" s="8">
        <v>-498</v>
      </c>
      <c r="IC228" s="28">
        <v>487</v>
      </c>
      <c r="IY228" s="8">
        <v>363</v>
      </c>
      <c r="JW228" s="6">
        <v>-321</v>
      </c>
      <c r="JX228" s="12">
        <v>798</v>
      </c>
      <c r="KE228" s="6">
        <v>47</v>
      </c>
      <c r="KF228" s="12">
        <v>991</v>
      </c>
      <c r="KT228" s="8">
        <v>100</v>
      </c>
      <c r="KU228" s="28">
        <v>509</v>
      </c>
      <c r="LF228" s="8">
        <v>-69</v>
      </c>
      <c r="LG228" s="28">
        <v>30</v>
      </c>
      <c r="LJ228" s="8">
        <v>-189</v>
      </c>
      <c r="LK228" s="28">
        <v>113</v>
      </c>
      <c r="LW228" s="8">
        <v>84</v>
      </c>
      <c r="LX228" s="28">
        <v>262</v>
      </c>
      <c r="MF228" s="8">
        <v>-638</v>
      </c>
      <c r="MG228" s="12">
        <v>141</v>
      </c>
      <c r="NC228" s="8">
        <v>-54</v>
      </c>
      <c r="ND228" s="12">
        <v>178</v>
      </c>
      <c r="PP228" s="8">
        <v>-40</v>
      </c>
      <c r="PR228" s="12">
        <v>235</v>
      </c>
      <c r="TH228" s="8">
        <v>545</v>
      </c>
      <c r="TZ228" s="8">
        <v>205</v>
      </c>
      <c r="UA228" s="12">
        <v>407</v>
      </c>
      <c r="VH228" s="8">
        <v>155</v>
      </c>
      <c r="VL228" s="21"/>
      <c r="VQ228" s="6">
        <v>-475</v>
      </c>
      <c r="VR228" s="28">
        <v>258</v>
      </c>
    </row>
    <row r="229" spans="22:590" x14ac:dyDescent="0.25">
      <c r="V229">
        <v>6</v>
      </c>
      <c r="W229" s="10">
        <v>223</v>
      </c>
      <c r="AJ229" s="2">
        <v>-827</v>
      </c>
      <c r="AK229" s="10">
        <v>248</v>
      </c>
      <c r="BF229">
        <v>33</v>
      </c>
      <c r="BG229" s="1">
        <v>2</v>
      </c>
      <c r="BT229">
        <v>-111</v>
      </c>
      <c r="BU229" s="1">
        <v>768</v>
      </c>
      <c r="CE229" s="8">
        <v>-48</v>
      </c>
      <c r="CF229" s="28">
        <v>147</v>
      </c>
      <c r="CZ229" s="23">
        <v>-13</v>
      </c>
      <c r="DA229" s="25">
        <v>221</v>
      </c>
      <c r="DG229" s="25"/>
      <c r="DH229" s="23">
        <v>-186</v>
      </c>
      <c r="DI229" s="25">
        <v>772</v>
      </c>
      <c r="DL229" s="8">
        <v>-10</v>
      </c>
      <c r="DS229" s="6">
        <v>203</v>
      </c>
      <c r="DT229" s="52">
        <v>128</v>
      </c>
      <c r="EA229" s="23">
        <v>-344</v>
      </c>
      <c r="EB229" s="52">
        <v>-339</v>
      </c>
      <c r="EC229" s="52"/>
      <c r="ED229" s="52"/>
      <c r="EG229" s="6">
        <v>506</v>
      </c>
      <c r="EH229" s="28">
        <v>228</v>
      </c>
      <c r="EI229" s="8">
        <v>132</v>
      </c>
      <c r="EJ229" s="52">
        <v>637</v>
      </c>
      <c r="EN229" s="8">
        <v>-31</v>
      </c>
      <c r="EO229" s="28">
        <v>25</v>
      </c>
      <c r="EX229" s="8">
        <v>713</v>
      </c>
      <c r="EY229" s="28">
        <v>943</v>
      </c>
      <c r="FD229" s="6">
        <v>-173</v>
      </c>
      <c r="FE229" s="28">
        <v>674</v>
      </c>
      <c r="FM229" s="8">
        <v>45</v>
      </c>
      <c r="FN229" s="52">
        <v>37</v>
      </c>
      <c r="FS229" s="8">
        <v>-135</v>
      </c>
      <c r="FT229" s="52">
        <v>77</v>
      </c>
      <c r="GI229" s="8">
        <v>-119</v>
      </c>
      <c r="GJ229" s="28">
        <v>101</v>
      </c>
      <c r="GP229" s="6">
        <v>-25</v>
      </c>
      <c r="GQ229" s="52">
        <v>501</v>
      </c>
      <c r="GT229" s="6">
        <v>36</v>
      </c>
      <c r="GU229" s="52">
        <v>279</v>
      </c>
      <c r="HB229" s="6">
        <v>26</v>
      </c>
      <c r="HE229" s="6">
        <v>7</v>
      </c>
      <c r="HF229" s="28">
        <v>55</v>
      </c>
      <c r="HS229" s="8">
        <v>408</v>
      </c>
      <c r="HT229" s="52">
        <v>112</v>
      </c>
      <c r="IB229" s="8">
        <v>-107</v>
      </c>
      <c r="IC229" s="28">
        <v>219</v>
      </c>
      <c r="IY229" s="8">
        <v>158</v>
      </c>
      <c r="JW229" s="6">
        <v>-156</v>
      </c>
      <c r="JX229" s="12">
        <v>352</v>
      </c>
      <c r="KE229" s="6">
        <v>169</v>
      </c>
      <c r="KF229" s="12">
        <v>582</v>
      </c>
      <c r="KT229" s="8">
        <v>852</v>
      </c>
      <c r="KU229" s="28">
        <v>149</v>
      </c>
      <c r="LF229" s="8">
        <v>-38</v>
      </c>
      <c r="LG229" s="28">
        <v>45</v>
      </c>
      <c r="LJ229" s="8">
        <v>-125</v>
      </c>
      <c r="LK229" s="28">
        <v>768</v>
      </c>
      <c r="LW229" s="8">
        <v>113</v>
      </c>
      <c r="LX229" s="28">
        <v>324</v>
      </c>
      <c r="MF229" s="8">
        <v>927</v>
      </c>
      <c r="MG229" s="12">
        <v>443</v>
      </c>
      <c r="NC229" s="8">
        <v>3</v>
      </c>
      <c r="ND229" s="12">
        <v>224</v>
      </c>
      <c r="PP229" s="8">
        <v>11</v>
      </c>
      <c r="PR229" s="12">
        <v>243</v>
      </c>
      <c r="TH229" s="8">
        <v>646</v>
      </c>
      <c r="TZ229" s="8">
        <v>123</v>
      </c>
      <c r="UA229" s="12">
        <v>385</v>
      </c>
      <c r="VH229" s="8">
        <v>644</v>
      </c>
      <c r="VL229" s="21"/>
      <c r="VQ229" s="6">
        <v>628</v>
      </c>
      <c r="VR229" s="28">
        <v>186</v>
      </c>
    </row>
    <row r="230" spans="22:590" x14ac:dyDescent="0.25">
      <c r="V230">
        <v>19</v>
      </c>
      <c r="W230" s="10">
        <v>205</v>
      </c>
      <c r="AJ230" s="2">
        <v>-830</v>
      </c>
      <c r="AK230" s="10">
        <v>118</v>
      </c>
      <c r="BF230">
        <v>17</v>
      </c>
      <c r="BG230" s="1">
        <v>2</v>
      </c>
      <c r="BT230">
        <v>605</v>
      </c>
      <c r="BU230" s="1">
        <v>526</v>
      </c>
      <c r="CE230" s="8">
        <v>126</v>
      </c>
      <c r="CF230" s="28">
        <v>144</v>
      </c>
      <c r="CZ230" s="23">
        <v>5</v>
      </c>
      <c r="DA230" s="25">
        <v>114</v>
      </c>
      <c r="DG230" s="25"/>
      <c r="DH230" s="23">
        <v>81</v>
      </c>
      <c r="DI230" s="25">
        <v>45</v>
      </c>
      <c r="DL230" s="8">
        <v>-6</v>
      </c>
      <c r="DS230" s="6">
        <v>-52</v>
      </c>
      <c r="DT230" s="52">
        <v>583</v>
      </c>
      <c r="EA230" s="23">
        <v>-583</v>
      </c>
      <c r="EB230" s="52">
        <v>-636</v>
      </c>
      <c r="EC230" s="52"/>
      <c r="ED230" s="52"/>
      <c r="EG230" s="6">
        <v>577</v>
      </c>
      <c r="EH230" s="28">
        <v>270</v>
      </c>
      <c r="EI230" s="8">
        <v>247</v>
      </c>
      <c r="EJ230" s="52">
        <v>524</v>
      </c>
      <c r="EN230" s="8">
        <v>17</v>
      </c>
      <c r="EO230" s="28">
        <v>22</v>
      </c>
      <c r="EX230" s="8">
        <v>665</v>
      </c>
      <c r="EY230" s="28">
        <v>954</v>
      </c>
      <c r="FD230" s="6">
        <v>-702</v>
      </c>
      <c r="FE230" s="28">
        <v>136</v>
      </c>
      <c r="FM230" s="8">
        <v>92</v>
      </c>
      <c r="FN230" s="52">
        <v>70</v>
      </c>
      <c r="FS230" s="8">
        <v>-192</v>
      </c>
      <c r="FT230" s="52">
        <v>23</v>
      </c>
      <c r="GI230" s="8">
        <v>-239</v>
      </c>
      <c r="GJ230" s="28">
        <v>94</v>
      </c>
      <c r="GP230" s="6">
        <v>-34</v>
      </c>
      <c r="GQ230" s="52">
        <v>187</v>
      </c>
      <c r="GT230" s="6">
        <v>95</v>
      </c>
      <c r="GU230" s="52">
        <v>730</v>
      </c>
      <c r="HB230" s="6">
        <v>-47</v>
      </c>
      <c r="HE230" s="6">
        <v>-15</v>
      </c>
      <c r="HF230" s="28">
        <v>49</v>
      </c>
      <c r="HS230" s="8">
        <v>58</v>
      </c>
      <c r="HT230" s="52">
        <v>561</v>
      </c>
      <c r="IB230" s="8">
        <v>-232</v>
      </c>
      <c r="IC230" s="28">
        <v>240</v>
      </c>
      <c r="IY230" s="8">
        <v>116</v>
      </c>
      <c r="JW230" s="6">
        <v>-174</v>
      </c>
      <c r="JX230" s="12">
        <v>394</v>
      </c>
      <c r="KE230" s="6">
        <v>13</v>
      </c>
      <c r="KF230" s="12">
        <v>247</v>
      </c>
      <c r="KT230" s="8">
        <v>-10</v>
      </c>
      <c r="KU230" s="28">
        <v>2</v>
      </c>
      <c r="LF230" s="8">
        <v>-365</v>
      </c>
      <c r="LG230" s="28">
        <v>221</v>
      </c>
      <c r="LJ230" s="8">
        <v>480</v>
      </c>
      <c r="LK230" s="28">
        <v>110</v>
      </c>
      <c r="LW230" s="8">
        <v>-138</v>
      </c>
      <c r="LX230" s="28">
        <v>169</v>
      </c>
      <c r="MF230" s="8">
        <v>987</v>
      </c>
      <c r="MG230" s="12">
        <v>255</v>
      </c>
      <c r="NC230" s="8">
        <v>-65</v>
      </c>
      <c r="ND230" s="12">
        <v>166</v>
      </c>
      <c r="PP230" s="8">
        <v>971</v>
      </c>
      <c r="PR230" s="12">
        <v>237</v>
      </c>
      <c r="TZ230" s="8">
        <v>893</v>
      </c>
      <c r="UA230" s="12">
        <v>282</v>
      </c>
      <c r="VH230" s="8">
        <v>-92</v>
      </c>
      <c r="VL230" s="21"/>
      <c r="VQ230" s="6">
        <v>-627</v>
      </c>
      <c r="VR230" s="28">
        <v>189</v>
      </c>
    </row>
    <row r="231" spans="22:590" x14ac:dyDescent="0.25">
      <c r="V231">
        <v>20</v>
      </c>
      <c r="W231" s="10">
        <v>248</v>
      </c>
      <c r="AJ231" s="2">
        <v>-1550</v>
      </c>
      <c r="AK231" s="10">
        <v>283</v>
      </c>
      <c r="BT231">
        <v>447</v>
      </c>
      <c r="BU231" s="1">
        <v>255</v>
      </c>
      <c r="CE231" s="8">
        <v>89</v>
      </c>
      <c r="CF231" s="28">
        <v>151</v>
      </c>
      <c r="CZ231" s="23">
        <v>3</v>
      </c>
      <c r="DA231" s="25">
        <v>4</v>
      </c>
      <c r="DG231" s="25"/>
      <c r="DH231" s="23">
        <v>-117</v>
      </c>
      <c r="DI231" s="25">
        <v>226</v>
      </c>
      <c r="DL231" s="8">
        <v>189</v>
      </c>
      <c r="DS231" s="6">
        <v>42</v>
      </c>
      <c r="DT231" s="52">
        <v>99</v>
      </c>
      <c r="EA231" s="23">
        <v>-278</v>
      </c>
      <c r="EB231" s="52">
        <v>-444</v>
      </c>
      <c r="EC231" s="52"/>
      <c r="ED231" s="52"/>
      <c r="EG231" s="6">
        <v>113</v>
      </c>
      <c r="EH231" s="28">
        <v>225</v>
      </c>
      <c r="EI231" s="8">
        <v>335</v>
      </c>
      <c r="EJ231" s="52">
        <v>114</v>
      </c>
      <c r="EN231" s="8">
        <v>-4</v>
      </c>
      <c r="EO231" s="28">
        <v>41</v>
      </c>
      <c r="EX231" s="8">
        <v>863</v>
      </c>
      <c r="EY231" s="28">
        <v>981</v>
      </c>
      <c r="FD231" s="6">
        <v>524</v>
      </c>
      <c r="FE231" s="28">
        <v>136</v>
      </c>
      <c r="FM231" s="8">
        <v>193</v>
      </c>
      <c r="FN231" s="52">
        <v>100</v>
      </c>
      <c r="FS231" s="8">
        <v>890</v>
      </c>
      <c r="FT231" s="52">
        <v>285</v>
      </c>
      <c r="GI231" s="8">
        <v>-303</v>
      </c>
      <c r="GJ231" s="28">
        <v>129</v>
      </c>
      <c r="GP231" s="6">
        <v>-113</v>
      </c>
      <c r="GQ231" s="52">
        <v>439</v>
      </c>
      <c r="GT231" s="6">
        <v>-853</v>
      </c>
      <c r="GU231" s="52">
        <v>114</v>
      </c>
      <c r="HB231" s="6">
        <v>-6</v>
      </c>
      <c r="HE231" s="6">
        <v>-31</v>
      </c>
      <c r="HF231" s="28">
        <v>44</v>
      </c>
      <c r="HS231" s="8">
        <v>6</v>
      </c>
      <c r="HT231" s="52">
        <v>334</v>
      </c>
      <c r="IB231" s="8">
        <v>-197</v>
      </c>
      <c r="IC231" s="28">
        <v>218</v>
      </c>
      <c r="IY231" s="8">
        <v>168</v>
      </c>
      <c r="JW231" s="6">
        <v>410</v>
      </c>
      <c r="JX231" s="12">
        <v>109</v>
      </c>
      <c r="KE231" s="6">
        <v>120</v>
      </c>
      <c r="KF231" s="12">
        <v>393</v>
      </c>
      <c r="KT231" s="8">
        <v>-812</v>
      </c>
      <c r="KU231" s="28">
        <v>375</v>
      </c>
      <c r="LF231" s="8">
        <v>-297</v>
      </c>
      <c r="LG231" s="28">
        <v>182</v>
      </c>
      <c r="LJ231" s="8">
        <v>-305</v>
      </c>
      <c r="LK231" s="28">
        <v>773</v>
      </c>
      <c r="LW231" s="8">
        <v>881</v>
      </c>
      <c r="LX231" s="28">
        <v>568</v>
      </c>
      <c r="MF231" s="8">
        <v>120</v>
      </c>
      <c r="MG231" s="12">
        <v>287</v>
      </c>
      <c r="NC231" s="8">
        <v>10</v>
      </c>
      <c r="ND231" s="12">
        <v>23</v>
      </c>
      <c r="PP231" s="8">
        <v>762</v>
      </c>
      <c r="PR231" s="12">
        <v>237</v>
      </c>
      <c r="TZ231" s="8">
        <v>-338</v>
      </c>
      <c r="UA231" s="12">
        <v>367</v>
      </c>
      <c r="VH231" s="8">
        <v>311</v>
      </c>
      <c r="VL231" s="21"/>
      <c r="VQ231" s="6">
        <v>-638</v>
      </c>
      <c r="VR231" s="28">
        <v>190</v>
      </c>
    </row>
    <row r="232" spans="22:590" x14ac:dyDescent="0.25">
      <c r="V232">
        <v>19</v>
      </c>
      <c r="W232" s="10">
        <v>216</v>
      </c>
      <c r="AJ232" s="2">
        <v>-3958</v>
      </c>
      <c r="AK232" s="10">
        <v>395</v>
      </c>
      <c r="BT232">
        <v>353</v>
      </c>
      <c r="BU232" s="1">
        <v>489</v>
      </c>
      <c r="CE232" s="8">
        <v>102</v>
      </c>
      <c r="CF232" s="28">
        <v>107</v>
      </c>
      <c r="CZ232" s="23">
        <v>14</v>
      </c>
      <c r="DA232" s="25">
        <v>7</v>
      </c>
      <c r="DG232" s="25"/>
      <c r="DH232" s="23">
        <v>-305</v>
      </c>
      <c r="DI232" s="25">
        <v>251</v>
      </c>
      <c r="DL232" s="8">
        <v>-17</v>
      </c>
      <c r="DS232" s="8">
        <f>14</f>
        <v>14</v>
      </c>
      <c r="DT232" s="52">
        <v>64</v>
      </c>
      <c r="EA232" s="23">
        <v>-465</v>
      </c>
      <c r="EB232" s="52">
        <v>-142</v>
      </c>
      <c r="EC232" s="52"/>
      <c r="ED232" s="52"/>
      <c r="EG232" s="6">
        <v>200</v>
      </c>
      <c r="EH232" s="28">
        <v>275</v>
      </c>
      <c r="EI232" s="8">
        <v>953</v>
      </c>
      <c r="EJ232" s="52">
        <v>410</v>
      </c>
      <c r="EN232" s="8">
        <v>-58</v>
      </c>
      <c r="EO232" s="28">
        <v>27</v>
      </c>
      <c r="EX232" s="8">
        <v>343</v>
      </c>
      <c r="EY232" s="28">
        <v>118</v>
      </c>
      <c r="FD232" s="6">
        <v>-394</v>
      </c>
      <c r="FE232" s="28">
        <v>981</v>
      </c>
      <c r="FM232" s="8">
        <v>-334</v>
      </c>
      <c r="FN232" s="52">
        <v>265</v>
      </c>
      <c r="FS232" s="8">
        <v>779</v>
      </c>
      <c r="FT232" s="52">
        <v>223</v>
      </c>
      <c r="GI232" s="8">
        <v>-233</v>
      </c>
      <c r="GJ232" s="28">
        <v>115</v>
      </c>
      <c r="GP232" s="6">
        <v>-56</v>
      </c>
      <c r="GQ232" s="52">
        <v>288</v>
      </c>
      <c r="GT232" s="6">
        <v>-783</v>
      </c>
      <c r="GU232" s="52">
        <v>111</v>
      </c>
      <c r="HB232" s="6">
        <v>11</v>
      </c>
      <c r="HE232" s="6">
        <v>16</v>
      </c>
      <c r="HF232" s="28">
        <v>21</v>
      </c>
      <c r="HS232" s="8">
        <v>-2</v>
      </c>
      <c r="HT232" s="52">
        <v>145</v>
      </c>
      <c r="IB232" s="8">
        <v>-351</v>
      </c>
      <c r="IC232" s="28">
        <v>235</v>
      </c>
      <c r="IY232" s="8">
        <v>410</v>
      </c>
      <c r="JW232" s="6">
        <v>611</v>
      </c>
      <c r="JX232" s="12">
        <v>153</v>
      </c>
      <c r="KE232" s="6">
        <v>1</v>
      </c>
      <c r="KF232" s="12">
        <v>27</v>
      </c>
      <c r="KT232" s="8">
        <v>127</v>
      </c>
      <c r="KU232" s="28">
        <v>444</v>
      </c>
      <c r="LF232" s="8">
        <v>-442</v>
      </c>
      <c r="LG232" s="28">
        <v>148</v>
      </c>
      <c r="LJ232" s="8">
        <v>-188</v>
      </c>
      <c r="LK232" s="28">
        <v>933</v>
      </c>
      <c r="LW232" s="8">
        <v>-239</v>
      </c>
      <c r="LX232" s="28">
        <v>399</v>
      </c>
      <c r="MF232" s="8">
        <v>507</v>
      </c>
      <c r="MG232" s="12">
        <v>92</v>
      </c>
      <c r="NC232" s="8">
        <v>87</v>
      </c>
      <c r="ND232" s="12">
        <v>84</v>
      </c>
      <c r="PP232" s="8">
        <v>-173</v>
      </c>
      <c r="PR232" s="12">
        <v>262</v>
      </c>
      <c r="TZ232" s="8">
        <v>-62</v>
      </c>
      <c r="UA232" s="12">
        <v>178</v>
      </c>
      <c r="VH232" s="8">
        <v>-5</v>
      </c>
      <c r="VL232" s="21"/>
      <c r="VQ232" s="6">
        <v>-673</v>
      </c>
      <c r="VR232" s="28">
        <v>197</v>
      </c>
    </row>
    <row r="233" spans="22:590" x14ac:dyDescent="0.25">
      <c r="V233">
        <v>18</v>
      </c>
      <c r="W233" s="10">
        <v>194</v>
      </c>
      <c r="AJ233" s="2">
        <v>-680</v>
      </c>
      <c r="AK233" s="10">
        <v>55</v>
      </c>
      <c r="BT233">
        <v>-210</v>
      </c>
      <c r="BU233" s="1">
        <v>251</v>
      </c>
      <c r="CE233" s="8">
        <v>5</v>
      </c>
      <c r="CF233" s="28">
        <v>154</v>
      </c>
      <c r="CZ233" s="23">
        <v>-44</v>
      </c>
      <c r="DA233" s="25">
        <v>18</v>
      </c>
      <c r="DG233" s="25"/>
      <c r="DH233" s="86">
        <v>-782</v>
      </c>
      <c r="DI233" s="25">
        <v>273</v>
      </c>
      <c r="DL233" s="8">
        <v>-23</v>
      </c>
      <c r="DS233" s="6">
        <v>17</v>
      </c>
      <c r="DT233" s="52">
        <v>76</v>
      </c>
      <c r="EA233" s="23">
        <v>-226</v>
      </c>
      <c r="EB233" s="52">
        <v>-575</v>
      </c>
      <c r="EC233" s="52"/>
      <c r="ED233" s="52"/>
      <c r="EG233" s="6">
        <v>-415</v>
      </c>
      <c r="EH233" s="28">
        <v>468</v>
      </c>
      <c r="EI233" s="8">
        <v>-977</v>
      </c>
      <c r="EJ233" s="52">
        <v>117</v>
      </c>
      <c r="EN233" s="8">
        <v>-67</v>
      </c>
      <c r="EO233" s="28">
        <v>42</v>
      </c>
      <c r="EX233" s="8">
        <v>825</v>
      </c>
      <c r="EY233" s="28">
        <v>923</v>
      </c>
      <c r="FD233" s="6">
        <v>-297</v>
      </c>
      <c r="FE233" s="28">
        <v>190</v>
      </c>
      <c r="FM233" s="8">
        <v>152</v>
      </c>
      <c r="FN233" s="52">
        <v>204</v>
      </c>
      <c r="FS233" s="8">
        <v>-175</v>
      </c>
      <c r="FT233" s="52">
        <v>21</v>
      </c>
      <c r="GI233" s="8">
        <v>18</v>
      </c>
      <c r="GJ233" s="28">
        <v>20</v>
      </c>
      <c r="GP233" s="6">
        <v>-173</v>
      </c>
      <c r="GQ233" s="52">
        <v>655</v>
      </c>
      <c r="GT233" s="6">
        <v>344</v>
      </c>
      <c r="GU233" s="52">
        <v>183</v>
      </c>
      <c r="HB233" s="6">
        <v>34</v>
      </c>
      <c r="HE233" s="6">
        <v>3</v>
      </c>
      <c r="HF233" s="28">
        <v>43</v>
      </c>
      <c r="HS233" s="8">
        <v>-48</v>
      </c>
      <c r="HT233" s="52">
        <v>169</v>
      </c>
      <c r="IB233" s="8">
        <v>261</v>
      </c>
      <c r="IC233" s="28">
        <v>111</v>
      </c>
      <c r="IY233" s="8">
        <v>-103</v>
      </c>
      <c r="JW233" s="6">
        <v>630</v>
      </c>
      <c r="JX233" s="12">
        <v>158</v>
      </c>
      <c r="KE233" s="6">
        <v>-394</v>
      </c>
      <c r="KF233" s="12">
        <v>131</v>
      </c>
      <c r="KT233" s="8">
        <v>-188</v>
      </c>
      <c r="KU233" s="28">
        <v>793</v>
      </c>
      <c r="LF233" s="8">
        <v>-530</v>
      </c>
      <c r="LG233" s="28">
        <v>141</v>
      </c>
      <c r="LJ233" s="8">
        <v>-595</v>
      </c>
      <c r="LK233" s="28">
        <v>954</v>
      </c>
      <c r="LW233" s="8">
        <v>779</v>
      </c>
      <c r="LX233" s="28">
        <v>67</v>
      </c>
      <c r="MF233" s="8">
        <v>286</v>
      </c>
      <c r="MG233" s="12">
        <v>29</v>
      </c>
      <c r="NC233" s="8">
        <v>-122</v>
      </c>
      <c r="ND233" s="12">
        <v>215</v>
      </c>
      <c r="PP233" s="8">
        <v>-204</v>
      </c>
      <c r="PR233" s="12">
        <v>159</v>
      </c>
      <c r="TZ233" s="8">
        <v>131</v>
      </c>
      <c r="UA233" s="12">
        <v>119</v>
      </c>
      <c r="VH233" s="8">
        <v>32</v>
      </c>
      <c r="VL233" s="21"/>
      <c r="VQ233" s="6">
        <v>-646</v>
      </c>
      <c r="VR233" s="28">
        <v>194</v>
      </c>
    </row>
    <row r="234" spans="22:590" x14ac:dyDescent="0.25">
      <c r="V234">
        <v>20</v>
      </c>
      <c r="W234" s="10">
        <v>243</v>
      </c>
      <c r="AJ234" s="2">
        <v>-6468</v>
      </c>
      <c r="AK234" s="10">
        <v>307</v>
      </c>
      <c r="BT234">
        <v>-277</v>
      </c>
      <c r="BU234" s="1">
        <v>205</v>
      </c>
      <c r="CE234" s="8">
        <v>129</v>
      </c>
      <c r="CF234" s="28">
        <v>128</v>
      </c>
      <c r="CZ234" s="23">
        <v>-3</v>
      </c>
      <c r="DA234" s="25">
        <v>7</v>
      </c>
      <c r="DG234" s="25"/>
      <c r="DH234" s="86">
        <v>-558</v>
      </c>
      <c r="DI234" s="25">
        <v>295</v>
      </c>
      <c r="DL234" s="8">
        <v>5</v>
      </c>
      <c r="DS234" s="6">
        <v>45</v>
      </c>
      <c r="DT234" s="52">
        <v>101</v>
      </c>
      <c r="EA234" s="23">
        <v>153</v>
      </c>
      <c r="EB234" s="52">
        <v>468</v>
      </c>
      <c r="EC234" s="52"/>
      <c r="ED234" s="52"/>
      <c r="EG234" s="6">
        <v>-411</v>
      </c>
      <c r="EH234" s="28">
        <v>460</v>
      </c>
      <c r="EI234" s="8">
        <v>-764</v>
      </c>
      <c r="EJ234" s="52">
        <v>107</v>
      </c>
      <c r="EN234" s="8">
        <v>-35</v>
      </c>
      <c r="EO234" s="28">
        <v>17</v>
      </c>
      <c r="EX234" s="8">
        <v>594</v>
      </c>
      <c r="EY234" s="28">
        <v>101</v>
      </c>
      <c r="FD234" s="6">
        <v>214</v>
      </c>
      <c r="FE234" s="28">
        <v>143</v>
      </c>
      <c r="FM234" s="8">
        <v>96</v>
      </c>
      <c r="FN234" s="52">
        <v>86</v>
      </c>
      <c r="FS234" s="8">
        <v>897</v>
      </c>
      <c r="FT234" s="52">
        <v>287</v>
      </c>
      <c r="GI234" s="8">
        <v>9</v>
      </c>
      <c r="GJ234" s="28">
        <v>14</v>
      </c>
      <c r="GP234" s="6">
        <v>-44</v>
      </c>
      <c r="GQ234" s="52">
        <v>269</v>
      </c>
      <c r="GT234" s="6">
        <v>292</v>
      </c>
      <c r="GU234" s="52">
        <v>115</v>
      </c>
      <c r="HB234" s="6">
        <v>195</v>
      </c>
      <c r="HE234" s="6">
        <v>33</v>
      </c>
      <c r="HF234" s="28">
        <v>79</v>
      </c>
      <c r="HS234" s="8">
        <v>62</v>
      </c>
      <c r="HT234" s="52">
        <v>83</v>
      </c>
      <c r="IB234" s="8">
        <v>212</v>
      </c>
      <c r="IC234" s="28">
        <v>111</v>
      </c>
      <c r="IY234" s="8">
        <v>435</v>
      </c>
      <c r="JW234" s="6">
        <v>-635</v>
      </c>
      <c r="JX234" s="12">
        <v>419</v>
      </c>
      <c r="KE234" s="6">
        <v>71</v>
      </c>
      <c r="KF234" s="12">
        <v>133</v>
      </c>
      <c r="KT234" s="8">
        <v>-240</v>
      </c>
      <c r="KU234" s="28">
        <v>792</v>
      </c>
      <c r="LF234" s="8">
        <v>-70</v>
      </c>
      <c r="LG234" s="28">
        <v>79</v>
      </c>
      <c r="LJ234" s="8">
        <v>-166</v>
      </c>
      <c r="LK234" s="28">
        <v>160</v>
      </c>
      <c r="LW234" s="8">
        <v>-269</v>
      </c>
      <c r="LX234" s="28">
        <v>78</v>
      </c>
      <c r="MF234" s="8">
        <v>121</v>
      </c>
      <c r="MG234" s="12">
        <v>253</v>
      </c>
      <c r="NC234" s="8">
        <v>-79</v>
      </c>
      <c r="ND234" s="12">
        <v>141</v>
      </c>
      <c r="PP234" s="8">
        <v>978</v>
      </c>
      <c r="PR234" s="12">
        <v>191</v>
      </c>
      <c r="TZ234" s="8">
        <v>261</v>
      </c>
      <c r="UA234" s="12">
        <v>132</v>
      </c>
      <c r="VH234" s="8">
        <v>-243</v>
      </c>
      <c r="VL234" s="21"/>
      <c r="VQ234" s="6">
        <v>-608</v>
      </c>
      <c r="VR234" s="28">
        <v>189</v>
      </c>
    </row>
    <row r="235" spans="22:590" x14ac:dyDescent="0.25">
      <c r="V235">
        <v>-3</v>
      </c>
      <c r="W235" s="10">
        <v>23</v>
      </c>
      <c r="AJ235" s="2">
        <v>-2606</v>
      </c>
      <c r="AK235" s="10">
        <v>112</v>
      </c>
      <c r="BT235">
        <v>201</v>
      </c>
      <c r="BU235" s="1">
        <v>224</v>
      </c>
      <c r="CE235" s="8">
        <v>93</v>
      </c>
      <c r="CF235" s="28">
        <v>178</v>
      </c>
      <c r="CZ235" s="23">
        <v>134</v>
      </c>
      <c r="DA235" s="25">
        <v>67</v>
      </c>
      <c r="DH235" s="86">
        <v>-323</v>
      </c>
      <c r="DI235" s="25">
        <v>293</v>
      </c>
      <c r="DL235" s="8">
        <v>-4</v>
      </c>
      <c r="DS235" s="6">
        <v>25</v>
      </c>
      <c r="DT235" s="52">
        <v>117</v>
      </c>
      <c r="EA235" s="23">
        <v>12</v>
      </c>
      <c r="EB235" s="52">
        <v>136</v>
      </c>
      <c r="EC235" s="52"/>
      <c r="ED235" s="52"/>
      <c r="EG235" s="6">
        <v>-425</v>
      </c>
      <c r="EH235" s="28">
        <v>459</v>
      </c>
      <c r="EI235" s="8">
        <v>-390</v>
      </c>
      <c r="EJ235" s="52">
        <v>596</v>
      </c>
      <c r="EN235" s="8">
        <v>1</v>
      </c>
      <c r="EO235" s="28">
        <v>26</v>
      </c>
      <c r="EX235" s="8">
        <v>648</v>
      </c>
      <c r="EY235" s="28">
        <v>933</v>
      </c>
      <c r="FD235" s="6">
        <v>724</v>
      </c>
      <c r="FE235" s="28">
        <v>220</v>
      </c>
      <c r="FM235" s="8">
        <v>87</v>
      </c>
      <c r="FN235" s="52">
        <v>147</v>
      </c>
      <c r="FS235" s="8">
        <v>785</v>
      </c>
      <c r="FT235" s="52">
        <v>224</v>
      </c>
      <c r="GI235" s="8">
        <v>-18</v>
      </c>
      <c r="GJ235" s="28">
        <v>15</v>
      </c>
      <c r="GP235" s="6">
        <v>-62</v>
      </c>
      <c r="GQ235" s="52">
        <v>299</v>
      </c>
      <c r="GT235" s="6">
        <v>-825</v>
      </c>
      <c r="GU235" s="52">
        <v>641</v>
      </c>
      <c r="HB235" s="6">
        <v>64</v>
      </c>
      <c r="HE235" s="6">
        <v>-48</v>
      </c>
      <c r="HF235" s="28">
        <v>65</v>
      </c>
      <c r="HS235" s="8">
        <v>4</v>
      </c>
      <c r="HT235" s="52">
        <v>23</v>
      </c>
      <c r="IB235" s="8">
        <v>-107</v>
      </c>
      <c r="IC235" s="28">
        <v>219</v>
      </c>
      <c r="IY235" s="8">
        <v>-188</v>
      </c>
      <c r="JW235" s="6">
        <v>-394</v>
      </c>
      <c r="JX235" s="12">
        <v>259</v>
      </c>
      <c r="KT235" s="8">
        <v>-538</v>
      </c>
      <c r="KU235" s="28">
        <v>266</v>
      </c>
      <c r="LF235" s="8">
        <v>-130</v>
      </c>
      <c r="LG235" s="28">
        <v>66</v>
      </c>
      <c r="LJ235" s="8">
        <v>377</v>
      </c>
      <c r="LK235" s="28">
        <v>104</v>
      </c>
      <c r="LW235" s="8">
        <v>224</v>
      </c>
      <c r="LX235" s="28">
        <v>707</v>
      </c>
      <c r="MF235" s="8">
        <v>827</v>
      </c>
      <c r="MG235" s="12">
        <v>338</v>
      </c>
      <c r="NC235" s="8">
        <v>-79</v>
      </c>
      <c r="ND235" s="12">
        <v>119</v>
      </c>
      <c r="PP235" s="8">
        <v>-275</v>
      </c>
      <c r="PR235" s="12">
        <v>328</v>
      </c>
      <c r="TZ235" s="8">
        <v>328</v>
      </c>
      <c r="UA235" s="12">
        <v>920</v>
      </c>
      <c r="VH235" s="8">
        <v>296</v>
      </c>
      <c r="VL235" s="21"/>
      <c r="VQ235" s="6">
        <v>317</v>
      </c>
      <c r="VR235" s="28">
        <v>795</v>
      </c>
    </row>
    <row r="236" spans="22:590" x14ac:dyDescent="0.25">
      <c r="V236">
        <v>17</v>
      </c>
      <c r="W236" s="10">
        <v>93</v>
      </c>
      <c r="AJ236" s="2">
        <v>-22</v>
      </c>
      <c r="AK236" s="10">
        <v>52</v>
      </c>
      <c r="BT236">
        <v>-219</v>
      </c>
      <c r="BU236" s="1">
        <v>774</v>
      </c>
      <c r="CE236" s="8">
        <v>42</v>
      </c>
      <c r="CF236" s="28">
        <v>138</v>
      </c>
      <c r="CZ236" s="23">
        <v>-153</v>
      </c>
      <c r="DA236" s="25">
        <v>88</v>
      </c>
      <c r="DH236" s="86">
        <v>-285</v>
      </c>
      <c r="DI236" s="25">
        <v>305</v>
      </c>
      <c r="DL236" s="8">
        <v>2</v>
      </c>
      <c r="DS236" s="6">
        <v>41</v>
      </c>
      <c r="DT236" s="52">
        <v>96</v>
      </c>
      <c r="EA236" s="23">
        <v>-408</v>
      </c>
      <c r="EB236" s="52">
        <v>-497</v>
      </c>
      <c r="EC236" s="52"/>
      <c r="ED236" s="52"/>
      <c r="EG236" s="6">
        <v>-430</v>
      </c>
      <c r="EH236" s="28">
        <v>462</v>
      </c>
      <c r="EI236" s="8">
        <v>-125</v>
      </c>
      <c r="EJ236" s="52">
        <v>76</v>
      </c>
      <c r="EN236" s="8">
        <v>4</v>
      </c>
      <c r="EO236" s="28">
        <v>25</v>
      </c>
      <c r="EX236" s="8">
        <v>325</v>
      </c>
      <c r="EY236" s="28">
        <v>125</v>
      </c>
      <c r="FD236" s="6">
        <v>-145</v>
      </c>
      <c r="FE236" s="28">
        <v>648</v>
      </c>
      <c r="FM236" s="8">
        <v>245</v>
      </c>
      <c r="FN236" s="52">
        <v>222</v>
      </c>
      <c r="FS236" s="8">
        <v>-175</v>
      </c>
      <c r="FT236" s="52">
        <v>21</v>
      </c>
      <c r="GI236" s="8">
        <v>25</v>
      </c>
      <c r="GJ236" s="28">
        <v>30</v>
      </c>
      <c r="GP236" s="6">
        <v>-43</v>
      </c>
      <c r="GQ236" s="52">
        <v>310</v>
      </c>
      <c r="GT236" s="6">
        <v>-271</v>
      </c>
      <c r="GU236" s="52">
        <v>125</v>
      </c>
      <c r="HB236" s="6">
        <v>76</v>
      </c>
      <c r="HE236" s="6">
        <v>99</v>
      </c>
      <c r="HF236" s="28">
        <v>77</v>
      </c>
      <c r="HS236" s="8">
        <v>1</v>
      </c>
      <c r="HT236" s="52">
        <v>21</v>
      </c>
      <c r="IB236" s="8">
        <v>-231</v>
      </c>
      <c r="IC236" s="28">
        <v>239</v>
      </c>
      <c r="IY236" s="8">
        <v>636</v>
      </c>
      <c r="JW236" s="6">
        <v>-476</v>
      </c>
      <c r="JX236" s="12">
        <v>313</v>
      </c>
      <c r="KT236" s="8">
        <v>287</v>
      </c>
      <c r="KU236" s="28">
        <v>725</v>
      </c>
      <c r="LF236" s="8">
        <v>-155</v>
      </c>
      <c r="LG236" s="28">
        <v>63</v>
      </c>
      <c r="LJ236" s="8">
        <v>-178</v>
      </c>
      <c r="LK236" s="28">
        <v>102</v>
      </c>
      <c r="LW236" s="8">
        <v>-193</v>
      </c>
      <c r="LX236" s="28">
        <v>489</v>
      </c>
      <c r="MF236" s="8">
        <v>517</v>
      </c>
      <c r="MG236" s="12">
        <v>354</v>
      </c>
      <c r="NC236" s="8">
        <v>264</v>
      </c>
      <c r="ND236" s="12">
        <v>147</v>
      </c>
      <c r="PP236" s="8">
        <v>228</v>
      </c>
      <c r="PR236" s="12">
        <v>552</v>
      </c>
      <c r="TZ236" s="8">
        <v>324</v>
      </c>
      <c r="UA236" s="12">
        <v>807</v>
      </c>
      <c r="VH236" s="8">
        <v>769</v>
      </c>
      <c r="VL236" s="21"/>
      <c r="VQ236" s="6">
        <v>319</v>
      </c>
      <c r="VR236" s="28">
        <v>812</v>
      </c>
    </row>
    <row r="237" spans="22:590" x14ac:dyDescent="0.25">
      <c r="V237">
        <v>22</v>
      </c>
      <c r="W237" s="10">
        <v>257</v>
      </c>
      <c r="AJ237" s="2">
        <v>-107</v>
      </c>
      <c r="AK237" s="10">
        <v>283</v>
      </c>
      <c r="BT237">
        <v>163</v>
      </c>
      <c r="BU237" s="1">
        <v>311</v>
      </c>
      <c r="CE237" s="8">
        <v>90</v>
      </c>
      <c r="CF237" s="28">
        <v>231</v>
      </c>
      <c r="CZ237" s="23">
        <v>72</v>
      </c>
      <c r="DA237" s="25">
        <v>75</v>
      </c>
      <c r="DH237" s="86">
        <v>-485</v>
      </c>
      <c r="DI237" s="25">
        <v>322</v>
      </c>
      <c r="DL237" s="8">
        <v>1</v>
      </c>
      <c r="DS237" s="6">
        <v>106</v>
      </c>
      <c r="DT237" s="52">
        <v>194</v>
      </c>
      <c r="EA237" s="23">
        <v>-116</v>
      </c>
      <c r="EB237" s="52">
        <v>-699</v>
      </c>
      <c r="EC237" s="52"/>
      <c r="ED237" s="52"/>
      <c r="EG237" s="6">
        <v>-431</v>
      </c>
      <c r="EH237" s="28">
        <v>463</v>
      </c>
      <c r="EI237" s="8">
        <v>-62</v>
      </c>
      <c r="EJ237" s="52">
        <v>401</v>
      </c>
      <c r="EN237" s="8">
        <v>60</v>
      </c>
      <c r="EO237" s="28">
        <v>51</v>
      </c>
      <c r="EX237" s="8">
        <v>700</v>
      </c>
      <c r="EY237" s="28">
        <v>947</v>
      </c>
      <c r="FD237" s="6">
        <v>291</v>
      </c>
      <c r="FE237" s="28">
        <v>541</v>
      </c>
      <c r="FM237" s="8">
        <v>-17</v>
      </c>
      <c r="FN237" s="52">
        <v>52</v>
      </c>
      <c r="FS237" s="8">
        <v>897</v>
      </c>
      <c r="FT237" s="52">
        <v>287</v>
      </c>
      <c r="GI237" s="8">
        <v>22</v>
      </c>
      <c r="GJ237" s="28">
        <v>47</v>
      </c>
      <c r="GP237" s="6">
        <v>-21</v>
      </c>
      <c r="GQ237" s="52">
        <v>193</v>
      </c>
      <c r="GT237" s="6">
        <v>112</v>
      </c>
      <c r="GU237" s="52">
        <v>686</v>
      </c>
      <c r="HB237" s="6">
        <v>-52</v>
      </c>
      <c r="HE237" s="6">
        <v>99</v>
      </c>
      <c r="HF237" s="28">
        <v>48</v>
      </c>
      <c r="HS237" s="8">
        <v>-371</v>
      </c>
      <c r="HT237" s="52">
        <v>197</v>
      </c>
      <c r="IB237" s="8">
        <v>709</v>
      </c>
      <c r="IC237" s="28">
        <v>378</v>
      </c>
      <c r="IY237" s="8">
        <v>123</v>
      </c>
      <c r="JW237" s="6">
        <v>-551</v>
      </c>
      <c r="JX237" s="12">
        <v>335</v>
      </c>
      <c r="KT237" s="8">
        <v>595</v>
      </c>
      <c r="KU237" s="28">
        <v>783</v>
      </c>
      <c r="LF237" s="8">
        <v>-132</v>
      </c>
      <c r="LG237" s="28">
        <v>68</v>
      </c>
      <c r="LJ237" s="8">
        <v>347</v>
      </c>
      <c r="LK237" s="28">
        <v>217</v>
      </c>
      <c r="LW237" s="8">
        <v>657</v>
      </c>
      <c r="LX237" s="28">
        <v>82</v>
      </c>
      <c r="MF237" s="8">
        <v>121</v>
      </c>
      <c r="MG237" s="12">
        <v>129</v>
      </c>
      <c r="NC237" s="8">
        <v>226</v>
      </c>
      <c r="ND237" s="12">
        <v>243</v>
      </c>
      <c r="PP237" s="8">
        <v>-4</v>
      </c>
      <c r="PR237" s="12">
        <v>741</v>
      </c>
      <c r="TZ237" s="8">
        <v>288</v>
      </c>
      <c r="UA237" s="12">
        <v>754</v>
      </c>
      <c r="VH237" s="8">
        <v>738</v>
      </c>
      <c r="VL237" s="21"/>
      <c r="VQ237" s="6">
        <v>325</v>
      </c>
      <c r="VR237" s="28">
        <v>822</v>
      </c>
    </row>
    <row r="238" spans="22:590" x14ac:dyDescent="0.25">
      <c r="V238">
        <v>-25</v>
      </c>
      <c r="W238" s="10">
        <v>36</v>
      </c>
      <c r="AJ238" s="2">
        <v>35</v>
      </c>
      <c r="AK238" s="10">
        <v>176</v>
      </c>
      <c r="BT238">
        <v>105</v>
      </c>
      <c r="BU238" s="1">
        <v>151</v>
      </c>
      <c r="CE238" s="8">
        <v>118</v>
      </c>
      <c r="CF238" s="28">
        <v>97</v>
      </c>
      <c r="CZ238" s="23">
        <v>153</v>
      </c>
      <c r="DA238" s="25">
        <v>172</v>
      </c>
      <c r="DH238" s="86">
        <v>-426</v>
      </c>
      <c r="DI238" s="25">
        <v>337</v>
      </c>
      <c r="DL238" s="8">
        <v>-8</v>
      </c>
      <c r="DS238" s="6">
        <v>-117</v>
      </c>
      <c r="DT238" s="52">
        <v>162</v>
      </c>
      <c r="EA238" s="23">
        <v>-94</v>
      </c>
      <c r="EB238" s="52">
        <v>-268</v>
      </c>
      <c r="EC238" s="52"/>
      <c r="ED238" s="52"/>
      <c r="EG238" s="6">
        <v>-452</v>
      </c>
      <c r="EH238" s="28">
        <v>465</v>
      </c>
      <c r="EI238" s="8">
        <v>6</v>
      </c>
      <c r="EJ238" s="52">
        <v>166</v>
      </c>
      <c r="EN238" s="8">
        <v>-16</v>
      </c>
      <c r="EO238" s="28">
        <v>12</v>
      </c>
      <c r="EX238" s="8">
        <v>561</v>
      </c>
      <c r="EY238" s="28">
        <v>962</v>
      </c>
      <c r="FD238" s="6">
        <v>291</v>
      </c>
      <c r="FE238" s="28">
        <v>541</v>
      </c>
      <c r="FM238" s="8">
        <v>2</v>
      </c>
      <c r="FN238" s="52">
        <v>2</v>
      </c>
      <c r="FS238" s="8">
        <v>785</v>
      </c>
      <c r="FT238" s="52">
        <v>224</v>
      </c>
      <c r="GI238" s="8">
        <v>-159</v>
      </c>
      <c r="GJ238" s="28">
        <v>78</v>
      </c>
      <c r="GP238" s="6">
        <v>-104</v>
      </c>
      <c r="GQ238" s="52">
        <v>249</v>
      </c>
      <c r="GT238" s="6">
        <v>-185</v>
      </c>
      <c r="GU238" s="52">
        <v>102</v>
      </c>
      <c r="HB238" s="6">
        <v>-4</v>
      </c>
      <c r="HE238" s="6">
        <v>36</v>
      </c>
      <c r="HF238" s="28">
        <v>31</v>
      </c>
      <c r="HS238" s="8">
        <v>403</v>
      </c>
      <c r="HT238" s="52">
        <v>171</v>
      </c>
      <c r="IB238" s="8">
        <v>150</v>
      </c>
      <c r="IC238" s="28">
        <v>397</v>
      </c>
      <c r="IY238" s="8">
        <v>-232</v>
      </c>
      <c r="JW238" s="6">
        <v>-314</v>
      </c>
      <c r="JX238" s="12">
        <v>19</v>
      </c>
      <c r="KT238" s="8">
        <v>166</v>
      </c>
      <c r="KU238" s="28">
        <v>784</v>
      </c>
      <c r="LF238" s="8">
        <v>6</v>
      </c>
      <c r="LG238" s="28">
        <v>51</v>
      </c>
      <c r="LJ238" s="8">
        <v>-208</v>
      </c>
      <c r="LK238" s="28">
        <v>101</v>
      </c>
      <c r="LW238" s="8">
        <v>173</v>
      </c>
      <c r="LX238" s="28">
        <v>90</v>
      </c>
      <c r="MF238" s="8">
        <v>-42</v>
      </c>
      <c r="MG238" s="12">
        <v>14</v>
      </c>
      <c r="NC238" s="8">
        <v>344</v>
      </c>
      <c r="ND238" s="12">
        <v>279</v>
      </c>
      <c r="PP238" s="8">
        <v>204</v>
      </c>
      <c r="PR238" s="12">
        <v>292</v>
      </c>
      <c r="TZ238" s="8">
        <v>177</v>
      </c>
      <c r="UA238" s="12">
        <v>723</v>
      </c>
      <c r="VH238" s="8">
        <v>-160</v>
      </c>
      <c r="VL238" s="21"/>
      <c r="VQ238" s="6">
        <v>306</v>
      </c>
      <c r="VR238" s="28">
        <v>815</v>
      </c>
    </row>
    <row r="239" spans="22:590" x14ac:dyDescent="0.25">
      <c r="V239">
        <v>576</v>
      </c>
      <c r="W239" s="10">
        <v>147</v>
      </c>
      <c r="AJ239" s="2">
        <v>-67</v>
      </c>
      <c r="AK239" s="10">
        <v>171</v>
      </c>
      <c r="BT239">
        <v>133</v>
      </c>
      <c r="BU239" s="1">
        <v>361</v>
      </c>
      <c r="CE239" s="8">
        <v>111</v>
      </c>
      <c r="CF239" s="28">
        <v>161</v>
      </c>
      <c r="CZ239" s="23">
        <v>126</v>
      </c>
      <c r="DA239" s="25">
        <v>279</v>
      </c>
      <c r="DG239" s="25"/>
      <c r="DH239" s="86">
        <v>421</v>
      </c>
      <c r="DI239" s="25">
        <v>453</v>
      </c>
      <c r="DL239" s="8">
        <v>-6</v>
      </c>
      <c r="DS239" s="6">
        <v>15</v>
      </c>
      <c r="DT239" s="52">
        <v>64</v>
      </c>
      <c r="EA239" s="23">
        <v>43</v>
      </c>
      <c r="EB239" s="52">
        <v>478</v>
      </c>
      <c r="EC239" s="52"/>
      <c r="ED239" s="52"/>
      <c r="EG239" s="6">
        <v>-461</v>
      </c>
      <c r="EH239" s="28">
        <v>468</v>
      </c>
      <c r="EI239" s="8">
        <v>-108</v>
      </c>
      <c r="EJ239" s="52">
        <v>227</v>
      </c>
      <c r="EN239" s="8">
        <v>-9</v>
      </c>
      <c r="EO239" s="28">
        <v>64</v>
      </c>
      <c r="EX239" s="8">
        <v>625</v>
      </c>
      <c r="EY239" s="28">
        <v>994</v>
      </c>
      <c r="FD239" s="6">
        <v>676</v>
      </c>
      <c r="FE239" s="28">
        <v>175</v>
      </c>
      <c r="FM239" s="8">
        <v>169</v>
      </c>
      <c r="FN239" s="52">
        <v>299</v>
      </c>
      <c r="FS239" s="8">
        <v>414</v>
      </c>
      <c r="FT239" s="52">
        <v>266</v>
      </c>
      <c r="GI239" s="8">
        <v>157</v>
      </c>
      <c r="GJ239" s="28">
        <v>215</v>
      </c>
      <c r="GP239" s="6">
        <v>-119</v>
      </c>
      <c r="GQ239" s="52">
        <v>285</v>
      </c>
      <c r="GT239" s="6">
        <v>18</v>
      </c>
      <c r="GU239" s="52">
        <v>513</v>
      </c>
      <c r="HB239" s="6">
        <v>47</v>
      </c>
      <c r="HE239" s="6">
        <v>-19</v>
      </c>
      <c r="HF239" s="28">
        <v>39</v>
      </c>
      <c r="HS239" s="8">
        <v>36</v>
      </c>
      <c r="HT239" s="52">
        <v>290</v>
      </c>
      <c r="IB239" s="8">
        <v>138</v>
      </c>
      <c r="IC239" s="28">
        <v>385</v>
      </c>
      <c r="IY239" s="8">
        <v>-79</v>
      </c>
      <c r="JW239" s="6">
        <v>-358</v>
      </c>
      <c r="JX239" s="12">
        <v>216</v>
      </c>
      <c r="KT239" s="8">
        <v>-315</v>
      </c>
      <c r="KU239" s="28">
        <v>504</v>
      </c>
      <c r="LF239" s="8">
        <v>-274</v>
      </c>
      <c r="LG239" s="28">
        <v>46</v>
      </c>
      <c r="LJ239" s="8">
        <v>145</v>
      </c>
      <c r="LK239" s="28">
        <v>220</v>
      </c>
      <c r="LW239" s="8">
        <v>688</v>
      </c>
      <c r="LX239" s="28">
        <v>951</v>
      </c>
      <c r="MF239" s="8">
        <v>-470</v>
      </c>
      <c r="MG239" s="12">
        <v>181</v>
      </c>
      <c r="NC239" s="8">
        <v>192</v>
      </c>
      <c r="ND239" s="12">
        <v>183</v>
      </c>
      <c r="PP239" s="8">
        <v>439</v>
      </c>
      <c r="PR239" s="12">
        <v>108</v>
      </c>
      <c r="TZ239" s="8">
        <v>110</v>
      </c>
      <c r="UA239" s="12">
        <v>35</v>
      </c>
      <c r="VH239" s="8">
        <v>-334</v>
      </c>
      <c r="VL239" s="21"/>
      <c r="VQ239" s="6">
        <v>312</v>
      </c>
      <c r="VR239" s="28">
        <v>816</v>
      </c>
    </row>
    <row r="240" spans="22:590" x14ac:dyDescent="0.25">
      <c r="V240">
        <v>9173</v>
      </c>
      <c r="W240" s="10">
        <v>101</v>
      </c>
      <c r="AJ240" s="2">
        <v>-71</v>
      </c>
      <c r="AK240" s="10">
        <v>98</v>
      </c>
      <c r="BT240">
        <v>27</v>
      </c>
      <c r="BU240" s="1">
        <v>403</v>
      </c>
      <c r="CE240" s="8">
        <v>70</v>
      </c>
      <c r="CF240" s="28">
        <v>210</v>
      </c>
      <c r="CZ240" s="23">
        <v>115</v>
      </c>
      <c r="DA240" s="25">
        <v>145</v>
      </c>
      <c r="DG240" s="25"/>
      <c r="DH240" s="86">
        <v>299</v>
      </c>
      <c r="DI240" s="25">
        <v>115</v>
      </c>
      <c r="DL240" s="8">
        <v>-7</v>
      </c>
      <c r="DS240" s="6">
        <v>43</v>
      </c>
      <c r="DT240" s="52">
        <v>97</v>
      </c>
      <c r="EA240" s="23">
        <v>327</v>
      </c>
      <c r="EB240" s="52">
        <v>596</v>
      </c>
      <c r="EC240" s="52"/>
      <c r="ED240" s="52"/>
      <c r="EG240" s="6">
        <v>-572</v>
      </c>
      <c r="EH240" s="28">
        <v>384</v>
      </c>
      <c r="EI240" s="8">
        <v>286</v>
      </c>
      <c r="EJ240" s="52">
        <v>105</v>
      </c>
      <c r="EN240" s="8">
        <v>-24</v>
      </c>
      <c r="EO240" s="28">
        <v>67</v>
      </c>
      <c r="EX240" s="8">
        <v>892</v>
      </c>
      <c r="EY240" s="28">
        <v>131</v>
      </c>
      <c r="FD240" s="8">
        <f>502</f>
        <v>502</v>
      </c>
      <c r="FE240" s="28">
        <v>258</v>
      </c>
      <c r="FM240" s="8">
        <v>-154</v>
      </c>
      <c r="FN240" s="52">
        <v>150</v>
      </c>
      <c r="FS240" s="8">
        <v>392</v>
      </c>
      <c r="FT240" s="52">
        <v>255</v>
      </c>
      <c r="GI240" s="8">
        <v>-173</v>
      </c>
      <c r="GJ240" s="28">
        <v>178</v>
      </c>
      <c r="GP240" s="6">
        <v>-189</v>
      </c>
      <c r="GQ240" s="52">
        <v>430</v>
      </c>
      <c r="GT240" s="6">
        <v>-27</v>
      </c>
      <c r="GU240" s="52">
        <v>897</v>
      </c>
      <c r="HB240" s="6">
        <v>69</v>
      </c>
      <c r="HE240" s="6">
        <v>-42</v>
      </c>
      <c r="HF240" s="28">
        <v>92</v>
      </c>
      <c r="HS240" s="8">
        <v>891</v>
      </c>
      <c r="HT240" s="52">
        <v>114</v>
      </c>
      <c r="IB240" s="8">
        <v>281</v>
      </c>
      <c r="IC240" s="28">
        <v>392</v>
      </c>
      <c r="IY240" s="8">
        <v>-65</v>
      </c>
      <c r="JW240" s="6">
        <v>-530</v>
      </c>
      <c r="JX240" s="12">
        <v>359</v>
      </c>
      <c r="KT240" s="8">
        <v>-225</v>
      </c>
      <c r="KU240" s="28">
        <v>552</v>
      </c>
      <c r="LF240" s="8">
        <v>-341</v>
      </c>
      <c r="LG240" s="28">
        <v>34</v>
      </c>
      <c r="LJ240" s="8">
        <v>640</v>
      </c>
      <c r="LK240" s="28">
        <v>834</v>
      </c>
      <c r="LW240" s="8">
        <v>-206</v>
      </c>
      <c r="LX240" s="28">
        <v>653</v>
      </c>
      <c r="MF240" s="8">
        <v>-938</v>
      </c>
      <c r="MG240" s="12">
        <v>134</v>
      </c>
      <c r="NC240" s="8">
        <v>131</v>
      </c>
      <c r="ND240" s="12">
        <v>138</v>
      </c>
      <c r="PP240" s="8">
        <v>-317</v>
      </c>
      <c r="PR240" s="12">
        <v>431</v>
      </c>
      <c r="TZ240" s="8">
        <v>-78</v>
      </c>
      <c r="UA240" s="12">
        <v>625</v>
      </c>
      <c r="VH240" s="8">
        <v>634</v>
      </c>
      <c r="VL240" s="21"/>
      <c r="VQ240" s="6">
        <v>308</v>
      </c>
      <c r="VR240" s="28">
        <v>807</v>
      </c>
    </row>
    <row r="241" spans="22:590" x14ac:dyDescent="0.25">
      <c r="V241">
        <v>-2</v>
      </c>
      <c r="W241" s="10">
        <v>230</v>
      </c>
      <c r="AJ241" s="2">
        <v>-193</v>
      </c>
      <c r="AK241" s="10">
        <v>291</v>
      </c>
      <c r="BT241">
        <v>-259</v>
      </c>
      <c r="BU241" s="1">
        <v>552</v>
      </c>
      <c r="CE241" s="8">
        <v>28</v>
      </c>
      <c r="CF241" s="28">
        <v>288</v>
      </c>
      <c r="CZ241" s="23">
        <v>384</v>
      </c>
      <c r="DA241" s="25">
        <v>234</v>
      </c>
      <c r="DG241" s="25"/>
      <c r="DH241" s="86">
        <v>38</v>
      </c>
      <c r="DI241" s="25">
        <v>65</v>
      </c>
      <c r="DL241" s="8">
        <v>-10</v>
      </c>
      <c r="DS241" s="6">
        <v>-546</v>
      </c>
      <c r="DT241" s="52">
        <v>237</v>
      </c>
      <c r="EA241" s="23">
        <v>-573</v>
      </c>
      <c r="EB241" s="52">
        <v>260</v>
      </c>
      <c r="EC241" s="52"/>
      <c r="ED241" s="52"/>
      <c r="EG241" s="6">
        <v>-108</v>
      </c>
      <c r="EH241" s="28">
        <v>179</v>
      </c>
      <c r="EI241" s="8">
        <v>80</v>
      </c>
      <c r="EJ241" s="52">
        <v>29</v>
      </c>
      <c r="EN241" s="8">
        <v>-126</v>
      </c>
      <c r="EO241" s="28">
        <v>66</v>
      </c>
      <c r="EX241" s="8">
        <v>374</v>
      </c>
      <c r="EY241" s="28">
        <v>104</v>
      </c>
      <c r="FD241" s="6">
        <v>551</v>
      </c>
      <c r="FE241" s="28">
        <v>243</v>
      </c>
      <c r="FM241" s="8">
        <v>132</v>
      </c>
      <c r="FN241" s="52">
        <v>116</v>
      </c>
      <c r="FS241" s="8">
        <v>387</v>
      </c>
      <c r="FT241" s="52">
        <v>252</v>
      </c>
      <c r="GI241" s="8">
        <v>216</v>
      </c>
      <c r="GJ241" s="28">
        <v>133</v>
      </c>
      <c r="GP241" s="6">
        <v>-254</v>
      </c>
      <c r="GQ241" s="52">
        <v>208</v>
      </c>
      <c r="GT241" s="6">
        <v>1</v>
      </c>
      <c r="GU241" s="52">
        <v>101</v>
      </c>
      <c r="HB241" s="6">
        <v>92</v>
      </c>
      <c r="HE241" s="6">
        <v>-48</v>
      </c>
      <c r="HF241" s="28">
        <v>64</v>
      </c>
      <c r="HS241" s="8">
        <v>33</v>
      </c>
      <c r="HT241" s="52">
        <v>40</v>
      </c>
      <c r="IB241" s="8">
        <v>-908</v>
      </c>
      <c r="IC241" s="28">
        <v>256</v>
      </c>
      <c r="IY241" s="8">
        <v>763</v>
      </c>
      <c r="JW241" s="6">
        <v>-535</v>
      </c>
      <c r="JX241" s="12">
        <v>363</v>
      </c>
      <c r="KT241" s="8">
        <v>62</v>
      </c>
      <c r="KU241" s="28">
        <v>505</v>
      </c>
      <c r="LF241" s="8">
        <v>-295</v>
      </c>
      <c r="LG241" s="28">
        <v>35</v>
      </c>
      <c r="LJ241" s="8">
        <v>-814</v>
      </c>
      <c r="LK241" s="28">
        <v>178</v>
      </c>
      <c r="LW241" s="8">
        <v>643</v>
      </c>
      <c r="LX241" s="28">
        <v>109</v>
      </c>
      <c r="MF241" s="8">
        <v>-763</v>
      </c>
      <c r="MG241" s="12">
        <v>116</v>
      </c>
      <c r="NC241" s="8">
        <v>204</v>
      </c>
      <c r="ND241" s="12">
        <v>201</v>
      </c>
      <c r="PP241" s="8">
        <v>171</v>
      </c>
      <c r="PR241" s="12">
        <v>473</v>
      </c>
      <c r="TZ241" s="8">
        <v>31</v>
      </c>
      <c r="UA241" s="12">
        <v>494</v>
      </c>
      <c r="VH241" s="8">
        <v>-427</v>
      </c>
      <c r="VL241" s="21"/>
      <c r="VQ241" s="6">
        <v>369</v>
      </c>
      <c r="VR241" s="28">
        <v>738</v>
      </c>
    </row>
    <row r="242" spans="22:590" x14ac:dyDescent="0.25">
      <c r="V242">
        <v>-7</v>
      </c>
      <c r="W242" s="10">
        <v>373</v>
      </c>
      <c r="AJ242" s="2">
        <v>66</v>
      </c>
      <c r="AK242" s="10">
        <v>189</v>
      </c>
      <c r="BT242">
        <v>406</v>
      </c>
      <c r="BU242" s="1">
        <v>107</v>
      </c>
      <c r="CE242" s="8">
        <v>77</v>
      </c>
      <c r="CF242" s="28">
        <v>201</v>
      </c>
      <c r="CZ242" s="23">
        <v>156</v>
      </c>
      <c r="DA242" s="25">
        <v>491</v>
      </c>
      <c r="DG242" s="25"/>
      <c r="DH242" s="86">
        <v>210</v>
      </c>
      <c r="DI242" s="25">
        <v>963</v>
      </c>
      <c r="DL242" s="8">
        <v>-12</v>
      </c>
      <c r="DS242" s="6">
        <v>429</v>
      </c>
      <c r="DT242" s="52">
        <v>186</v>
      </c>
      <c r="EA242" s="23">
        <v>-215</v>
      </c>
      <c r="EB242" s="52">
        <v>344</v>
      </c>
      <c r="EC242" s="52"/>
      <c r="ED242" s="52"/>
      <c r="EG242" s="6">
        <v>577</v>
      </c>
      <c r="EH242" s="28">
        <v>122</v>
      </c>
      <c r="EI242" s="8">
        <v>15</v>
      </c>
      <c r="EJ242" s="52">
        <v>658</v>
      </c>
      <c r="EN242" s="8">
        <v>-47</v>
      </c>
      <c r="EO242" s="28">
        <v>63</v>
      </c>
      <c r="EX242" s="8">
        <v>857</v>
      </c>
      <c r="EY242" s="28">
        <v>960</v>
      </c>
      <c r="FD242" s="6">
        <v>-197</v>
      </c>
      <c r="FE242" s="28">
        <v>103</v>
      </c>
      <c r="FM242" s="8">
        <v>174</v>
      </c>
      <c r="FN242" s="52">
        <v>240</v>
      </c>
      <c r="FS242" s="8">
        <v>423</v>
      </c>
      <c r="FT242" s="52">
        <v>271</v>
      </c>
      <c r="GI242" s="8">
        <v>-73</v>
      </c>
      <c r="GJ242" s="28">
        <v>8</v>
      </c>
      <c r="GP242" s="6">
        <v>-145</v>
      </c>
      <c r="GQ242" s="52">
        <v>322</v>
      </c>
      <c r="GT242" s="6">
        <v>19</v>
      </c>
      <c r="GU242" s="52">
        <v>763</v>
      </c>
      <c r="HB242" s="6">
        <v>-19</v>
      </c>
      <c r="HE242" s="6">
        <v>70</v>
      </c>
      <c r="HF242" s="28">
        <v>71</v>
      </c>
      <c r="HS242" s="8">
        <v>513</v>
      </c>
      <c r="HT242" s="52">
        <v>4</v>
      </c>
      <c r="IB242" s="8">
        <v>-192</v>
      </c>
      <c r="IC242" s="28">
        <v>235</v>
      </c>
      <c r="IY242" s="8">
        <v>637</v>
      </c>
      <c r="JW242" s="6">
        <v>-532</v>
      </c>
      <c r="JX242" s="12">
        <v>361</v>
      </c>
      <c r="KT242" s="8">
        <v>904</v>
      </c>
      <c r="KU242" s="28">
        <v>480</v>
      </c>
      <c r="LF242" s="8">
        <v>-38</v>
      </c>
      <c r="LG242" s="28">
        <v>28</v>
      </c>
      <c r="LJ242" s="8">
        <v>406</v>
      </c>
      <c r="LK242" s="28">
        <v>120</v>
      </c>
      <c r="LW242" s="8">
        <v>230</v>
      </c>
      <c r="LX242" s="28">
        <v>102</v>
      </c>
      <c r="MF242" s="8">
        <v>984</v>
      </c>
      <c r="MG242" s="12">
        <v>114</v>
      </c>
      <c r="NC242" s="8">
        <v>260</v>
      </c>
      <c r="ND242" s="12">
        <v>270</v>
      </c>
      <c r="PP242" s="8">
        <v>-2</v>
      </c>
      <c r="PR242" s="12">
        <v>460</v>
      </c>
      <c r="TZ242" s="8">
        <v>115</v>
      </c>
      <c r="UA242" s="12">
        <v>687</v>
      </c>
      <c r="VH242" s="8">
        <v>-431</v>
      </c>
      <c r="VL242" s="21"/>
      <c r="VQ242" s="6">
        <v>416</v>
      </c>
      <c r="VR242" s="28">
        <v>560</v>
      </c>
    </row>
    <row r="243" spans="22:590" x14ac:dyDescent="0.25">
      <c r="V243">
        <v>-1</v>
      </c>
      <c r="W243" s="10">
        <v>22</v>
      </c>
      <c r="AJ243" s="2">
        <v>-114</v>
      </c>
      <c r="AK243" s="10">
        <v>161</v>
      </c>
      <c r="BT243">
        <v>-72</v>
      </c>
      <c r="BU243" s="1">
        <v>401</v>
      </c>
      <c r="CE243" s="8">
        <v>220</v>
      </c>
      <c r="CF243" s="28">
        <v>146</v>
      </c>
      <c r="CZ243" s="23">
        <v>629</v>
      </c>
      <c r="DA243" s="25">
        <v>658</v>
      </c>
      <c r="DG243" s="25"/>
      <c r="DH243" s="86">
        <v>-84</v>
      </c>
      <c r="DI243" s="25">
        <v>41</v>
      </c>
      <c r="DL243" s="8">
        <v>-9</v>
      </c>
      <c r="DS243" s="6">
        <v>397</v>
      </c>
      <c r="DT243" s="52">
        <v>173</v>
      </c>
      <c r="EA243" s="23">
        <v>-670</v>
      </c>
      <c r="EB243" s="52">
        <v>204</v>
      </c>
      <c r="EC243" s="52"/>
      <c r="ED243" s="52"/>
      <c r="EG243" s="6">
        <v>289</v>
      </c>
      <c r="EH243" s="28">
        <v>133</v>
      </c>
      <c r="EI243" s="8">
        <v>1</v>
      </c>
      <c r="EJ243" s="52">
        <v>390</v>
      </c>
      <c r="EN243" s="8">
        <v>22</v>
      </c>
      <c r="EO243" s="28">
        <v>8</v>
      </c>
      <c r="EX243" s="8">
        <v>501</v>
      </c>
      <c r="EY243" s="28">
        <v>961</v>
      </c>
      <c r="FD243" s="6">
        <v>244</v>
      </c>
      <c r="FE243" s="28">
        <v>970</v>
      </c>
      <c r="FM243" s="8">
        <v>212</v>
      </c>
      <c r="FN243" s="52">
        <v>218</v>
      </c>
      <c r="FS243" s="8">
        <v>403</v>
      </c>
      <c r="FT243" s="52">
        <v>261</v>
      </c>
      <c r="GI243" s="8">
        <v>508</v>
      </c>
      <c r="GJ243" s="28">
        <v>110</v>
      </c>
      <c r="GP243" s="6">
        <v>-333</v>
      </c>
      <c r="GQ243" s="52">
        <v>372</v>
      </c>
      <c r="GT243" s="6">
        <v>14</v>
      </c>
      <c r="GU243" s="52">
        <v>550</v>
      </c>
      <c r="HB243" s="6">
        <v>-13</v>
      </c>
      <c r="HE243" s="6">
        <v>53</v>
      </c>
      <c r="HF243" s="28">
        <v>63</v>
      </c>
      <c r="HS243" s="8">
        <v>80</v>
      </c>
      <c r="HT243" s="52">
        <v>50</v>
      </c>
      <c r="IB243" s="8">
        <v>-397</v>
      </c>
      <c r="IC243" s="28">
        <v>237</v>
      </c>
      <c r="IY243" s="8">
        <v>-123</v>
      </c>
      <c r="JW243" s="6">
        <v>-615</v>
      </c>
      <c r="JX243" s="12">
        <v>131</v>
      </c>
      <c r="KT243" s="8">
        <v>-321</v>
      </c>
      <c r="KU243" s="28">
        <v>547</v>
      </c>
      <c r="LF243" s="8">
        <v>-250</v>
      </c>
      <c r="LG243" s="28">
        <v>27</v>
      </c>
      <c r="LJ243" s="8">
        <v>-180</v>
      </c>
      <c r="LK243" s="28">
        <v>837</v>
      </c>
      <c r="LW243" s="8">
        <v>-204</v>
      </c>
      <c r="LX243" s="28">
        <v>8</v>
      </c>
      <c r="MF243" s="8">
        <v>-108</v>
      </c>
      <c r="MG243" s="12">
        <v>27</v>
      </c>
      <c r="NC243" s="8">
        <v>253</v>
      </c>
      <c r="ND243" s="12">
        <v>281</v>
      </c>
      <c r="PP243" s="8">
        <v>375</v>
      </c>
      <c r="PR243" s="12">
        <v>599</v>
      </c>
      <c r="TZ243" s="8">
        <v>170</v>
      </c>
      <c r="UA243" s="12">
        <v>767</v>
      </c>
      <c r="VH243" s="8">
        <v>701</v>
      </c>
      <c r="VL243" s="21"/>
      <c r="VQ243" s="6">
        <v>-34</v>
      </c>
      <c r="VR243" s="28">
        <v>35</v>
      </c>
    </row>
    <row r="244" spans="22:590" x14ac:dyDescent="0.25">
      <c r="V244">
        <v>-1</v>
      </c>
      <c r="W244" s="10">
        <v>111</v>
      </c>
      <c r="AJ244" s="2">
        <v>147</v>
      </c>
      <c r="AK244" s="10">
        <v>48</v>
      </c>
      <c r="BT244">
        <v>305</v>
      </c>
      <c r="BU244" s="1">
        <v>938</v>
      </c>
      <c r="CE244" s="8">
        <v>103</v>
      </c>
      <c r="CF244" s="28">
        <v>232</v>
      </c>
      <c r="CZ244" s="23">
        <v>-153</v>
      </c>
      <c r="DA244" s="25">
        <v>762</v>
      </c>
      <c r="DG244" s="25"/>
      <c r="DH244" s="86">
        <v>-865</v>
      </c>
      <c r="DI244" s="25">
        <v>233</v>
      </c>
      <c r="DL244" s="8">
        <v>237</v>
      </c>
      <c r="DS244" s="6">
        <v>295</v>
      </c>
      <c r="DT244" s="52">
        <v>127</v>
      </c>
      <c r="EA244" s="23">
        <v>122</v>
      </c>
      <c r="EB244" s="52">
        <v>363</v>
      </c>
      <c r="EC244" s="52"/>
      <c r="ED244" s="52"/>
      <c r="EG244" s="6">
        <v>799</v>
      </c>
      <c r="EH244" s="28">
        <v>126</v>
      </c>
      <c r="EI244" s="8">
        <v>182</v>
      </c>
      <c r="EJ244" s="52">
        <v>438</v>
      </c>
      <c r="EN244" s="8">
        <v>-18</v>
      </c>
      <c r="EO244" s="28">
        <v>10</v>
      </c>
      <c r="EX244" s="8">
        <v>986</v>
      </c>
      <c r="EY244" s="28">
        <v>121</v>
      </c>
      <c r="FD244" s="6">
        <v>105</v>
      </c>
      <c r="FE244" s="28">
        <v>725</v>
      </c>
      <c r="FM244" s="8">
        <v>-12</v>
      </c>
      <c r="FN244" s="52">
        <v>38</v>
      </c>
      <c r="FS244" s="8">
        <v>398</v>
      </c>
      <c r="FT244" s="52">
        <v>258</v>
      </c>
      <c r="GI244" s="8">
        <v>-55</v>
      </c>
      <c r="GJ244" s="28">
        <v>146</v>
      </c>
      <c r="GP244" s="6">
        <v>-91</v>
      </c>
      <c r="GQ244" s="52">
        <v>281</v>
      </c>
      <c r="GT244" s="6">
        <v>69</v>
      </c>
      <c r="GU244" s="52">
        <v>481</v>
      </c>
      <c r="HB244" s="6">
        <v>63</v>
      </c>
      <c r="HE244" s="6">
        <v>12</v>
      </c>
      <c r="HF244" s="28">
        <v>25</v>
      </c>
      <c r="HS244" s="8">
        <v>286</v>
      </c>
      <c r="HT244" s="52">
        <v>100</v>
      </c>
      <c r="IB244" s="8">
        <v>-266</v>
      </c>
      <c r="IC244" s="28">
        <v>236</v>
      </c>
      <c r="IY244" s="8">
        <v>115</v>
      </c>
      <c r="JW244" s="6">
        <v>-464</v>
      </c>
      <c r="JX244" s="12">
        <v>801</v>
      </c>
      <c r="KT244" s="8">
        <v>-147</v>
      </c>
      <c r="KU244" s="28">
        <v>479</v>
      </c>
      <c r="LF244" s="8">
        <v>-260</v>
      </c>
      <c r="LG244" s="28">
        <v>19</v>
      </c>
      <c r="LJ244" s="8">
        <v>420</v>
      </c>
      <c r="LK244" s="28">
        <v>179</v>
      </c>
      <c r="LW244" s="8">
        <v>74</v>
      </c>
      <c r="LX244" s="28">
        <v>30</v>
      </c>
      <c r="MF244" s="8">
        <v>-485</v>
      </c>
      <c r="MG244" s="12">
        <v>49</v>
      </c>
      <c r="NC244" s="8">
        <v>367</v>
      </c>
      <c r="ND244" s="12">
        <v>238</v>
      </c>
      <c r="PP244" s="8">
        <v>549</v>
      </c>
      <c r="PR244" s="12">
        <v>482</v>
      </c>
      <c r="TZ244" s="8">
        <v>198</v>
      </c>
      <c r="UA244" s="12">
        <v>439</v>
      </c>
      <c r="VH244" s="8">
        <v>827</v>
      </c>
      <c r="VL244" s="21"/>
      <c r="VQ244" s="6">
        <v>-6</v>
      </c>
      <c r="VR244" s="28">
        <v>49</v>
      </c>
    </row>
    <row r="245" spans="22:590" x14ac:dyDescent="0.25">
      <c r="V245">
        <v>-2</v>
      </c>
      <c r="W245" s="10">
        <v>67</v>
      </c>
      <c r="AJ245" s="2">
        <v>369</v>
      </c>
      <c r="AK245" s="10">
        <v>195</v>
      </c>
      <c r="BT245">
        <v>-186</v>
      </c>
      <c r="BU245" s="1">
        <v>525</v>
      </c>
      <c r="CE245" s="8">
        <v>133</v>
      </c>
      <c r="CF245" s="28">
        <v>204</v>
      </c>
      <c r="CZ245" s="23">
        <v>-341</v>
      </c>
      <c r="DA245" s="25">
        <v>326</v>
      </c>
      <c r="DG245" s="25"/>
      <c r="DH245" s="86">
        <v>-132</v>
      </c>
      <c r="DI245" s="25">
        <v>256</v>
      </c>
      <c r="DL245" s="8">
        <v>-10</v>
      </c>
      <c r="DS245" s="6">
        <v>-507</v>
      </c>
      <c r="DT245" s="52">
        <v>196</v>
      </c>
      <c r="EA245" s="23">
        <v>903</v>
      </c>
      <c r="EB245" s="52">
        <v>293</v>
      </c>
      <c r="EC245" s="52"/>
      <c r="ED245" s="52"/>
      <c r="EG245" s="6">
        <v>101</v>
      </c>
      <c r="EH245" s="28">
        <v>140</v>
      </c>
      <c r="EI245" s="8">
        <v>-511</v>
      </c>
      <c r="EJ245" s="52">
        <v>70</v>
      </c>
      <c r="EN245" s="8">
        <v>-26</v>
      </c>
      <c r="EO245" s="28">
        <v>9</v>
      </c>
      <c r="EX245" s="8">
        <v>572</v>
      </c>
      <c r="EY245" s="28">
        <v>104</v>
      </c>
      <c r="FD245" s="6">
        <v>-879</v>
      </c>
      <c r="FE245" s="28">
        <v>198</v>
      </c>
      <c r="FM245" s="8">
        <v>237</v>
      </c>
      <c r="FN245" s="52">
        <v>150</v>
      </c>
      <c r="FS245" s="8">
        <v>-764</v>
      </c>
      <c r="FT245" s="52">
        <v>81</v>
      </c>
      <c r="GI245" s="8">
        <v>50</v>
      </c>
      <c r="GJ245" s="28">
        <v>154</v>
      </c>
      <c r="GP245" s="6">
        <v>-57</v>
      </c>
      <c r="GQ245" s="52">
        <v>391</v>
      </c>
      <c r="GT245" s="6">
        <v>42</v>
      </c>
      <c r="GU245" s="52">
        <v>318</v>
      </c>
      <c r="HB245" s="6">
        <v>-57</v>
      </c>
      <c r="HE245" s="6">
        <v>30</v>
      </c>
      <c r="HF245" s="28">
        <v>51</v>
      </c>
      <c r="HS245" s="8">
        <v>-51</v>
      </c>
      <c r="HT245" s="52">
        <v>636</v>
      </c>
      <c r="IB245" s="8">
        <v>738</v>
      </c>
      <c r="IC245" s="28">
        <v>379</v>
      </c>
      <c r="IY245" s="8">
        <v>-187</v>
      </c>
      <c r="JW245" s="6">
        <v>-502</v>
      </c>
      <c r="JX245" s="12">
        <v>112</v>
      </c>
      <c r="KT245" s="8">
        <v>-111</v>
      </c>
      <c r="KU245" s="28">
        <v>507</v>
      </c>
      <c r="LF245" s="8">
        <v>-239</v>
      </c>
      <c r="LG245" s="28">
        <v>22</v>
      </c>
      <c r="LJ245" s="8">
        <v>-292</v>
      </c>
      <c r="LK245" s="28">
        <v>121</v>
      </c>
      <c r="LW245" s="8">
        <v>91</v>
      </c>
      <c r="LX245" s="28">
        <v>28</v>
      </c>
      <c r="MF245" s="8">
        <v>-24</v>
      </c>
      <c r="MG245" s="12">
        <v>5</v>
      </c>
      <c r="NC245" s="8">
        <v>-145</v>
      </c>
      <c r="ND245" s="12">
        <v>269</v>
      </c>
      <c r="PP245" s="8">
        <v>-271</v>
      </c>
      <c r="PR245" s="12">
        <v>484</v>
      </c>
      <c r="TZ245" s="8">
        <v>196</v>
      </c>
      <c r="UA245" s="12">
        <v>355</v>
      </c>
      <c r="VH245" s="8">
        <v>-184</v>
      </c>
      <c r="VL245" s="21"/>
      <c r="VQ245" s="6">
        <v>12</v>
      </c>
      <c r="VR245" s="28">
        <v>58</v>
      </c>
    </row>
    <row r="246" spans="22:590" x14ac:dyDescent="0.25">
      <c r="V246">
        <v>-2</v>
      </c>
      <c r="W246" s="10">
        <v>40</v>
      </c>
      <c r="AJ246" s="2">
        <v>149</v>
      </c>
      <c r="AK246" s="10">
        <v>29</v>
      </c>
      <c r="BT246">
        <v>-894</v>
      </c>
      <c r="BU246" s="1">
        <v>256</v>
      </c>
      <c r="CE246" s="8">
        <v>224</v>
      </c>
      <c r="CF246" s="28">
        <v>219</v>
      </c>
      <c r="CZ246" s="23">
        <v>67</v>
      </c>
      <c r="DA246" s="25">
        <v>283</v>
      </c>
      <c r="DG246" s="25"/>
      <c r="DH246" s="86">
        <v>105</v>
      </c>
      <c r="DI246" s="25">
        <v>288</v>
      </c>
      <c r="DL246" s="8">
        <v>22</v>
      </c>
      <c r="DS246" s="6">
        <v>-654</v>
      </c>
      <c r="DT246" s="52">
        <v>241</v>
      </c>
      <c r="EA246" s="23">
        <v>-407</v>
      </c>
      <c r="EB246" s="52">
        <v>451</v>
      </c>
      <c r="EC246" s="52"/>
      <c r="ED246" s="52"/>
      <c r="EG246" s="6">
        <v>139</v>
      </c>
      <c r="EH246" s="28">
        <v>134</v>
      </c>
      <c r="EI246" s="8">
        <v>-1</v>
      </c>
      <c r="EJ246" s="52">
        <v>1</v>
      </c>
      <c r="EN246" s="8">
        <v>38</v>
      </c>
      <c r="EO246" s="28">
        <v>9</v>
      </c>
      <c r="EX246" s="8">
        <v>351</v>
      </c>
      <c r="EY246" s="28">
        <v>133</v>
      </c>
      <c r="FD246" s="6">
        <v>152</v>
      </c>
      <c r="FE246" s="28">
        <v>353</v>
      </c>
      <c r="FM246" s="8">
        <v>228</v>
      </c>
      <c r="FN246" s="52">
        <v>237</v>
      </c>
      <c r="FS246" s="8">
        <v>-818</v>
      </c>
      <c r="FT246" s="52">
        <v>82</v>
      </c>
      <c r="GI246" s="8">
        <v>-198</v>
      </c>
      <c r="GJ246" s="28">
        <v>219</v>
      </c>
      <c r="GP246" s="6">
        <v>-82</v>
      </c>
      <c r="GQ246" s="52">
        <v>442</v>
      </c>
      <c r="GT246" s="6">
        <v>332</v>
      </c>
      <c r="GU246" s="52">
        <v>933</v>
      </c>
      <c r="HB246" s="6">
        <v>-169</v>
      </c>
      <c r="HE246" s="6">
        <v>79</v>
      </c>
      <c r="HF246" s="28">
        <v>98</v>
      </c>
      <c r="HS246" s="8">
        <v>385</v>
      </c>
      <c r="HT246" s="52">
        <v>161</v>
      </c>
      <c r="IB246" s="8">
        <v>151</v>
      </c>
      <c r="IC246" s="28">
        <v>398</v>
      </c>
      <c r="IY246" s="8">
        <v>272</v>
      </c>
      <c r="JW246" s="6">
        <v>-297</v>
      </c>
      <c r="JX246" s="12">
        <v>521</v>
      </c>
      <c r="KT246" s="8">
        <v>-456</v>
      </c>
      <c r="KU246" s="28">
        <v>590</v>
      </c>
      <c r="LF246" s="8">
        <v>31</v>
      </c>
      <c r="LG246" s="28">
        <v>13</v>
      </c>
      <c r="LJ246" s="8">
        <v>-431</v>
      </c>
      <c r="LK246" s="28">
        <v>950</v>
      </c>
      <c r="LW246" s="8">
        <v>-75</v>
      </c>
      <c r="LX246" s="28">
        <v>18</v>
      </c>
      <c r="MF246" s="8">
        <v>240</v>
      </c>
      <c r="MG246" s="12">
        <v>170</v>
      </c>
      <c r="NC246" s="8">
        <v>301</v>
      </c>
      <c r="ND246" s="12">
        <v>344</v>
      </c>
      <c r="PP246" s="8">
        <v>3</v>
      </c>
      <c r="PR246" s="12">
        <v>400</v>
      </c>
      <c r="TZ246" s="8">
        <v>161</v>
      </c>
      <c r="UA246" s="12">
        <v>317</v>
      </c>
      <c r="VH246" s="8">
        <v>-104</v>
      </c>
      <c r="VL246" s="21"/>
      <c r="VQ246" s="6">
        <v>13</v>
      </c>
      <c r="VR246" s="28">
        <v>27</v>
      </c>
    </row>
    <row r="247" spans="22:590" x14ac:dyDescent="0.25">
      <c r="V247">
        <v>-4</v>
      </c>
      <c r="W247" s="10">
        <v>103</v>
      </c>
      <c r="AJ247" s="2">
        <v>653</v>
      </c>
      <c r="AK247" s="10">
        <v>197</v>
      </c>
      <c r="BT247">
        <v>-185</v>
      </c>
      <c r="BU247" s="1">
        <v>279</v>
      </c>
      <c r="CE247" s="8">
        <v>79</v>
      </c>
      <c r="CF247" s="28">
        <v>215</v>
      </c>
      <c r="CZ247" s="23">
        <v>6</v>
      </c>
      <c r="DA247" s="25">
        <v>135</v>
      </c>
      <c r="DG247" s="25"/>
      <c r="DH247" s="86">
        <v>-268</v>
      </c>
      <c r="DI247" s="25">
        <v>318</v>
      </c>
      <c r="DL247" s="8">
        <v>37</v>
      </c>
      <c r="DS247" s="6">
        <v>-161</v>
      </c>
      <c r="DT247" s="52">
        <v>59</v>
      </c>
      <c r="EA247" s="23">
        <v>138</v>
      </c>
      <c r="EB247" s="52">
        <v>333</v>
      </c>
      <c r="EC247" s="52"/>
      <c r="ED247" s="52"/>
      <c r="EG247" s="6">
        <v>196</v>
      </c>
      <c r="EH247" s="28">
        <v>146</v>
      </c>
      <c r="EI247" s="8">
        <v>1</v>
      </c>
      <c r="EJ247" s="52">
        <v>97</v>
      </c>
      <c r="EN247" s="8">
        <v>18</v>
      </c>
      <c r="EO247" s="28">
        <v>10</v>
      </c>
      <c r="EX247" s="8">
        <v>67</v>
      </c>
      <c r="EY247" s="28">
        <v>117</v>
      </c>
      <c r="FD247" s="6">
        <v>-100</v>
      </c>
      <c r="FE247" s="28">
        <v>410</v>
      </c>
      <c r="FM247" s="8">
        <v>-503</v>
      </c>
      <c r="FN247" s="52">
        <v>139</v>
      </c>
      <c r="FS247" s="8">
        <v>-895</v>
      </c>
      <c r="FT247" s="52">
        <v>87</v>
      </c>
      <c r="GI247" s="8">
        <v>-11</v>
      </c>
      <c r="GJ247" s="28">
        <v>160</v>
      </c>
      <c r="GP247" s="6">
        <v>-69</v>
      </c>
      <c r="GQ247" s="52">
        <v>191</v>
      </c>
      <c r="GT247" s="6">
        <v>140</v>
      </c>
      <c r="GU247" s="52">
        <v>292</v>
      </c>
      <c r="HB247" s="6">
        <v>-174</v>
      </c>
      <c r="HE247" s="6">
        <v>-66</v>
      </c>
      <c r="HF247" s="28">
        <v>85</v>
      </c>
      <c r="HS247" s="8">
        <v>-252</v>
      </c>
      <c r="HT247" s="52">
        <v>212</v>
      </c>
      <c r="IB247" s="8">
        <v>-183</v>
      </c>
      <c r="IC247" s="28">
        <v>772</v>
      </c>
      <c r="IY247" s="8">
        <v>211</v>
      </c>
      <c r="JW247" s="6">
        <v>258</v>
      </c>
      <c r="JX247" s="12">
        <v>46</v>
      </c>
      <c r="KT247" s="8">
        <v>-452</v>
      </c>
      <c r="KU247" s="28">
        <v>263</v>
      </c>
      <c r="LF247" s="8">
        <v>-49</v>
      </c>
      <c r="LG247" s="28">
        <v>8</v>
      </c>
      <c r="LJ247" s="8">
        <v>-247</v>
      </c>
      <c r="LK247" s="28">
        <v>827</v>
      </c>
      <c r="LW247" s="8">
        <v>-233</v>
      </c>
      <c r="LX247" s="28">
        <v>51</v>
      </c>
      <c r="MF247" s="8">
        <v>140</v>
      </c>
      <c r="MG247" s="12">
        <v>65</v>
      </c>
      <c r="NC247" s="8">
        <v>204</v>
      </c>
      <c r="ND247" s="12">
        <v>131</v>
      </c>
      <c r="PP247" s="8">
        <v>119</v>
      </c>
      <c r="TZ247" s="8">
        <v>95</v>
      </c>
      <c r="UA247" s="12">
        <v>296</v>
      </c>
      <c r="VH247" s="8">
        <v>750</v>
      </c>
      <c r="VL247" s="21"/>
      <c r="VQ247" s="6">
        <v>10</v>
      </c>
      <c r="VR247" s="28">
        <v>25</v>
      </c>
    </row>
    <row r="248" spans="22:590" x14ac:dyDescent="0.25">
      <c r="V248">
        <v>-3</v>
      </c>
      <c r="W248" s="10">
        <v>79</v>
      </c>
      <c r="AJ248" s="2">
        <v>1790</v>
      </c>
      <c r="AK248" s="10">
        <v>192</v>
      </c>
      <c r="BT248">
        <v>-367</v>
      </c>
      <c r="BU248" s="1">
        <v>947</v>
      </c>
      <c r="CE248" s="8">
        <v>40</v>
      </c>
      <c r="CF248" s="28">
        <v>252</v>
      </c>
      <c r="CZ248" s="23">
        <v>17</v>
      </c>
      <c r="DA248" s="25">
        <v>7</v>
      </c>
      <c r="DG248" s="25"/>
      <c r="DH248" s="86">
        <v>-293</v>
      </c>
      <c r="DI248" s="25">
        <v>318</v>
      </c>
      <c r="DL248" s="8">
        <v>-3</v>
      </c>
      <c r="DS248" s="6">
        <v>-604</v>
      </c>
      <c r="DT248" s="52">
        <v>217</v>
      </c>
      <c r="EA248" s="23">
        <v>110</v>
      </c>
      <c r="EB248" s="52">
        <v>318</v>
      </c>
      <c r="EC248" s="52"/>
      <c r="ED248" s="52"/>
      <c r="EG248" s="6">
        <v>227</v>
      </c>
      <c r="EH248" s="28">
        <v>141</v>
      </c>
      <c r="EI248" s="8">
        <v>-62</v>
      </c>
      <c r="EJ248" s="52">
        <v>402</v>
      </c>
      <c r="EN248" s="8">
        <v>93</v>
      </c>
      <c r="EO248" s="28">
        <v>9</v>
      </c>
      <c r="EX248" s="8">
        <v>-522</v>
      </c>
      <c r="EY248" s="28">
        <v>160</v>
      </c>
      <c r="FD248" s="6">
        <v>-832</v>
      </c>
      <c r="FE248" s="28">
        <v>101</v>
      </c>
      <c r="FM248" s="8">
        <v>-101</v>
      </c>
      <c r="FN248" s="52">
        <v>89</v>
      </c>
      <c r="FS248" s="8">
        <v>-724</v>
      </c>
      <c r="FT248" s="52">
        <v>77</v>
      </c>
      <c r="GI248" s="8">
        <v>-189</v>
      </c>
      <c r="GJ248" s="28">
        <v>159</v>
      </c>
      <c r="GP248" s="6">
        <v>-1</v>
      </c>
      <c r="GQ248" s="52">
        <v>1</v>
      </c>
      <c r="GT248" s="6">
        <v>-129</v>
      </c>
      <c r="GU248" s="52">
        <v>529</v>
      </c>
      <c r="HB248" s="6">
        <v>18</v>
      </c>
      <c r="HE248" s="8">
        <v>140</v>
      </c>
      <c r="HF248" s="28">
        <v>95</v>
      </c>
      <c r="HS248" s="8">
        <v>191</v>
      </c>
      <c r="HT248" s="52">
        <v>588</v>
      </c>
      <c r="IB248" s="8">
        <v>-136</v>
      </c>
      <c r="IC248" s="28">
        <v>779</v>
      </c>
      <c r="IY248" s="8">
        <v>168</v>
      </c>
      <c r="JW248" s="6">
        <v>665</v>
      </c>
      <c r="JX248" s="12">
        <v>108</v>
      </c>
      <c r="KT248" s="8">
        <v>175</v>
      </c>
      <c r="KU248" s="28">
        <v>278</v>
      </c>
      <c r="LF248" s="8">
        <v>-69</v>
      </c>
      <c r="LG248" s="28">
        <v>9</v>
      </c>
      <c r="LJ248" s="8">
        <v>-724</v>
      </c>
      <c r="LK248" s="28">
        <v>102</v>
      </c>
      <c r="LW248" s="8">
        <v>28</v>
      </c>
      <c r="LX248" s="28">
        <v>32</v>
      </c>
      <c r="MF248" s="8">
        <v>457</v>
      </c>
      <c r="MG248" s="12">
        <v>56</v>
      </c>
      <c r="NC248" s="8">
        <v>-5</v>
      </c>
      <c r="ND248" s="12">
        <v>6</v>
      </c>
      <c r="PP248" s="8">
        <v>113</v>
      </c>
      <c r="TZ248" s="8">
        <v>888</v>
      </c>
      <c r="UA248" s="12">
        <v>104</v>
      </c>
      <c r="VH248" s="8">
        <v>743</v>
      </c>
      <c r="VL248" s="21"/>
      <c r="VQ248" s="6">
        <v>-47</v>
      </c>
      <c r="VR248" s="28">
        <v>57</v>
      </c>
    </row>
    <row r="249" spans="22:590" x14ac:dyDescent="0.25">
      <c r="V249">
        <v>-2</v>
      </c>
      <c r="W249" s="10">
        <v>66</v>
      </c>
      <c r="AJ249" s="2">
        <v>1938</v>
      </c>
      <c r="AK249" s="10">
        <v>178</v>
      </c>
      <c r="BT249">
        <v>-190</v>
      </c>
      <c r="BU249" s="1">
        <v>209</v>
      </c>
      <c r="CE249" s="8">
        <v>105</v>
      </c>
      <c r="CF249" s="28">
        <v>243</v>
      </c>
      <c r="CZ249" s="23">
        <v>-32</v>
      </c>
      <c r="DA249" s="25">
        <v>14</v>
      </c>
      <c r="DG249" s="25"/>
      <c r="DH249" s="86">
        <v>-257</v>
      </c>
      <c r="DI249" s="25">
        <v>339</v>
      </c>
      <c r="DL249" s="8">
        <v>15</v>
      </c>
      <c r="DS249" s="6">
        <v>12</v>
      </c>
      <c r="DT249" s="52">
        <v>55</v>
      </c>
      <c r="EA249" s="23">
        <v>64</v>
      </c>
      <c r="EB249" s="52">
        <v>193</v>
      </c>
      <c r="EC249" s="52"/>
      <c r="ED249" s="52"/>
      <c r="EG249" s="6">
        <v>440</v>
      </c>
      <c r="EH249" s="28">
        <v>157</v>
      </c>
      <c r="EI249" s="8">
        <v>8</v>
      </c>
      <c r="EJ249" s="52">
        <v>345</v>
      </c>
      <c r="EN249" s="8">
        <v>8</v>
      </c>
      <c r="EO249" s="28">
        <v>14</v>
      </c>
      <c r="EX249" s="8">
        <v>-164</v>
      </c>
      <c r="EY249" s="28">
        <v>130</v>
      </c>
      <c r="FD249" s="6">
        <v>930</v>
      </c>
      <c r="FE249" s="28">
        <v>118</v>
      </c>
      <c r="FM249" s="8">
        <v>136</v>
      </c>
      <c r="FN249" s="52">
        <v>143</v>
      </c>
      <c r="FS249" s="8">
        <v>-777</v>
      </c>
      <c r="FT249" s="52">
        <v>78</v>
      </c>
      <c r="GI249" s="8">
        <v>6</v>
      </c>
      <c r="GJ249" s="28">
        <v>167</v>
      </c>
      <c r="GP249" s="6">
        <v>1</v>
      </c>
      <c r="GQ249" s="52">
        <v>7</v>
      </c>
      <c r="GT249" s="6">
        <v>163</v>
      </c>
      <c r="GU249" s="52">
        <v>398</v>
      </c>
      <c r="HB249" s="6">
        <v>-126</v>
      </c>
      <c r="HE249" s="6">
        <v>114</v>
      </c>
      <c r="HF249" s="28">
        <v>62</v>
      </c>
      <c r="HS249" s="8">
        <v>-794</v>
      </c>
      <c r="HT249" s="52">
        <v>438</v>
      </c>
      <c r="IB249" s="8">
        <v>-180</v>
      </c>
      <c r="IC249" s="28">
        <v>773</v>
      </c>
      <c r="IY249" s="8">
        <v>219</v>
      </c>
      <c r="JW249" s="6">
        <v>-155</v>
      </c>
      <c r="JX249" s="12">
        <v>114</v>
      </c>
      <c r="KT249" s="8">
        <v>-346</v>
      </c>
      <c r="KU249" s="28">
        <v>237</v>
      </c>
      <c r="LF249" s="8">
        <v>-160</v>
      </c>
      <c r="LG249" s="28">
        <v>6</v>
      </c>
      <c r="LJ249" s="8">
        <v>467</v>
      </c>
      <c r="LK249" s="28">
        <v>213</v>
      </c>
      <c r="LW249" s="8">
        <v>61</v>
      </c>
      <c r="LX249" s="28">
        <v>30</v>
      </c>
      <c r="MF249" s="8">
        <v>-295</v>
      </c>
      <c r="MG249" s="12">
        <v>48</v>
      </c>
      <c r="NC249" s="8">
        <v>-69</v>
      </c>
      <c r="ND249" s="12">
        <v>134</v>
      </c>
      <c r="PP249" s="8">
        <v>301</v>
      </c>
      <c r="TZ249" s="8">
        <v>-247</v>
      </c>
      <c r="UA249" s="12">
        <v>223</v>
      </c>
      <c r="VL249" s="21"/>
      <c r="VQ249" s="6">
        <v>-290</v>
      </c>
      <c r="VR249" s="28">
        <v>400</v>
      </c>
    </row>
    <row r="250" spans="22:590" x14ac:dyDescent="0.25">
      <c r="V250">
        <v>13</v>
      </c>
      <c r="W250" s="10">
        <v>253</v>
      </c>
      <c r="AJ250" s="2">
        <v>2824</v>
      </c>
      <c r="AK250" s="10">
        <v>161</v>
      </c>
      <c r="BT250">
        <v>-554</v>
      </c>
      <c r="BU250" s="1">
        <v>908</v>
      </c>
      <c r="CE250" s="8">
        <v>180</v>
      </c>
      <c r="CF250" s="28">
        <v>370</v>
      </c>
      <c r="CZ250" s="23">
        <v>-8</v>
      </c>
      <c r="DA250" s="25">
        <v>8</v>
      </c>
      <c r="DG250" s="25"/>
      <c r="DH250" s="86">
        <v>-127</v>
      </c>
      <c r="DI250" s="25">
        <v>372</v>
      </c>
      <c r="DL250" s="8">
        <v>-2</v>
      </c>
      <c r="DS250" s="6">
        <v>-75</v>
      </c>
      <c r="DT250" s="52">
        <v>315</v>
      </c>
      <c r="EA250" s="23">
        <v>6</v>
      </c>
      <c r="EB250" s="52">
        <v>132</v>
      </c>
      <c r="EC250" s="52"/>
      <c r="ED250" s="52"/>
      <c r="EG250" s="6">
        <v>875</v>
      </c>
      <c r="EH250" s="28">
        <v>270</v>
      </c>
      <c r="EI250" s="8">
        <v>-108</v>
      </c>
      <c r="EJ250" s="52">
        <v>227</v>
      </c>
      <c r="EN250" s="8">
        <v>-348</v>
      </c>
      <c r="EO250" s="28">
        <v>30</v>
      </c>
      <c r="EX250" s="8">
        <v>-692</v>
      </c>
      <c r="EY250" s="28">
        <v>115</v>
      </c>
      <c r="FD250" s="6">
        <v>-637</v>
      </c>
      <c r="FE250" s="28">
        <v>967</v>
      </c>
      <c r="FM250" s="8">
        <v>-27</v>
      </c>
      <c r="FN250" s="52">
        <v>17</v>
      </c>
      <c r="FS250" s="8">
        <v>-851</v>
      </c>
      <c r="FT250" s="52">
        <v>83</v>
      </c>
      <c r="GI250" s="8">
        <v>-66</v>
      </c>
      <c r="GJ250" s="28">
        <v>191</v>
      </c>
      <c r="GP250" s="6">
        <v>-16</v>
      </c>
      <c r="GQ250" s="52">
        <v>252</v>
      </c>
      <c r="GT250" s="6">
        <v>-71</v>
      </c>
      <c r="GU250" s="52">
        <v>103</v>
      </c>
      <c r="HB250" s="6">
        <v>-80</v>
      </c>
      <c r="HE250" s="6">
        <v>68</v>
      </c>
      <c r="HF250" s="28">
        <v>43</v>
      </c>
      <c r="HS250" s="8">
        <v>-191</v>
      </c>
      <c r="HT250" s="52">
        <v>46</v>
      </c>
      <c r="IB250" s="8">
        <v>262</v>
      </c>
      <c r="IC250" s="28">
        <v>380</v>
      </c>
      <c r="IY250" s="8">
        <v>74</v>
      </c>
      <c r="JW250" s="6">
        <v>-173</v>
      </c>
      <c r="JX250" s="12">
        <v>72</v>
      </c>
      <c r="KT250" s="8">
        <v>117</v>
      </c>
      <c r="KU250" s="28">
        <v>366</v>
      </c>
      <c r="LF250" s="8">
        <v>1</v>
      </c>
      <c r="LG250" s="28">
        <v>6</v>
      </c>
      <c r="LJ250" s="8">
        <v>-207</v>
      </c>
      <c r="LK250" s="28">
        <v>136</v>
      </c>
      <c r="LW250" s="8">
        <v>-29</v>
      </c>
      <c r="LX250" s="28">
        <v>19</v>
      </c>
      <c r="MF250" s="8">
        <v>-619</v>
      </c>
      <c r="MG250" s="12">
        <v>393</v>
      </c>
      <c r="NC250" s="8">
        <v>16</v>
      </c>
      <c r="ND250" s="12">
        <v>179</v>
      </c>
      <c r="PP250" s="8">
        <v>216</v>
      </c>
      <c r="TZ250" s="8">
        <v>-23</v>
      </c>
      <c r="UA250" s="12">
        <v>443</v>
      </c>
      <c r="VL250" s="21"/>
      <c r="VQ250" s="6">
        <v>20</v>
      </c>
      <c r="VR250" s="28">
        <v>9</v>
      </c>
    </row>
    <row r="251" spans="22:590" x14ac:dyDescent="0.25">
      <c r="V251">
        <v>-1</v>
      </c>
      <c r="W251" s="10">
        <v>11</v>
      </c>
      <c r="AJ251" s="2">
        <v>3526</v>
      </c>
      <c r="AK251" s="10">
        <v>176</v>
      </c>
      <c r="BT251">
        <v>-220</v>
      </c>
      <c r="BU251" s="1">
        <v>303</v>
      </c>
      <c r="CE251" s="8">
        <v>-9</v>
      </c>
      <c r="CF251" s="28">
        <v>303</v>
      </c>
      <c r="CZ251" s="23">
        <v>124</v>
      </c>
      <c r="DA251" s="25">
        <v>84</v>
      </c>
      <c r="DG251" s="25"/>
      <c r="DH251" s="86">
        <v>265</v>
      </c>
      <c r="DI251" s="25">
        <v>408</v>
      </c>
      <c r="DL251" s="8">
        <v>1</v>
      </c>
      <c r="DS251" s="6">
        <v>-162</v>
      </c>
      <c r="DT251" s="52">
        <v>659</v>
      </c>
      <c r="EA251" s="23">
        <v>220</v>
      </c>
      <c r="EB251" s="52">
        <v>443</v>
      </c>
      <c r="EC251" s="52"/>
      <c r="ED251" s="52"/>
      <c r="EG251" s="6">
        <v>779</v>
      </c>
      <c r="EH251" s="28">
        <v>258</v>
      </c>
      <c r="EI251" s="8">
        <v>286</v>
      </c>
      <c r="EJ251" s="52">
        <v>105</v>
      </c>
      <c r="EN251" s="8">
        <v>-398</v>
      </c>
      <c r="EO251" s="28">
        <v>31</v>
      </c>
      <c r="EX251" s="8">
        <v>531</v>
      </c>
      <c r="EY251" s="28">
        <v>115</v>
      </c>
      <c r="FD251" s="6">
        <v>791</v>
      </c>
      <c r="FE251" s="28">
        <v>143</v>
      </c>
      <c r="FM251" s="8">
        <v>272</v>
      </c>
      <c r="FN251" s="52">
        <v>145</v>
      </c>
      <c r="FS251" s="8">
        <v>-842</v>
      </c>
      <c r="FT251" s="52">
        <v>78</v>
      </c>
      <c r="GI251" s="8">
        <v>-160</v>
      </c>
      <c r="GJ251" s="28">
        <v>170</v>
      </c>
      <c r="GP251" s="6">
        <v>-12</v>
      </c>
      <c r="GQ251" s="52">
        <v>88</v>
      </c>
      <c r="GT251" s="6">
        <v>125</v>
      </c>
      <c r="GU251" s="52">
        <v>165</v>
      </c>
      <c r="HB251" s="6">
        <v>-54</v>
      </c>
      <c r="HE251" s="6">
        <v>61</v>
      </c>
      <c r="HF251" s="28">
        <v>49</v>
      </c>
      <c r="HS251" s="8">
        <v>-1</v>
      </c>
      <c r="HT251" s="52">
        <v>49</v>
      </c>
      <c r="IB251" s="8">
        <v>-184</v>
      </c>
      <c r="IC251" s="28">
        <v>767</v>
      </c>
      <c r="IY251" s="8">
        <v>-79</v>
      </c>
      <c r="JW251" s="6">
        <v>-137</v>
      </c>
      <c r="JX251" s="12">
        <v>174</v>
      </c>
      <c r="KT251" s="8">
        <v>234</v>
      </c>
      <c r="KU251" s="28">
        <v>501</v>
      </c>
      <c r="LF251" s="8">
        <v>-93</v>
      </c>
      <c r="LG251" s="28">
        <v>15</v>
      </c>
      <c r="LJ251" s="8">
        <v>284</v>
      </c>
      <c r="LK251" s="28">
        <v>211</v>
      </c>
      <c r="LW251" s="8">
        <v>-55</v>
      </c>
      <c r="LX251" s="28">
        <v>16</v>
      </c>
      <c r="MF251" s="8">
        <v>134</v>
      </c>
      <c r="MG251" s="12">
        <v>379</v>
      </c>
      <c r="NC251" s="8">
        <v>-115</v>
      </c>
      <c r="ND251" s="12">
        <v>236</v>
      </c>
      <c r="PP251" s="8">
        <v>186</v>
      </c>
      <c r="TZ251" s="8">
        <v>131</v>
      </c>
      <c r="UA251" s="12">
        <v>120</v>
      </c>
      <c r="VL251" s="21"/>
      <c r="VQ251" s="6">
        <v>20</v>
      </c>
      <c r="VR251" s="28">
        <v>9</v>
      </c>
    </row>
    <row r="252" spans="22:590" x14ac:dyDescent="0.25">
      <c r="V252">
        <v>-2</v>
      </c>
      <c r="W252" s="10">
        <v>52</v>
      </c>
      <c r="AJ252" s="2">
        <v>-1274</v>
      </c>
      <c r="AK252" s="10">
        <v>163</v>
      </c>
      <c r="BT252">
        <v>736</v>
      </c>
      <c r="BU252" s="1">
        <v>152</v>
      </c>
      <c r="CE252" s="8">
        <v>108</v>
      </c>
      <c r="CF252" s="28">
        <v>454</v>
      </c>
      <c r="CZ252" s="23">
        <v>-152</v>
      </c>
      <c r="DA252" s="25">
        <v>105</v>
      </c>
      <c r="DG252" s="25"/>
      <c r="DH252" s="23">
        <v>197</v>
      </c>
      <c r="DI252" s="25">
        <v>563</v>
      </c>
      <c r="DL252" s="8">
        <v>-21</v>
      </c>
      <c r="DS252" s="6">
        <v>-109</v>
      </c>
      <c r="DT252" s="52">
        <v>401</v>
      </c>
      <c r="EA252" s="23">
        <v>-1</v>
      </c>
      <c r="EB252" s="52">
        <v>55</v>
      </c>
      <c r="EC252" s="52"/>
      <c r="ED252" s="52"/>
      <c r="EG252" s="6">
        <v>981</v>
      </c>
      <c r="EH252" s="28">
        <v>255</v>
      </c>
      <c r="EI252" s="8">
        <v>87</v>
      </c>
      <c r="EJ252" s="52">
        <v>32</v>
      </c>
      <c r="EN252" s="8">
        <v>148</v>
      </c>
      <c r="EO252" s="28">
        <v>55</v>
      </c>
      <c r="EX252" s="8">
        <v>-129</v>
      </c>
      <c r="EY252" s="28">
        <v>214</v>
      </c>
      <c r="FD252" s="6">
        <v>-104</v>
      </c>
      <c r="FE252" s="28">
        <v>233</v>
      </c>
      <c r="FM252" s="8">
        <v>131</v>
      </c>
      <c r="FN252" s="52">
        <v>224</v>
      </c>
      <c r="FS252" s="8">
        <v>-757</v>
      </c>
      <c r="FT252" s="52">
        <v>73</v>
      </c>
      <c r="GI252" s="8">
        <v>-211</v>
      </c>
      <c r="GJ252" s="28">
        <v>186</v>
      </c>
      <c r="GP252" s="6">
        <v>-2</v>
      </c>
      <c r="GQ252" s="52">
        <v>21</v>
      </c>
      <c r="GT252" s="6">
        <v>30</v>
      </c>
      <c r="GU252" s="52">
        <v>209</v>
      </c>
      <c r="HB252" s="6">
        <v>157</v>
      </c>
      <c r="HE252" s="6">
        <v>98</v>
      </c>
      <c r="HF252" s="28">
        <v>111</v>
      </c>
      <c r="HS252" s="8">
        <v>114</v>
      </c>
      <c r="HT252" s="52">
        <v>283</v>
      </c>
      <c r="IB252" s="8">
        <v>-241</v>
      </c>
      <c r="IC252" s="28">
        <v>808</v>
      </c>
      <c r="IY252" s="8">
        <v>255</v>
      </c>
      <c r="JW252" s="6">
        <v>-88</v>
      </c>
      <c r="JX252" s="12">
        <v>857</v>
      </c>
      <c r="KT252" s="8">
        <v>50</v>
      </c>
      <c r="KU252" s="28">
        <v>75</v>
      </c>
      <c r="LF252" s="8">
        <v>-94</v>
      </c>
      <c r="LG252" s="28">
        <v>11</v>
      </c>
      <c r="LJ252" s="8">
        <v>110</v>
      </c>
      <c r="LK252" s="28">
        <v>114</v>
      </c>
      <c r="LW252" s="8">
        <v>5</v>
      </c>
      <c r="LX252" s="28">
        <v>1</v>
      </c>
      <c r="MF252" s="8">
        <v>451</v>
      </c>
      <c r="MG252" s="12">
        <v>262</v>
      </c>
      <c r="NC252" s="8">
        <v>7</v>
      </c>
      <c r="ND252" s="12">
        <v>362</v>
      </c>
      <c r="PP252" s="8">
        <v>165</v>
      </c>
      <c r="TZ252" s="8">
        <v>240</v>
      </c>
      <c r="UA252" s="12">
        <v>112</v>
      </c>
      <c r="VL252" s="21"/>
      <c r="VQ252" s="6">
        <v>25</v>
      </c>
      <c r="VR252" s="28">
        <v>10</v>
      </c>
    </row>
    <row r="253" spans="22:590" x14ac:dyDescent="0.25">
      <c r="V253">
        <v>-8</v>
      </c>
      <c r="W253" s="10">
        <v>159</v>
      </c>
      <c r="AJ253" s="2">
        <v>-1104</v>
      </c>
      <c r="AK253" s="10">
        <v>156</v>
      </c>
      <c r="BT253">
        <v>-148</v>
      </c>
      <c r="BU253" s="1">
        <v>401</v>
      </c>
      <c r="CE253" s="8">
        <v>206</v>
      </c>
      <c r="CF253" s="28">
        <v>260</v>
      </c>
      <c r="CZ253" s="23">
        <v>97</v>
      </c>
      <c r="DA253" s="25">
        <v>90</v>
      </c>
      <c r="DG253" s="25"/>
      <c r="DH253" s="23">
        <v>56</v>
      </c>
      <c r="DI253" s="25">
        <v>35</v>
      </c>
      <c r="DL253" s="8">
        <v>-11</v>
      </c>
      <c r="DS253" s="6">
        <v>-94</v>
      </c>
      <c r="DT253" s="52">
        <v>405</v>
      </c>
      <c r="EA253" s="23">
        <v>43</v>
      </c>
      <c r="EB253" s="52">
        <v>185</v>
      </c>
      <c r="EC253" s="52"/>
      <c r="ED253" s="52"/>
      <c r="EG253" s="6">
        <v>964</v>
      </c>
      <c r="EH253" s="28">
        <v>250</v>
      </c>
      <c r="EI253" s="8">
        <v>15</v>
      </c>
      <c r="EJ253" s="52">
        <v>679</v>
      </c>
      <c r="EN253" s="8">
        <v>487</v>
      </c>
      <c r="EO253" s="28">
        <v>92</v>
      </c>
      <c r="EX253" s="8">
        <v>158</v>
      </c>
      <c r="EY253" s="28">
        <v>114</v>
      </c>
      <c r="FD253" s="6">
        <v>-712</v>
      </c>
      <c r="FE253" s="28">
        <v>385</v>
      </c>
      <c r="FM253" s="8">
        <v>366</v>
      </c>
      <c r="FN253" s="52">
        <v>229</v>
      </c>
      <c r="FS253" s="8">
        <v>-823</v>
      </c>
      <c r="FT253" s="52">
        <v>77</v>
      </c>
      <c r="GI253" s="8">
        <v>-234</v>
      </c>
      <c r="GJ253" s="28">
        <v>191</v>
      </c>
      <c r="GP253" s="6">
        <v>-45</v>
      </c>
      <c r="GQ253" s="52">
        <v>225</v>
      </c>
      <c r="GT253" s="6">
        <v>7</v>
      </c>
      <c r="GU253" s="52">
        <v>530</v>
      </c>
      <c r="HB253" s="6">
        <v>88</v>
      </c>
      <c r="HE253" s="6">
        <v>-49</v>
      </c>
      <c r="HF253" s="28">
        <v>69</v>
      </c>
      <c r="HS253" s="8">
        <v>-528</v>
      </c>
      <c r="HT253" s="52">
        <v>253</v>
      </c>
      <c r="IB253" s="8">
        <v>-187</v>
      </c>
      <c r="IC253" s="28">
        <v>792</v>
      </c>
      <c r="IY253" s="8">
        <v>-104</v>
      </c>
      <c r="JW253" s="6">
        <v>-145</v>
      </c>
      <c r="JX253" s="12">
        <v>113</v>
      </c>
      <c r="KT253" s="8">
        <v>105</v>
      </c>
      <c r="KU253" s="28">
        <v>7</v>
      </c>
      <c r="LF253" s="8">
        <v>-112</v>
      </c>
      <c r="LG253" s="28">
        <v>7</v>
      </c>
      <c r="LJ253" s="8">
        <v>175</v>
      </c>
      <c r="LK253" s="28">
        <v>643</v>
      </c>
      <c r="LW253" s="8">
        <v>72</v>
      </c>
      <c r="LX253" s="28">
        <v>37</v>
      </c>
      <c r="MF253" s="8">
        <v>-438</v>
      </c>
      <c r="MG253" s="12">
        <v>123</v>
      </c>
      <c r="NC253" s="8">
        <v>-97</v>
      </c>
      <c r="ND253" s="12">
        <v>155</v>
      </c>
      <c r="PP253" s="8">
        <v>174</v>
      </c>
      <c r="TZ253" s="8">
        <v>302</v>
      </c>
      <c r="UA253" s="12">
        <v>747</v>
      </c>
      <c r="VL253" s="21"/>
      <c r="VQ253" s="6">
        <v>19</v>
      </c>
      <c r="VR253" s="28">
        <v>9</v>
      </c>
    </row>
    <row r="254" spans="22:590" x14ac:dyDescent="0.25">
      <c r="V254">
        <v>-6</v>
      </c>
      <c r="W254" s="10">
        <v>153</v>
      </c>
      <c r="AJ254" s="2">
        <v>-1116</v>
      </c>
      <c r="AK254" s="10">
        <v>350</v>
      </c>
      <c r="BT254">
        <v>290</v>
      </c>
      <c r="BU254" s="1">
        <v>521</v>
      </c>
      <c r="CE254" s="8">
        <v>87</v>
      </c>
      <c r="CF254" s="28">
        <v>265</v>
      </c>
      <c r="CZ254" s="23">
        <v>-546</v>
      </c>
      <c r="DA254" s="25">
        <v>114</v>
      </c>
      <c r="DG254" s="25"/>
      <c r="DH254" s="23">
        <v>1</v>
      </c>
      <c r="DI254" s="25">
        <v>2</v>
      </c>
      <c r="DL254" s="8">
        <v>-5</v>
      </c>
      <c r="DS254" s="6">
        <v>-74</v>
      </c>
      <c r="DT254" s="52">
        <v>339</v>
      </c>
      <c r="EA254" s="23">
        <v>-141</v>
      </c>
      <c r="EB254" s="52">
        <v>443</v>
      </c>
      <c r="EC254" s="52"/>
      <c r="ED254" s="52"/>
      <c r="EG254" s="6">
        <v>678</v>
      </c>
      <c r="EH254" s="28">
        <v>253</v>
      </c>
      <c r="EI254" s="8">
        <v>1</v>
      </c>
      <c r="EJ254" s="52">
        <v>395</v>
      </c>
      <c r="EN254" s="8">
        <v>271</v>
      </c>
      <c r="EO254" s="28">
        <v>48</v>
      </c>
      <c r="EX254" s="8">
        <v>469</v>
      </c>
      <c r="EY254" s="28">
        <v>116</v>
      </c>
      <c r="FD254" s="6">
        <v>814</v>
      </c>
      <c r="FE254" s="28">
        <v>332</v>
      </c>
      <c r="FM254" s="8">
        <v>3</v>
      </c>
      <c r="FN254" s="52">
        <v>2</v>
      </c>
      <c r="FS254" s="8">
        <v>-3</v>
      </c>
      <c r="FT254" s="52">
        <v>8</v>
      </c>
      <c r="GI254" s="8">
        <v>24</v>
      </c>
      <c r="GJ254" s="28">
        <v>35</v>
      </c>
      <c r="GP254" s="6">
        <v>-31</v>
      </c>
      <c r="GQ254" s="52">
        <v>161</v>
      </c>
      <c r="GT254" s="6">
        <v>-1</v>
      </c>
      <c r="GU254" s="52">
        <v>221</v>
      </c>
      <c r="HB254" s="6">
        <v>95</v>
      </c>
      <c r="HE254" s="6">
        <v>122</v>
      </c>
      <c r="HF254" s="28">
        <v>84</v>
      </c>
      <c r="HS254" s="8">
        <v>770</v>
      </c>
      <c r="HT254" s="52">
        <v>217</v>
      </c>
      <c r="IB254" s="8">
        <v>-238</v>
      </c>
      <c r="IC254" s="28">
        <v>799</v>
      </c>
      <c r="IY254" s="8">
        <v>121</v>
      </c>
      <c r="JW254" s="6">
        <v>-140</v>
      </c>
      <c r="JX254" s="12">
        <v>586</v>
      </c>
      <c r="KT254" s="8">
        <v>-39</v>
      </c>
      <c r="KU254" s="28">
        <v>5</v>
      </c>
      <c r="LF254" s="8">
        <v>55</v>
      </c>
      <c r="LG254" s="28">
        <v>22</v>
      </c>
      <c r="LJ254" s="8">
        <v>174</v>
      </c>
      <c r="LK254" s="28">
        <v>258</v>
      </c>
      <c r="LW254" s="8">
        <v>91</v>
      </c>
      <c r="LX254" s="28">
        <v>33</v>
      </c>
      <c r="MF254" s="8">
        <v>793</v>
      </c>
      <c r="MG254" s="12">
        <v>173</v>
      </c>
      <c r="NC254" s="8">
        <v>68</v>
      </c>
      <c r="ND254" s="12">
        <v>87</v>
      </c>
      <c r="PP254" s="8">
        <v>106</v>
      </c>
      <c r="TZ254" s="8">
        <v>278</v>
      </c>
      <c r="UA254" s="12">
        <v>640</v>
      </c>
      <c r="VL254" s="21"/>
      <c r="VQ254" s="6">
        <v>20</v>
      </c>
      <c r="VR254" s="28">
        <v>9</v>
      </c>
    </row>
    <row r="255" spans="22:590" x14ac:dyDescent="0.25">
      <c r="V255">
        <v>-8</v>
      </c>
      <c r="W255" s="10">
        <v>170</v>
      </c>
      <c r="AJ255" s="2">
        <v>-480</v>
      </c>
      <c r="AK255" s="10">
        <v>145</v>
      </c>
      <c r="BT255">
        <v>-554</v>
      </c>
      <c r="BU255" s="1">
        <v>836</v>
      </c>
      <c r="CE255" s="8">
        <v>212</v>
      </c>
      <c r="CF255" s="28">
        <v>304</v>
      </c>
      <c r="CZ255" s="23">
        <v>-316</v>
      </c>
      <c r="DA255" s="25">
        <v>660</v>
      </c>
      <c r="DG255" s="25"/>
      <c r="DH255" s="23">
        <v>-136</v>
      </c>
      <c r="DI255" s="25">
        <v>24</v>
      </c>
      <c r="DL255" s="8">
        <v>-10</v>
      </c>
      <c r="DS255" s="6">
        <v>-83</v>
      </c>
      <c r="DT255" s="52">
        <v>356</v>
      </c>
      <c r="EA255" s="23">
        <v>-2</v>
      </c>
      <c r="EB255" s="52">
        <v>521</v>
      </c>
      <c r="EC255" s="52"/>
      <c r="ED255" s="52"/>
      <c r="EG255" s="6">
        <v>896</v>
      </c>
      <c r="EH255" s="28">
        <v>242</v>
      </c>
      <c r="EI255" s="8">
        <v>182</v>
      </c>
      <c r="EJ255" s="52">
        <v>438</v>
      </c>
      <c r="EN255" s="8">
        <v>355</v>
      </c>
      <c r="EO255" s="28">
        <v>73</v>
      </c>
      <c r="EX255" s="8">
        <v>203</v>
      </c>
      <c r="EY255" s="28">
        <v>124</v>
      </c>
      <c r="FD255" s="6">
        <v>288</v>
      </c>
      <c r="FE255" s="28">
        <v>294</v>
      </c>
      <c r="FM255" s="8">
        <v>258</v>
      </c>
      <c r="FN255" s="52">
        <v>238</v>
      </c>
      <c r="FS255" s="8">
        <v>-3</v>
      </c>
      <c r="FT255" s="52">
        <v>8</v>
      </c>
      <c r="GI255" s="8">
        <v>15</v>
      </c>
      <c r="GJ255" s="28">
        <v>25</v>
      </c>
      <c r="GP255" s="6">
        <v>-35</v>
      </c>
      <c r="GQ255" s="52">
        <v>239</v>
      </c>
      <c r="GT255" s="6">
        <v>-12</v>
      </c>
      <c r="GU255" s="52">
        <v>112</v>
      </c>
      <c r="HB255" s="6">
        <v>142</v>
      </c>
      <c r="HE255" s="6">
        <v>51</v>
      </c>
      <c r="HF255" s="28">
        <v>69</v>
      </c>
      <c r="HS255" s="8">
        <v>2</v>
      </c>
      <c r="HT255" s="52">
        <v>43</v>
      </c>
      <c r="IB255" s="8">
        <v>-352</v>
      </c>
      <c r="IC255" s="28">
        <v>403</v>
      </c>
      <c r="IY255" s="8">
        <v>57</v>
      </c>
      <c r="JW255" s="6">
        <v>-174</v>
      </c>
      <c r="JX255" s="12">
        <v>857</v>
      </c>
      <c r="KT255" s="8">
        <v>327</v>
      </c>
      <c r="KU255" s="28">
        <v>933</v>
      </c>
      <c r="LF255" s="8">
        <v>-87</v>
      </c>
      <c r="LG255" s="28">
        <v>19</v>
      </c>
      <c r="LJ255" s="8">
        <v>71</v>
      </c>
      <c r="LK255" s="28">
        <v>554</v>
      </c>
      <c r="LW255" s="8">
        <v>-91</v>
      </c>
      <c r="LX255" s="28">
        <v>51</v>
      </c>
      <c r="MF255" s="8">
        <v>774</v>
      </c>
      <c r="MG255" s="12">
        <v>679</v>
      </c>
      <c r="NC255" s="8">
        <v>-22</v>
      </c>
      <c r="ND255" s="12">
        <v>12</v>
      </c>
      <c r="PP255" s="8">
        <v>125</v>
      </c>
      <c r="TZ255" s="8">
        <v>238</v>
      </c>
      <c r="UA255" s="12">
        <v>590</v>
      </c>
      <c r="VL255" s="21"/>
      <c r="VQ255" s="6">
        <v>17</v>
      </c>
      <c r="VR255" s="28">
        <v>12</v>
      </c>
    </row>
    <row r="256" spans="22:590" x14ac:dyDescent="0.25">
      <c r="V256">
        <v>-8</v>
      </c>
      <c r="W256" s="10">
        <v>150</v>
      </c>
      <c r="AJ256" s="2">
        <v>-125</v>
      </c>
      <c r="AK256" s="10">
        <v>99</v>
      </c>
      <c r="BT256">
        <v>-680</v>
      </c>
      <c r="BU256" s="1">
        <v>124</v>
      </c>
      <c r="CE256" s="8">
        <v>-23</v>
      </c>
      <c r="CF256" s="28">
        <v>621</v>
      </c>
      <c r="CZ256" s="23">
        <v>701</v>
      </c>
      <c r="DA256" s="25">
        <v>216</v>
      </c>
      <c r="DH256" s="23">
        <v>5</v>
      </c>
      <c r="DI256" s="25">
        <v>1</v>
      </c>
      <c r="DL256" s="8">
        <v>-2</v>
      </c>
      <c r="DS256" s="6">
        <v>-54</v>
      </c>
      <c r="DT256" s="52">
        <v>226</v>
      </c>
      <c r="EA256" s="23">
        <v>2</v>
      </c>
      <c r="EB256" s="52">
        <v>684</v>
      </c>
      <c r="EC256" s="52"/>
      <c r="ED256" s="52"/>
      <c r="EG256" s="6">
        <v>910</v>
      </c>
      <c r="EH256" s="28">
        <v>242</v>
      </c>
      <c r="EI256" s="8">
        <v>-520</v>
      </c>
      <c r="EJ256" s="52">
        <v>72</v>
      </c>
      <c r="EN256" s="8">
        <v>259</v>
      </c>
      <c r="EO256" s="28">
        <v>51</v>
      </c>
      <c r="EX256" s="8">
        <v>-112</v>
      </c>
      <c r="EY256" s="28">
        <v>167</v>
      </c>
      <c r="FD256" s="6">
        <v>595</v>
      </c>
      <c r="FE256" s="28">
        <v>299</v>
      </c>
      <c r="FM256" s="8">
        <v>183</v>
      </c>
      <c r="FN256" s="52">
        <v>270</v>
      </c>
      <c r="FS256" s="8">
        <v>-370</v>
      </c>
      <c r="FT256" s="52">
        <v>149</v>
      </c>
      <c r="GI256" s="8">
        <v>-23</v>
      </c>
      <c r="GJ256" s="28">
        <v>20</v>
      </c>
      <c r="GP256" s="6">
        <v>-13</v>
      </c>
      <c r="GQ256" s="52">
        <v>19</v>
      </c>
      <c r="GT256" s="6">
        <v>-12</v>
      </c>
      <c r="GU256" s="52">
        <v>116</v>
      </c>
      <c r="HB256" s="6">
        <v>114</v>
      </c>
      <c r="HE256" s="6">
        <v>74</v>
      </c>
      <c r="HF256" s="28">
        <v>42</v>
      </c>
      <c r="HS256" s="8">
        <v>667</v>
      </c>
      <c r="HT256" s="52">
        <v>271</v>
      </c>
      <c r="IB256" s="8">
        <v>-243</v>
      </c>
      <c r="IC256" s="28">
        <v>805</v>
      </c>
      <c r="IY256" s="8">
        <v>-760</v>
      </c>
      <c r="JW256" s="6">
        <v>253</v>
      </c>
      <c r="JX256" s="12">
        <v>53</v>
      </c>
      <c r="KT256" s="8">
        <v>952</v>
      </c>
      <c r="KU256" s="28">
        <v>800</v>
      </c>
      <c r="LF256" s="8">
        <v>-114</v>
      </c>
      <c r="LG256" s="28">
        <v>16</v>
      </c>
      <c r="LJ256" s="8">
        <v>-471</v>
      </c>
      <c r="LK256" s="28">
        <v>151</v>
      </c>
      <c r="LW256" s="8">
        <v>-24</v>
      </c>
      <c r="LX256" s="28">
        <v>31</v>
      </c>
      <c r="MF256" s="8">
        <v>-119</v>
      </c>
      <c r="MG256" s="12">
        <v>775</v>
      </c>
      <c r="NC256" s="8">
        <v>-140</v>
      </c>
      <c r="ND256" s="12">
        <v>137</v>
      </c>
      <c r="PP256" s="8">
        <v>64</v>
      </c>
      <c r="TZ256" s="8">
        <v>145</v>
      </c>
      <c r="UA256" s="12">
        <v>561</v>
      </c>
      <c r="VL256" s="21"/>
      <c r="VQ256" s="6">
        <v>19</v>
      </c>
      <c r="VR256" s="28">
        <v>9</v>
      </c>
    </row>
    <row r="257" spans="22:590" x14ac:dyDescent="0.25">
      <c r="V257">
        <v>-8</v>
      </c>
      <c r="W257" s="10">
        <v>186</v>
      </c>
      <c r="AJ257" s="2">
        <v>91</v>
      </c>
      <c r="AK257" s="10">
        <v>124</v>
      </c>
      <c r="BT257">
        <v>67</v>
      </c>
      <c r="BU257" s="1">
        <v>477</v>
      </c>
      <c r="CE257" s="8">
        <v>179</v>
      </c>
      <c r="CF257" s="28">
        <v>297</v>
      </c>
      <c r="CZ257" s="23">
        <v>284</v>
      </c>
      <c r="DA257" s="25">
        <v>128</v>
      </c>
      <c r="DH257" s="23">
        <v>123</v>
      </c>
      <c r="DI257" s="25">
        <v>118</v>
      </c>
      <c r="DL257" s="8">
        <v>-26</v>
      </c>
      <c r="DS257" s="6">
        <v>-21</v>
      </c>
      <c r="DT257" s="52">
        <v>151</v>
      </c>
      <c r="EA257" s="23">
        <v>-3</v>
      </c>
      <c r="EB257" s="52">
        <v>752</v>
      </c>
      <c r="EC257" s="52"/>
      <c r="ED257" s="52"/>
      <c r="EG257" s="6">
        <v>-558</v>
      </c>
      <c r="EH257" s="28">
        <v>815</v>
      </c>
      <c r="EI257" s="8">
        <v>-9</v>
      </c>
      <c r="EJ257" s="52">
        <v>92</v>
      </c>
      <c r="EN257" s="8">
        <v>234</v>
      </c>
      <c r="EO257" s="28">
        <v>53</v>
      </c>
      <c r="EX257" s="8">
        <v>571</v>
      </c>
      <c r="EY257" s="28">
        <v>128</v>
      </c>
      <c r="FD257" s="6">
        <v>598</v>
      </c>
      <c r="FE257" s="28">
        <v>272</v>
      </c>
      <c r="FM257" s="8">
        <v>-33</v>
      </c>
      <c r="FN257" s="52">
        <v>54</v>
      </c>
      <c r="FS257" s="8">
        <v>-372</v>
      </c>
      <c r="FT257" s="52">
        <v>146</v>
      </c>
      <c r="GI257" s="8">
        <v>17</v>
      </c>
      <c r="GJ257" s="28">
        <v>51</v>
      </c>
      <c r="GP257" s="6">
        <v>-27</v>
      </c>
      <c r="GQ257" s="52">
        <v>131</v>
      </c>
      <c r="GT257" s="6">
        <v>-116</v>
      </c>
      <c r="GU257" s="52">
        <v>195</v>
      </c>
      <c r="HB257" s="6">
        <v>239</v>
      </c>
      <c r="HE257" s="6">
        <v>-9</v>
      </c>
      <c r="HF257" s="28">
        <v>28</v>
      </c>
      <c r="HS257" s="8">
        <v>-286</v>
      </c>
      <c r="HT257" s="52">
        <v>648</v>
      </c>
      <c r="IB257" s="8">
        <v>230</v>
      </c>
      <c r="IC257" s="28">
        <v>177</v>
      </c>
      <c r="IY257" s="8">
        <v>-240</v>
      </c>
      <c r="JW257" s="6">
        <v>154</v>
      </c>
      <c r="JX257" s="12">
        <v>26</v>
      </c>
      <c r="KT257" s="8">
        <v>-650</v>
      </c>
      <c r="KU257" s="28">
        <v>871</v>
      </c>
      <c r="LF257" s="8">
        <v>-183</v>
      </c>
      <c r="LG257" s="28">
        <v>15</v>
      </c>
      <c r="LJ257" s="8">
        <v>-154</v>
      </c>
      <c r="LK257" s="28">
        <v>102</v>
      </c>
      <c r="LW257" s="8">
        <v>-48</v>
      </c>
      <c r="LX257" s="28">
        <v>29</v>
      </c>
      <c r="MF257" s="8">
        <v>556</v>
      </c>
      <c r="MG257" s="12">
        <v>939</v>
      </c>
      <c r="NC257" s="8">
        <v>-96</v>
      </c>
      <c r="ND257" s="12">
        <v>93</v>
      </c>
      <c r="PP257" s="8">
        <v>26</v>
      </c>
      <c r="TZ257" s="8">
        <v>106</v>
      </c>
      <c r="UA257" s="12">
        <v>94</v>
      </c>
      <c r="VL257" s="21"/>
      <c r="VQ257" s="6">
        <v>31</v>
      </c>
      <c r="VR257" s="28">
        <v>7</v>
      </c>
    </row>
    <row r="258" spans="22:590" x14ac:dyDescent="0.25">
      <c r="V258">
        <v>4</v>
      </c>
      <c r="W258" s="10">
        <v>97</v>
      </c>
      <c r="AJ258" s="2">
        <v>30</v>
      </c>
      <c r="AK258" s="10">
        <v>163</v>
      </c>
      <c r="BT258">
        <v>501</v>
      </c>
      <c r="BU258" s="1">
        <v>109</v>
      </c>
      <c r="CE258" s="8">
        <v>239</v>
      </c>
      <c r="CF258" s="28">
        <v>214</v>
      </c>
      <c r="CZ258" s="23">
        <v>121</v>
      </c>
      <c r="DA258" s="25">
        <v>817</v>
      </c>
      <c r="DH258" s="23">
        <v>44</v>
      </c>
      <c r="DI258" s="25">
        <v>41</v>
      </c>
      <c r="DL258" s="8">
        <v>-16</v>
      </c>
      <c r="DS258" s="6">
        <v>-62</v>
      </c>
      <c r="DT258" s="52">
        <v>136</v>
      </c>
      <c r="EA258" s="23">
        <v>-2</v>
      </c>
      <c r="EB258" s="52">
        <v>342</v>
      </c>
      <c r="EC258" s="52"/>
      <c r="ED258" s="52"/>
      <c r="EG258" s="6">
        <v>-556</v>
      </c>
      <c r="EH258" s="28">
        <v>846</v>
      </c>
      <c r="EI258" s="8">
        <v>9</v>
      </c>
      <c r="EJ258" s="52">
        <v>48</v>
      </c>
      <c r="EN258" s="8">
        <v>-93</v>
      </c>
      <c r="EO258" s="28">
        <v>51</v>
      </c>
      <c r="EX258" s="8">
        <v>218</v>
      </c>
      <c r="EY258" s="28">
        <v>115</v>
      </c>
      <c r="FD258" s="6">
        <v>-8</v>
      </c>
      <c r="FE258" s="28">
        <v>292</v>
      </c>
      <c r="FM258" s="8">
        <v>213</v>
      </c>
      <c r="FN258" s="52">
        <v>328</v>
      </c>
      <c r="FS258" s="8">
        <v>-115</v>
      </c>
      <c r="FT258" s="52">
        <v>122</v>
      </c>
      <c r="GI258" s="8">
        <v>26</v>
      </c>
      <c r="GJ258" s="28">
        <v>75</v>
      </c>
      <c r="GP258" s="6">
        <v>16</v>
      </c>
      <c r="GQ258" s="52">
        <v>168</v>
      </c>
      <c r="GT258" s="6">
        <v>123</v>
      </c>
      <c r="GU258" s="52">
        <v>219</v>
      </c>
      <c r="HB258" s="6">
        <v>304</v>
      </c>
      <c r="HE258" s="6">
        <v>-23</v>
      </c>
      <c r="HF258" s="28">
        <v>47</v>
      </c>
      <c r="HS258" s="8">
        <v>875</v>
      </c>
      <c r="HT258" s="52">
        <v>29</v>
      </c>
      <c r="IB258" s="8">
        <v>202</v>
      </c>
      <c r="IC258" s="28">
        <v>173</v>
      </c>
      <c r="IY258" s="8">
        <v>-120</v>
      </c>
      <c r="JW258" s="6">
        <v>426</v>
      </c>
      <c r="JX258" s="12">
        <v>88</v>
      </c>
      <c r="KT258" s="8">
        <v>-733</v>
      </c>
      <c r="KU258" s="28">
        <v>829</v>
      </c>
      <c r="LF258" s="8">
        <v>-24</v>
      </c>
      <c r="LG258" s="28">
        <v>11</v>
      </c>
      <c r="LJ258" s="8">
        <v>-225</v>
      </c>
      <c r="LK258" s="28">
        <v>952</v>
      </c>
      <c r="LW258" s="8">
        <v>-80</v>
      </c>
      <c r="LX258" s="28">
        <v>19</v>
      </c>
      <c r="MF258" s="8">
        <v>769</v>
      </c>
      <c r="MG258" s="12">
        <v>632</v>
      </c>
      <c r="NC258" s="8">
        <v>-238</v>
      </c>
      <c r="ND258" s="12">
        <v>212</v>
      </c>
      <c r="PP258" s="8">
        <v>79</v>
      </c>
      <c r="TZ258" s="8">
        <v>-150</v>
      </c>
      <c r="UA258" s="12">
        <v>129</v>
      </c>
      <c r="VL258" s="21"/>
      <c r="VQ258" s="6">
        <v>-18</v>
      </c>
      <c r="VR258" s="28">
        <v>9</v>
      </c>
    </row>
    <row r="259" spans="22:590" x14ac:dyDescent="0.25">
      <c r="V259">
        <v>-5</v>
      </c>
      <c r="W259" s="10">
        <v>56</v>
      </c>
      <c r="AJ259" s="2">
        <v>29</v>
      </c>
      <c r="AK259" s="10">
        <v>116</v>
      </c>
      <c r="BT259">
        <v>-339</v>
      </c>
      <c r="BU259" s="1">
        <v>619</v>
      </c>
      <c r="CE259" s="8">
        <v>222</v>
      </c>
      <c r="CF259" s="28">
        <v>248</v>
      </c>
      <c r="CZ259" s="23">
        <v>157</v>
      </c>
      <c r="DA259" s="25">
        <v>629</v>
      </c>
      <c r="DH259" s="23">
        <v>1</v>
      </c>
      <c r="DI259" s="25">
        <v>2</v>
      </c>
      <c r="DL259" s="8">
        <v>225</v>
      </c>
      <c r="DS259" s="6">
        <v>92</v>
      </c>
      <c r="DT259" s="52">
        <v>634</v>
      </c>
      <c r="EA259" s="23">
        <v>-37</v>
      </c>
      <c r="EB259" s="52">
        <v>664</v>
      </c>
      <c r="EC259" s="52"/>
      <c r="ED259" s="52"/>
      <c r="EG259" s="6">
        <v>-565</v>
      </c>
      <c r="EH259" s="28">
        <v>844</v>
      </c>
      <c r="EN259" s="8">
        <v>-142</v>
      </c>
      <c r="EO259" s="28">
        <v>54</v>
      </c>
      <c r="EX259" s="8">
        <v>431</v>
      </c>
      <c r="EY259" s="28">
        <v>114</v>
      </c>
      <c r="FD259" s="6">
        <v>323</v>
      </c>
      <c r="FE259" s="28">
        <v>215</v>
      </c>
      <c r="FM259" s="8">
        <v>115</v>
      </c>
      <c r="FN259" s="52">
        <v>125</v>
      </c>
      <c r="FS259" s="8">
        <v>16</v>
      </c>
      <c r="FT259" s="52">
        <v>38</v>
      </c>
      <c r="GI259" s="8">
        <v>-133</v>
      </c>
      <c r="GJ259" s="28">
        <v>115</v>
      </c>
      <c r="GP259" s="6">
        <v>23</v>
      </c>
      <c r="GQ259" s="52">
        <v>105</v>
      </c>
      <c r="GT259" s="6">
        <v>-51</v>
      </c>
      <c r="GU259" s="52">
        <v>344</v>
      </c>
      <c r="HB259" s="6">
        <v>178</v>
      </c>
      <c r="HE259" s="6">
        <v>-49</v>
      </c>
      <c r="HF259" s="28">
        <v>34</v>
      </c>
      <c r="HS259" s="8">
        <v>-237</v>
      </c>
      <c r="HT259" s="52">
        <v>315</v>
      </c>
      <c r="IB259" s="8">
        <v>230</v>
      </c>
      <c r="IC259" s="28">
        <v>177</v>
      </c>
      <c r="IY259" s="8">
        <v>248</v>
      </c>
      <c r="JW259" s="6">
        <v>-371</v>
      </c>
      <c r="JX259" s="12">
        <v>759</v>
      </c>
      <c r="KT259" s="8">
        <v>166</v>
      </c>
      <c r="KU259" s="28">
        <v>764</v>
      </c>
      <c r="LF259" s="8">
        <v>-116</v>
      </c>
      <c r="LG259" s="28">
        <v>10</v>
      </c>
      <c r="LJ259" s="8">
        <v>-666</v>
      </c>
      <c r="LK259" s="28">
        <v>211</v>
      </c>
      <c r="LW259" s="8">
        <v>16</v>
      </c>
      <c r="LX259" s="28">
        <v>17</v>
      </c>
      <c r="MF259" s="8">
        <v>102</v>
      </c>
      <c r="MG259" s="12">
        <v>719</v>
      </c>
      <c r="NC259" s="8">
        <v>824</v>
      </c>
      <c r="ND259" s="12">
        <v>281</v>
      </c>
      <c r="PP259" s="8">
        <v>17</v>
      </c>
      <c r="TZ259" s="8">
        <v>-136</v>
      </c>
      <c r="UA259" s="12">
        <v>876</v>
      </c>
      <c r="VL259" s="21"/>
      <c r="VQ259" s="6">
        <v>-16</v>
      </c>
      <c r="VR259" s="28">
        <v>9</v>
      </c>
    </row>
    <row r="260" spans="22:590" x14ac:dyDescent="0.25">
      <c r="V260">
        <v>8</v>
      </c>
      <c r="W260" s="10">
        <v>213</v>
      </c>
      <c r="AJ260" s="2">
        <v>-408</v>
      </c>
      <c r="AK260" s="10">
        <v>69</v>
      </c>
      <c r="BT260">
        <v>-563</v>
      </c>
      <c r="BU260" s="1">
        <v>375</v>
      </c>
      <c r="CE260" s="8">
        <v>17</v>
      </c>
      <c r="CF260" s="28">
        <v>431</v>
      </c>
      <c r="CZ260" s="23">
        <v>-102</v>
      </c>
      <c r="DA260" s="25">
        <v>581</v>
      </c>
      <c r="DH260" s="23">
        <v>-142</v>
      </c>
      <c r="DI260" s="25">
        <v>26</v>
      </c>
      <c r="DL260" s="8">
        <v>-15</v>
      </c>
      <c r="DS260" s="6">
        <v>-659</v>
      </c>
      <c r="DT260" s="52">
        <v>296</v>
      </c>
      <c r="EA260" s="23">
        <v>3</v>
      </c>
      <c r="EB260" s="52">
        <v>410</v>
      </c>
      <c r="EC260" s="52"/>
      <c r="ED260" s="52"/>
      <c r="EG260" s="6">
        <v>-537</v>
      </c>
      <c r="EH260" s="28">
        <v>842</v>
      </c>
      <c r="EN260" s="8">
        <v>92</v>
      </c>
      <c r="EO260" s="28">
        <v>56</v>
      </c>
      <c r="EX260" s="8">
        <v>657</v>
      </c>
      <c r="EY260" s="28">
        <v>153</v>
      </c>
      <c r="FD260" s="6">
        <v>-171</v>
      </c>
      <c r="FE260" s="28">
        <v>736</v>
      </c>
      <c r="FM260" s="8">
        <v>207</v>
      </c>
      <c r="FN260" s="52">
        <v>122</v>
      </c>
      <c r="FS260" s="8">
        <v>14</v>
      </c>
      <c r="FT260" s="52">
        <v>34</v>
      </c>
      <c r="GI260" s="8">
        <v>128</v>
      </c>
      <c r="GJ260" s="28">
        <v>323</v>
      </c>
      <c r="GP260" s="6">
        <v>18</v>
      </c>
      <c r="GQ260" s="52">
        <v>103</v>
      </c>
      <c r="GT260" s="6">
        <v>-19</v>
      </c>
      <c r="GU260" s="52">
        <v>94</v>
      </c>
      <c r="HB260" s="6">
        <v>-81</v>
      </c>
      <c r="HE260" s="6">
        <v>22</v>
      </c>
      <c r="HF260" s="28">
        <v>34</v>
      </c>
      <c r="HS260" s="8">
        <v>462</v>
      </c>
      <c r="HT260" s="52">
        <v>114</v>
      </c>
      <c r="IB260" s="8">
        <v>202</v>
      </c>
      <c r="IC260" s="28">
        <v>173</v>
      </c>
      <c r="IY260" s="8">
        <v>557</v>
      </c>
      <c r="JW260" s="6">
        <v>-244</v>
      </c>
      <c r="JX260" s="12">
        <v>428</v>
      </c>
      <c r="KT260" s="8">
        <v>550</v>
      </c>
      <c r="KU260" s="28">
        <v>883</v>
      </c>
      <c r="LF260" s="8">
        <v>-125</v>
      </c>
      <c r="LG260" s="28">
        <v>8</v>
      </c>
      <c r="LJ260" s="8">
        <v>-10</v>
      </c>
      <c r="LK260" s="28">
        <v>100</v>
      </c>
      <c r="LW260" s="8">
        <v>9</v>
      </c>
      <c r="LX260" s="28">
        <v>1</v>
      </c>
      <c r="MF260" s="8">
        <v>424</v>
      </c>
      <c r="MG260" s="12">
        <v>159</v>
      </c>
      <c r="NC260" s="8">
        <v>328</v>
      </c>
      <c r="ND260" s="12">
        <v>200</v>
      </c>
      <c r="PP260" s="8">
        <v>28</v>
      </c>
      <c r="TZ260" s="8">
        <v>64</v>
      </c>
      <c r="UA260" s="12">
        <v>156</v>
      </c>
      <c r="VL260" s="21"/>
      <c r="VQ260" s="6">
        <v>-196</v>
      </c>
      <c r="VR260" s="28">
        <v>840</v>
      </c>
    </row>
    <row r="261" spans="22:590" x14ac:dyDescent="0.25">
      <c r="V261">
        <v>67</v>
      </c>
      <c r="W261" s="10">
        <v>83</v>
      </c>
      <c r="AJ261" s="2">
        <v>-85</v>
      </c>
      <c r="AK261" s="10">
        <v>142</v>
      </c>
      <c r="BT261">
        <v>-157</v>
      </c>
      <c r="BU261" s="1">
        <v>378</v>
      </c>
      <c r="CE261" s="8">
        <v>127</v>
      </c>
      <c r="CF261" s="28">
        <v>277</v>
      </c>
      <c r="CZ261" s="23">
        <v>-573</v>
      </c>
      <c r="DA261" s="25">
        <v>419</v>
      </c>
      <c r="DH261" s="23">
        <v>5</v>
      </c>
      <c r="DI261" s="25">
        <v>1</v>
      </c>
      <c r="DL261" s="8">
        <v>-3</v>
      </c>
      <c r="DS261" s="8">
        <v>54</v>
      </c>
      <c r="DT261" s="52">
        <v>22</v>
      </c>
      <c r="EA261" s="23">
        <v>-345</v>
      </c>
      <c r="EB261" s="52">
        <v>736</v>
      </c>
      <c r="EC261" s="52"/>
      <c r="ED261" s="52"/>
      <c r="EG261" s="6">
        <v>-610</v>
      </c>
      <c r="EH261" s="28">
        <v>849</v>
      </c>
      <c r="EN261" s="8">
        <v>134</v>
      </c>
      <c r="EO261" s="28">
        <v>67</v>
      </c>
      <c r="EX261" s="8">
        <v>435</v>
      </c>
      <c r="EY261" s="28">
        <v>126</v>
      </c>
      <c r="FD261" s="6">
        <v>-704</v>
      </c>
      <c r="FE261" s="28">
        <v>144</v>
      </c>
      <c r="FM261" s="8">
        <v>-9</v>
      </c>
      <c r="FN261" s="52">
        <v>7</v>
      </c>
      <c r="FS261" s="8">
        <v>-822</v>
      </c>
      <c r="FT261" s="52">
        <v>164</v>
      </c>
      <c r="GI261" s="8">
        <v>-69</v>
      </c>
      <c r="GJ261" s="28">
        <v>235</v>
      </c>
      <c r="GP261" s="6">
        <v>-13</v>
      </c>
      <c r="GQ261" s="52">
        <v>83</v>
      </c>
      <c r="GT261" s="6">
        <v>-59</v>
      </c>
      <c r="GU261" s="52">
        <v>575</v>
      </c>
      <c r="HB261" s="6">
        <v>-173</v>
      </c>
      <c r="HE261" s="6">
        <v>15</v>
      </c>
      <c r="HF261" s="28">
        <v>26</v>
      </c>
      <c r="HS261" s="8">
        <v>14</v>
      </c>
      <c r="HT261" s="52">
        <v>14</v>
      </c>
      <c r="IB261" s="8">
        <v>114</v>
      </c>
      <c r="IC261" s="28">
        <v>534</v>
      </c>
      <c r="IY261" s="8">
        <v>-240</v>
      </c>
      <c r="JW261" s="6">
        <v>-249</v>
      </c>
      <c r="JX261" s="12">
        <v>439</v>
      </c>
      <c r="KT261" s="8">
        <v>302</v>
      </c>
      <c r="KU261" s="28">
        <v>762</v>
      </c>
      <c r="LF261" s="8">
        <v>-139</v>
      </c>
      <c r="LG261" s="28">
        <v>12</v>
      </c>
      <c r="LJ261" s="8">
        <v>113</v>
      </c>
      <c r="LK261" s="28">
        <v>232</v>
      </c>
      <c r="LW261" s="8">
        <v>52</v>
      </c>
      <c r="LX261" s="28">
        <v>37</v>
      </c>
      <c r="MF261" s="8">
        <v>246</v>
      </c>
      <c r="MG261" s="12">
        <v>51</v>
      </c>
      <c r="NC261" s="8">
        <v>373</v>
      </c>
      <c r="ND261" s="12">
        <v>183</v>
      </c>
      <c r="PP261" s="8">
        <v>15</v>
      </c>
      <c r="TZ261" s="8">
        <v>206</v>
      </c>
      <c r="UA261" s="12">
        <v>382</v>
      </c>
      <c r="VL261" s="21"/>
      <c r="VQ261" s="6">
        <v>-196</v>
      </c>
      <c r="VR261" s="28">
        <v>856</v>
      </c>
    </row>
    <row r="262" spans="22:590" x14ac:dyDescent="0.25">
      <c r="V262">
        <v>547</v>
      </c>
      <c r="W262" s="10">
        <v>136</v>
      </c>
      <c r="AJ262" s="2">
        <v>-976</v>
      </c>
      <c r="AK262" s="10">
        <v>95</v>
      </c>
      <c r="BT262">
        <v>-447</v>
      </c>
      <c r="BU262" s="1">
        <v>115</v>
      </c>
      <c r="CE262" s="8">
        <v>131</v>
      </c>
      <c r="CF262" s="28">
        <v>454</v>
      </c>
      <c r="CZ262" s="23">
        <v>4</v>
      </c>
      <c r="DA262" s="25">
        <v>12</v>
      </c>
      <c r="DH262" s="23">
        <v>-66</v>
      </c>
      <c r="DI262" s="25">
        <v>85</v>
      </c>
      <c r="DL262" s="8">
        <v>-2</v>
      </c>
      <c r="DS262" s="8">
        <v>115</v>
      </c>
      <c r="DT262" s="52">
        <v>48</v>
      </c>
      <c r="EA262" s="23">
        <v>-546</v>
      </c>
      <c r="EB262" s="52">
        <v>212</v>
      </c>
      <c r="EC262" s="52"/>
      <c r="ED262" s="52"/>
      <c r="EG262" s="6">
        <v>164</v>
      </c>
      <c r="EH262" s="28">
        <v>645</v>
      </c>
      <c r="EN262" s="8">
        <v>422</v>
      </c>
      <c r="EO262" s="28">
        <v>54</v>
      </c>
      <c r="EX262" s="8">
        <v>476</v>
      </c>
      <c r="EY262" s="28">
        <v>103</v>
      </c>
      <c r="FD262" s="6">
        <v>564</v>
      </c>
      <c r="FE262" s="28">
        <v>235</v>
      </c>
      <c r="FM262" s="8">
        <v>-33</v>
      </c>
      <c r="FN262" s="52">
        <v>48</v>
      </c>
      <c r="FS262" s="8">
        <v>-756</v>
      </c>
      <c r="FT262" s="52">
        <v>147</v>
      </c>
      <c r="GI262" s="8">
        <v>173</v>
      </c>
      <c r="GJ262" s="28">
        <v>233</v>
      </c>
      <c r="GP262" s="6">
        <v>-8</v>
      </c>
      <c r="GQ262" s="52">
        <v>23</v>
      </c>
      <c r="GT262" s="6">
        <v>174</v>
      </c>
      <c r="GU262" s="52">
        <v>101</v>
      </c>
      <c r="HB262" s="6">
        <v>247</v>
      </c>
      <c r="HE262" s="6">
        <v>4</v>
      </c>
      <c r="HF262" s="28">
        <v>11</v>
      </c>
      <c r="HS262" s="8">
        <v>6</v>
      </c>
      <c r="IB262" s="8">
        <v>103</v>
      </c>
      <c r="IC262" s="28">
        <v>523</v>
      </c>
      <c r="IY262" s="8">
        <v>231</v>
      </c>
      <c r="JW262" s="6">
        <v>-188</v>
      </c>
      <c r="JX262" s="12">
        <v>338</v>
      </c>
      <c r="KT262" s="8">
        <v>-180</v>
      </c>
      <c r="KU262" s="28">
        <v>806</v>
      </c>
      <c r="LF262" s="8">
        <v>88</v>
      </c>
      <c r="LG262" s="28">
        <v>32</v>
      </c>
      <c r="LJ262" s="8">
        <v>-533</v>
      </c>
      <c r="LK262" s="28">
        <v>936</v>
      </c>
      <c r="LW262" s="8">
        <v>98</v>
      </c>
      <c r="LX262" s="28">
        <v>34</v>
      </c>
      <c r="MF262" s="8">
        <v>879</v>
      </c>
      <c r="MG262" s="12">
        <v>458</v>
      </c>
      <c r="NC262" s="8">
        <v>187</v>
      </c>
      <c r="ND262" s="12">
        <v>107</v>
      </c>
      <c r="PP262" s="8">
        <v>87</v>
      </c>
      <c r="TZ262" s="8">
        <v>290</v>
      </c>
      <c r="UA262" s="12">
        <v>266</v>
      </c>
      <c r="VL262" s="21"/>
      <c r="VQ262" s="6">
        <v>-729</v>
      </c>
      <c r="VR262" s="28">
        <v>734</v>
      </c>
    </row>
    <row r="263" spans="22:590" x14ac:dyDescent="0.25">
      <c r="V263">
        <v>13562</v>
      </c>
      <c r="W263" s="10">
        <v>156</v>
      </c>
      <c r="AJ263" s="2">
        <v>-845</v>
      </c>
      <c r="AK263" s="10">
        <v>285</v>
      </c>
      <c r="BT263">
        <v>-332</v>
      </c>
      <c r="BU263" s="1">
        <v>278</v>
      </c>
      <c r="CE263" s="8">
        <v>-67</v>
      </c>
      <c r="CF263" s="28">
        <v>441</v>
      </c>
      <c r="CZ263" s="23">
        <v>130</v>
      </c>
      <c r="DA263" s="25">
        <v>35</v>
      </c>
      <c r="DH263" s="23">
        <v>-197</v>
      </c>
      <c r="DI263" s="25">
        <v>93</v>
      </c>
      <c r="DL263" s="8">
        <v>8</v>
      </c>
      <c r="DS263" s="8">
        <v>-33</v>
      </c>
      <c r="DT263" s="52">
        <v>14</v>
      </c>
      <c r="EA263" s="23">
        <v>334</v>
      </c>
      <c r="EB263" s="52">
        <v>329</v>
      </c>
      <c r="EC263" s="52"/>
      <c r="ED263" s="52"/>
      <c r="EG263" s="6">
        <v>541</v>
      </c>
      <c r="EH263" s="28">
        <v>547</v>
      </c>
      <c r="EN263" s="8">
        <v>376</v>
      </c>
      <c r="EO263" s="28">
        <v>76</v>
      </c>
      <c r="EX263" s="8">
        <v>358</v>
      </c>
      <c r="EY263" s="28">
        <v>124</v>
      </c>
      <c r="FD263" s="6">
        <v>-427</v>
      </c>
      <c r="FE263" s="28">
        <v>178</v>
      </c>
      <c r="FM263" s="8">
        <v>422</v>
      </c>
      <c r="FN263" s="52">
        <v>505</v>
      </c>
      <c r="FS263" s="8">
        <v>-317</v>
      </c>
      <c r="FT263" s="52">
        <v>261</v>
      </c>
      <c r="GI263" s="8">
        <v>-311</v>
      </c>
      <c r="GJ263" s="28">
        <v>341</v>
      </c>
      <c r="GP263" s="6">
        <v>37</v>
      </c>
      <c r="GQ263" s="52">
        <v>93</v>
      </c>
      <c r="GT263" s="6">
        <v>878</v>
      </c>
      <c r="GU263" s="52">
        <v>525</v>
      </c>
      <c r="HB263" s="6">
        <v>-12</v>
      </c>
      <c r="HE263" s="6">
        <v>-29</v>
      </c>
      <c r="HF263" s="28">
        <v>22</v>
      </c>
      <c r="HS263" s="8">
        <v>9</v>
      </c>
      <c r="IB263" s="8">
        <v>226</v>
      </c>
      <c r="IC263" s="28">
        <v>172</v>
      </c>
      <c r="IY263" s="8">
        <v>-279</v>
      </c>
      <c r="JW263" s="6">
        <v>531</v>
      </c>
      <c r="JX263" s="12">
        <v>79</v>
      </c>
      <c r="KT263" s="8">
        <v>478</v>
      </c>
      <c r="KU263" s="28">
        <v>993</v>
      </c>
      <c r="LF263" s="8">
        <v>-123</v>
      </c>
      <c r="LG263" s="28">
        <v>33</v>
      </c>
      <c r="LJ263" s="8">
        <v>170</v>
      </c>
      <c r="LK263" s="28">
        <v>195</v>
      </c>
      <c r="LW263" s="8">
        <v>-261</v>
      </c>
      <c r="LX263" s="28">
        <v>9</v>
      </c>
      <c r="MF263" s="8">
        <v>184</v>
      </c>
      <c r="MG263" s="12">
        <v>145</v>
      </c>
      <c r="NC263" s="8">
        <v>178</v>
      </c>
      <c r="ND263" s="12">
        <v>108</v>
      </c>
      <c r="PP263" s="8">
        <v>-50</v>
      </c>
      <c r="TZ263" s="8">
        <v>318</v>
      </c>
      <c r="UA263" s="12">
        <v>236</v>
      </c>
      <c r="VL263" s="21"/>
      <c r="VQ263" s="6">
        <v>-214</v>
      </c>
      <c r="VR263" s="28">
        <v>960</v>
      </c>
    </row>
    <row r="264" spans="22:590" x14ac:dyDescent="0.25">
      <c r="V264">
        <v>-2</v>
      </c>
      <c r="W264" s="10">
        <v>190</v>
      </c>
      <c r="AJ264" s="2">
        <v>-1633</v>
      </c>
      <c r="AK264" s="10">
        <v>160</v>
      </c>
      <c r="BT264">
        <v>383</v>
      </c>
      <c r="BU264" s="1">
        <v>384</v>
      </c>
      <c r="CE264" s="8">
        <v>-400</v>
      </c>
      <c r="CF264" s="28">
        <v>63</v>
      </c>
      <c r="CZ264" s="23">
        <v>-41</v>
      </c>
      <c r="DA264" s="25">
        <v>66</v>
      </c>
      <c r="DH264" s="23">
        <v>-107</v>
      </c>
      <c r="DI264" s="25">
        <v>101</v>
      </c>
      <c r="DL264" s="8">
        <v>-2</v>
      </c>
      <c r="DS264" s="8">
        <v>-588</v>
      </c>
      <c r="DT264" s="52">
        <v>224</v>
      </c>
      <c r="EA264" s="23">
        <v>-230</v>
      </c>
      <c r="EB264" s="52">
        <v>298</v>
      </c>
      <c r="EC264" s="52"/>
      <c r="ED264" s="52"/>
      <c r="EG264" s="6">
        <v>-583</v>
      </c>
      <c r="EH264" s="28">
        <v>333</v>
      </c>
      <c r="EN264" s="8">
        <v>237</v>
      </c>
      <c r="EO264" s="28">
        <v>52</v>
      </c>
      <c r="EX264" s="8">
        <v>811</v>
      </c>
      <c r="EY264" s="28">
        <v>153</v>
      </c>
      <c r="FD264" s="6">
        <v>668</v>
      </c>
      <c r="FE264" s="28">
        <v>208</v>
      </c>
      <c r="FM264" s="8">
        <v>105</v>
      </c>
      <c r="FN264" s="52">
        <v>477</v>
      </c>
      <c r="FS264" s="8">
        <v>24</v>
      </c>
      <c r="FT264" s="52">
        <v>59</v>
      </c>
      <c r="GI264" s="8">
        <v>-904</v>
      </c>
      <c r="GJ264" s="28">
        <v>115</v>
      </c>
      <c r="GP264" s="6">
        <v>-9</v>
      </c>
      <c r="GQ264" s="52">
        <v>85</v>
      </c>
      <c r="GT264" s="6">
        <v>-134</v>
      </c>
      <c r="GU264" s="52">
        <v>724</v>
      </c>
      <c r="HB264" s="6">
        <v>52</v>
      </c>
      <c r="HE264" s="6">
        <v>-29</v>
      </c>
      <c r="HF264" s="28">
        <v>51</v>
      </c>
      <c r="HS264" s="8">
        <v>4</v>
      </c>
      <c r="IB264" s="8">
        <v>160</v>
      </c>
      <c r="IC264" s="28">
        <v>166</v>
      </c>
      <c r="IY264" s="8">
        <v>171</v>
      </c>
      <c r="JW264" s="6">
        <v>507</v>
      </c>
      <c r="JX264" s="12">
        <v>74</v>
      </c>
      <c r="KT264" s="8">
        <v>194</v>
      </c>
      <c r="KU264" s="28">
        <v>417</v>
      </c>
      <c r="LF264" s="8">
        <v>-172</v>
      </c>
      <c r="LG264" s="28">
        <v>17</v>
      </c>
      <c r="LJ264" s="8">
        <v>-117</v>
      </c>
      <c r="LK264" s="28">
        <v>130</v>
      </c>
      <c r="LW264" s="8">
        <v>145</v>
      </c>
      <c r="LX264" s="28">
        <v>35</v>
      </c>
      <c r="MF264" s="8">
        <v>111</v>
      </c>
      <c r="MG264" s="12">
        <v>135</v>
      </c>
      <c r="NC264" s="8">
        <v>315</v>
      </c>
      <c r="ND264" s="12">
        <v>181</v>
      </c>
      <c r="PP264" s="8">
        <v>41</v>
      </c>
      <c r="TZ264" s="8">
        <v>272</v>
      </c>
      <c r="UA264" s="12">
        <v>222</v>
      </c>
      <c r="VL264" s="21"/>
      <c r="VQ264" s="6">
        <v>-189</v>
      </c>
      <c r="VR264" s="28">
        <v>903</v>
      </c>
    </row>
    <row r="265" spans="22:590" x14ac:dyDescent="0.25">
      <c r="V265">
        <v>-8</v>
      </c>
      <c r="W265" s="10">
        <v>467</v>
      </c>
      <c r="AJ265" s="2">
        <v>-256</v>
      </c>
      <c r="AK265" s="10">
        <v>116</v>
      </c>
      <c r="BT265">
        <v>-141</v>
      </c>
      <c r="BU265" s="1">
        <v>202</v>
      </c>
      <c r="CE265" s="8">
        <v>-656</v>
      </c>
      <c r="CF265" s="28">
        <v>94</v>
      </c>
      <c r="CZ265" s="23">
        <v>-13</v>
      </c>
      <c r="DA265" s="25">
        <v>12</v>
      </c>
      <c r="DH265" s="23">
        <v>-184</v>
      </c>
      <c r="DI265" s="25">
        <v>107</v>
      </c>
      <c r="DL265" s="8">
        <v>-2</v>
      </c>
      <c r="DS265" s="8">
        <v>-790</v>
      </c>
      <c r="DT265" s="52">
        <v>286</v>
      </c>
      <c r="EA265" s="23">
        <v>-242</v>
      </c>
      <c r="EB265" s="52">
        <v>318</v>
      </c>
      <c r="EC265" s="52"/>
      <c r="ED265" s="52"/>
      <c r="EG265" s="6">
        <v>-706</v>
      </c>
      <c r="EH265" s="28">
        <v>249</v>
      </c>
      <c r="EN265" s="8">
        <v>256</v>
      </c>
      <c r="EO265" s="28">
        <v>50</v>
      </c>
      <c r="EX265" s="8">
        <v>625</v>
      </c>
      <c r="EY265" s="28">
        <v>126</v>
      </c>
      <c r="FD265" s="6">
        <v>-548</v>
      </c>
      <c r="FE265" s="28">
        <v>267</v>
      </c>
      <c r="FM265" s="8">
        <v>322</v>
      </c>
      <c r="FN265" s="52">
        <v>210</v>
      </c>
      <c r="FS265" s="8">
        <v>22</v>
      </c>
      <c r="FT265" s="52">
        <v>53</v>
      </c>
      <c r="GI265" s="8">
        <v>-135</v>
      </c>
      <c r="GJ265" s="28">
        <v>169</v>
      </c>
      <c r="GP265" s="6">
        <v>2</v>
      </c>
      <c r="GQ265" s="52">
        <v>19</v>
      </c>
      <c r="GT265" s="6">
        <v>-20</v>
      </c>
      <c r="GU265" s="52">
        <v>573</v>
      </c>
      <c r="HB265" s="6">
        <v>-165</v>
      </c>
      <c r="HE265" s="6">
        <v>29</v>
      </c>
      <c r="HF265" s="28">
        <v>35</v>
      </c>
      <c r="HS265" s="8">
        <v>37</v>
      </c>
      <c r="IB265" s="8">
        <v>303</v>
      </c>
      <c r="IC265" s="28">
        <v>363</v>
      </c>
      <c r="IY265" s="8">
        <v>360</v>
      </c>
      <c r="JW265" s="6">
        <v>-387</v>
      </c>
      <c r="JX265" s="12">
        <v>515</v>
      </c>
      <c r="KT265" s="8">
        <v>175</v>
      </c>
      <c r="KU265" s="28">
        <v>419</v>
      </c>
      <c r="LF265" s="8">
        <v>-232</v>
      </c>
      <c r="LG265" s="28">
        <v>19</v>
      </c>
      <c r="LJ265" s="8">
        <v>-117</v>
      </c>
      <c r="LK265" s="28">
        <v>899</v>
      </c>
      <c r="LW265" s="8">
        <v>186</v>
      </c>
      <c r="LX265" s="28">
        <v>33</v>
      </c>
      <c r="MF265" s="8">
        <v>-777</v>
      </c>
      <c r="MG265" s="12">
        <v>213</v>
      </c>
      <c r="NC265" s="8">
        <v>387</v>
      </c>
      <c r="ND265" s="12">
        <v>232</v>
      </c>
      <c r="PP265" s="8">
        <v>-22</v>
      </c>
      <c r="TZ265" s="8">
        <v>167</v>
      </c>
      <c r="UA265" s="12">
        <v>215</v>
      </c>
      <c r="VL265" s="21"/>
      <c r="VQ265" s="6">
        <v>-111</v>
      </c>
      <c r="VR265" s="28">
        <v>243</v>
      </c>
    </row>
    <row r="266" spans="22:590" x14ac:dyDescent="0.25">
      <c r="V266">
        <v>-2</v>
      </c>
      <c r="W266" s="10">
        <v>51</v>
      </c>
      <c r="AJ266" s="2">
        <v>-2940</v>
      </c>
      <c r="AK266" s="10">
        <v>130</v>
      </c>
      <c r="BT266">
        <v>-215</v>
      </c>
      <c r="BU266" s="1">
        <v>461</v>
      </c>
      <c r="CE266" s="8">
        <v>-216</v>
      </c>
      <c r="CF266" s="28">
        <v>74</v>
      </c>
      <c r="CZ266" s="23">
        <v>-416</v>
      </c>
      <c r="DA266" s="25">
        <v>633</v>
      </c>
      <c r="DH266" s="23">
        <v>-162</v>
      </c>
      <c r="DI266" s="25">
        <v>106</v>
      </c>
      <c r="DL266" s="8">
        <v>1</v>
      </c>
      <c r="DS266" s="8">
        <v>-282</v>
      </c>
      <c r="DT266" s="52">
        <v>109</v>
      </c>
      <c r="EA266" s="23">
        <v>-725</v>
      </c>
      <c r="EB266" s="52">
        <v>221</v>
      </c>
      <c r="EC266" s="52"/>
      <c r="ED266" s="52"/>
      <c r="EG266" s="6">
        <v>139</v>
      </c>
      <c r="EH266" s="28">
        <v>377</v>
      </c>
      <c r="EN266" s="8">
        <v>-68</v>
      </c>
      <c r="EO266" s="28">
        <v>51</v>
      </c>
      <c r="EX266" s="8">
        <v>709</v>
      </c>
      <c r="EY266" s="28">
        <v>108</v>
      </c>
      <c r="FD266" s="6">
        <v>168</v>
      </c>
      <c r="FE266" s="28">
        <v>827</v>
      </c>
      <c r="FM266" s="8">
        <v>-4</v>
      </c>
      <c r="FN266" s="52">
        <v>3</v>
      </c>
      <c r="FS266" s="8">
        <v>-667</v>
      </c>
      <c r="FT266" s="52">
        <v>189</v>
      </c>
      <c r="GI266" s="8">
        <v>-524</v>
      </c>
      <c r="GJ266" s="28">
        <v>182</v>
      </c>
      <c r="GP266" s="6">
        <v>-3</v>
      </c>
      <c r="GQ266" s="52">
        <v>36</v>
      </c>
      <c r="GT266" s="6">
        <v>21</v>
      </c>
      <c r="GU266" s="52">
        <v>666</v>
      </c>
      <c r="HB266" s="6">
        <v>-85</v>
      </c>
      <c r="HE266" s="6">
        <v>24</v>
      </c>
      <c r="HF266" s="28">
        <v>37</v>
      </c>
      <c r="HS266" s="8">
        <v>27</v>
      </c>
      <c r="IB266" s="8">
        <v>110</v>
      </c>
      <c r="IC266" s="28">
        <v>363</v>
      </c>
      <c r="IY266" s="8">
        <v>113</v>
      </c>
      <c r="JW266" s="6">
        <v>-396</v>
      </c>
      <c r="JX266" s="12">
        <v>521</v>
      </c>
      <c r="KT266" s="8">
        <v>268</v>
      </c>
      <c r="KU266" s="28">
        <v>357</v>
      </c>
      <c r="LF266" s="8">
        <v>-34</v>
      </c>
      <c r="LG266" s="28">
        <v>17</v>
      </c>
      <c r="LJ266" s="8">
        <v>313</v>
      </c>
      <c r="LK266" s="28">
        <v>189</v>
      </c>
      <c r="LW266" s="8">
        <v>41</v>
      </c>
      <c r="LX266" s="28">
        <v>19</v>
      </c>
      <c r="MF266" s="8">
        <v>-391</v>
      </c>
      <c r="MG266" s="12">
        <v>394</v>
      </c>
      <c r="NC266" s="8">
        <v>420</v>
      </c>
      <c r="ND266" s="12">
        <v>265</v>
      </c>
      <c r="PP266" s="8">
        <v>95</v>
      </c>
      <c r="TZ266" s="8">
        <v>103</v>
      </c>
      <c r="UA266" s="12">
        <v>188</v>
      </c>
      <c r="VL266" s="21"/>
      <c r="VQ266" s="6">
        <v>-198</v>
      </c>
      <c r="VR266" s="28">
        <v>863</v>
      </c>
    </row>
    <row r="267" spans="22:590" x14ac:dyDescent="0.25">
      <c r="V267">
        <v>4</v>
      </c>
      <c r="W267" s="10">
        <v>368</v>
      </c>
      <c r="AJ267" s="2">
        <v>-4126</v>
      </c>
      <c r="AK267" s="10">
        <v>244</v>
      </c>
      <c r="BT267">
        <v>517</v>
      </c>
      <c r="BU267" s="1">
        <v>965</v>
      </c>
      <c r="CE267" s="8">
        <v>104</v>
      </c>
      <c r="CF267" s="28">
        <v>78</v>
      </c>
      <c r="CZ267" s="23">
        <v>355</v>
      </c>
      <c r="DA267" s="25">
        <v>318</v>
      </c>
      <c r="DH267" s="23">
        <v>-135</v>
      </c>
      <c r="DI267" s="25">
        <v>111</v>
      </c>
      <c r="DL267" s="8">
        <v>-19</v>
      </c>
      <c r="DS267" s="8">
        <v>-671</v>
      </c>
      <c r="DT267" s="52">
        <v>259</v>
      </c>
      <c r="EA267" s="23">
        <v>-302</v>
      </c>
      <c r="EB267" s="52">
        <v>219</v>
      </c>
      <c r="EC267" s="52"/>
      <c r="ED267" s="52"/>
      <c r="EG267" s="6">
        <v>242</v>
      </c>
      <c r="EH267" s="28">
        <v>403</v>
      </c>
      <c r="EN267" s="8">
        <v>7</v>
      </c>
      <c r="EO267" s="28">
        <v>50</v>
      </c>
      <c r="EX267" s="8">
        <v>610</v>
      </c>
      <c r="EY267" s="28">
        <v>109</v>
      </c>
      <c r="FD267" s="6">
        <v>193</v>
      </c>
      <c r="FE267" s="28">
        <v>600</v>
      </c>
      <c r="FM267" s="8">
        <v>75</v>
      </c>
      <c r="FN267" s="52">
        <v>197</v>
      </c>
      <c r="FS267" s="8">
        <v>-570</v>
      </c>
      <c r="FT267" s="52">
        <v>160</v>
      </c>
      <c r="GI267" s="8">
        <v>224</v>
      </c>
      <c r="GJ267" s="28">
        <v>148</v>
      </c>
      <c r="GP267" s="6">
        <v>79</v>
      </c>
      <c r="GQ267" s="52">
        <v>464</v>
      </c>
      <c r="GT267" s="6">
        <v>1</v>
      </c>
      <c r="GU267" s="52">
        <v>174</v>
      </c>
      <c r="HB267" s="6">
        <v>-210</v>
      </c>
      <c r="HE267" s="6">
        <v>17</v>
      </c>
      <c r="HF267" s="28">
        <v>24</v>
      </c>
      <c r="HS267" s="8">
        <v>4</v>
      </c>
      <c r="IB267" s="8">
        <v>919</v>
      </c>
      <c r="IC267" s="28">
        <v>886</v>
      </c>
      <c r="IY267" s="8">
        <v>196</v>
      </c>
      <c r="JW267" s="6">
        <v>-397</v>
      </c>
      <c r="JX267" s="12">
        <v>522</v>
      </c>
      <c r="KT267" s="8">
        <v>585</v>
      </c>
      <c r="KU267" s="28">
        <v>506</v>
      </c>
      <c r="LF267" s="8">
        <v>-173</v>
      </c>
      <c r="LG267" s="28">
        <v>10</v>
      </c>
      <c r="LJ267" s="8">
        <v>-221</v>
      </c>
      <c r="LK267" s="28">
        <v>126</v>
      </c>
      <c r="LW267" s="8">
        <v>-142</v>
      </c>
      <c r="LX267" s="28">
        <v>59</v>
      </c>
      <c r="MF267" s="8">
        <v>-557</v>
      </c>
      <c r="MG267" s="12">
        <v>809</v>
      </c>
      <c r="NC267" s="8">
        <v>803</v>
      </c>
      <c r="ND267" s="12">
        <v>356</v>
      </c>
      <c r="PP267" s="8">
        <v>164</v>
      </c>
      <c r="TZ267" s="8">
        <v>63</v>
      </c>
      <c r="UA267" s="12">
        <v>973</v>
      </c>
      <c r="VL267" s="21"/>
      <c r="VQ267" s="6">
        <v>-166</v>
      </c>
      <c r="VR267" s="28">
        <v>650</v>
      </c>
    </row>
    <row r="268" spans="22:590" x14ac:dyDescent="0.25">
      <c r="V268">
        <v>2</v>
      </c>
      <c r="W268" s="10">
        <v>40</v>
      </c>
      <c r="AJ268" s="2">
        <v>-4</v>
      </c>
      <c r="AK268" s="10">
        <v>10</v>
      </c>
      <c r="BT268">
        <v>-878</v>
      </c>
      <c r="BU268" s="1">
        <v>149</v>
      </c>
      <c r="CE268" s="8">
        <v>32</v>
      </c>
      <c r="CF268" s="28">
        <v>47</v>
      </c>
      <c r="CZ268" s="23">
        <v>-17</v>
      </c>
      <c r="DA268" s="25">
        <v>103</v>
      </c>
      <c r="DH268" s="23">
        <v>-245</v>
      </c>
      <c r="DI268" s="25">
        <v>119</v>
      </c>
      <c r="DL268" s="8">
        <v>-23</v>
      </c>
      <c r="DS268" s="8">
        <v>-45</v>
      </c>
      <c r="DT268" s="52">
        <v>57</v>
      </c>
      <c r="EA268" s="23">
        <v>751</v>
      </c>
      <c r="EB268" s="52">
        <v>638</v>
      </c>
      <c r="EC268" s="52"/>
      <c r="ED268" s="52"/>
      <c r="EG268" s="6">
        <v>-167</v>
      </c>
      <c r="EH268" s="28">
        <v>462</v>
      </c>
      <c r="EN268" s="8">
        <v>-204</v>
      </c>
      <c r="EO268" s="28">
        <v>74</v>
      </c>
      <c r="EX268" s="8">
        <v>885</v>
      </c>
      <c r="EY268" s="28">
        <v>161</v>
      </c>
      <c r="FD268" s="6">
        <v>183</v>
      </c>
      <c r="FE268" s="28">
        <v>558</v>
      </c>
      <c r="FM268" s="8">
        <v>448</v>
      </c>
      <c r="FN268" s="52">
        <v>234</v>
      </c>
      <c r="FS268" s="8">
        <v>-271</v>
      </c>
      <c r="FT268" s="52">
        <v>248</v>
      </c>
      <c r="GI268" s="8">
        <v>-137</v>
      </c>
      <c r="GJ268" s="28">
        <v>166</v>
      </c>
      <c r="GP268" s="6">
        <v>65</v>
      </c>
      <c r="GQ268" s="52">
        <v>349</v>
      </c>
      <c r="GT268" s="6">
        <v>12</v>
      </c>
      <c r="GU268" s="52">
        <v>480</v>
      </c>
      <c r="HB268" s="6">
        <v>-20</v>
      </c>
      <c r="HE268" s="6">
        <v>24</v>
      </c>
      <c r="HF268" s="28">
        <v>15</v>
      </c>
      <c r="HS268" s="8">
        <v>3</v>
      </c>
      <c r="IB268" s="8">
        <v>921</v>
      </c>
      <c r="IC268" s="28">
        <v>889</v>
      </c>
      <c r="IY268" s="8">
        <v>380</v>
      </c>
      <c r="JW268" s="6">
        <v>-265</v>
      </c>
      <c r="JX268" s="12">
        <v>105</v>
      </c>
      <c r="KT268" s="8">
        <v>689</v>
      </c>
      <c r="KU268" s="28">
        <v>889</v>
      </c>
      <c r="LF268" s="8">
        <v>-180</v>
      </c>
      <c r="LG268" s="28">
        <v>5</v>
      </c>
      <c r="LJ268" s="8">
        <v>-541</v>
      </c>
      <c r="LK268" s="28">
        <v>893</v>
      </c>
      <c r="LW268" s="8">
        <v>104</v>
      </c>
      <c r="LX268" s="28">
        <v>36</v>
      </c>
      <c r="MF268" s="8">
        <v>333</v>
      </c>
      <c r="MG268" s="12">
        <v>59</v>
      </c>
      <c r="NC268" s="8">
        <v>-149</v>
      </c>
      <c r="ND268" s="12">
        <v>258</v>
      </c>
      <c r="PP268" s="8">
        <v>199</v>
      </c>
      <c r="TZ268" s="8">
        <v>121</v>
      </c>
      <c r="UA268" s="12">
        <v>383</v>
      </c>
      <c r="VL268" s="21"/>
      <c r="VQ268" s="6">
        <v>-679</v>
      </c>
      <c r="VR268" s="28">
        <v>204</v>
      </c>
    </row>
    <row r="269" spans="22:590" x14ac:dyDescent="0.25">
      <c r="V269">
        <v>3</v>
      </c>
      <c r="W269" s="10">
        <v>205</v>
      </c>
      <c r="AJ269" s="2">
        <v>-54</v>
      </c>
      <c r="AK269" s="10">
        <v>165</v>
      </c>
      <c r="BT269">
        <v>139</v>
      </c>
      <c r="BU269" s="1">
        <v>232</v>
      </c>
      <c r="CE269" s="8">
        <v>618</v>
      </c>
      <c r="CF269" s="28">
        <v>89</v>
      </c>
      <c r="CZ269" s="23">
        <v>154</v>
      </c>
      <c r="DA269" s="25">
        <v>586</v>
      </c>
      <c r="DH269" s="23">
        <v>-269</v>
      </c>
      <c r="DI269" s="25">
        <v>123</v>
      </c>
      <c r="DL269" s="8">
        <v>-7</v>
      </c>
      <c r="DS269" s="8">
        <v>103</v>
      </c>
      <c r="DT269" s="52">
        <v>138</v>
      </c>
      <c r="EA269" s="23">
        <v>-22</v>
      </c>
      <c r="EB269" s="52">
        <v>129</v>
      </c>
      <c r="EC269" s="52"/>
      <c r="ED269" s="52"/>
      <c r="EG269" s="6">
        <v>-252</v>
      </c>
      <c r="EH269" s="28">
        <v>103</v>
      </c>
      <c r="EN269" s="8">
        <v>-34</v>
      </c>
      <c r="EO269" s="28">
        <v>58</v>
      </c>
      <c r="EX269" s="8">
        <v>963</v>
      </c>
      <c r="EY269" s="28">
        <v>112</v>
      </c>
      <c r="FD269" s="6">
        <v>500</v>
      </c>
      <c r="FE269" s="28">
        <v>536</v>
      </c>
      <c r="FM269" s="8">
        <v>121</v>
      </c>
      <c r="FN269" s="52">
        <v>174</v>
      </c>
      <c r="FS269" s="8">
        <v>-14</v>
      </c>
      <c r="FT269" s="52">
        <v>132</v>
      </c>
      <c r="GI269" s="8">
        <v>-219</v>
      </c>
      <c r="GJ269" s="28">
        <v>153</v>
      </c>
      <c r="GP269" s="6">
        <v>75</v>
      </c>
      <c r="GQ269" s="52">
        <v>288</v>
      </c>
      <c r="GT269" s="6">
        <v>29</v>
      </c>
      <c r="GU269" s="52">
        <v>115</v>
      </c>
      <c r="HB269" s="6">
        <v>-313</v>
      </c>
      <c r="HE269" s="6">
        <v>-2</v>
      </c>
      <c r="HF269" s="28">
        <v>26</v>
      </c>
      <c r="HS269" s="8">
        <v>4</v>
      </c>
      <c r="IB269" s="8">
        <v>508</v>
      </c>
      <c r="IC269" s="28">
        <v>362</v>
      </c>
      <c r="IY269" s="8">
        <f>133</f>
        <v>133</v>
      </c>
      <c r="JW269" s="6">
        <v>-303</v>
      </c>
      <c r="JX269" s="12">
        <v>119</v>
      </c>
      <c r="KT269" s="8">
        <v>-30</v>
      </c>
      <c r="KU269" s="28">
        <v>118</v>
      </c>
      <c r="LF269" s="8">
        <v>-185</v>
      </c>
      <c r="LG269" s="28">
        <v>9</v>
      </c>
      <c r="LJ269" s="8">
        <v>-322</v>
      </c>
      <c r="LK269" s="28">
        <v>700</v>
      </c>
      <c r="LW269" s="8">
        <v>152</v>
      </c>
      <c r="LX269" s="28">
        <v>34</v>
      </c>
      <c r="MF269" s="8">
        <v>253</v>
      </c>
      <c r="MG269" s="12">
        <v>104</v>
      </c>
      <c r="NC269" s="8">
        <v>213</v>
      </c>
      <c r="ND269" s="12">
        <v>200</v>
      </c>
      <c r="PP269" s="8">
        <v>143</v>
      </c>
      <c r="TZ269" s="8">
        <v>159</v>
      </c>
      <c r="UA269" s="12">
        <v>120</v>
      </c>
      <c r="VL269" s="21"/>
      <c r="VQ269" s="6">
        <v>-632</v>
      </c>
      <c r="VR269" s="28">
        <v>198</v>
      </c>
    </row>
    <row r="270" spans="22:590" x14ac:dyDescent="0.25">
      <c r="V270">
        <v>3</v>
      </c>
      <c r="W270" s="10">
        <v>215</v>
      </c>
      <c r="AJ270" s="2">
        <v>-1</v>
      </c>
      <c r="AK270" s="10">
        <v>51</v>
      </c>
      <c r="BT270">
        <v>237</v>
      </c>
      <c r="BU270" s="1">
        <v>790</v>
      </c>
      <c r="CE270" s="8">
        <v>-102</v>
      </c>
      <c r="CF270" s="28">
        <v>97</v>
      </c>
      <c r="CZ270" s="23">
        <v>660</v>
      </c>
      <c r="DA270" s="25">
        <v>242</v>
      </c>
      <c r="DH270" s="23">
        <v>143</v>
      </c>
      <c r="DI270" s="25">
        <v>167</v>
      </c>
      <c r="DL270" s="8">
        <v>-20</v>
      </c>
      <c r="DS270" s="8">
        <v>-244</v>
      </c>
      <c r="DT270" s="52">
        <v>332</v>
      </c>
      <c r="EA270" s="23">
        <v>499</v>
      </c>
      <c r="EB270" s="52">
        <v>168</v>
      </c>
      <c r="EC270" s="52"/>
      <c r="ED270" s="52"/>
      <c r="EG270" s="6">
        <v>-274</v>
      </c>
      <c r="EH270" s="28">
        <v>266</v>
      </c>
      <c r="EN270" s="8">
        <v>-110</v>
      </c>
      <c r="EO270" s="28">
        <v>87</v>
      </c>
      <c r="EX270" s="8">
        <v>843</v>
      </c>
      <c r="EY270" s="28">
        <v>112</v>
      </c>
      <c r="FD270" s="6">
        <v>976</v>
      </c>
      <c r="FE270" s="28">
        <v>515</v>
      </c>
      <c r="FM270" s="8">
        <v>207</v>
      </c>
      <c r="FN270" s="52">
        <v>263</v>
      </c>
      <c r="FS270" s="8">
        <v>-14</v>
      </c>
      <c r="FT270" s="52">
        <v>128</v>
      </c>
      <c r="GI270" s="8">
        <v>-775</v>
      </c>
      <c r="GJ270" s="28">
        <v>139</v>
      </c>
      <c r="GP270" s="6">
        <v>-36</v>
      </c>
      <c r="GQ270" s="52">
        <v>285</v>
      </c>
      <c r="GT270" s="6">
        <v>-62</v>
      </c>
      <c r="GU270" s="52">
        <v>428</v>
      </c>
      <c r="HB270" s="6">
        <v>131</v>
      </c>
      <c r="HE270" s="6">
        <v>48</v>
      </c>
      <c r="HF270" s="28">
        <v>54</v>
      </c>
      <c r="HS270" s="8">
        <v>7</v>
      </c>
      <c r="IB270" s="8">
        <v>190</v>
      </c>
      <c r="IC270" s="28">
        <v>351</v>
      </c>
      <c r="IY270" s="8">
        <v>421</v>
      </c>
      <c r="JW270" s="6">
        <v>-301</v>
      </c>
      <c r="JX270" s="12">
        <v>119</v>
      </c>
      <c r="KT270" s="8">
        <v>-3</v>
      </c>
      <c r="KU270" s="28">
        <v>8</v>
      </c>
      <c r="LF270" s="8">
        <v>142</v>
      </c>
      <c r="LG270" s="28">
        <v>59</v>
      </c>
      <c r="LJ270" s="8">
        <v>482</v>
      </c>
      <c r="LK270" s="28">
        <v>950</v>
      </c>
      <c r="LW270" s="8">
        <v>36</v>
      </c>
      <c r="LX270" s="28">
        <v>21</v>
      </c>
      <c r="MF270" s="8">
        <v>769</v>
      </c>
      <c r="MG270" s="12">
        <v>137</v>
      </c>
      <c r="NC270" s="8">
        <v>631</v>
      </c>
      <c r="ND270" s="12">
        <v>206</v>
      </c>
      <c r="PP270" s="8">
        <v>320</v>
      </c>
      <c r="TZ270" s="8">
        <v>188</v>
      </c>
      <c r="UA270" s="12">
        <v>103</v>
      </c>
      <c r="VL270" s="21"/>
      <c r="VQ270" s="6">
        <v>464</v>
      </c>
      <c r="VR270" s="28">
        <v>185</v>
      </c>
    </row>
    <row r="271" spans="22:590" x14ac:dyDescent="0.25">
      <c r="V271">
        <v>5</v>
      </c>
      <c r="W271" s="10">
        <v>320</v>
      </c>
      <c r="AJ271" s="2">
        <v>-3</v>
      </c>
      <c r="AK271" s="10">
        <v>146</v>
      </c>
      <c r="BT271">
        <v>345</v>
      </c>
      <c r="BU271" s="1">
        <v>207</v>
      </c>
      <c r="CE271" s="8">
        <v>-586</v>
      </c>
      <c r="CF271" s="28">
        <v>58</v>
      </c>
      <c r="CZ271" s="23">
        <v>233</v>
      </c>
      <c r="DA271" s="25">
        <v>114</v>
      </c>
      <c r="DH271" s="23">
        <v>113</v>
      </c>
      <c r="DI271" s="25">
        <v>40</v>
      </c>
      <c r="DL271" s="8">
        <v>-5</v>
      </c>
      <c r="DS271" s="8">
        <v>-97</v>
      </c>
      <c r="DT271" s="52">
        <v>127</v>
      </c>
      <c r="EA271" s="23">
        <v>-322</v>
      </c>
      <c r="EB271" s="52">
        <v>240</v>
      </c>
      <c r="EC271" s="52"/>
      <c r="ED271" s="52"/>
      <c r="EG271" s="6">
        <v>-584</v>
      </c>
      <c r="EH271" s="28">
        <v>638</v>
      </c>
      <c r="EN271" s="8">
        <v>-534</v>
      </c>
      <c r="EO271" s="28">
        <v>39</v>
      </c>
      <c r="EX271" s="8">
        <v>893</v>
      </c>
      <c r="EY271" s="28">
        <v>110</v>
      </c>
      <c r="FD271" s="6">
        <v>-9</v>
      </c>
      <c r="FE271" s="28">
        <v>213</v>
      </c>
      <c r="FM271" s="8">
        <v>238</v>
      </c>
      <c r="FN271" s="52">
        <v>244</v>
      </c>
      <c r="FS271" s="8">
        <v>-14</v>
      </c>
      <c r="FT271" s="52">
        <v>127</v>
      </c>
      <c r="GI271" s="8">
        <v>-136</v>
      </c>
      <c r="GJ271" s="28">
        <v>131</v>
      </c>
      <c r="GP271" s="6">
        <v>28</v>
      </c>
      <c r="GQ271" s="52">
        <v>179</v>
      </c>
      <c r="GT271" s="6">
        <v>-37</v>
      </c>
      <c r="GU271" s="52">
        <v>268</v>
      </c>
      <c r="HB271" s="6">
        <v>-171</v>
      </c>
      <c r="HE271" s="6">
        <v>41</v>
      </c>
      <c r="HF271" s="28">
        <v>44</v>
      </c>
      <c r="HS271" s="8">
        <v>3</v>
      </c>
      <c r="IB271" s="8">
        <v>-409</v>
      </c>
      <c r="IC271" s="28">
        <v>711</v>
      </c>
      <c r="IY271" s="8">
        <v>-186</v>
      </c>
      <c r="JW271" s="6">
        <v>-207</v>
      </c>
      <c r="JX271" s="12">
        <v>662</v>
      </c>
      <c r="KT271" s="8">
        <v>104</v>
      </c>
      <c r="KU271" s="28">
        <v>27</v>
      </c>
      <c r="LF271" s="8">
        <v>-195</v>
      </c>
      <c r="LG271" s="28">
        <v>43</v>
      </c>
      <c r="LJ271" s="8">
        <v>103</v>
      </c>
      <c r="LK271" s="28">
        <v>211</v>
      </c>
      <c r="LW271" s="8">
        <v>-76</v>
      </c>
      <c r="LX271" s="28">
        <v>18</v>
      </c>
      <c r="MF271" s="8">
        <v>-105</v>
      </c>
      <c r="MG271" s="12">
        <v>307</v>
      </c>
      <c r="NC271" s="8">
        <v>270</v>
      </c>
      <c r="ND271" s="12">
        <v>253</v>
      </c>
      <c r="PP271" s="8">
        <v>197</v>
      </c>
      <c r="TZ271" s="8">
        <v>185</v>
      </c>
      <c r="UA271" s="12">
        <v>707</v>
      </c>
      <c r="VL271" s="21"/>
      <c r="VQ271" s="6">
        <v>465</v>
      </c>
      <c r="VR271" s="28">
        <v>190</v>
      </c>
    </row>
    <row r="272" spans="22:590" x14ac:dyDescent="0.25">
      <c r="V272">
        <v>13</v>
      </c>
      <c r="W272" s="10">
        <v>902</v>
      </c>
      <c r="AJ272" s="2">
        <v>-4</v>
      </c>
      <c r="AK272" s="10">
        <v>5</v>
      </c>
      <c r="BT272">
        <v>-202</v>
      </c>
      <c r="BU272" s="1">
        <v>117</v>
      </c>
      <c r="CE272" s="8">
        <v>398</v>
      </c>
      <c r="CF272" s="28">
        <v>90</v>
      </c>
      <c r="CZ272" s="23">
        <v>758</v>
      </c>
      <c r="DA272" s="25">
        <v>783</v>
      </c>
      <c r="DH272" s="23">
        <v>55</v>
      </c>
      <c r="DI272" s="25">
        <v>32</v>
      </c>
      <c r="DL272" s="8">
        <v>-15</v>
      </c>
      <c r="DS272" s="8">
        <v>-105</v>
      </c>
      <c r="DT272" s="52">
        <v>148</v>
      </c>
      <c r="EA272" s="23">
        <v>84</v>
      </c>
      <c r="EB272" s="52">
        <v>331</v>
      </c>
      <c r="EC272" s="52"/>
      <c r="ED272" s="52"/>
      <c r="EG272" s="6">
        <v>-490</v>
      </c>
      <c r="EH272" s="28">
        <v>463</v>
      </c>
      <c r="EN272" s="8">
        <v>-57</v>
      </c>
      <c r="EO272" s="28">
        <v>38</v>
      </c>
      <c r="EX272" s="8">
        <v>865</v>
      </c>
      <c r="EY272" s="28">
        <v>150</v>
      </c>
      <c r="FD272" s="6">
        <v>270</v>
      </c>
      <c r="FE272" s="28">
        <v>366</v>
      </c>
      <c r="FM272" s="8">
        <v>204</v>
      </c>
      <c r="FN272" s="52">
        <v>201</v>
      </c>
      <c r="FS272" s="8">
        <v>-15</v>
      </c>
      <c r="FT272" s="52">
        <v>140</v>
      </c>
      <c r="GI272" s="8">
        <v>-388</v>
      </c>
      <c r="GJ272" s="28">
        <v>157</v>
      </c>
      <c r="GP272" s="6">
        <v>38</v>
      </c>
      <c r="GQ272" s="52">
        <v>240</v>
      </c>
      <c r="GT272" s="6">
        <v>746</v>
      </c>
      <c r="GU272" s="52">
        <v>204</v>
      </c>
      <c r="HB272" s="6">
        <v>60</v>
      </c>
      <c r="HE272" s="6">
        <v>69</v>
      </c>
      <c r="HF272" s="28">
        <v>42</v>
      </c>
      <c r="HS272" s="8">
        <v>6</v>
      </c>
      <c r="IB272" s="8">
        <v>-674</v>
      </c>
      <c r="IC272" s="28">
        <v>702</v>
      </c>
      <c r="IY272" s="8">
        <v>617</v>
      </c>
      <c r="JW272" s="6">
        <v>247</v>
      </c>
      <c r="JX272" s="12">
        <v>369</v>
      </c>
      <c r="KT272" s="8">
        <v>233</v>
      </c>
      <c r="KU272" s="28">
        <v>147</v>
      </c>
      <c r="LF272" s="8">
        <v>-290</v>
      </c>
      <c r="LG272" s="28">
        <v>36</v>
      </c>
      <c r="LJ272" s="8">
        <v>-127</v>
      </c>
      <c r="LK272" s="28">
        <v>117</v>
      </c>
      <c r="LW272" s="8">
        <v>1</v>
      </c>
      <c r="LX272" s="28">
        <v>1</v>
      </c>
      <c r="MF272" s="8">
        <v>101</v>
      </c>
      <c r="MG272" s="12">
        <v>78</v>
      </c>
      <c r="NC272" s="8">
        <v>114</v>
      </c>
      <c r="ND272" s="12">
        <v>235</v>
      </c>
      <c r="PP272" s="8">
        <v>238</v>
      </c>
      <c r="TZ272" s="8">
        <v>165</v>
      </c>
      <c r="UA272" s="12">
        <v>572</v>
      </c>
      <c r="VL272" s="21"/>
      <c r="VQ272" s="6">
        <v>203</v>
      </c>
      <c r="VR272" s="28">
        <v>167</v>
      </c>
    </row>
    <row r="273" spans="22:590" x14ac:dyDescent="0.25">
      <c r="V273">
        <v>6</v>
      </c>
      <c r="W273" s="10">
        <v>225</v>
      </c>
      <c r="AJ273" s="2">
        <v>-91</v>
      </c>
      <c r="AK273" s="10">
        <v>140</v>
      </c>
      <c r="BT273">
        <v>-295</v>
      </c>
      <c r="BU273" s="1">
        <v>744</v>
      </c>
      <c r="CE273" s="8">
        <v>288</v>
      </c>
      <c r="CF273" s="28">
        <v>87</v>
      </c>
      <c r="CZ273" s="23">
        <v>148</v>
      </c>
      <c r="DA273" s="25">
        <v>621</v>
      </c>
      <c r="DH273" s="23">
        <v>-2</v>
      </c>
      <c r="DI273" s="25">
        <v>1</v>
      </c>
      <c r="DL273" s="8">
        <v>-17</v>
      </c>
      <c r="DS273" s="8">
        <v>-92</v>
      </c>
      <c r="DT273" s="52">
        <v>123</v>
      </c>
      <c r="EA273" s="23">
        <v>18</v>
      </c>
      <c r="EB273" s="52">
        <v>248</v>
      </c>
      <c r="EC273" s="52"/>
      <c r="ED273" s="52"/>
      <c r="EG273" s="6">
        <v>-485</v>
      </c>
      <c r="EH273" s="28">
        <v>465</v>
      </c>
      <c r="EN273" s="8">
        <v>-156</v>
      </c>
      <c r="EO273" s="28">
        <v>55</v>
      </c>
      <c r="EX273" s="8">
        <v>628</v>
      </c>
      <c r="EY273" s="28">
        <v>115</v>
      </c>
      <c r="FD273" s="6">
        <v>-106</v>
      </c>
      <c r="FE273" s="28">
        <v>435</v>
      </c>
      <c r="FM273" s="8">
        <v>-554</v>
      </c>
      <c r="FN273" s="52">
        <v>259</v>
      </c>
      <c r="FS273" s="8">
        <v>-15</v>
      </c>
      <c r="FT273" s="52">
        <v>136</v>
      </c>
      <c r="GI273" s="8">
        <v>-556</v>
      </c>
      <c r="GJ273" s="28">
        <v>169</v>
      </c>
      <c r="GP273" s="6">
        <v>28</v>
      </c>
      <c r="GQ273" s="52">
        <v>344</v>
      </c>
      <c r="GT273" s="6">
        <v>-942</v>
      </c>
      <c r="GU273" s="52">
        <v>192</v>
      </c>
      <c r="HB273" s="6">
        <v>-270</v>
      </c>
      <c r="HE273" s="6">
        <v>1</v>
      </c>
      <c r="HF273" s="28">
        <v>37</v>
      </c>
      <c r="HS273" s="8">
        <v>-7</v>
      </c>
      <c r="IB273" s="8">
        <v>-363</v>
      </c>
      <c r="IC273" s="28">
        <v>431</v>
      </c>
      <c r="IY273" s="8">
        <v>150</v>
      </c>
      <c r="JW273" s="6">
        <v>779</v>
      </c>
      <c r="JX273" s="12">
        <v>176</v>
      </c>
      <c r="LF273" s="8">
        <v>-301</v>
      </c>
      <c r="LG273" s="28">
        <v>39</v>
      </c>
      <c r="LJ273" s="8">
        <v>278</v>
      </c>
      <c r="LK273" s="28">
        <v>213</v>
      </c>
      <c r="LW273" s="8">
        <v>79</v>
      </c>
      <c r="LX273" s="28">
        <v>46</v>
      </c>
      <c r="MF273" s="8">
        <v>-743</v>
      </c>
      <c r="MG273" s="12">
        <v>223</v>
      </c>
      <c r="NC273" s="8">
        <v>612</v>
      </c>
      <c r="ND273" s="12">
        <v>208</v>
      </c>
      <c r="PP273" s="8">
        <v>100</v>
      </c>
      <c r="TZ273" s="8">
        <v>130</v>
      </c>
      <c r="UA273" s="12">
        <v>505</v>
      </c>
      <c r="VL273" s="21"/>
      <c r="VQ273" s="6">
        <v>513</v>
      </c>
      <c r="VR273" s="28">
        <v>222</v>
      </c>
    </row>
    <row r="274" spans="22:590" x14ac:dyDescent="0.25">
      <c r="V274">
        <v>4</v>
      </c>
      <c r="W274" s="10">
        <v>241</v>
      </c>
      <c r="AJ274" s="2">
        <v>-39</v>
      </c>
      <c r="AK274" s="10">
        <v>158</v>
      </c>
      <c r="BT274">
        <v>-586</v>
      </c>
      <c r="BU274" s="1">
        <v>698</v>
      </c>
      <c r="CE274" s="8">
        <v>411</v>
      </c>
      <c r="CF274" s="28">
        <v>120</v>
      </c>
      <c r="CZ274" s="23">
        <v>-116</v>
      </c>
      <c r="DA274" s="25">
        <v>571</v>
      </c>
      <c r="DH274" s="23">
        <v>-64</v>
      </c>
      <c r="DI274" s="25">
        <v>86</v>
      </c>
      <c r="DL274" s="8">
        <v>291</v>
      </c>
      <c r="DS274" s="8">
        <v>-170</v>
      </c>
      <c r="DT274" s="52">
        <v>201</v>
      </c>
      <c r="EA274" s="23">
        <v>151</v>
      </c>
      <c r="EB274" s="52">
        <v>141</v>
      </c>
      <c r="EC274" s="52"/>
      <c r="ED274" s="52"/>
      <c r="EG274" s="6">
        <v>-468</v>
      </c>
      <c r="EH274" s="28">
        <v>468</v>
      </c>
      <c r="EN274" s="8">
        <v>-150</v>
      </c>
      <c r="EO274" s="28">
        <v>132</v>
      </c>
      <c r="EX274" s="8">
        <v>553</v>
      </c>
      <c r="EY274" s="28">
        <v>106</v>
      </c>
      <c r="FD274" s="6">
        <v>-958</v>
      </c>
      <c r="FE274" s="28">
        <v>156</v>
      </c>
      <c r="FM274" s="8">
        <v>203</v>
      </c>
      <c r="FN274" s="52">
        <v>323</v>
      </c>
      <c r="FS274" s="8">
        <v>-15</v>
      </c>
      <c r="FT274" s="52">
        <v>135</v>
      </c>
      <c r="GI274" s="8">
        <v>129</v>
      </c>
      <c r="GJ274" s="28">
        <v>251</v>
      </c>
      <c r="GP274" s="6">
        <v>98</v>
      </c>
      <c r="GQ274" s="52">
        <v>300</v>
      </c>
      <c r="GT274" s="6">
        <v>-321</v>
      </c>
      <c r="GU274" s="52">
        <v>128</v>
      </c>
      <c r="HB274" s="6">
        <v>-251</v>
      </c>
      <c r="HE274" s="6">
        <v>9</v>
      </c>
      <c r="HF274" s="28">
        <v>17</v>
      </c>
      <c r="HS274" s="8">
        <v>3</v>
      </c>
      <c r="IB274" s="8">
        <v>-511</v>
      </c>
      <c r="IC274" s="28">
        <v>437</v>
      </c>
      <c r="IY274" s="8">
        <v>-217</v>
      </c>
      <c r="JW274" s="6">
        <v>12</v>
      </c>
      <c r="JX274" s="12">
        <v>8</v>
      </c>
      <c r="LF274" s="8">
        <v>-46</v>
      </c>
      <c r="LG274" s="28">
        <v>20</v>
      </c>
      <c r="LJ274" s="8">
        <v>10</v>
      </c>
      <c r="LK274" s="28">
        <v>117</v>
      </c>
      <c r="LW274" s="8">
        <v>-11</v>
      </c>
      <c r="LX274" s="28">
        <v>43</v>
      </c>
      <c r="MF274" s="8">
        <v>983</v>
      </c>
      <c r="MG274" s="12">
        <v>818</v>
      </c>
      <c r="NC274" s="8">
        <v>285</v>
      </c>
      <c r="ND274" s="12">
        <v>319</v>
      </c>
      <c r="PP274" s="8">
        <v>241</v>
      </c>
      <c r="TZ274" s="8">
        <v>77</v>
      </c>
      <c r="UA274" s="12">
        <v>459</v>
      </c>
      <c r="VL274" s="21"/>
      <c r="VQ274" s="6">
        <v>444</v>
      </c>
      <c r="VR274" s="28">
        <v>204</v>
      </c>
    </row>
    <row r="275" spans="22:590" x14ac:dyDescent="0.25">
      <c r="V275">
        <v>-26</v>
      </c>
      <c r="W275" s="10">
        <v>195</v>
      </c>
      <c r="AJ275" s="2">
        <v>-33</v>
      </c>
      <c r="AK275" s="10">
        <v>98</v>
      </c>
      <c r="BT275">
        <v>-108</v>
      </c>
      <c r="BU275" s="1">
        <v>212</v>
      </c>
      <c r="CE275" s="8">
        <v>-524</v>
      </c>
      <c r="CF275" s="28">
        <v>88</v>
      </c>
      <c r="CZ275" s="23">
        <v>-738</v>
      </c>
      <c r="DA275" s="25">
        <v>446</v>
      </c>
      <c r="DH275" s="23">
        <v>-140</v>
      </c>
      <c r="DI275" s="25">
        <v>93</v>
      </c>
      <c r="DL275" s="8">
        <v>-13</v>
      </c>
      <c r="DS275" s="8">
        <v>77</v>
      </c>
      <c r="DT275" s="52">
        <v>269</v>
      </c>
      <c r="EG275" s="6">
        <v>-450</v>
      </c>
      <c r="EH275" s="28">
        <v>470</v>
      </c>
      <c r="EN275" s="8">
        <v>-19</v>
      </c>
      <c r="EO275" s="28">
        <v>21</v>
      </c>
      <c r="EX275" s="8">
        <v>422</v>
      </c>
      <c r="EY275" s="28">
        <v>112</v>
      </c>
      <c r="FD275" s="6">
        <v>636</v>
      </c>
      <c r="FE275" s="28">
        <v>191</v>
      </c>
      <c r="FM275" s="8">
        <v>-33</v>
      </c>
      <c r="FN275" s="52">
        <v>24</v>
      </c>
      <c r="FS275" s="8">
        <v>114</v>
      </c>
      <c r="FT275" s="52">
        <v>99</v>
      </c>
      <c r="GI275" s="8">
        <v>-315</v>
      </c>
      <c r="GJ275" s="28">
        <v>166</v>
      </c>
      <c r="GP275" s="6">
        <v>-62</v>
      </c>
      <c r="GQ275" s="52">
        <v>309</v>
      </c>
      <c r="GT275" s="6">
        <v>-540</v>
      </c>
      <c r="GU275" s="52">
        <v>128</v>
      </c>
      <c r="HB275" s="6">
        <v>89</v>
      </c>
      <c r="HE275" s="6">
        <v>-17</v>
      </c>
      <c r="HF275" s="28">
        <v>26</v>
      </c>
      <c r="HS275" s="8">
        <v>-72</v>
      </c>
      <c r="IB275" s="8">
        <v>-168</v>
      </c>
      <c r="IC275" s="28">
        <v>173</v>
      </c>
      <c r="IY275" s="8">
        <v>-85</v>
      </c>
      <c r="JW275" s="6">
        <v>115</v>
      </c>
      <c r="JX275" s="12">
        <v>76</v>
      </c>
      <c r="LF275" s="8">
        <v>-217</v>
      </c>
      <c r="LG275" s="28">
        <v>27</v>
      </c>
      <c r="LJ275" s="8">
        <v>150</v>
      </c>
      <c r="LK275" s="28">
        <v>650</v>
      </c>
      <c r="LW275" s="8">
        <v>30</v>
      </c>
      <c r="LX275" s="28">
        <v>57</v>
      </c>
      <c r="MF275" s="8">
        <v>-142</v>
      </c>
      <c r="MG275" s="12">
        <v>919</v>
      </c>
      <c r="NC275" s="8">
        <v>230</v>
      </c>
      <c r="ND275" s="12">
        <v>216</v>
      </c>
      <c r="PP275" s="8">
        <v>201</v>
      </c>
      <c r="TZ275" s="8">
        <v>108</v>
      </c>
      <c r="UA275" s="12">
        <v>433</v>
      </c>
      <c r="VL275" s="21"/>
      <c r="VQ275" s="6">
        <v>146</v>
      </c>
      <c r="VR275" s="28">
        <v>193</v>
      </c>
    </row>
    <row r="276" spans="22:590" x14ac:dyDescent="0.25">
      <c r="V276">
        <v>-29</v>
      </c>
      <c r="W276" s="10">
        <v>195</v>
      </c>
      <c r="AJ276" s="2">
        <v>90</v>
      </c>
      <c r="AK276" s="10">
        <v>26</v>
      </c>
      <c r="BT276">
        <v>-502</v>
      </c>
      <c r="BU276" s="1">
        <v>391</v>
      </c>
      <c r="CE276" s="8">
        <v>183</v>
      </c>
      <c r="CF276" s="28">
        <v>70</v>
      </c>
      <c r="CZ276" s="23">
        <v>1</v>
      </c>
      <c r="DA276" s="25">
        <v>1</v>
      </c>
      <c r="DH276" s="23">
        <v>-57</v>
      </c>
      <c r="DI276" s="25">
        <v>105</v>
      </c>
      <c r="DL276" s="8">
        <v>28</v>
      </c>
      <c r="DS276" s="8">
        <v>67</v>
      </c>
      <c r="DT276" s="52">
        <v>396</v>
      </c>
      <c r="EG276" s="6">
        <v>-510</v>
      </c>
      <c r="EH276" s="28">
        <v>473</v>
      </c>
      <c r="EN276" s="8">
        <v>7</v>
      </c>
      <c r="EO276" s="28">
        <v>87</v>
      </c>
      <c r="EX276" s="8">
        <v>442</v>
      </c>
      <c r="EY276" s="28">
        <v>132</v>
      </c>
      <c r="FD276" s="6">
        <v>-421</v>
      </c>
      <c r="FE276" s="28">
        <v>105</v>
      </c>
      <c r="FM276" s="8">
        <v>-578</v>
      </c>
      <c r="FN276" s="52">
        <v>322</v>
      </c>
      <c r="FS276" s="8">
        <v>129</v>
      </c>
      <c r="FT276" s="52">
        <v>101</v>
      </c>
      <c r="GI276" s="8">
        <v>-853</v>
      </c>
      <c r="GJ276" s="28">
        <v>328</v>
      </c>
      <c r="GP276" s="6">
        <v>42</v>
      </c>
      <c r="GQ276" s="52">
        <v>261</v>
      </c>
      <c r="GT276" s="6">
        <v>-243</v>
      </c>
      <c r="GU276" s="52">
        <v>301</v>
      </c>
      <c r="HB276" s="6">
        <v>25</v>
      </c>
      <c r="HE276" s="6">
        <v>65</v>
      </c>
      <c r="HF276" s="28">
        <v>54</v>
      </c>
      <c r="HS276" s="8">
        <v>-6</v>
      </c>
      <c r="IB276" s="8">
        <v>-201</v>
      </c>
      <c r="IC276" s="28">
        <v>190</v>
      </c>
      <c r="IY276" s="8">
        <v>-43</v>
      </c>
      <c r="JW276" s="6">
        <v>107</v>
      </c>
      <c r="JX276" s="12">
        <v>71</v>
      </c>
      <c r="LF276" s="8">
        <v>-226</v>
      </c>
      <c r="LG276" s="28">
        <v>17</v>
      </c>
      <c r="LJ276" s="8">
        <v>166</v>
      </c>
      <c r="LK276" s="28">
        <v>248</v>
      </c>
      <c r="LW276" s="8">
        <v>44</v>
      </c>
      <c r="LX276" s="28">
        <v>37</v>
      </c>
      <c r="MF276" s="8">
        <v>591</v>
      </c>
      <c r="MG276" s="12">
        <v>930</v>
      </c>
      <c r="NC276" s="8">
        <v>661</v>
      </c>
      <c r="ND276" s="12">
        <v>306</v>
      </c>
      <c r="PP276" s="8">
        <v>262</v>
      </c>
      <c r="TZ276" s="8">
        <v>-691</v>
      </c>
      <c r="UA276" s="12">
        <v>236</v>
      </c>
      <c r="VL276" s="21"/>
      <c r="VQ276" s="6">
        <v>510</v>
      </c>
      <c r="VR276" s="28">
        <v>153</v>
      </c>
    </row>
    <row r="277" spans="22:590" x14ac:dyDescent="0.25">
      <c r="V277">
        <v>-26</v>
      </c>
      <c r="W277" s="10">
        <v>190</v>
      </c>
      <c r="AJ277" s="2">
        <v>32</v>
      </c>
      <c r="AK277" s="10">
        <v>76</v>
      </c>
      <c r="BT277">
        <v>-15</v>
      </c>
      <c r="BU277" s="1">
        <v>217</v>
      </c>
      <c r="CE277" s="8">
        <v>464</v>
      </c>
      <c r="CF277" s="28">
        <v>100</v>
      </c>
      <c r="CZ277" s="23">
        <v>45</v>
      </c>
      <c r="DA277" s="25">
        <v>33</v>
      </c>
      <c r="DH277" s="23">
        <v>-39</v>
      </c>
      <c r="DI277" s="25">
        <v>113</v>
      </c>
      <c r="DL277" s="8">
        <v>18</v>
      </c>
      <c r="DS277" s="8">
        <v>-4</v>
      </c>
      <c r="DT277" s="52">
        <v>6</v>
      </c>
      <c r="EG277" s="6">
        <v>239</v>
      </c>
      <c r="EH277" s="28">
        <v>106</v>
      </c>
      <c r="EN277" s="8">
        <v>60</v>
      </c>
      <c r="EO277" s="28">
        <v>98</v>
      </c>
      <c r="EX277" s="8">
        <v>794</v>
      </c>
      <c r="EY277" s="28">
        <v>113</v>
      </c>
      <c r="FD277" s="6">
        <v>777</v>
      </c>
      <c r="FE277" s="28">
        <v>16</v>
      </c>
      <c r="FM277" s="8">
        <v>309</v>
      </c>
      <c r="FN277" s="52">
        <v>288</v>
      </c>
      <c r="FS277" s="8">
        <v>129</v>
      </c>
      <c r="FT277" s="52">
        <v>105</v>
      </c>
      <c r="GI277" s="8">
        <v>931</v>
      </c>
      <c r="GJ277" s="28">
        <v>564</v>
      </c>
      <c r="GP277" s="6">
        <v>25</v>
      </c>
      <c r="GQ277" s="52">
        <v>161</v>
      </c>
      <c r="GT277" s="6">
        <v>191</v>
      </c>
      <c r="GU277" s="52">
        <v>203</v>
      </c>
      <c r="HB277" s="6">
        <v>-9</v>
      </c>
      <c r="HE277" s="6">
        <v>83</v>
      </c>
      <c r="HF277" s="28">
        <v>49</v>
      </c>
      <c r="HS277" s="8">
        <v>49</v>
      </c>
      <c r="IB277" s="8">
        <v>-420</v>
      </c>
      <c r="IC277" s="28">
        <v>711</v>
      </c>
      <c r="IY277" s="8">
        <v>747</v>
      </c>
      <c r="JW277" s="6">
        <v>-254</v>
      </c>
      <c r="JX277" s="12">
        <v>758</v>
      </c>
      <c r="LF277" s="8">
        <v>-225</v>
      </c>
      <c r="LG277" s="28">
        <v>26</v>
      </c>
      <c r="LJ277" s="8">
        <v>778</v>
      </c>
      <c r="LK277" s="28">
        <v>536</v>
      </c>
      <c r="LW277" s="8">
        <v>13</v>
      </c>
      <c r="LX277" s="28">
        <v>35</v>
      </c>
      <c r="MF277" s="8">
        <v>102</v>
      </c>
      <c r="MG277" s="12">
        <v>794</v>
      </c>
      <c r="NC277" s="8">
        <v>222</v>
      </c>
      <c r="ND277" s="12">
        <v>207</v>
      </c>
      <c r="PP277" s="8">
        <v>250</v>
      </c>
      <c r="TZ277" s="8">
        <v>-300</v>
      </c>
      <c r="UA277" s="12">
        <v>198</v>
      </c>
      <c r="VL277" s="21"/>
      <c r="VQ277" s="6">
        <v>-45</v>
      </c>
      <c r="VR277" s="28">
        <v>39</v>
      </c>
    </row>
    <row r="278" spans="22:590" x14ac:dyDescent="0.25">
      <c r="V278">
        <v>-26</v>
      </c>
      <c r="W278" s="10">
        <v>185</v>
      </c>
      <c r="AJ278" s="2">
        <v>183</v>
      </c>
      <c r="AK278" s="10">
        <v>28</v>
      </c>
      <c r="BT278">
        <v>-396</v>
      </c>
      <c r="BU278" s="1">
        <v>772</v>
      </c>
      <c r="CE278" s="8">
        <v>241</v>
      </c>
      <c r="CF278" s="28">
        <v>57</v>
      </c>
      <c r="CZ278" s="23">
        <v>5</v>
      </c>
      <c r="DA278" s="25">
        <v>49</v>
      </c>
      <c r="DH278" s="23">
        <v>19</v>
      </c>
      <c r="DI278" s="25">
        <v>112</v>
      </c>
      <c r="DL278" s="8">
        <v>10</v>
      </c>
      <c r="DS278" s="8">
        <v>-143</v>
      </c>
      <c r="DT278" s="52">
        <v>267</v>
      </c>
      <c r="EG278" s="6">
        <v>242</v>
      </c>
      <c r="EH278" s="28">
        <v>106</v>
      </c>
      <c r="EN278" s="8">
        <v>-93</v>
      </c>
      <c r="EO278" s="28">
        <v>94</v>
      </c>
      <c r="EX278" s="8">
        <v>713</v>
      </c>
      <c r="EY278" s="28">
        <v>101</v>
      </c>
      <c r="FD278" s="6">
        <v>-906</v>
      </c>
      <c r="FE278" s="28">
        <v>255</v>
      </c>
      <c r="FM278" s="8">
        <v>-8</v>
      </c>
      <c r="FN278" s="52">
        <v>15</v>
      </c>
      <c r="FS278" s="8">
        <v>114</v>
      </c>
      <c r="FT278" s="52">
        <v>99</v>
      </c>
      <c r="GI278" s="8">
        <v>-338</v>
      </c>
      <c r="GJ278" s="28">
        <v>543</v>
      </c>
      <c r="GP278" s="6">
        <v>65</v>
      </c>
      <c r="GQ278" s="52">
        <v>271</v>
      </c>
      <c r="GT278" s="6">
        <v>-425</v>
      </c>
      <c r="GU278" s="52">
        <v>252</v>
      </c>
      <c r="HB278" s="6">
        <v>-32</v>
      </c>
      <c r="HE278" s="6">
        <v>86</v>
      </c>
      <c r="HF278" s="28">
        <v>46</v>
      </c>
      <c r="HS278" s="8">
        <v>-21</v>
      </c>
      <c r="IB278" s="8">
        <v>-442</v>
      </c>
      <c r="IC278" s="28">
        <v>683</v>
      </c>
      <c r="IY278" s="8">
        <v>654</v>
      </c>
      <c r="JW278" s="6">
        <v>107</v>
      </c>
      <c r="JX278" s="12">
        <v>2</v>
      </c>
      <c r="LF278" s="8">
        <v>236</v>
      </c>
      <c r="LG278" s="28">
        <v>123</v>
      </c>
      <c r="LJ278" s="8">
        <v>-698</v>
      </c>
      <c r="LK278" s="28">
        <v>243</v>
      </c>
      <c r="LW278" s="8">
        <v>-47</v>
      </c>
      <c r="LX278" s="28">
        <v>22</v>
      </c>
      <c r="MF278" s="8">
        <v>102</v>
      </c>
      <c r="MG278" s="12">
        <v>684</v>
      </c>
      <c r="NC278" s="8">
        <v>173</v>
      </c>
      <c r="ND278" s="12">
        <v>117</v>
      </c>
      <c r="PP278" s="8">
        <v>102</v>
      </c>
      <c r="TZ278" s="8">
        <v>12</v>
      </c>
      <c r="UA278" s="12">
        <v>292</v>
      </c>
      <c r="VL278" s="21"/>
      <c r="VQ278" s="6">
        <v>147</v>
      </c>
      <c r="VR278" s="28">
        <v>112</v>
      </c>
    </row>
    <row r="279" spans="22:590" x14ac:dyDescent="0.25">
      <c r="V279">
        <v>-19</v>
      </c>
      <c r="W279" s="10">
        <v>273</v>
      </c>
      <c r="AJ279" s="2">
        <v>659</v>
      </c>
      <c r="AK279" s="10">
        <v>173</v>
      </c>
      <c r="BT279">
        <v>178</v>
      </c>
      <c r="BU279" s="1">
        <v>519</v>
      </c>
      <c r="CE279" s="8">
        <v>165</v>
      </c>
      <c r="CF279" s="28">
        <v>137</v>
      </c>
      <c r="CZ279" s="23">
        <v>-13</v>
      </c>
      <c r="DA279" s="25">
        <v>10</v>
      </c>
      <c r="DH279" s="23">
        <v>70</v>
      </c>
      <c r="DI279" s="25">
        <v>121</v>
      </c>
      <c r="DL279" s="8">
        <v>-9</v>
      </c>
      <c r="DS279" s="8">
        <v>37</v>
      </c>
      <c r="DT279" s="52">
        <v>235</v>
      </c>
      <c r="EG279" s="6">
        <v>243</v>
      </c>
      <c r="EH279" s="28">
        <v>107</v>
      </c>
      <c r="EN279" s="8">
        <v>11</v>
      </c>
      <c r="EO279" s="28">
        <v>85</v>
      </c>
      <c r="EX279" s="8">
        <v>588</v>
      </c>
      <c r="EY279" s="28">
        <v>992</v>
      </c>
      <c r="FD279" s="6">
        <v>101</v>
      </c>
      <c r="FE279" s="28">
        <v>32</v>
      </c>
      <c r="FM279" s="8">
        <v>-54</v>
      </c>
      <c r="FN279" s="52">
        <v>59</v>
      </c>
      <c r="FS279" s="8">
        <v>130</v>
      </c>
      <c r="FT279" s="52">
        <v>101</v>
      </c>
      <c r="GI279" s="8">
        <v>-134</v>
      </c>
      <c r="GJ279" s="28">
        <v>945</v>
      </c>
      <c r="GP279" s="6">
        <v>8</v>
      </c>
      <c r="GQ279" s="52">
        <v>108</v>
      </c>
      <c r="GT279" s="6">
        <v>-102</v>
      </c>
      <c r="GU279" s="52">
        <v>676</v>
      </c>
      <c r="HB279" s="6">
        <v>9</v>
      </c>
      <c r="HE279" s="6">
        <v>39</v>
      </c>
      <c r="HF279" s="28">
        <v>38</v>
      </c>
      <c r="HS279" s="8">
        <v>15</v>
      </c>
      <c r="IB279" s="8">
        <v>143</v>
      </c>
      <c r="IC279" s="28">
        <v>128</v>
      </c>
      <c r="IY279" s="8">
        <v>-95</v>
      </c>
      <c r="JW279" s="6">
        <v>-293</v>
      </c>
      <c r="JX279" s="12">
        <v>921</v>
      </c>
      <c r="LF279" s="8">
        <v>-366</v>
      </c>
      <c r="LG279" s="28">
        <v>104</v>
      </c>
      <c r="LJ279" s="8">
        <v>-382</v>
      </c>
      <c r="LK279" s="28">
        <v>165</v>
      </c>
      <c r="LW279" s="8">
        <v>-14</v>
      </c>
      <c r="LX279" s="28">
        <v>18</v>
      </c>
      <c r="MF279" s="8">
        <v>802</v>
      </c>
      <c r="MG279" s="12">
        <v>342</v>
      </c>
      <c r="NC279" s="8">
        <v>-97</v>
      </c>
      <c r="ND279" s="12">
        <v>65</v>
      </c>
      <c r="PP279" s="8">
        <v>219</v>
      </c>
      <c r="TZ279" s="8">
        <v>234</v>
      </c>
      <c r="UA279" s="12">
        <v>456</v>
      </c>
      <c r="VL279" s="21"/>
      <c r="VQ279" s="6">
        <v>559</v>
      </c>
      <c r="VR279" s="28">
        <v>120</v>
      </c>
    </row>
    <row r="280" spans="22:590" x14ac:dyDescent="0.25">
      <c r="V280">
        <v>-8</v>
      </c>
      <c r="W280" s="10">
        <v>133</v>
      </c>
      <c r="AJ280" s="2">
        <v>1079</v>
      </c>
      <c r="AK280" s="10">
        <v>119</v>
      </c>
      <c r="BT280">
        <v>-633</v>
      </c>
      <c r="BU280" s="1">
        <v>108</v>
      </c>
      <c r="CE280" s="8">
        <v>578</v>
      </c>
      <c r="CF280" s="28">
        <v>80</v>
      </c>
      <c r="CZ280" s="23">
        <v>-175</v>
      </c>
      <c r="DA280" s="25">
        <v>242</v>
      </c>
      <c r="DH280" s="23">
        <v>23</v>
      </c>
      <c r="DI280" s="25">
        <v>134</v>
      </c>
      <c r="DL280" s="8">
        <v>3</v>
      </c>
      <c r="DS280" s="8">
        <v>7</v>
      </c>
      <c r="DT280" s="52">
        <v>43</v>
      </c>
      <c r="EG280" s="6">
        <v>248</v>
      </c>
      <c r="EH280" s="28">
        <v>107</v>
      </c>
      <c r="EN280" s="8">
        <v>171</v>
      </c>
      <c r="EO280" s="28">
        <v>13</v>
      </c>
      <c r="EX280" s="8">
        <v>106</v>
      </c>
      <c r="EY280" s="28">
        <v>128</v>
      </c>
      <c r="FD280" s="6">
        <v>88</v>
      </c>
      <c r="FE280" s="28">
        <v>33</v>
      </c>
      <c r="FM280" s="8">
        <v>-77</v>
      </c>
      <c r="FN280" s="52">
        <v>131</v>
      </c>
      <c r="FS280" s="8">
        <v>128</v>
      </c>
      <c r="FT280" s="52">
        <v>104</v>
      </c>
      <c r="GI280" s="8">
        <v>-195</v>
      </c>
      <c r="GJ280" s="28">
        <v>138</v>
      </c>
      <c r="GP280" s="6">
        <v>12</v>
      </c>
      <c r="GQ280" s="52">
        <v>171</v>
      </c>
      <c r="GT280" s="6">
        <v>5</v>
      </c>
      <c r="GU280" s="52">
        <v>191</v>
      </c>
      <c r="HB280" s="6">
        <v>45</v>
      </c>
      <c r="HE280" s="6">
        <v>21</v>
      </c>
      <c r="HF280" s="28">
        <v>20</v>
      </c>
      <c r="HS280" s="8">
        <v>-14</v>
      </c>
      <c r="IB280" s="8">
        <v>142</v>
      </c>
      <c r="IC280" s="28">
        <v>127</v>
      </c>
      <c r="IY280" s="8">
        <v>118</v>
      </c>
      <c r="JW280" s="6">
        <v>-258</v>
      </c>
      <c r="JX280" s="12">
        <v>317</v>
      </c>
      <c r="LF280" s="8">
        <v>-482</v>
      </c>
      <c r="LG280" s="28">
        <v>77</v>
      </c>
      <c r="LJ280" s="8">
        <v>-422</v>
      </c>
      <c r="LK280" s="28">
        <v>156</v>
      </c>
      <c r="LW280" s="8">
        <v>5</v>
      </c>
      <c r="LX280" s="28">
        <v>1</v>
      </c>
      <c r="MF280" s="8">
        <v>650</v>
      </c>
      <c r="MG280" s="12">
        <v>127</v>
      </c>
      <c r="NC280" s="8">
        <v>166</v>
      </c>
      <c r="ND280" s="12">
        <v>113</v>
      </c>
      <c r="PP280" s="8">
        <v>200</v>
      </c>
      <c r="TZ280" s="8">
        <v>378</v>
      </c>
      <c r="UA280" s="12">
        <v>358</v>
      </c>
      <c r="VL280" s="21"/>
      <c r="VQ280" s="6">
        <v>560</v>
      </c>
      <c r="VR280" s="28">
        <v>124</v>
      </c>
    </row>
    <row r="281" spans="22:590" x14ac:dyDescent="0.25">
      <c r="V281">
        <v>-34</v>
      </c>
      <c r="W281" s="10">
        <v>255</v>
      </c>
      <c r="AJ281" s="2">
        <v>-116</v>
      </c>
      <c r="AK281" s="10">
        <v>54</v>
      </c>
      <c r="BT281">
        <v>-147</v>
      </c>
      <c r="BU281" s="1">
        <v>302</v>
      </c>
      <c r="CE281" s="8">
        <v>560</v>
      </c>
      <c r="CF281" s="28">
        <v>111</v>
      </c>
      <c r="CZ281" s="23">
        <v>-316</v>
      </c>
      <c r="DA281" s="25">
        <v>353</v>
      </c>
      <c r="DH281" s="23">
        <v>142</v>
      </c>
      <c r="DI281" s="25">
        <v>146</v>
      </c>
      <c r="DL281" s="8">
        <v>10</v>
      </c>
      <c r="DS281" s="8">
        <v>-43</v>
      </c>
      <c r="DT281" s="52">
        <v>267</v>
      </c>
      <c r="EG281" s="6">
        <v>234</v>
      </c>
      <c r="EH281" s="28">
        <v>108</v>
      </c>
      <c r="EN281" s="8">
        <v>39</v>
      </c>
      <c r="EO281" s="28">
        <v>17</v>
      </c>
      <c r="EX281" s="8">
        <v>745</v>
      </c>
      <c r="EY281" s="28">
        <v>103</v>
      </c>
      <c r="FD281" s="6">
        <v>111</v>
      </c>
      <c r="FE281" s="28">
        <v>35</v>
      </c>
      <c r="FM281" s="8">
        <v>-198</v>
      </c>
      <c r="FN281" s="52">
        <v>360</v>
      </c>
      <c r="FS281" s="8">
        <v>90</v>
      </c>
      <c r="FT281" s="52">
        <v>98</v>
      </c>
      <c r="GI281" s="8">
        <v>256</v>
      </c>
      <c r="GJ281" s="28">
        <v>126</v>
      </c>
      <c r="GP281" s="6">
        <v>76</v>
      </c>
      <c r="GQ281" s="52">
        <v>258</v>
      </c>
      <c r="GT281" s="6">
        <v>-2</v>
      </c>
      <c r="GU281" s="52">
        <v>749</v>
      </c>
      <c r="HB281" s="6">
        <v>69</v>
      </c>
      <c r="HE281" s="6">
        <v>-47</v>
      </c>
      <c r="HF281" s="28">
        <v>36</v>
      </c>
      <c r="HS281" s="8">
        <v>-38</v>
      </c>
      <c r="IB281" s="8">
        <v>464</v>
      </c>
      <c r="IC281" s="28">
        <v>290</v>
      </c>
      <c r="IY281" s="8">
        <v>-182</v>
      </c>
      <c r="JW281" s="6">
        <v>838</v>
      </c>
      <c r="JX281" s="12">
        <v>105</v>
      </c>
      <c r="LF281" s="8">
        <v>-314</v>
      </c>
      <c r="LG281" s="28">
        <v>76</v>
      </c>
      <c r="LJ281" s="8">
        <v>172</v>
      </c>
      <c r="LK281" s="28">
        <v>343</v>
      </c>
      <c r="LW281" s="8">
        <v>49</v>
      </c>
      <c r="LX281" s="28">
        <v>45</v>
      </c>
      <c r="MF281" s="8">
        <v>921</v>
      </c>
      <c r="MG281" s="12">
        <v>509</v>
      </c>
      <c r="NC281" s="8">
        <v>-192</v>
      </c>
      <c r="ND281" s="12">
        <v>133</v>
      </c>
      <c r="PP281" s="8">
        <v>248</v>
      </c>
      <c r="TZ281" s="8">
        <v>432</v>
      </c>
      <c r="UA281" s="12">
        <v>331</v>
      </c>
      <c r="VL281" s="21"/>
      <c r="VQ281" s="6">
        <v>577</v>
      </c>
      <c r="VR281" s="28">
        <v>133</v>
      </c>
    </row>
    <row r="282" spans="22:590" x14ac:dyDescent="0.25">
      <c r="V282">
        <v>-25</v>
      </c>
      <c r="W282" s="10">
        <v>188</v>
      </c>
      <c r="AJ282" s="2">
        <v>1830</v>
      </c>
      <c r="AK282" s="10">
        <v>97</v>
      </c>
      <c r="BT282">
        <v>-408</v>
      </c>
      <c r="BU282" s="1">
        <v>480</v>
      </c>
      <c r="CE282" s="8">
        <v>575</v>
      </c>
      <c r="CF282" s="28">
        <v>125</v>
      </c>
      <c r="CZ282" s="23">
        <v>-157</v>
      </c>
      <c r="DA282" s="25">
        <v>484</v>
      </c>
      <c r="DH282" s="23">
        <v>106</v>
      </c>
      <c r="DI282" s="25">
        <v>196</v>
      </c>
      <c r="DL282" s="8">
        <v>-11</v>
      </c>
      <c r="DS282" s="8">
        <v>28</v>
      </c>
      <c r="DT282" s="52">
        <v>74</v>
      </c>
      <c r="EG282" s="6">
        <v>140</v>
      </c>
      <c r="EH282" s="28">
        <v>167</v>
      </c>
      <c r="EN282" s="8">
        <v>-64</v>
      </c>
      <c r="EO282" s="28">
        <v>15</v>
      </c>
      <c r="EX282" s="8">
        <v>736</v>
      </c>
      <c r="EY282" s="28">
        <v>986</v>
      </c>
      <c r="FD282" s="6">
        <v>59</v>
      </c>
      <c r="FE282" s="28">
        <v>29</v>
      </c>
      <c r="FM282" s="8">
        <v>-23</v>
      </c>
      <c r="FN282" s="52">
        <v>16</v>
      </c>
      <c r="FS282" s="8">
        <v>87</v>
      </c>
      <c r="FT282" s="52">
        <v>97</v>
      </c>
      <c r="GI282" s="8">
        <v>924</v>
      </c>
      <c r="GJ282" s="28">
        <v>770</v>
      </c>
      <c r="GP282" s="6">
        <v>-55</v>
      </c>
      <c r="GQ282" s="52">
        <v>355</v>
      </c>
      <c r="GT282" s="6">
        <v>-7</v>
      </c>
      <c r="GU282" s="52">
        <v>591</v>
      </c>
      <c r="HB282" s="6">
        <v>6</v>
      </c>
      <c r="HE282" s="6">
        <v>-20</v>
      </c>
      <c r="HF282" s="28">
        <v>82</v>
      </c>
      <c r="HS282" s="8">
        <v>-80</v>
      </c>
      <c r="IB282" s="8">
        <v>125</v>
      </c>
      <c r="IC282" s="28">
        <v>129</v>
      </c>
      <c r="IY282" s="8">
        <v>275</v>
      </c>
      <c r="JW282" s="6">
        <v>809</v>
      </c>
      <c r="JX282" s="12">
        <v>82</v>
      </c>
      <c r="LF282" s="8">
        <v>-70</v>
      </c>
      <c r="LG282" s="28">
        <v>40</v>
      </c>
      <c r="LJ282" s="8">
        <v>195</v>
      </c>
      <c r="LK282" s="28">
        <v>163</v>
      </c>
      <c r="LW282" s="8">
        <v>-3</v>
      </c>
      <c r="LX282" s="28">
        <v>42</v>
      </c>
      <c r="MF282" s="8">
        <v>170</v>
      </c>
      <c r="MG282" s="12">
        <v>138</v>
      </c>
      <c r="NC282" s="8">
        <v>500</v>
      </c>
      <c r="ND282" s="12">
        <v>152</v>
      </c>
      <c r="PP282" s="8">
        <v>118</v>
      </c>
      <c r="TZ282" s="8">
        <v>382</v>
      </c>
      <c r="UA282" s="12">
        <v>319</v>
      </c>
      <c r="VL282" s="21"/>
      <c r="VQ282" s="6">
        <v>557</v>
      </c>
      <c r="VR282" s="28">
        <v>122</v>
      </c>
    </row>
    <row r="283" spans="22:590" x14ac:dyDescent="0.25">
      <c r="V283">
        <v>-12</v>
      </c>
      <c r="W283" s="10">
        <v>56</v>
      </c>
      <c r="AJ283" s="2">
        <v>4619</v>
      </c>
      <c r="AK283" s="10">
        <v>268</v>
      </c>
      <c r="BT283">
        <v>342</v>
      </c>
      <c r="BU283" s="1">
        <v>556</v>
      </c>
      <c r="CE283" s="8">
        <v>-338</v>
      </c>
      <c r="CF283" s="28">
        <v>120</v>
      </c>
      <c r="CZ283" s="23">
        <v>-25</v>
      </c>
      <c r="DA283" s="25">
        <v>101</v>
      </c>
      <c r="DH283" s="23">
        <v>663</v>
      </c>
      <c r="DI283" s="25">
        <v>468</v>
      </c>
      <c r="DL283" s="8">
        <v>-13</v>
      </c>
      <c r="DS283" s="8">
        <v>-253</v>
      </c>
      <c r="DT283" s="52">
        <v>270</v>
      </c>
      <c r="EG283" s="6">
        <v>195</v>
      </c>
      <c r="EH283" s="28">
        <v>169</v>
      </c>
      <c r="EN283" s="8">
        <v>96</v>
      </c>
      <c r="EO283" s="28">
        <v>17</v>
      </c>
      <c r="EX283" s="8">
        <v>400</v>
      </c>
      <c r="EY283" s="28">
        <v>992</v>
      </c>
      <c r="FD283" s="6">
        <v>52</v>
      </c>
      <c r="FE283" s="28">
        <v>33</v>
      </c>
      <c r="FM283" s="8">
        <v>-382</v>
      </c>
      <c r="FN283" s="52">
        <v>323</v>
      </c>
      <c r="FS283" s="8">
        <v>90</v>
      </c>
      <c r="FT283" s="52">
        <v>99</v>
      </c>
      <c r="GI283" s="8">
        <v>-103</v>
      </c>
      <c r="GJ283" s="28">
        <v>259</v>
      </c>
      <c r="GP283" s="6">
        <v>25</v>
      </c>
      <c r="GQ283" s="52">
        <v>204</v>
      </c>
      <c r="GT283" s="6">
        <v>102</v>
      </c>
      <c r="GU283" s="52">
        <v>841</v>
      </c>
      <c r="HB283" s="6">
        <v>27</v>
      </c>
      <c r="HE283" s="6">
        <v>52</v>
      </c>
      <c r="HF283" s="28">
        <v>58</v>
      </c>
      <c r="HS283" s="8">
        <v>-33</v>
      </c>
      <c r="IB283" s="8">
        <v>204</v>
      </c>
      <c r="IC283" s="28">
        <v>114</v>
      </c>
      <c r="IY283" s="8">
        <v>234</v>
      </c>
      <c r="JW283" s="6">
        <v>-182</v>
      </c>
      <c r="JX283" s="12">
        <v>594</v>
      </c>
      <c r="LF283" s="8">
        <v>-329</v>
      </c>
      <c r="LG283" s="28">
        <v>45</v>
      </c>
      <c r="LJ283" s="8">
        <v>-194</v>
      </c>
      <c r="LK283" s="28">
        <v>367</v>
      </c>
      <c r="LW283" s="8">
        <v>94</v>
      </c>
      <c r="LX283" s="28">
        <v>29</v>
      </c>
      <c r="MF283" s="8">
        <v>520</v>
      </c>
      <c r="MG283" s="12">
        <v>81</v>
      </c>
      <c r="NC283" s="8">
        <v>-131</v>
      </c>
      <c r="ND283" s="12">
        <v>91</v>
      </c>
      <c r="PP283" s="8">
        <v>108</v>
      </c>
      <c r="TZ283" s="8">
        <v>236</v>
      </c>
      <c r="UA283" s="12">
        <v>312</v>
      </c>
      <c r="VL283" s="21"/>
      <c r="VQ283" s="6">
        <v>560</v>
      </c>
      <c r="VR283" s="28">
        <v>122</v>
      </c>
    </row>
    <row r="284" spans="22:590" x14ac:dyDescent="0.25">
      <c r="V284">
        <v>-239</v>
      </c>
      <c r="W284" s="10">
        <v>41</v>
      </c>
      <c r="AJ284" s="2">
        <v>-390</v>
      </c>
      <c r="AK284" s="10">
        <v>92</v>
      </c>
      <c r="BT284">
        <v>108</v>
      </c>
      <c r="BU284" s="1">
        <v>273</v>
      </c>
      <c r="CE284" s="8">
        <v>549</v>
      </c>
      <c r="CF284" s="28">
        <v>114</v>
      </c>
      <c r="CZ284" s="23">
        <v>147</v>
      </c>
      <c r="DA284" s="25">
        <v>574</v>
      </c>
      <c r="DH284" s="23">
        <v>269</v>
      </c>
      <c r="DI284" s="25">
        <v>565</v>
      </c>
      <c r="DL284" s="8">
        <v>-8</v>
      </c>
      <c r="DS284" s="8">
        <v>87</v>
      </c>
      <c r="DT284" s="52">
        <v>316</v>
      </c>
      <c r="EG284" s="6">
        <v>527</v>
      </c>
      <c r="EH284" s="28">
        <v>172</v>
      </c>
      <c r="EN284" s="8">
        <v>149</v>
      </c>
      <c r="EO284" s="28">
        <v>16</v>
      </c>
      <c r="EX284" s="8">
        <v>488</v>
      </c>
      <c r="EY284" s="28">
        <v>133</v>
      </c>
      <c r="FD284" s="6">
        <v>35</v>
      </c>
      <c r="FE284" s="28">
        <v>29</v>
      </c>
      <c r="FM284" s="8">
        <v>386</v>
      </c>
      <c r="FN284" s="52">
        <v>275</v>
      </c>
      <c r="FS284" s="8">
        <v>61</v>
      </c>
      <c r="FT284" s="52">
        <v>361</v>
      </c>
      <c r="GI284" s="8">
        <v>111</v>
      </c>
      <c r="GJ284" s="28">
        <v>874</v>
      </c>
      <c r="GP284" s="6">
        <v>39</v>
      </c>
      <c r="GQ284" s="52">
        <v>232</v>
      </c>
      <c r="GT284" s="6">
        <v>-184</v>
      </c>
      <c r="GU284" s="52">
        <v>263</v>
      </c>
      <c r="HB284" s="6">
        <v>203</v>
      </c>
      <c r="HE284" s="6">
        <v>89</v>
      </c>
      <c r="HF284" s="28">
        <v>65</v>
      </c>
      <c r="HS284" s="8">
        <v>-15</v>
      </c>
      <c r="IB284" s="8">
        <v>202</v>
      </c>
      <c r="IC284" s="28">
        <v>113</v>
      </c>
      <c r="IY284" s="8">
        <v>159</v>
      </c>
      <c r="JW284" s="6">
        <v>334</v>
      </c>
      <c r="JX284" s="12">
        <v>75</v>
      </c>
      <c r="LF284" s="8">
        <v>-334</v>
      </c>
      <c r="LG284" s="28">
        <v>6</v>
      </c>
      <c r="LJ284" s="8">
        <v>-124</v>
      </c>
      <c r="LK284" s="28">
        <v>150</v>
      </c>
      <c r="LW284" s="8">
        <v>-93</v>
      </c>
      <c r="LX284" s="28">
        <v>35</v>
      </c>
      <c r="MF284" s="8">
        <v>-538</v>
      </c>
      <c r="MG284" s="12">
        <v>162</v>
      </c>
      <c r="NC284" s="8">
        <v>-72</v>
      </c>
      <c r="ND284" s="12">
        <v>108</v>
      </c>
      <c r="PP284" s="8">
        <v>200</v>
      </c>
      <c r="TZ284" s="8">
        <v>683</v>
      </c>
      <c r="UA284" s="12">
        <v>771</v>
      </c>
      <c r="VL284" s="21"/>
      <c r="VQ284" s="6">
        <v>709</v>
      </c>
      <c r="VR284" s="28">
        <v>162</v>
      </c>
    </row>
    <row r="285" spans="22:590" x14ac:dyDescent="0.25">
      <c r="V285">
        <v>-9193</v>
      </c>
      <c r="W285" s="10">
        <v>46</v>
      </c>
      <c r="AJ285" s="2">
        <v>-297</v>
      </c>
      <c r="AK285" s="10">
        <v>71</v>
      </c>
      <c r="BT285">
        <v>214</v>
      </c>
      <c r="BU285" s="1">
        <v>544</v>
      </c>
      <c r="CE285" s="8">
        <v>102</v>
      </c>
      <c r="CF285" s="28">
        <v>102</v>
      </c>
      <c r="CZ285" s="23">
        <v>661</v>
      </c>
      <c r="DA285" s="25">
        <v>237</v>
      </c>
      <c r="DH285" s="23">
        <v>100</v>
      </c>
      <c r="DI285" s="25">
        <v>814</v>
      </c>
      <c r="DL285" s="8">
        <v>-12</v>
      </c>
      <c r="DS285" s="8">
        <v>-111</v>
      </c>
      <c r="DT285" s="52">
        <v>144</v>
      </c>
      <c r="EG285" s="6">
        <v>896</v>
      </c>
      <c r="EH285" s="28">
        <v>172</v>
      </c>
      <c r="EN285" s="8">
        <v>97</v>
      </c>
      <c r="EO285" s="28">
        <v>15</v>
      </c>
      <c r="EX285" s="8">
        <v>634</v>
      </c>
      <c r="EY285" s="28">
        <v>100</v>
      </c>
      <c r="FD285" s="6">
        <v>36</v>
      </c>
      <c r="FE285" s="28">
        <v>29</v>
      </c>
      <c r="FM285" s="8">
        <v>119</v>
      </c>
      <c r="FN285" s="52">
        <v>159</v>
      </c>
      <c r="FS285" s="8">
        <v>61</v>
      </c>
      <c r="FT285" s="52">
        <v>361</v>
      </c>
      <c r="GI285" s="8">
        <v>179</v>
      </c>
      <c r="GJ285" s="28">
        <v>128</v>
      </c>
      <c r="GP285" s="6">
        <v>12</v>
      </c>
      <c r="GQ285" s="52">
        <v>211</v>
      </c>
      <c r="GT285" s="6">
        <v>271</v>
      </c>
      <c r="GU285" s="52">
        <v>412</v>
      </c>
      <c r="HB285" s="6">
        <v>61</v>
      </c>
      <c r="HE285" s="6">
        <v>33</v>
      </c>
      <c r="HF285" s="28">
        <v>43</v>
      </c>
      <c r="HS285" s="8">
        <v>3</v>
      </c>
      <c r="IB285" s="8">
        <v>-893</v>
      </c>
      <c r="IC285" s="28">
        <v>279</v>
      </c>
      <c r="IY285" s="8">
        <v>-613</v>
      </c>
      <c r="JW285" s="6">
        <v>-112</v>
      </c>
      <c r="JX285" s="12">
        <v>414</v>
      </c>
      <c r="LF285" s="8">
        <v>-290</v>
      </c>
      <c r="LG285" s="28">
        <v>25</v>
      </c>
      <c r="LJ285" s="8">
        <v>132</v>
      </c>
      <c r="LK285" s="28">
        <v>316</v>
      </c>
      <c r="LW285" s="8">
        <v>-220</v>
      </c>
      <c r="LX285" s="28">
        <v>49</v>
      </c>
      <c r="MF285" s="8">
        <v>-151</v>
      </c>
      <c r="MG285" s="12">
        <v>132</v>
      </c>
      <c r="NC285" s="8">
        <v>546</v>
      </c>
      <c r="ND285" s="12">
        <v>165</v>
      </c>
      <c r="PP285" s="8">
        <v>84</v>
      </c>
      <c r="TZ285" s="8">
        <v>83</v>
      </c>
      <c r="UA285" s="12">
        <v>952</v>
      </c>
      <c r="VL285" s="21"/>
      <c r="VQ285" s="6">
        <v>559</v>
      </c>
      <c r="VR285" s="28">
        <v>123</v>
      </c>
    </row>
    <row r="286" spans="22:590" x14ac:dyDescent="0.25">
      <c r="V286">
        <v>-9</v>
      </c>
      <c r="W286" s="10">
        <v>755</v>
      </c>
      <c r="AJ286" s="2">
        <v>-332</v>
      </c>
      <c r="AK286" s="10">
        <v>29</v>
      </c>
      <c r="BT286">
        <v>-365</v>
      </c>
      <c r="BU286" s="1">
        <v>306</v>
      </c>
      <c r="CE286" s="8">
        <v>120</v>
      </c>
      <c r="CF286" s="28">
        <v>154</v>
      </c>
      <c r="CZ286" s="23">
        <v>234</v>
      </c>
      <c r="DA286" s="25">
        <v>111</v>
      </c>
      <c r="DH286" s="23">
        <v>178</v>
      </c>
      <c r="DI286" s="25">
        <v>838</v>
      </c>
      <c r="DL286" s="8">
        <v>3</v>
      </c>
      <c r="DS286" s="8">
        <v>-29</v>
      </c>
      <c r="DT286" s="52">
        <v>33</v>
      </c>
      <c r="EG286" s="6">
        <v>399</v>
      </c>
      <c r="EH286" s="28">
        <v>174</v>
      </c>
      <c r="EN286" s="8">
        <v>40</v>
      </c>
      <c r="EO286" s="28">
        <v>21</v>
      </c>
      <c r="EX286" s="8">
        <v>433</v>
      </c>
      <c r="EY286" s="28">
        <v>104</v>
      </c>
      <c r="FD286" s="6">
        <v>-52</v>
      </c>
      <c r="FE286" s="28">
        <v>50</v>
      </c>
      <c r="FM286" s="8">
        <v>-177</v>
      </c>
      <c r="FN286" s="52">
        <v>184</v>
      </c>
      <c r="FS286" s="8">
        <v>61</v>
      </c>
      <c r="FT286" s="52">
        <v>360</v>
      </c>
      <c r="GI286" s="8">
        <v>210</v>
      </c>
      <c r="GJ286" s="28">
        <v>138</v>
      </c>
      <c r="GP286" s="6">
        <v>44</v>
      </c>
      <c r="GQ286" s="52">
        <v>212</v>
      </c>
      <c r="GT286" s="6">
        <v>546</v>
      </c>
      <c r="GU286" s="52">
        <v>310</v>
      </c>
      <c r="HB286" s="6">
        <v>175</v>
      </c>
      <c r="HE286" s="6">
        <v>31</v>
      </c>
      <c r="HF286" s="28">
        <v>24</v>
      </c>
      <c r="HS286" s="8">
        <v>3</v>
      </c>
      <c r="IB286" s="8">
        <v>177</v>
      </c>
      <c r="IC286" s="28">
        <v>108</v>
      </c>
      <c r="IY286" s="8">
        <v>-569</v>
      </c>
      <c r="JW286" s="6">
        <v>-145</v>
      </c>
      <c r="JX286" s="12">
        <v>516</v>
      </c>
      <c r="LF286" s="8">
        <v>-191</v>
      </c>
      <c r="LG286" s="28">
        <v>190</v>
      </c>
      <c r="LJ286" s="8">
        <v>-990</v>
      </c>
      <c r="LK286" s="28">
        <v>214</v>
      </c>
      <c r="LW286" s="8">
        <v>-30</v>
      </c>
      <c r="LX286" s="28">
        <v>44</v>
      </c>
      <c r="MF286" s="8">
        <v>-460</v>
      </c>
      <c r="MG286" s="12">
        <v>609</v>
      </c>
      <c r="NC286" s="8">
        <v>249</v>
      </c>
      <c r="ND286" s="12">
        <v>160</v>
      </c>
      <c r="PP286" s="8">
        <v>40</v>
      </c>
      <c r="TZ286" s="8">
        <v>140</v>
      </c>
      <c r="UA286" s="12">
        <v>304</v>
      </c>
      <c r="VL286" s="21"/>
      <c r="VQ286" s="6">
        <v>559</v>
      </c>
      <c r="VR286" s="28">
        <v>121</v>
      </c>
    </row>
    <row r="287" spans="22:590" x14ac:dyDescent="0.25">
      <c r="V287">
        <v>-8</v>
      </c>
      <c r="W287" s="10">
        <v>175</v>
      </c>
      <c r="AJ287" s="2">
        <v>-538</v>
      </c>
      <c r="AK287" s="10">
        <v>109</v>
      </c>
      <c r="BT287">
        <v>-256</v>
      </c>
      <c r="BU287" s="1">
        <v>243</v>
      </c>
      <c r="CE287" s="8">
        <v>552</v>
      </c>
      <c r="CF287" s="28">
        <v>105</v>
      </c>
      <c r="CZ287" s="23">
        <v>764</v>
      </c>
      <c r="DA287" s="25">
        <v>764</v>
      </c>
      <c r="DH287" s="23">
        <v>242</v>
      </c>
      <c r="DI287" s="25">
        <v>684</v>
      </c>
      <c r="DL287" s="8">
        <v>-19</v>
      </c>
      <c r="DS287" s="8">
        <v>187</v>
      </c>
      <c r="DT287" s="52">
        <v>223</v>
      </c>
      <c r="EG287" s="6">
        <v>-288</v>
      </c>
      <c r="EH287" s="28">
        <v>305</v>
      </c>
      <c r="EN287" s="8">
        <v>59</v>
      </c>
      <c r="EO287" s="28">
        <v>14</v>
      </c>
      <c r="EX287" s="8">
        <v>204</v>
      </c>
      <c r="EY287" s="28">
        <v>101</v>
      </c>
      <c r="FD287" s="6">
        <v>311</v>
      </c>
      <c r="FE287" s="28">
        <v>124</v>
      </c>
      <c r="FM287" s="8">
        <v>59</v>
      </c>
      <c r="FN287" s="52">
        <v>43</v>
      </c>
      <c r="FS287" s="8">
        <v>59</v>
      </c>
      <c r="FT287" s="52">
        <v>356</v>
      </c>
      <c r="GI287" s="8">
        <v>-114</v>
      </c>
      <c r="GJ287" s="28">
        <v>112</v>
      </c>
      <c r="GP287" s="6">
        <v>-24</v>
      </c>
      <c r="GQ287" s="52">
        <v>227</v>
      </c>
      <c r="GT287" s="6">
        <v>143</v>
      </c>
      <c r="GU287" s="52">
        <v>603</v>
      </c>
      <c r="HB287" s="6">
        <v>116</v>
      </c>
      <c r="HE287" s="6">
        <v>-27</v>
      </c>
      <c r="HF287" s="28">
        <v>36</v>
      </c>
      <c r="HS287" s="8">
        <v>-14</v>
      </c>
      <c r="IB287" s="8">
        <v>251</v>
      </c>
      <c r="IC287" s="28">
        <v>175</v>
      </c>
      <c r="IY287" s="8">
        <v>-182</v>
      </c>
      <c r="JW287" s="6">
        <v>-121</v>
      </c>
      <c r="JX287" s="12">
        <v>28</v>
      </c>
      <c r="LF287" s="8">
        <v>-77</v>
      </c>
      <c r="LG287" s="28">
        <v>164</v>
      </c>
      <c r="LJ287" s="8">
        <v>-115</v>
      </c>
      <c r="LK287" s="28">
        <v>147</v>
      </c>
      <c r="LW287" s="8">
        <v>-46</v>
      </c>
      <c r="LX287" s="28">
        <v>40</v>
      </c>
      <c r="MF287" s="8">
        <v>-365</v>
      </c>
      <c r="MG287" s="12">
        <v>158</v>
      </c>
      <c r="NC287" s="8">
        <v>-139</v>
      </c>
      <c r="ND287" s="12">
        <v>95</v>
      </c>
      <c r="PP287" s="8">
        <v>20</v>
      </c>
      <c r="TZ287" s="8">
        <v>172</v>
      </c>
      <c r="UA287" s="12">
        <v>831</v>
      </c>
      <c r="VL287" s="21"/>
      <c r="VQ287" s="6">
        <v>615</v>
      </c>
      <c r="VR287" s="28">
        <v>160</v>
      </c>
    </row>
    <row r="288" spans="22:590" x14ac:dyDescent="0.25">
      <c r="V288">
        <v>5</v>
      </c>
      <c r="W288" s="10">
        <v>184</v>
      </c>
      <c r="BT288">
        <v>384</v>
      </c>
      <c r="BU288" s="1">
        <v>229</v>
      </c>
      <c r="CE288" s="8">
        <v>845</v>
      </c>
      <c r="CF288" s="28">
        <v>162</v>
      </c>
      <c r="CZ288" s="23">
        <v>148</v>
      </c>
      <c r="DA288" s="25">
        <v>607</v>
      </c>
      <c r="DH288" s="23">
        <v>935</v>
      </c>
      <c r="DI288" s="25">
        <v>716</v>
      </c>
      <c r="DL288" s="8">
        <v>-8</v>
      </c>
      <c r="DS288" s="8">
        <v>1</v>
      </c>
      <c r="DT288" s="52">
        <v>1</v>
      </c>
      <c r="EG288" s="6">
        <v>-257</v>
      </c>
      <c r="EH288" s="28">
        <v>311</v>
      </c>
      <c r="EN288" s="8">
        <v>-376</v>
      </c>
      <c r="EO288" s="28">
        <v>17</v>
      </c>
      <c r="EX288" s="8">
        <v>947</v>
      </c>
      <c r="EY288" s="28">
        <v>124</v>
      </c>
      <c r="FD288" s="6">
        <v>-164</v>
      </c>
      <c r="FE288" s="28">
        <v>80</v>
      </c>
      <c r="FM288" s="8">
        <v>-377</v>
      </c>
      <c r="FN288" s="52">
        <v>255</v>
      </c>
      <c r="FS288" s="8">
        <v>59</v>
      </c>
      <c r="FT288" s="52">
        <v>355</v>
      </c>
      <c r="GI288" s="8">
        <v>177</v>
      </c>
      <c r="GJ288" s="28">
        <v>126</v>
      </c>
      <c r="GP288" s="6">
        <v>-172</v>
      </c>
      <c r="GQ288" s="52">
        <v>42</v>
      </c>
      <c r="GT288" s="6">
        <v>756</v>
      </c>
      <c r="GU288" s="52">
        <v>627</v>
      </c>
      <c r="HB288" s="6">
        <v>-111</v>
      </c>
      <c r="HE288" s="6">
        <v>62</v>
      </c>
      <c r="HF288" s="28">
        <v>63</v>
      </c>
      <c r="HS288" s="8">
        <v>-66</v>
      </c>
      <c r="IB288" s="8">
        <v>211</v>
      </c>
      <c r="IC288" s="28">
        <v>169</v>
      </c>
      <c r="IY288" s="8">
        <v>574</v>
      </c>
      <c r="JW288" s="6">
        <v>-982</v>
      </c>
      <c r="JX288" s="12">
        <v>285</v>
      </c>
      <c r="LF288" s="8">
        <v>-149</v>
      </c>
      <c r="LG288" s="28">
        <v>142</v>
      </c>
      <c r="LJ288" s="8">
        <v>326</v>
      </c>
      <c r="LK288" s="28">
        <v>310</v>
      </c>
      <c r="LW288" s="8">
        <v>109</v>
      </c>
      <c r="LX288" s="28">
        <v>68</v>
      </c>
      <c r="MF288" s="8">
        <v>610</v>
      </c>
      <c r="MG288" s="12">
        <v>170</v>
      </c>
      <c r="NC288" s="8">
        <v>550</v>
      </c>
      <c r="ND288" s="12">
        <v>166</v>
      </c>
      <c r="PP288" s="8">
        <v>16</v>
      </c>
      <c r="TZ288" s="8">
        <v>184</v>
      </c>
      <c r="UA288" s="12">
        <v>735</v>
      </c>
      <c r="VL288" s="21"/>
      <c r="VQ288" s="6">
        <v>617</v>
      </c>
      <c r="VR288" s="28">
        <v>158</v>
      </c>
    </row>
    <row r="289" spans="22:590" x14ac:dyDescent="0.25">
      <c r="V289">
        <v>14</v>
      </c>
      <c r="W289" s="10">
        <v>340</v>
      </c>
      <c r="BT289">
        <v>-491</v>
      </c>
      <c r="BU289" s="1">
        <v>605</v>
      </c>
      <c r="CE289" s="8">
        <v>127</v>
      </c>
      <c r="CF289" s="28">
        <v>97</v>
      </c>
      <c r="CZ289" s="23">
        <v>-115</v>
      </c>
      <c r="DA289" s="25">
        <v>558</v>
      </c>
      <c r="DH289" s="23">
        <v>137</v>
      </c>
      <c r="DI289" s="25">
        <v>727</v>
      </c>
      <c r="DL289" s="8">
        <v>221</v>
      </c>
      <c r="DS289" s="8">
        <v>-204</v>
      </c>
      <c r="DT289" s="52">
        <v>261</v>
      </c>
      <c r="EG289" s="6">
        <v>-259</v>
      </c>
      <c r="EH289" s="28">
        <v>321</v>
      </c>
      <c r="EN289" s="8">
        <v>-312</v>
      </c>
      <c r="EO289" s="28">
        <v>17</v>
      </c>
      <c r="EX289" s="8">
        <v>647</v>
      </c>
      <c r="EY289" s="28">
        <v>102</v>
      </c>
      <c r="FD289" s="6">
        <v>-652</v>
      </c>
      <c r="FE289" s="28">
        <v>192</v>
      </c>
      <c r="FM289" s="8">
        <v>56</v>
      </c>
      <c r="FN289" s="52">
        <v>57</v>
      </c>
      <c r="FS289" s="8">
        <v>59</v>
      </c>
      <c r="FT289" s="52">
        <v>353</v>
      </c>
      <c r="GI289" s="8">
        <v>215</v>
      </c>
      <c r="GJ289" s="28">
        <v>116</v>
      </c>
      <c r="GP289" s="6">
        <v>-844</v>
      </c>
      <c r="GQ289" s="52">
        <v>161</v>
      </c>
      <c r="GT289" s="6">
        <v>-462</v>
      </c>
      <c r="GU289" s="52">
        <v>229</v>
      </c>
      <c r="HB289" s="6">
        <v>-114</v>
      </c>
      <c r="HE289" s="6">
        <v>89</v>
      </c>
      <c r="HF289" s="28">
        <v>65</v>
      </c>
      <c r="HS289" s="8">
        <v>36</v>
      </c>
      <c r="IB289" s="8">
        <v>253</v>
      </c>
      <c r="IC289" s="28">
        <v>172</v>
      </c>
      <c r="IY289" s="8">
        <v>275</v>
      </c>
      <c r="JW289" s="6">
        <v>-141</v>
      </c>
      <c r="JX289" s="12">
        <v>511</v>
      </c>
      <c r="LF289" s="8">
        <v>-39</v>
      </c>
      <c r="LG289" s="28">
        <v>142</v>
      </c>
      <c r="LJ289" s="8">
        <v>-231</v>
      </c>
      <c r="LK289" s="28">
        <v>209</v>
      </c>
      <c r="LW289" s="8">
        <v>38</v>
      </c>
      <c r="LX289" s="28">
        <v>52</v>
      </c>
      <c r="MF289" s="8">
        <v>206</v>
      </c>
      <c r="MG289" s="12">
        <v>58</v>
      </c>
      <c r="NC289" s="8">
        <v>-157</v>
      </c>
      <c r="ND289" s="12">
        <v>108</v>
      </c>
      <c r="PP289" s="8">
        <v>129</v>
      </c>
      <c r="TZ289" s="8">
        <v>189</v>
      </c>
      <c r="UA289" s="12">
        <v>513</v>
      </c>
      <c r="VL289" s="21"/>
      <c r="VQ289" s="6">
        <v>-35</v>
      </c>
      <c r="VR289" s="28">
        <v>20</v>
      </c>
    </row>
    <row r="290" spans="22:590" x14ac:dyDescent="0.25">
      <c r="V290">
        <v>20</v>
      </c>
      <c r="W290" s="10">
        <v>169</v>
      </c>
      <c r="BT290">
        <v>-451</v>
      </c>
      <c r="BU290" s="1">
        <v>693</v>
      </c>
      <c r="CE290" s="8">
        <v>324</v>
      </c>
      <c r="CF290" s="28">
        <v>217</v>
      </c>
      <c r="CZ290" s="23">
        <v>-737</v>
      </c>
      <c r="DA290" s="25">
        <v>435</v>
      </c>
      <c r="DH290" s="23">
        <v>241</v>
      </c>
      <c r="DI290" s="25">
        <v>656</v>
      </c>
      <c r="DL290" s="8">
        <v>-12</v>
      </c>
      <c r="DS290" s="8">
        <v>36</v>
      </c>
      <c r="DT290" s="52">
        <v>111</v>
      </c>
      <c r="EG290" s="6">
        <v>-195</v>
      </c>
      <c r="EH290" s="28">
        <v>324</v>
      </c>
      <c r="EN290" s="8">
        <v>-94</v>
      </c>
      <c r="EO290" s="28">
        <v>27</v>
      </c>
      <c r="EX290" s="8">
        <v>591</v>
      </c>
      <c r="EY290" s="28">
        <v>103</v>
      </c>
      <c r="FD290" s="6">
        <v>614</v>
      </c>
      <c r="FE290" s="28">
        <v>315</v>
      </c>
      <c r="FM290" s="8">
        <v>-153</v>
      </c>
      <c r="FN290" s="52">
        <v>296</v>
      </c>
      <c r="FS290" s="8">
        <v>280</v>
      </c>
      <c r="FT290" s="52">
        <v>98</v>
      </c>
      <c r="GI290" s="8">
        <v>149</v>
      </c>
      <c r="GJ290" s="28">
        <v>105</v>
      </c>
      <c r="GP290" s="6">
        <v>750</v>
      </c>
      <c r="GQ290" s="52">
        <v>136</v>
      </c>
      <c r="GT290" s="6">
        <v>150</v>
      </c>
      <c r="GU290" s="52">
        <v>356</v>
      </c>
      <c r="HB290" s="6">
        <v>45</v>
      </c>
      <c r="HE290" s="6">
        <v>120</v>
      </c>
      <c r="HF290" s="28">
        <v>54</v>
      </c>
      <c r="HS290" s="8">
        <v>-43</v>
      </c>
      <c r="IB290" s="8">
        <v>196</v>
      </c>
      <c r="IC290" s="28">
        <v>165</v>
      </c>
      <c r="IY290" s="8">
        <v>120</v>
      </c>
      <c r="JW290" s="6">
        <v>-560</v>
      </c>
      <c r="JX290" s="12">
        <v>178</v>
      </c>
      <c r="LF290" s="8">
        <v>-117</v>
      </c>
      <c r="LG290" s="28">
        <v>103</v>
      </c>
      <c r="LJ290" s="8">
        <v>-568</v>
      </c>
      <c r="LK290" s="28">
        <v>128</v>
      </c>
      <c r="LW290" s="8">
        <v>1</v>
      </c>
      <c r="LX290" s="28">
        <v>44</v>
      </c>
      <c r="MF290" s="8">
        <v>-568</v>
      </c>
      <c r="MG290" s="12">
        <v>40</v>
      </c>
      <c r="NC290" s="8">
        <v>-184</v>
      </c>
      <c r="ND290" s="12">
        <v>114</v>
      </c>
      <c r="PP290" s="8">
        <v>-7</v>
      </c>
      <c r="TZ290" s="8">
        <v>163</v>
      </c>
      <c r="UA290" s="12">
        <v>414</v>
      </c>
      <c r="VL290" s="21"/>
      <c r="VQ290" s="6">
        <v>-35</v>
      </c>
      <c r="VR290" s="28">
        <v>33</v>
      </c>
    </row>
    <row r="291" spans="22:590" x14ac:dyDescent="0.25">
      <c r="V291">
        <v>15</v>
      </c>
      <c r="W291" s="10">
        <v>287</v>
      </c>
      <c r="BT291">
        <v>-288</v>
      </c>
      <c r="BU291" s="1">
        <v>745</v>
      </c>
      <c r="CE291" s="8">
        <v>262</v>
      </c>
      <c r="CF291" s="28">
        <v>191</v>
      </c>
      <c r="CZ291" s="23">
        <v>1</v>
      </c>
      <c r="DA291" s="25">
        <v>6</v>
      </c>
      <c r="DH291" s="23">
        <v>208</v>
      </c>
      <c r="DI291" s="25">
        <v>794</v>
      </c>
      <c r="DL291" s="8">
        <v>-9</v>
      </c>
      <c r="DS291" s="8">
        <v>-187</v>
      </c>
      <c r="DT291" s="52">
        <v>167</v>
      </c>
      <c r="EG291" s="6">
        <v>-357</v>
      </c>
      <c r="EH291" s="28">
        <v>331</v>
      </c>
      <c r="EN291" s="8">
        <v>394</v>
      </c>
      <c r="EO291" s="28">
        <v>206</v>
      </c>
      <c r="EX291" s="8">
        <v>815</v>
      </c>
      <c r="EY291" s="28">
        <v>106</v>
      </c>
      <c r="FD291" s="6">
        <v>-459</v>
      </c>
      <c r="FE291" s="28">
        <v>254</v>
      </c>
      <c r="FM291" s="8">
        <v>-117</v>
      </c>
      <c r="FN291" s="52">
        <v>132</v>
      </c>
      <c r="FS291" s="8">
        <v>298</v>
      </c>
      <c r="FT291" s="52">
        <v>101</v>
      </c>
      <c r="GI291" s="8">
        <v>267</v>
      </c>
      <c r="GJ291" s="28">
        <v>998</v>
      </c>
      <c r="GP291" s="6">
        <v>163</v>
      </c>
      <c r="GQ291" s="52">
        <v>28</v>
      </c>
      <c r="GT291" s="6">
        <v>737</v>
      </c>
      <c r="GU291" s="52">
        <v>158</v>
      </c>
      <c r="HB291" s="6">
        <v>139</v>
      </c>
      <c r="HE291" s="6">
        <v>64</v>
      </c>
      <c r="HF291" s="28">
        <v>38</v>
      </c>
      <c r="HS291" s="8">
        <v>-73</v>
      </c>
      <c r="IB291" s="8">
        <v>240</v>
      </c>
      <c r="IC291" s="28">
        <v>173</v>
      </c>
      <c r="IY291" s="8">
        <v>59</v>
      </c>
      <c r="JW291" s="6">
        <v>-114</v>
      </c>
      <c r="JX291" s="12">
        <v>368</v>
      </c>
      <c r="LF291" s="8">
        <v>-117</v>
      </c>
      <c r="LG291" s="28">
        <v>99</v>
      </c>
      <c r="LJ291" s="8">
        <v>-523</v>
      </c>
      <c r="LK291" s="28">
        <v>117</v>
      </c>
      <c r="LW291" s="8">
        <v>-19</v>
      </c>
      <c r="LX291" s="28">
        <v>40</v>
      </c>
      <c r="MF291" s="8">
        <v>-798</v>
      </c>
      <c r="MG291" s="12">
        <v>23</v>
      </c>
      <c r="NC291" s="8">
        <v>-783</v>
      </c>
      <c r="ND291" s="12">
        <v>361</v>
      </c>
      <c r="PP291" s="8">
        <v>5</v>
      </c>
      <c r="TZ291" s="8">
        <v>128</v>
      </c>
      <c r="UA291" s="12">
        <v>362</v>
      </c>
      <c r="VL291" s="21"/>
      <c r="VQ291" s="6">
        <v>-82</v>
      </c>
      <c r="VR291" s="28">
        <v>29</v>
      </c>
    </row>
    <row r="292" spans="22:590" x14ac:dyDescent="0.25">
      <c r="V292">
        <v>15</v>
      </c>
      <c r="W292" s="10">
        <v>268</v>
      </c>
      <c r="BT292">
        <v>-706</v>
      </c>
      <c r="BU292" s="1">
        <v>210</v>
      </c>
      <c r="CE292" s="8">
        <v>118</v>
      </c>
      <c r="CF292" s="28">
        <v>147</v>
      </c>
      <c r="CZ292" s="23">
        <v>46</v>
      </c>
      <c r="DA292" s="25">
        <v>32</v>
      </c>
      <c r="DH292" s="23">
        <v>188</v>
      </c>
      <c r="DI292" s="25">
        <v>772</v>
      </c>
      <c r="DL292" s="8">
        <v>35</v>
      </c>
      <c r="DS292" s="8">
        <v>-157</v>
      </c>
      <c r="DT292" s="52">
        <v>178</v>
      </c>
      <c r="EG292" s="6">
        <v>-467</v>
      </c>
      <c r="EH292" s="28">
        <v>470</v>
      </c>
      <c r="EN292" s="8">
        <v>97</v>
      </c>
      <c r="EO292" s="28">
        <v>22</v>
      </c>
      <c r="EX292" s="8">
        <v>157</v>
      </c>
      <c r="EY292" s="28">
        <v>127</v>
      </c>
      <c r="FD292" s="6">
        <v>635</v>
      </c>
      <c r="FE292" s="28">
        <v>22</v>
      </c>
      <c r="FM292" s="8">
        <v>91</v>
      </c>
      <c r="FN292" s="52">
        <v>159</v>
      </c>
      <c r="FS292" s="8">
        <v>328</v>
      </c>
      <c r="FT292" s="52">
        <v>107</v>
      </c>
      <c r="GI292" s="8">
        <v>350</v>
      </c>
      <c r="GJ292" s="28">
        <v>119</v>
      </c>
      <c r="GP292" s="6">
        <v>123</v>
      </c>
      <c r="GQ292" s="52">
        <v>47</v>
      </c>
      <c r="GT292" s="6">
        <v>185</v>
      </c>
      <c r="GU292" s="52">
        <v>209</v>
      </c>
      <c r="HB292" s="6">
        <v>-90</v>
      </c>
      <c r="HE292" s="6">
        <v>57</v>
      </c>
      <c r="HF292" s="28">
        <v>26</v>
      </c>
      <c r="HS292" s="8">
        <v>-32</v>
      </c>
      <c r="IB292" s="8">
        <v>204</v>
      </c>
      <c r="IC292" s="28">
        <v>168</v>
      </c>
      <c r="IY292" s="8">
        <v>-710</v>
      </c>
      <c r="JW292" s="6">
        <v>-153</v>
      </c>
      <c r="JX292" s="12">
        <v>662</v>
      </c>
      <c r="LF292" s="8">
        <v>-136</v>
      </c>
      <c r="LG292" s="28">
        <v>85</v>
      </c>
      <c r="LJ292" s="8">
        <v>-573</v>
      </c>
      <c r="LK292" s="28">
        <v>150</v>
      </c>
      <c r="LW292" s="8">
        <v>29</v>
      </c>
      <c r="LX292" s="28">
        <v>43</v>
      </c>
      <c r="MF292" s="8">
        <v>253</v>
      </c>
      <c r="MG292" s="12">
        <v>912</v>
      </c>
      <c r="NC292" s="8">
        <v>-205</v>
      </c>
      <c r="ND292" s="12">
        <v>124</v>
      </c>
      <c r="PP292" s="8">
        <v>78</v>
      </c>
      <c r="TZ292" s="8">
        <v>74</v>
      </c>
      <c r="UA292" s="12">
        <v>329</v>
      </c>
      <c r="VL292" s="21"/>
      <c r="VQ292" s="6">
        <v>-39</v>
      </c>
      <c r="VR292" s="28">
        <v>22</v>
      </c>
    </row>
    <row r="293" spans="22:590" x14ac:dyDescent="0.25">
      <c r="V293">
        <v>14</v>
      </c>
      <c r="W293" s="10">
        <v>478</v>
      </c>
      <c r="BT293">
        <v>248</v>
      </c>
      <c r="BU293" s="1">
        <v>140</v>
      </c>
      <c r="CE293" s="8">
        <v>-192</v>
      </c>
      <c r="CF293" s="28">
        <v>169</v>
      </c>
      <c r="CZ293" s="23">
        <v>5</v>
      </c>
      <c r="DA293" s="25">
        <v>48</v>
      </c>
      <c r="DH293" s="23">
        <v>-147</v>
      </c>
      <c r="DI293" s="25">
        <v>593</v>
      </c>
      <c r="DL293" s="8">
        <v>2</v>
      </c>
      <c r="DS293" s="8">
        <v>-95</v>
      </c>
      <c r="DT293" s="52">
        <v>714</v>
      </c>
      <c r="EG293" s="6">
        <v>817</v>
      </c>
      <c r="EH293" s="28">
        <v>243</v>
      </c>
      <c r="EN293" s="8">
        <v>208</v>
      </c>
      <c r="EO293" s="28">
        <v>44</v>
      </c>
      <c r="EX293" s="8">
        <v>676</v>
      </c>
      <c r="EY293" s="28">
        <v>998</v>
      </c>
      <c r="FD293" s="6">
        <v>-351</v>
      </c>
      <c r="FE293" s="28">
        <v>268</v>
      </c>
      <c r="FM293" s="8">
        <v>-134</v>
      </c>
      <c r="FN293" s="52">
        <v>265</v>
      </c>
      <c r="FS293" s="8">
        <v>284</v>
      </c>
      <c r="FT293" s="52">
        <v>104</v>
      </c>
      <c r="GI293" s="8">
        <v>576</v>
      </c>
      <c r="GJ293" s="28">
        <v>128</v>
      </c>
      <c r="GP293" s="6">
        <v>138</v>
      </c>
      <c r="GQ293" s="52">
        <v>153</v>
      </c>
      <c r="GT293" s="6">
        <v>822</v>
      </c>
      <c r="GU293" s="52">
        <v>103</v>
      </c>
      <c r="HE293" s="6">
        <v>-9</v>
      </c>
      <c r="HF293" s="28">
        <v>38</v>
      </c>
      <c r="HS293" s="8">
        <v>59</v>
      </c>
      <c r="IB293" s="8">
        <v>172</v>
      </c>
      <c r="IC293" s="28">
        <v>453</v>
      </c>
      <c r="IY293" s="8">
        <v>-260</v>
      </c>
      <c r="JW293" s="6">
        <v>-103</v>
      </c>
      <c r="JX293" s="12">
        <v>393</v>
      </c>
      <c r="LF293" s="8">
        <v>28</v>
      </c>
      <c r="LG293" s="28">
        <v>85</v>
      </c>
      <c r="LJ293" s="8">
        <v>163</v>
      </c>
      <c r="LK293" s="28">
        <v>353</v>
      </c>
      <c r="LW293" s="8">
        <v>25</v>
      </c>
      <c r="LX293" s="28">
        <v>54</v>
      </c>
      <c r="MF293" s="8">
        <v>228</v>
      </c>
      <c r="MG293" s="12">
        <v>789</v>
      </c>
      <c r="NC293" s="8">
        <v>-153</v>
      </c>
      <c r="ND293" s="12">
        <v>121</v>
      </c>
      <c r="PP293" s="8">
        <v>229</v>
      </c>
      <c r="TZ293" s="8">
        <v>113</v>
      </c>
      <c r="UA293" s="12">
        <v>855</v>
      </c>
      <c r="VL293" s="21"/>
      <c r="VQ293" s="6">
        <v>-34</v>
      </c>
      <c r="VR293" s="28">
        <v>20</v>
      </c>
    </row>
    <row r="294" spans="22:590" x14ac:dyDescent="0.25">
      <c r="V294">
        <v>16</v>
      </c>
      <c r="W294" s="10">
        <v>307</v>
      </c>
      <c r="BT294">
        <v>155</v>
      </c>
      <c r="BU294" s="1">
        <v>324</v>
      </c>
      <c r="CE294" s="8">
        <v>257</v>
      </c>
      <c r="CF294" s="28">
        <v>242</v>
      </c>
      <c r="CZ294" s="23">
        <v>-14</v>
      </c>
      <c r="DA294" s="25">
        <v>9</v>
      </c>
      <c r="DH294" s="23">
        <v>243</v>
      </c>
      <c r="DI294" s="25">
        <v>262</v>
      </c>
      <c r="DL294" s="8">
        <v>3</v>
      </c>
      <c r="DS294" s="8">
        <v>110</v>
      </c>
      <c r="DT294" s="52">
        <v>182</v>
      </c>
      <c r="EG294" s="6">
        <v>796</v>
      </c>
      <c r="EH294" s="28">
        <v>245</v>
      </c>
      <c r="EN294" s="8">
        <v>63</v>
      </c>
      <c r="EO294" s="28">
        <v>35</v>
      </c>
      <c r="EX294" s="8">
        <v>437</v>
      </c>
      <c r="EY294" s="28">
        <v>109</v>
      </c>
      <c r="FD294" s="6">
        <v>254</v>
      </c>
      <c r="FE294" s="28">
        <v>68</v>
      </c>
      <c r="FM294" s="8">
        <v>33</v>
      </c>
      <c r="FN294" s="52">
        <v>26</v>
      </c>
      <c r="FS294" s="8">
        <v>302</v>
      </c>
      <c r="FT294" s="52">
        <v>106</v>
      </c>
      <c r="GI294" s="8">
        <v>-393</v>
      </c>
      <c r="GJ294" s="28">
        <v>191</v>
      </c>
      <c r="GP294" s="6">
        <v>197</v>
      </c>
      <c r="GQ294" s="52">
        <v>244</v>
      </c>
      <c r="GT294" s="6">
        <v>-388</v>
      </c>
      <c r="GU294" s="52">
        <v>283</v>
      </c>
      <c r="HE294" s="6">
        <v>10</v>
      </c>
      <c r="HF294" s="28">
        <v>80</v>
      </c>
      <c r="HS294" s="8">
        <v>10</v>
      </c>
      <c r="IB294" s="8">
        <v>262</v>
      </c>
      <c r="IC294" s="28">
        <v>444</v>
      </c>
      <c r="IY294" s="8">
        <v>-80</v>
      </c>
      <c r="JW294" s="6">
        <v>-161</v>
      </c>
      <c r="JX294" s="12">
        <v>618</v>
      </c>
      <c r="LF294" s="8">
        <v>5</v>
      </c>
      <c r="LG294" s="28">
        <v>30</v>
      </c>
      <c r="LJ294" s="8">
        <v>-138</v>
      </c>
      <c r="LK294" s="28">
        <v>187</v>
      </c>
      <c r="LW294" s="8">
        <v>47</v>
      </c>
      <c r="LX294" s="28">
        <v>47</v>
      </c>
      <c r="MF294" s="8">
        <v>244</v>
      </c>
      <c r="MG294" s="12">
        <v>934</v>
      </c>
      <c r="NC294" s="8">
        <v>-133</v>
      </c>
      <c r="ND294" s="12">
        <v>158</v>
      </c>
      <c r="PP294" s="8">
        <v>103</v>
      </c>
      <c r="TZ294" s="8">
        <v>178</v>
      </c>
      <c r="UA294" s="12">
        <v>276</v>
      </c>
      <c r="VL294" s="21"/>
      <c r="VQ294" s="6">
        <v>-22</v>
      </c>
      <c r="VR294" s="28">
        <v>26</v>
      </c>
    </row>
    <row r="295" spans="22:590" x14ac:dyDescent="0.25">
      <c r="V295">
        <v>13</v>
      </c>
      <c r="W295" s="10">
        <v>428</v>
      </c>
      <c r="BT295">
        <v>-382</v>
      </c>
      <c r="BU295" s="1">
        <v>569</v>
      </c>
      <c r="CE295" s="8">
        <v>111</v>
      </c>
      <c r="CF295" s="28">
        <v>195</v>
      </c>
      <c r="CZ295" s="23">
        <v>-181</v>
      </c>
      <c r="DA295" s="25">
        <v>240</v>
      </c>
      <c r="DH295" s="23">
        <v>180</v>
      </c>
      <c r="DI295" s="25">
        <v>273</v>
      </c>
      <c r="DL295" s="8">
        <v>1</v>
      </c>
      <c r="DS295" s="8">
        <v>104</v>
      </c>
      <c r="DT295" s="52">
        <v>178</v>
      </c>
      <c r="EG295" s="6">
        <v>808</v>
      </c>
      <c r="EH295" s="28">
        <v>246</v>
      </c>
      <c r="EN295" s="8">
        <v>97</v>
      </c>
      <c r="EO295" s="28">
        <v>26</v>
      </c>
      <c r="EX295" s="8">
        <v>508</v>
      </c>
      <c r="EY295" s="28">
        <v>100</v>
      </c>
      <c r="FD295" s="6">
        <v>155</v>
      </c>
      <c r="FE295" s="28">
        <v>74</v>
      </c>
      <c r="FM295" s="8">
        <v>423</v>
      </c>
      <c r="FN295" s="52">
        <v>275</v>
      </c>
      <c r="FS295" s="8">
        <v>324</v>
      </c>
      <c r="FT295" s="52">
        <v>109</v>
      </c>
      <c r="GI295" s="8">
        <v>-133</v>
      </c>
      <c r="GJ295" s="28">
        <v>126</v>
      </c>
      <c r="GP295" s="6">
        <v>-127</v>
      </c>
      <c r="GQ295" s="52">
        <v>159</v>
      </c>
      <c r="GT295" s="6">
        <v>-163</v>
      </c>
      <c r="GU295" s="52">
        <v>105</v>
      </c>
      <c r="HE295" s="6">
        <v>99</v>
      </c>
      <c r="HF295" s="28">
        <v>70</v>
      </c>
      <c r="HS295" s="8">
        <v>-437</v>
      </c>
      <c r="IB295" s="8">
        <v>265</v>
      </c>
      <c r="IC295" s="28">
        <v>175</v>
      </c>
      <c r="IY295" s="8">
        <v>253</v>
      </c>
      <c r="JW295" s="6">
        <v>-422</v>
      </c>
      <c r="JX295" s="12">
        <v>436</v>
      </c>
      <c r="LF295" s="8">
        <v>41</v>
      </c>
      <c r="LG295" s="28">
        <v>49</v>
      </c>
      <c r="LJ295" s="8">
        <v>300</v>
      </c>
      <c r="LK295" s="28">
        <v>353</v>
      </c>
      <c r="LW295" s="8">
        <v>10</v>
      </c>
      <c r="LX295" s="28">
        <v>56</v>
      </c>
      <c r="MF295" s="8">
        <v>145</v>
      </c>
      <c r="MG295" s="12">
        <v>516</v>
      </c>
      <c r="NC295" s="8">
        <v>-22</v>
      </c>
      <c r="ND295" s="12">
        <v>16</v>
      </c>
      <c r="PP295" s="8">
        <v>294</v>
      </c>
      <c r="TZ295" s="8">
        <v>174</v>
      </c>
      <c r="UA295" s="12">
        <v>531</v>
      </c>
      <c r="VL295" s="21"/>
      <c r="VQ295" s="6">
        <v>-35</v>
      </c>
      <c r="VR295" s="28">
        <v>20</v>
      </c>
    </row>
    <row r="296" spans="22:590" x14ac:dyDescent="0.25">
      <c r="V296">
        <v>14</v>
      </c>
      <c r="W296" s="10">
        <v>233</v>
      </c>
      <c r="BT296">
        <v>-614</v>
      </c>
      <c r="BU296" s="1">
        <v>991</v>
      </c>
      <c r="CE296" s="8">
        <v>22</v>
      </c>
      <c r="CF296" s="28">
        <v>119</v>
      </c>
      <c r="CZ296" s="23">
        <v>-312</v>
      </c>
      <c r="DA296" s="25">
        <v>347</v>
      </c>
      <c r="DH296" s="23">
        <v>629</v>
      </c>
      <c r="DI296" s="25">
        <v>486</v>
      </c>
      <c r="DL296" s="8">
        <v>6</v>
      </c>
      <c r="DS296" s="8">
        <v>-158</v>
      </c>
      <c r="DT296" s="52">
        <v>173</v>
      </c>
      <c r="EG296" s="6">
        <v>879</v>
      </c>
      <c r="EH296" s="28">
        <v>247</v>
      </c>
      <c r="EN296" s="8">
        <v>-116</v>
      </c>
      <c r="EO296" s="28">
        <v>23</v>
      </c>
      <c r="EX296" s="8">
        <v>265</v>
      </c>
      <c r="EY296" s="28">
        <v>134</v>
      </c>
      <c r="FD296" s="6">
        <v>246</v>
      </c>
      <c r="FE296" s="28">
        <v>57</v>
      </c>
      <c r="FM296" s="8">
        <v>199</v>
      </c>
      <c r="FN296" s="52">
        <v>249</v>
      </c>
      <c r="FS296" s="8">
        <v>245</v>
      </c>
      <c r="FT296" s="52">
        <v>122</v>
      </c>
      <c r="GI296" s="8">
        <v>277</v>
      </c>
      <c r="GJ296" s="28">
        <v>249</v>
      </c>
      <c r="GP296" s="6">
        <v>-518</v>
      </c>
      <c r="GQ296" s="52">
        <v>256</v>
      </c>
      <c r="GT296" s="6">
        <v>267</v>
      </c>
      <c r="GU296" s="52">
        <v>418</v>
      </c>
      <c r="HE296" s="6">
        <v>73</v>
      </c>
      <c r="HF296" s="28">
        <v>77</v>
      </c>
      <c r="HS296" s="8">
        <v>-249</v>
      </c>
      <c r="IB296" s="8">
        <v>229</v>
      </c>
      <c r="IC296" s="28">
        <v>168</v>
      </c>
      <c r="IY296" s="8">
        <v>575</v>
      </c>
      <c r="JW296" s="6">
        <v>-155</v>
      </c>
      <c r="JX296" s="12">
        <v>127</v>
      </c>
      <c r="LF296" s="8">
        <v>26</v>
      </c>
      <c r="LG296" s="28">
        <v>31</v>
      </c>
      <c r="LJ296" s="8">
        <v>-203</v>
      </c>
      <c r="LK296" s="28">
        <v>189</v>
      </c>
      <c r="LW296" s="8">
        <v>113</v>
      </c>
      <c r="LX296" s="28">
        <v>28</v>
      </c>
      <c r="MF296" s="8">
        <v>432</v>
      </c>
      <c r="MG296" s="12">
        <v>174</v>
      </c>
      <c r="NC296" s="8">
        <v>22</v>
      </c>
      <c r="ND296" s="12">
        <v>33</v>
      </c>
      <c r="PP296" s="8">
        <v>369</v>
      </c>
      <c r="TZ296" s="8">
        <v>159</v>
      </c>
      <c r="UA296" s="12">
        <v>884</v>
      </c>
      <c r="VL296" s="21"/>
      <c r="VQ296" s="6">
        <v>-64</v>
      </c>
      <c r="VR296" s="28">
        <v>17</v>
      </c>
    </row>
    <row r="297" spans="22:590" x14ac:dyDescent="0.25">
      <c r="V297">
        <v>19</v>
      </c>
      <c r="W297" s="10">
        <v>213</v>
      </c>
      <c r="BT297">
        <v>284</v>
      </c>
      <c r="BU297" s="1">
        <v>824</v>
      </c>
      <c r="CE297" s="8">
        <v>619</v>
      </c>
      <c r="CF297" s="28">
        <v>198</v>
      </c>
      <c r="CZ297" s="23">
        <v>-159</v>
      </c>
      <c r="DA297" s="25">
        <v>478</v>
      </c>
      <c r="DH297" s="23">
        <v>752</v>
      </c>
      <c r="DI297" s="25">
        <v>527</v>
      </c>
      <c r="DL297" s="8">
        <v>-26</v>
      </c>
      <c r="DS297" s="8">
        <v>-96</v>
      </c>
      <c r="DT297" s="52">
        <v>728</v>
      </c>
      <c r="EG297" s="6">
        <v>684</v>
      </c>
      <c r="EH297" s="28">
        <v>248</v>
      </c>
      <c r="EN297" s="8">
        <v>-80</v>
      </c>
      <c r="EO297" s="28">
        <v>23</v>
      </c>
      <c r="EX297" s="8">
        <v>539</v>
      </c>
      <c r="EY297" s="28">
        <v>101</v>
      </c>
      <c r="FD297" s="6">
        <v>235</v>
      </c>
      <c r="FE297" s="28">
        <v>52</v>
      </c>
      <c r="FM297" s="8">
        <v>382</v>
      </c>
      <c r="FN297" s="52">
        <v>408</v>
      </c>
      <c r="FS297" s="8">
        <v>250</v>
      </c>
      <c r="FT297" s="52">
        <v>127</v>
      </c>
      <c r="GI297" s="8">
        <v>-282</v>
      </c>
      <c r="GJ297" s="28">
        <v>428</v>
      </c>
      <c r="GP297" s="6">
        <v>-153</v>
      </c>
      <c r="GQ297" s="52">
        <v>122</v>
      </c>
      <c r="GT297" s="6">
        <v>578</v>
      </c>
      <c r="GU297" s="52">
        <v>892</v>
      </c>
      <c r="HE297" s="6">
        <v>13</v>
      </c>
      <c r="HF297" s="28">
        <v>62</v>
      </c>
      <c r="HS297" s="8">
        <v>-597</v>
      </c>
      <c r="IB297" s="8">
        <v>-304</v>
      </c>
      <c r="IC297" s="28">
        <v>385</v>
      </c>
      <c r="IY297" s="8">
        <v>-180</v>
      </c>
      <c r="JW297" s="6">
        <v>-198</v>
      </c>
      <c r="JX297" s="12">
        <v>164</v>
      </c>
      <c r="LF297" s="8">
        <v>71</v>
      </c>
      <c r="LG297" s="28">
        <v>31</v>
      </c>
      <c r="LJ297" s="8">
        <v>291</v>
      </c>
      <c r="LK297" s="28">
        <v>101</v>
      </c>
      <c r="LW297" s="8">
        <v>-148</v>
      </c>
      <c r="LX297" s="28">
        <v>35</v>
      </c>
      <c r="MF297" s="8">
        <v>-659</v>
      </c>
      <c r="MG297" s="12">
        <v>180</v>
      </c>
      <c r="NC297" s="8">
        <v>-251</v>
      </c>
      <c r="ND297" s="12">
        <v>30</v>
      </c>
      <c r="PP297" s="8">
        <v>296</v>
      </c>
      <c r="TZ297" s="8">
        <v>134</v>
      </c>
      <c r="UA297" s="12">
        <v>575</v>
      </c>
      <c r="VL297" s="21"/>
      <c r="VQ297" s="6">
        <v>18</v>
      </c>
      <c r="VR297" s="28">
        <v>20</v>
      </c>
    </row>
    <row r="298" spans="22:590" x14ac:dyDescent="0.25">
      <c r="V298">
        <v>26</v>
      </c>
      <c r="W298" s="10">
        <v>188</v>
      </c>
      <c r="BT298">
        <v>114</v>
      </c>
      <c r="BU298" s="1">
        <v>517</v>
      </c>
      <c r="CE298" s="8">
        <v>171</v>
      </c>
      <c r="CF298" s="28">
        <v>223</v>
      </c>
      <c r="CZ298" s="23">
        <v>754</v>
      </c>
      <c r="DA298" s="25">
        <v>222</v>
      </c>
      <c r="DH298" s="23">
        <v>641</v>
      </c>
      <c r="DI298" s="25">
        <v>481</v>
      </c>
      <c r="DL298" s="8">
        <v>-14</v>
      </c>
      <c r="DS298" s="8">
        <v>281</v>
      </c>
      <c r="DT298" s="52">
        <v>397</v>
      </c>
      <c r="EG298" s="6">
        <v>124</v>
      </c>
      <c r="EH298" s="28">
        <v>985</v>
      </c>
      <c r="EN298" s="8">
        <v>21</v>
      </c>
      <c r="EO298" s="28">
        <v>26</v>
      </c>
      <c r="EX298" s="8">
        <v>391</v>
      </c>
      <c r="EY298" s="28">
        <v>103</v>
      </c>
      <c r="FD298" s="6">
        <v>59</v>
      </c>
      <c r="FE298" s="28">
        <v>61</v>
      </c>
      <c r="FM298" s="8">
        <v>-172</v>
      </c>
      <c r="FN298" s="52">
        <v>168</v>
      </c>
      <c r="FS298" s="8">
        <v>255</v>
      </c>
      <c r="FT298" s="52">
        <v>128</v>
      </c>
      <c r="GI298" s="8">
        <v>144</v>
      </c>
      <c r="GJ298" s="28">
        <v>412</v>
      </c>
      <c r="GP298" s="6">
        <v>-145</v>
      </c>
      <c r="GQ298" s="52">
        <v>246</v>
      </c>
      <c r="GT298" s="6">
        <v>361</v>
      </c>
      <c r="GU298" s="52">
        <v>982</v>
      </c>
      <c r="HE298" s="6">
        <v>60</v>
      </c>
      <c r="HF298" s="28">
        <v>25</v>
      </c>
      <c r="HS298" s="8">
        <v>-590</v>
      </c>
      <c r="IB298" s="8">
        <v>-256</v>
      </c>
      <c r="IC298" s="28">
        <v>388</v>
      </c>
      <c r="IY298" s="8">
        <v>235</v>
      </c>
      <c r="JW298" s="6">
        <v>-379</v>
      </c>
      <c r="JX298" s="12">
        <v>438</v>
      </c>
      <c r="LF298" s="8">
        <v>-34</v>
      </c>
      <c r="LG298" s="28">
        <v>24</v>
      </c>
      <c r="LJ298" s="8">
        <v>914</v>
      </c>
      <c r="LK298" s="28">
        <v>382</v>
      </c>
      <c r="LW298" s="8">
        <v>-134</v>
      </c>
      <c r="LX298" s="28">
        <v>50</v>
      </c>
      <c r="MF298" s="8">
        <v>650</v>
      </c>
      <c r="MG298" s="12">
        <v>298</v>
      </c>
      <c r="NC298" s="8">
        <v>95</v>
      </c>
      <c r="ND298" s="12">
        <v>95</v>
      </c>
      <c r="PP298" s="8">
        <v>151</v>
      </c>
      <c r="TZ298" s="8">
        <v>106</v>
      </c>
      <c r="UA298" s="12">
        <v>378</v>
      </c>
      <c r="VL298" s="21"/>
      <c r="VQ298" s="6">
        <v>1</v>
      </c>
      <c r="VR298" s="28">
        <v>22</v>
      </c>
    </row>
    <row r="299" spans="22:590" x14ac:dyDescent="0.25">
      <c r="V299">
        <v>19</v>
      </c>
      <c r="W299" s="10">
        <v>209</v>
      </c>
      <c r="BT299">
        <v>426</v>
      </c>
      <c r="BU299" s="1">
        <v>998</v>
      </c>
      <c r="CE299" s="8">
        <v>483</v>
      </c>
      <c r="CF299" s="28">
        <v>249</v>
      </c>
      <c r="CZ299" s="23">
        <v>247</v>
      </c>
      <c r="DA299" s="25">
        <v>137</v>
      </c>
      <c r="DH299" s="23">
        <v>108</v>
      </c>
      <c r="DI299" s="25">
        <v>565</v>
      </c>
      <c r="DL299" s="8">
        <v>-9</v>
      </c>
      <c r="DS299" s="8">
        <v>-131</v>
      </c>
      <c r="DT299" s="52">
        <v>663</v>
      </c>
      <c r="EG299" s="6">
        <v>133</v>
      </c>
      <c r="EH299" s="28">
        <v>37</v>
      </c>
      <c r="EN299" s="8">
        <v>54</v>
      </c>
      <c r="EO299" s="28">
        <v>34</v>
      </c>
      <c r="EX299" s="8">
        <v>365</v>
      </c>
      <c r="EY299" s="28">
        <v>107</v>
      </c>
      <c r="FD299" s="6">
        <v>70</v>
      </c>
      <c r="FE299" s="28">
        <v>56</v>
      </c>
      <c r="FM299" s="8">
        <v>404</v>
      </c>
      <c r="FN299" s="52">
        <v>424</v>
      </c>
      <c r="FS299" s="8">
        <v>-9</v>
      </c>
      <c r="FT299" s="52">
        <v>180</v>
      </c>
      <c r="GI299" s="8">
        <v>181</v>
      </c>
      <c r="GJ299" s="28">
        <v>717</v>
      </c>
      <c r="GP299" s="6">
        <v>-221</v>
      </c>
      <c r="GQ299" s="52">
        <v>177</v>
      </c>
      <c r="GT299" s="6">
        <v>490</v>
      </c>
      <c r="GU299" s="52">
        <v>142</v>
      </c>
      <c r="HE299" s="6">
        <v>-38</v>
      </c>
      <c r="HF299" s="28">
        <v>41</v>
      </c>
      <c r="HS299" s="8">
        <v>-310</v>
      </c>
      <c r="IB299" s="8">
        <v>-237</v>
      </c>
      <c r="IC299" s="28">
        <v>379</v>
      </c>
      <c r="IY299" s="8">
        <v>-265</v>
      </c>
      <c r="JW299" s="6">
        <v>-249</v>
      </c>
      <c r="JX299" s="12">
        <v>223</v>
      </c>
      <c r="LF299" s="8">
        <v>20</v>
      </c>
      <c r="LG299" s="28">
        <v>31</v>
      </c>
      <c r="LJ299" s="8">
        <v>-11</v>
      </c>
      <c r="LK299" s="28">
        <v>927</v>
      </c>
      <c r="LW299" s="8">
        <v>-34</v>
      </c>
      <c r="LX299" s="28">
        <v>42</v>
      </c>
      <c r="MF299" s="8">
        <v>480</v>
      </c>
      <c r="MG299" s="12">
        <v>212</v>
      </c>
      <c r="NC299" s="8">
        <v>-111</v>
      </c>
      <c r="ND299" s="12">
        <v>86</v>
      </c>
      <c r="PP299" s="8">
        <v>349</v>
      </c>
      <c r="TZ299" s="8">
        <v>80</v>
      </c>
      <c r="UA299" s="12">
        <v>287</v>
      </c>
      <c r="VL299" s="21"/>
      <c r="VQ299" s="6">
        <v>-62</v>
      </c>
      <c r="VR299" s="28">
        <v>22</v>
      </c>
    </row>
    <row r="300" spans="22:590" x14ac:dyDescent="0.25">
      <c r="V300">
        <v>20</v>
      </c>
      <c r="W300" s="10">
        <v>198</v>
      </c>
      <c r="BT300">
        <v>-250</v>
      </c>
      <c r="BU300" s="1">
        <v>575</v>
      </c>
      <c r="CE300" s="8">
        <v>870</v>
      </c>
      <c r="CF300" s="28">
        <v>156</v>
      </c>
      <c r="CZ300" s="23">
        <v>227</v>
      </c>
      <c r="DA300" s="25">
        <v>679</v>
      </c>
      <c r="DH300" s="23">
        <v>726</v>
      </c>
      <c r="DI300" s="25">
        <v>455</v>
      </c>
      <c r="DL300" s="8">
        <v>-32</v>
      </c>
      <c r="DS300" s="8">
        <v>-57</v>
      </c>
      <c r="DT300" s="52">
        <v>233</v>
      </c>
      <c r="EG300" s="6">
        <v>-161</v>
      </c>
      <c r="EH300" s="28">
        <v>97</v>
      </c>
      <c r="EN300" s="8">
        <v>272</v>
      </c>
      <c r="EO300" s="28">
        <v>30</v>
      </c>
      <c r="EX300" s="8">
        <v>714</v>
      </c>
      <c r="EY300" s="28">
        <v>140</v>
      </c>
      <c r="FD300" s="6">
        <v>14</v>
      </c>
      <c r="FE300" s="28">
        <v>52</v>
      </c>
      <c r="FM300" s="8">
        <v>122</v>
      </c>
      <c r="FN300" s="52">
        <v>141</v>
      </c>
      <c r="FS300" s="8">
        <v>-8</v>
      </c>
      <c r="FT300" s="52">
        <v>179</v>
      </c>
      <c r="GI300" s="8">
        <v>-504</v>
      </c>
      <c r="GJ300" s="28">
        <v>975</v>
      </c>
      <c r="GP300" s="6">
        <v>169</v>
      </c>
      <c r="GQ300" s="52">
        <v>29</v>
      </c>
      <c r="GT300" s="6">
        <v>-274</v>
      </c>
      <c r="GU300" s="52">
        <v>297</v>
      </c>
      <c r="HE300" s="6">
        <v>2</v>
      </c>
      <c r="HF300" s="28">
        <v>72</v>
      </c>
      <c r="HS300" s="8">
        <v>-516</v>
      </c>
      <c r="IB300" s="8">
        <v>-168</v>
      </c>
      <c r="IC300" s="28">
        <v>378</v>
      </c>
      <c r="IY300" s="8">
        <v>175</v>
      </c>
      <c r="JW300" s="6">
        <v>-273</v>
      </c>
      <c r="JX300" s="12">
        <v>246</v>
      </c>
      <c r="LF300" s="8">
        <v>14</v>
      </c>
      <c r="LG300" s="28">
        <v>23</v>
      </c>
      <c r="LJ300" s="8">
        <v>-154</v>
      </c>
      <c r="LK300" s="28">
        <v>459</v>
      </c>
      <c r="LW300" s="8">
        <v>-67</v>
      </c>
      <c r="LX300" s="28">
        <v>40</v>
      </c>
      <c r="MF300" s="8">
        <v>-919</v>
      </c>
      <c r="MG300" s="12">
        <v>478</v>
      </c>
      <c r="NC300" s="8">
        <v>-945</v>
      </c>
      <c r="ND300" s="12">
        <v>117</v>
      </c>
      <c r="PP300" s="8">
        <v>330</v>
      </c>
      <c r="TZ300" s="8">
        <v>52</v>
      </c>
      <c r="UA300" s="12">
        <v>237</v>
      </c>
      <c r="VL300" s="21"/>
      <c r="VQ300" s="6">
        <v>-62</v>
      </c>
      <c r="VR300" s="28">
        <v>24</v>
      </c>
    </row>
    <row r="301" spans="22:590" x14ac:dyDescent="0.25">
      <c r="V301">
        <v>18</v>
      </c>
      <c r="W301" s="10">
        <v>297</v>
      </c>
      <c r="BT301">
        <v>-317</v>
      </c>
      <c r="BU301" s="1">
        <v>450</v>
      </c>
      <c r="CE301" s="8">
        <v>118</v>
      </c>
      <c r="CF301" s="28">
        <v>229</v>
      </c>
      <c r="CZ301" s="23">
        <v>-781</v>
      </c>
      <c r="DA301" s="25">
        <v>284</v>
      </c>
      <c r="DH301" s="23">
        <v>97</v>
      </c>
      <c r="DI301" s="25">
        <v>599</v>
      </c>
      <c r="DL301" s="8">
        <v>-7</v>
      </c>
      <c r="DS301" s="8">
        <v>55</v>
      </c>
      <c r="DT301" s="52">
        <v>292</v>
      </c>
      <c r="EG301" s="6">
        <v>-277</v>
      </c>
      <c r="EH301" s="28">
        <v>117</v>
      </c>
      <c r="EN301" s="8">
        <v>52</v>
      </c>
      <c r="EO301" s="28">
        <v>45</v>
      </c>
      <c r="EX301" s="8">
        <v>171</v>
      </c>
      <c r="EY301" s="28">
        <v>111</v>
      </c>
      <c r="FD301" s="6">
        <v>76</v>
      </c>
      <c r="FE301" s="28">
        <v>84</v>
      </c>
      <c r="FM301" s="8">
        <v>-112</v>
      </c>
      <c r="FN301" s="52">
        <v>200</v>
      </c>
      <c r="FS301" s="8">
        <v>-8</v>
      </c>
      <c r="FT301" s="52">
        <v>179</v>
      </c>
      <c r="GI301" s="8">
        <v>260</v>
      </c>
      <c r="GJ301" s="28">
        <v>961</v>
      </c>
      <c r="GP301" s="6">
        <v>471</v>
      </c>
      <c r="GQ301" s="52">
        <v>71</v>
      </c>
      <c r="GT301" s="6">
        <v>131</v>
      </c>
      <c r="GU301" s="52">
        <v>106</v>
      </c>
      <c r="HE301" s="6">
        <v>122</v>
      </c>
      <c r="HF301" s="28">
        <v>65</v>
      </c>
      <c r="HS301" s="8">
        <v>-334</v>
      </c>
      <c r="IB301" s="8">
        <v>-131</v>
      </c>
      <c r="IC301" s="28">
        <v>843</v>
      </c>
      <c r="IY301" s="8">
        <v>400</v>
      </c>
      <c r="JW301" s="6">
        <v>-491</v>
      </c>
      <c r="JX301" s="12">
        <v>61</v>
      </c>
      <c r="LF301" s="8">
        <v>25</v>
      </c>
      <c r="LG301" s="28">
        <v>29</v>
      </c>
      <c r="LJ301" s="8">
        <v>-637</v>
      </c>
      <c r="LK301" s="28">
        <v>316</v>
      </c>
      <c r="LW301" s="8">
        <v>32</v>
      </c>
      <c r="LX301" s="28">
        <v>64</v>
      </c>
      <c r="MF301" s="8">
        <v>-827</v>
      </c>
      <c r="MG301" s="12">
        <v>406</v>
      </c>
      <c r="NC301" s="8">
        <v>-125</v>
      </c>
      <c r="ND301" s="12">
        <v>97</v>
      </c>
      <c r="PP301" s="8">
        <v>125</v>
      </c>
      <c r="TZ301" s="8">
        <v>27</v>
      </c>
      <c r="UA301" s="12">
        <v>205</v>
      </c>
      <c r="VL301" s="21"/>
      <c r="VQ301" s="6">
        <v>-63</v>
      </c>
      <c r="VR301" s="28">
        <v>22</v>
      </c>
    </row>
    <row r="302" spans="22:590" x14ac:dyDescent="0.25">
      <c r="V302">
        <v>4</v>
      </c>
      <c r="W302" s="10">
        <v>85</v>
      </c>
      <c r="BT302">
        <v>445</v>
      </c>
      <c r="BU302" s="1">
        <v>428</v>
      </c>
      <c r="CE302" s="8">
        <v>-823</v>
      </c>
      <c r="CF302" s="28">
        <v>209</v>
      </c>
      <c r="CZ302" s="23">
        <v>241</v>
      </c>
      <c r="DA302" s="25">
        <v>338</v>
      </c>
      <c r="DH302" s="23">
        <v>492</v>
      </c>
      <c r="DI302" s="25">
        <v>479</v>
      </c>
      <c r="DL302" s="8">
        <v>-17</v>
      </c>
      <c r="DS302" s="8">
        <v>-177</v>
      </c>
      <c r="DT302" s="52">
        <v>116</v>
      </c>
      <c r="EG302" s="6">
        <v>-407</v>
      </c>
      <c r="EH302" s="28">
        <v>107</v>
      </c>
      <c r="EN302" s="8">
        <v>137</v>
      </c>
      <c r="EO302" s="28">
        <v>25</v>
      </c>
      <c r="EX302" s="8">
        <v>728</v>
      </c>
      <c r="EY302" s="28">
        <v>103</v>
      </c>
      <c r="FD302" s="6">
        <v>363</v>
      </c>
      <c r="FE302" s="28">
        <v>333</v>
      </c>
      <c r="FM302" s="8">
        <v>-119</v>
      </c>
      <c r="FN302" s="52">
        <v>33</v>
      </c>
      <c r="FS302" s="8">
        <v>-15</v>
      </c>
      <c r="FT302" s="52">
        <v>129</v>
      </c>
      <c r="GI302" s="8">
        <v>-439</v>
      </c>
      <c r="GJ302" s="28">
        <v>584</v>
      </c>
      <c r="GP302" s="6">
        <v>449</v>
      </c>
      <c r="GQ302" s="52">
        <v>281</v>
      </c>
      <c r="GT302" s="6">
        <v>692</v>
      </c>
      <c r="GU302" s="52">
        <v>109</v>
      </c>
      <c r="HE302" s="6">
        <v>90</v>
      </c>
      <c r="HF302" s="28">
        <v>76</v>
      </c>
      <c r="HS302" s="8">
        <v>-443</v>
      </c>
      <c r="IB302" s="8">
        <v>-112</v>
      </c>
      <c r="IC302" s="28">
        <v>801</v>
      </c>
      <c r="IY302" s="8">
        <v>410</v>
      </c>
      <c r="JW302" s="6">
        <v>568</v>
      </c>
      <c r="JX302" s="12">
        <v>61</v>
      </c>
      <c r="LF302" s="8">
        <v>-63</v>
      </c>
      <c r="LG302" s="28">
        <v>49</v>
      </c>
      <c r="LJ302" s="8">
        <v>263</v>
      </c>
      <c r="LK302" s="28">
        <v>283</v>
      </c>
      <c r="LW302" s="8">
        <v>-26</v>
      </c>
      <c r="LX302" s="28">
        <v>55</v>
      </c>
      <c r="MF302" s="8">
        <v>-210</v>
      </c>
      <c r="MG302" s="12">
        <v>112</v>
      </c>
      <c r="NC302" s="8">
        <v>-344</v>
      </c>
      <c r="ND302" s="12">
        <v>289</v>
      </c>
      <c r="PP302" s="8">
        <v>107</v>
      </c>
      <c r="TZ302" s="8">
        <v>910</v>
      </c>
      <c r="UA302" s="12">
        <v>301</v>
      </c>
      <c r="VL302" s="21"/>
      <c r="VQ302" s="6">
        <v>-62</v>
      </c>
      <c r="VR302" s="28">
        <v>22</v>
      </c>
    </row>
    <row r="303" spans="22:590" x14ac:dyDescent="0.25">
      <c r="V303">
        <v>33</v>
      </c>
      <c r="W303" s="10">
        <v>297</v>
      </c>
      <c r="BT303">
        <v>-519</v>
      </c>
      <c r="BU303" s="1">
        <v>115</v>
      </c>
      <c r="CE303" s="8">
        <v>155</v>
      </c>
      <c r="CF303" s="28">
        <v>374</v>
      </c>
      <c r="CZ303" s="23">
        <v>539</v>
      </c>
      <c r="DA303" s="25">
        <v>120</v>
      </c>
      <c r="DH303" s="23">
        <v>859</v>
      </c>
      <c r="DI303" s="25">
        <v>514</v>
      </c>
      <c r="DL303" s="8">
        <v>-20</v>
      </c>
      <c r="DS303" s="8">
        <v>-139</v>
      </c>
      <c r="DT303" s="52">
        <v>662</v>
      </c>
      <c r="EG303" s="6">
        <v>-541</v>
      </c>
      <c r="EH303" s="28">
        <v>90</v>
      </c>
      <c r="EN303" s="8">
        <v>157</v>
      </c>
      <c r="EO303" s="28">
        <v>25</v>
      </c>
      <c r="EX303" s="8">
        <v>329</v>
      </c>
      <c r="EY303" s="28">
        <v>103</v>
      </c>
      <c r="FD303" s="6">
        <v>-102</v>
      </c>
      <c r="FE303" s="28">
        <v>52</v>
      </c>
      <c r="FM303" s="8">
        <v>-309</v>
      </c>
      <c r="FN303" s="52">
        <v>31</v>
      </c>
      <c r="FS303" s="8">
        <v>-16</v>
      </c>
      <c r="FT303" s="52">
        <v>169</v>
      </c>
      <c r="GP303" s="6">
        <v>-162</v>
      </c>
      <c r="GQ303" s="52">
        <v>133</v>
      </c>
      <c r="GT303" s="6">
        <v>238</v>
      </c>
      <c r="GU303" s="52">
        <v>225</v>
      </c>
      <c r="HE303" s="6">
        <v>59</v>
      </c>
      <c r="HF303" s="28">
        <v>56</v>
      </c>
      <c r="HS303" s="8">
        <v>-302</v>
      </c>
      <c r="IB303" s="8">
        <v>-321</v>
      </c>
      <c r="IC303" s="28">
        <v>381</v>
      </c>
      <c r="IY303" s="8">
        <v>-128</v>
      </c>
      <c r="JW303" s="6">
        <v>101</v>
      </c>
      <c r="JX303" s="12">
        <v>107</v>
      </c>
      <c r="LF303" s="8">
        <v>47</v>
      </c>
      <c r="LG303" s="28">
        <v>42</v>
      </c>
      <c r="LJ303" s="8">
        <v>-376</v>
      </c>
      <c r="LK303" s="28">
        <v>604</v>
      </c>
      <c r="LW303" s="8">
        <v>-30</v>
      </c>
      <c r="LX303" s="28">
        <v>43</v>
      </c>
      <c r="MF303" s="8">
        <v>-803</v>
      </c>
      <c r="MG303" s="12">
        <v>411</v>
      </c>
      <c r="NC303" s="8">
        <v>-650</v>
      </c>
      <c r="ND303" s="12">
        <v>273</v>
      </c>
      <c r="PP303" s="8">
        <v>137</v>
      </c>
      <c r="TZ303" s="8">
        <v>144</v>
      </c>
      <c r="UA303" s="12">
        <v>365</v>
      </c>
      <c r="VL303" s="21"/>
      <c r="VQ303" s="6">
        <v>-22</v>
      </c>
      <c r="VR303" s="28">
        <v>15</v>
      </c>
    </row>
    <row r="304" spans="22:590" x14ac:dyDescent="0.25">
      <c r="V304">
        <v>20</v>
      </c>
      <c r="W304" s="10">
        <v>194</v>
      </c>
      <c r="BT304">
        <v>-941</v>
      </c>
      <c r="BU304" s="1">
        <v>163</v>
      </c>
      <c r="CE304" s="8">
        <v>620</v>
      </c>
      <c r="CF304" s="28">
        <v>234</v>
      </c>
      <c r="CZ304" s="23">
        <v>-390</v>
      </c>
      <c r="DA304" s="25">
        <v>127</v>
      </c>
      <c r="DH304" s="23">
        <v>-466</v>
      </c>
      <c r="DI304" s="25">
        <v>421</v>
      </c>
      <c r="DL304" s="8">
        <v>242</v>
      </c>
      <c r="DS304" s="8">
        <v>750</v>
      </c>
      <c r="DT304" s="52">
        <v>413</v>
      </c>
      <c r="EG304" s="6">
        <v>-626</v>
      </c>
      <c r="EH304" s="28">
        <v>88</v>
      </c>
      <c r="EN304" s="8">
        <v>-24</v>
      </c>
      <c r="EO304" s="28">
        <v>24</v>
      </c>
      <c r="EX304" s="8">
        <v>827</v>
      </c>
      <c r="EY304" s="28">
        <v>129</v>
      </c>
      <c r="FD304" s="6">
        <v>-917</v>
      </c>
      <c r="FE304" s="28">
        <v>96</v>
      </c>
      <c r="FM304" s="8">
        <v>-485</v>
      </c>
      <c r="FN304" s="52">
        <v>305</v>
      </c>
      <c r="FS304" s="8">
        <v>-19</v>
      </c>
      <c r="FT304" s="52">
        <v>165</v>
      </c>
      <c r="GP304" s="6">
        <v>284</v>
      </c>
      <c r="GQ304" s="52">
        <v>982</v>
      </c>
      <c r="GT304" s="6">
        <v>414</v>
      </c>
      <c r="GU304" s="52">
        <v>420</v>
      </c>
      <c r="HE304" s="6">
        <v>53</v>
      </c>
      <c r="HF304" s="28">
        <v>28</v>
      </c>
      <c r="HS304" s="8">
        <v>-104</v>
      </c>
      <c r="IB304" s="8">
        <v>-236</v>
      </c>
      <c r="IC304" s="28">
        <v>386</v>
      </c>
      <c r="IY304" s="8">
        <v>-116</v>
      </c>
      <c r="JW304" s="6">
        <v>-367</v>
      </c>
      <c r="JX304" s="12">
        <v>56</v>
      </c>
      <c r="LF304" s="8">
        <v>18</v>
      </c>
      <c r="LG304" s="28">
        <v>46</v>
      </c>
      <c r="LJ304" s="8">
        <v>433</v>
      </c>
      <c r="LK304" s="28">
        <v>314</v>
      </c>
      <c r="LW304" s="8">
        <v>-43</v>
      </c>
      <c r="LX304" s="28">
        <v>41</v>
      </c>
      <c r="MF304" s="8">
        <v>-620</v>
      </c>
      <c r="MG304" s="12">
        <v>326</v>
      </c>
      <c r="NC304" s="8">
        <v>-356</v>
      </c>
      <c r="ND304" s="12">
        <v>270</v>
      </c>
      <c r="PP304" s="8">
        <v>991</v>
      </c>
      <c r="TZ304" s="8">
        <v>730</v>
      </c>
      <c r="UA304" s="12">
        <v>398</v>
      </c>
      <c r="VL304" s="21"/>
      <c r="VQ304" s="6">
        <v>-62</v>
      </c>
      <c r="VR304" s="28">
        <v>23</v>
      </c>
    </row>
    <row r="305" spans="22:590" x14ac:dyDescent="0.25">
      <c r="V305">
        <v>-266</v>
      </c>
      <c r="W305" s="10">
        <v>101</v>
      </c>
      <c r="BT305">
        <v>-257</v>
      </c>
      <c r="BU305" s="1">
        <v>921</v>
      </c>
      <c r="CE305" s="8">
        <v>-321</v>
      </c>
      <c r="CF305" s="28">
        <v>138</v>
      </c>
      <c r="CZ305" s="23">
        <v>-197</v>
      </c>
      <c r="DA305" s="25">
        <v>860</v>
      </c>
      <c r="DH305" s="23">
        <v>132</v>
      </c>
      <c r="DI305" s="25">
        <v>209</v>
      </c>
      <c r="DL305" s="8">
        <v>-5</v>
      </c>
      <c r="DS305" s="8">
        <v>-56</v>
      </c>
      <c r="DT305" s="52">
        <v>379</v>
      </c>
      <c r="EG305" s="6">
        <v>-683</v>
      </c>
      <c r="EH305" s="28">
        <v>92</v>
      </c>
      <c r="EN305" s="8">
        <v>8</v>
      </c>
      <c r="EO305" s="28">
        <v>22</v>
      </c>
      <c r="EX305" s="8">
        <v>-154</v>
      </c>
      <c r="EY305" s="28">
        <v>112</v>
      </c>
      <c r="FD305" s="6">
        <v>220</v>
      </c>
      <c r="FE305" s="28">
        <v>630</v>
      </c>
      <c r="FM305" s="8">
        <v>-295</v>
      </c>
      <c r="FN305" s="52">
        <v>54</v>
      </c>
      <c r="FS305" s="8">
        <v>-14</v>
      </c>
      <c r="FT305" s="52">
        <v>125</v>
      </c>
      <c r="GP305" s="6">
        <v>-361</v>
      </c>
      <c r="GQ305" s="52">
        <v>38</v>
      </c>
      <c r="GT305" s="6">
        <v>-195</v>
      </c>
      <c r="GU305" s="52">
        <v>179</v>
      </c>
      <c r="HS305" s="8">
        <v>-128</v>
      </c>
      <c r="IB305" s="8">
        <v>-414</v>
      </c>
      <c r="IC305" s="28">
        <v>663</v>
      </c>
      <c r="IY305" s="8">
        <v>-950</v>
      </c>
      <c r="JW305" s="6">
        <v>674</v>
      </c>
      <c r="JX305" s="12">
        <v>91</v>
      </c>
      <c r="LF305" s="8">
        <v>34</v>
      </c>
      <c r="LG305" s="28">
        <v>44</v>
      </c>
      <c r="LJ305" s="8">
        <v>-741</v>
      </c>
      <c r="LK305" s="28">
        <v>689</v>
      </c>
      <c r="LW305" s="8">
        <v>19</v>
      </c>
      <c r="LX305" s="28">
        <v>53</v>
      </c>
      <c r="MF305" s="8">
        <v>-70</v>
      </c>
      <c r="MG305" s="12">
        <v>128</v>
      </c>
      <c r="NC305" s="8">
        <v>-28</v>
      </c>
      <c r="ND305" s="12">
        <v>63</v>
      </c>
      <c r="PP305" s="8">
        <v>132</v>
      </c>
      <c r="TZ305" s="8">
        <v>246</v>
      </c>
      <c r="UA305" s="12">
        <v>596</v>
      </c>
      <c r="VL305" s="21"/>
      <c r="VQ305" s="6">
        <v>-62</v>
      </c>
      <c r="VR305" s="28">
        <v>19</v>
      </c>
    </row>
    <row r="306" spans="22:590" x14ac:dyDescent="0.25">
      <c r="V306">
        <v>-114</v>
      </c>
      <c r="W306" s="10">
        <v>20</v>
      </c>
      <c r="BT306">
        <v>-102</v>
      </c>
      <c r="BU306" s="1">
        <v>333</v>
      </c>
      <c r="CE306" s="8">
        <v>49</v>
      </c>
      <c r="CF306" s="28">
        <v>359</v>
      </c>
      <c r="CZ306" s="23">
        <v>3</v>
      </c>
      <c r="DA306" s="25">
        <v>3</v>
      </c>
      <c r="DH306" s="23">
        <v>869</v>
      </c>
      <c r="DI306" s="25">
        <v>157</v>
      </c>
      <c r="DL306" s="8">
        <v>-21</v>
      </c>
      <c r="DS306" s="8">
        <v>166</v>
      </c>
      <c r="DT306" s="52">
        <v>190</v>
      </c>
      <c r="EG306" s="6">
        <v>-680</v>
      </c>
      <c r="EH306" s="28">
        <v>93</v>
      </c>
      <c r="EN306" s="8">
        <v>-4</v>
      </c>
      <c r="EO306" s="28">
        <v>41</v>
      </c>
      <c r="EX306" s="8">
        <v>218</v>
      </c>
      <c r="EY306" s="28">
        <v>136</v>
      </c>
      <c r="FD306" s="6">
        <v>-187</v>
      </c>
      <c r="FE306" s="28">
        <v>424</v>
      </c>
      <c r="FM306" s="8">
        <v>-215</v>
      </c>
      <c r="FN306" s="52">
        <v>290</v>
      </c>
      <c r="FS306" s="8">
        <v>-15</v>
      </c>
      <c r="FT306" s="52">
        <v>166</v>
      </c>
      <c r="GP306" s="6">
        <v>387</v>
      </c>
      <c r="GQ306" s="52">
        <v>102</v>
      </c>
      <c r="GT306" s="6">
        <v>-48</v>
      </c>
      <c r="GU306" s="52">
        <v>231</v>
      </c>
      <c r="IB306" s="8">
        <v>-685</v>
      </c>
      <c r="IC306" s="28">
        <v>670</v>
      </c>
      <c r="IY306" s="8">
        <v>301</v>
      </c>
      <c r="JW306" s="6">
        <v>661</v>
      </c>
      <c r="JX306" s="12">
        <v>89</v>
      </c>
      <c r="LF306" s="8">
        <v>-59</v>
      </c>
      <c r="LG306" s="28">
        <v>30</v>
      </c>
      <c r="LJ306" s="8">
        <v>-408</v>
      </c>
      <c r="LK306" s="28">
        <v>280</v>
      </c>
      <c r="LW306" s="8">
        <v>55</v>
      </c>
      <c r="LX306" s="28">
        <v>46</v>
      </c>
      <c r="MF306" s="8">
        <v>26</v>
      </c>
      <c r="MG306" s="12">
        <v>63</v>
      </c>
      <c r="NC306" s="8">
        <v>-100</v>
      </c>
      <c r="ND306" s="12">
        <v>281</v>
      </c>
      <c r="PP306" s="8">
        <v>896</v>
      </c>
      <c r="TZ306" s="8">
        <v>-135</v>
      </c>
      <c r="UA306" s="12">
        <v>175</v>
      </c>
      <c r="VL306" s="21"/>
      <c r="VQ306" s="6">
        <v>-44</v>
      </c>
      <c r="VR306" s="28">
        <v>18</v>
      </c>
    </row>
    <row r="307" spans="22:590" x14ac:dyDescent="0.25">
      <c r="V307">
        <v>-15053</v>
      </c>
      <c r="W307" s="10">
        <v>72</v>
      </c>
      <c r="BT307">
        <v>594</v>
      </c>
      <c r="BU307" s="1">
        <v>219</v>
      </c>
      <c r="CE307" s="8">
        <v>448</v>
      </c>
      <c r="CF307" s="28">
        <v>850</v>
      </c>
      <c r="CZ307" s="23">
        <v>36</v>
      </c>
      <c r="DA307" s="25">
        <v>10</v>
      </c>
      <c r="DH307" s="23">
        <v>156</v>
      </c>
      <c r="DI307" s="25">
        <v>335</v>
      </c>
      <c r="DL307" s="8">
        <v>11</v>
      </c>
      <c r="DS307" s="8">
        <v>202</v>
      </c>
      <c r="DT307" s="52">
        <v>300</v>
      </c>
      <c r="EG307" s="6">
        <v>-645</v>
      </c>
      <c r="EH307" s="28">
        <v>93</v>
      </c>
      <c r="EN307" s="8">
        <v>-58</v>
      </c>
      <c r="EO307" s="28">
        <v>27</v>
      </c>
      <c r="EX307" s="8">
        <v>-182</v>
      </c>
      <c r="EY307" s="28">
        <v>120</v>
      </c>
      <c r="FM307" s="8">
        <v>-147</v>
      </c>
      <c r="FN307" s="52">
        <v>194</v>
      </c>
      <c r="FS307" s="8">
        <v>-18</v>
      </c>
      <c r="FT307" s="52">
        <v>162</v>
      </c>
      <c r="GP307" s="6">
        <v>-50</v>
      </c>
      <c r="GQ307" s="52">
        <v>119</v>
      </c>
      <c r="GT307" s="6">
        <v>-86</v>
      </c>
      <c r="GU307" s="52">
        <v>463</v>
      </c>
      <c r="IB307" s="8">
        <v>-396</v>
      </c>
      <c r="IC307" s="28">
        <v>660</v>
      </c>
      <c r="IY307" s="8">
        <v>186</v>
      </c>
      <c r="JW307" s="6">
        <v>-605</v>
      </c>
      <c r="JX307" s="12">
        <v>196</v>
      </c>
      <c r="LF307" s="8">
        <v>-23</v>
      </c>
      <c r="LG307" s="28">
        <v>24</v>
      </c>
      <c r="LJ307" s="8">
        <v>968</v>
      </c>
      <c r="LK307" s="28">
        <v>602</v>
      </c>
      <c r="LW307" s="8">
        <v>2</v>
      </c>
      <c r="LX307" s="28">
        <v>57</v>
      </c>
      <c r="MF307" s="8">
        <v>112</v>
      </c>
      <c r="MG307" s="12">
        <v>115</v>
      </c>
      <c r="NC307" s="8">
        <v>-459</v>
      </c>
      <c r="ND307" s="12">
        <v>299</v>
      </c>
      <c r="PP307" s="8">
        <v>106</v>
      </c>
      <c r="TZ307" s="8">
        <v>-366</v>
      </c>
      <c r="UA307" s="12">
        <v>260</v>
      </c>
      <c r="VL307" s="21"/>
      <c r="VQ307" s="6">
        <v>-44</v>
      </c>
      <c r="VR307" s="28">
        <v>16</v>
      </c>
    </row>
    <row r="308" spans="22:590" x14ac:dyDescent="0.25">
      <c r="V308">
        <v>-10</v>
      </c>
      <c r="W308" s="10">
        <v>1022</v>
      </c>
      <c r="BT308">
        <v>-202</v>
      </c>
      <c r="BU308" s="1">
        <v>688</v>
      </c>
      <c r="CE308" s="8">
        <v>269</v>
      </c>
      <c r="CF308" s="28">
        <v>136</v>
      </c>
      <c r="CZ308" s="23">
        <v>-36</v>
      </c>
      <c r="DA308" s="25">
        <v>18</v>
      </c>
      <c r="DH308" s="23">
        <v>-662</v>
      </c>
      <c r="DI308" s="25">
        <v>331</v>
      </c>
      <c r="DL308" s="8">
        <v>3</v>
      </c>
      <c r="DS308" s="8">
        <v>466</v>
      </c>
      <c r="DT308" s="52">
        <v>156</v>
      </c>
      <c r="EG308" s="6">
        <v>-551</v>
      </c>
      <c r="EH308" s="28">
        <v>93</v>
      </c>
      <c r="EN308" s="8">
        <v>-63</v>
      </c>
      <c r="EO308" s="28">
        <v>43</v>
      </c>
      <c r="EX308" s="8">
        <v>-924</v>
      </c>
      <c r="EY308" s="28">
        <v>163</v>
      </c>
      <c r="FM308" s="8">
        <v>-830</v>
      </c>
      <c r="FN308" s="52">
        <v>319</v>
      </c>
      <c r="FS308" s="8">
        <v>-25</v>
      </c>
      <c r="FT308" s="52">
        <v>100</v>
      </c>
      <c r="GP308" s="6">
        <v>-32</v>
      </c>
      <c r="GQ308" s="52">
        <v>61</v>
      </c>
      <c r="GT308" s="6">
        <v>-1</v>
      </c>
      <c r="GU308" s="52">
        <v>462</v>
      </c>
      <c r="IB308" s="8">
        <v>-736</v>
      </c>
      <c r="IC308" s="28">
        <v>661</v>
      </c>
      <c r="IY308" s="8">
        <v>614</v>
      </c>
      <c r="JW308" s="6">
        <v>-334</v>
      </c>
      <c r="JX308" s="12">
        <v>107</v>
      </c>
      <c r="LF308" s="8">
        <v>-13</v>
      </c>
      <c r="LG308" s="28">
        <v>15</v>
      </c>
      <c r="LJ308" s="8">
        <v>-643</v>
      </c>
      <c r="LK308" s="28">
        <v>413</v>
      </c>
      <c r="LW308" s="8">
        <v>-12</v>
      </c>
      <c r="LX308" s="28">
        <v>26</v>
      </c>
      <c r="MF308" s="8">
        <v>342</v>
      </c>
      <c r="MG308" s="12">
        <v>104</v>
      </c>
      <c r="NC308" s="8">
        <v>-14</v>
      </c>
      <c r="ND308" s="12">
        <v>8</v>
      </c>
      <c r="PP308" s="8">
        <v>100</v>
      </c>
      <c r="TZ308" s="8">
        <v>-448</v>
      </c>
      <c r="UA308" s="12">
        <v>283</v>
      </c>
      <c r="VL308" s="21"/>
      <c r="VQ308" s="6">
        <v>28</v>
      </c>
      <c r="VR308" s="28">
        <v>21</v>
      </c>
    </row>
    <row r="309" spans="22:590" x14ac:dyDescent="0.25">
      <c r="V309">
        <f>8</f>
        <v>8</v>
      </c>
      <c r="W309" s="10">
        <v>158</v>
      </c>
      <c r="BT309">
        <v>377</v>
      </c>
      <c r="BU309" s="28">
        <v>185</v>
      </c>
      <c r="CE309" s="8">
        <v>22</v>
      </c>
      <c r="CF309" s="28">
        <v>5</v>
      </c>
      <c r="CZ309" s="23">
        <v>-2</v>
      </c>
      <c r="DA309" s="25">
        <v>6</v>
      </c>
      <c r="DH309" s="23">
        <v>256</v>
      </c>
      <c r="DI309" s="25">
        <v>342</v>
      </c>
      <c r="DL309" s="8">
        <v>-5</v>
      </c>
      <c r="DS309" s="8">
        <v>-59</v>
      </c>
      <c r="DT309" s="52">
        <v>453</v>
      </c>
      <c r="EG309" s="6">
        <v>-577</v>
      </c>
      <c r="EH309" s="28">
        <v>94</v>
      </c>
      <c r="EN309" s="8">
        <v>-36</v>
      </c>
      <c r="EO309" s="28">
        <v>17</v>
      </c>
      <c r="EX309" s="8">
        <v>-397</v>
      </c>
      <c r="EY309" s="28">
        <v>133</v>
      </c>
      <c r="FM309" s="8">
        <v>-449</v>
      </c>
      <c r="FN309" s="52">
        <v>572</v>
      </c>
      <c r="FS309" s="8">
        <v>-28</v>
      </c>
      <c r="FT309" s="52">
        <v>112</v>
      </c>
      <c r="GP309" s="6">
        <v>-19</v>
      </c>
      <c r="GQ309" s="52">
        <v>37</v>
      </c>
      <c r="GT309" s="6">
        <v>2</v>
      </c>
      <c r="GU309" s="52">
        <v>495</v>
      </c>
      <c r="IB309" s="8">
        <v>-881</v>
      </c>
      <c r="IC309" s="28">
        <v>425</v>
      </c>
      <c r="IY309" s="8">
        <v>157</v>
      </c>
      <c r="JW309" s="6">
        <v>-461</v>
      </c>
      <c r="JX309" s="12">
        <v>148</v>
      </c>
      <c r="LF309" s="8">
        <v>-5</v>
      </c>
      <c r="LG309" s="28">
        <v>17</v>
      </c>
      <c r="LJ309" s="8">
        <v>258</v>
      </c>
      <c r="LK309" s="28">
        <v>274</v>
      </c>
      <c r="LW309" s="8">
        <v>96</v>
      </c>
      <c r="LX309" s="28">
        <v>40</v>
      </c>
      <c r="MF309" s="8">
        <v>326</v>
      </c>
      <c r="MG309" s="12">
        <v>105</v>
      </c>
      <c r="NC309" s="8">
        <v>383</v>
      </c>
      <c r="ND309" s="12">
        <v>165</v>
      </c>
      <c r="PP309" s="8">
        <v>841</v>
      </c>
      <c r="TZ309" s="8">
        <v>-440</v>
      </c>
      <c r="UA309" s="12">
        <v>293</v>
      </c>
      <c r="VL309" s="21"/>
      <c r="VQ309" s="6">
        <v>3</v>
      </c>
      <c r="VR309" s="28">
        <v>10</v>
      </c>
    </row>
    <row r="310" spans="22:590" x14ac:dyDescent="0.25">
      <c r="V310">
        <v>8</v>
      </c>
      <c r="W310" s="10">
        <v>244</v>
      </c>
      <c r="BT310">
        <v>260</v>
      </c>
      <c r="BU310" s="1">
        <v>846</v>
      </c>
      <c r="CE310" s="8">
        <v>-92</v>
      </c>
      <c r="CF310" s="28">
        <v>816</v>
      </c>
      <c r="CZ310" s="23">
        <v>103</v>
      </c>
      <c r="DA310" s="25">
        <v>65</v>
      </c>
      <c r="DH310" s="23">
        <v>-416</v>
      </c>
      <c r="DI310" s="25">
        <v>342</v>
      </c>
      <c r="DL310" s="8">
        <v>1</v>
      </c>
      <c r="EG310" s="6">
        <v>489</v>
      </c>
      <c r="EH310" s="28">
        <v>34</v>
      </c>
      <c r="EN310" s="8">
        <v>5</v>
      </c>
      <c r="EO310" s="28">
        <v>26</v>
      </c>
      <c r="EX310" s="8">
        <v>-224</v>
      </c>
      <c r="EY310" s="28">
        <v>118</v>
      </c>
      <c r="FM310" s="8">
        <v>350</v>
      </c>
      <c r="FN310" s="52">
        <v>71</v>
      </c>
      <c r="FS310" s="8">
        <v>-27</v>
      </c>
      <c r="FT310" s="52">
        <v>110</v>
      </c>
      <c r="GP310" s="6">
        <v>-129</v>
      </c>
      <c r="GQ310" s="52">
        <v>277</v>
      </c>
      <c r="GT310" s="6">
        <v>-363</v>
      </c>
      <c r="GU310" s="52">
        <v>243</v>
      </c>
      <c r="IB310" s="8">
        <v>-107</v>
      </c>
      <c r="IC310" s="28">
        <v>421</v>
      </c>
      <c r="IY310" s="8">
        <v>-210</v>
      </c>
      <c r="JW310" s="6">
        <v>106</v>
      </c>
      <c r="JX310" s="12">
        <v>35</v>
      </c>
      <c r="LF310" s="8">
        <v>-104</v>
      </c>
      <c r="LG310" s="28">
        <v>79</v>
      </c>
      <c r="LJ310" s="8">
        <v>100</v>
      </c>
      <c r="LK310" s="28">
        <v>582</v>
      </c>
      <c r="LW310" s="8">
        <v>-105</v>
      </c>
      <c r="LX310" s="28">
        <v>48</v>
      </c>
      <c r="MF310" s="8">
        <v>273</v>
      </c>
      <c r="MG310" s="12">
        <v>870</v>
      </c>
      <c r="NC310" s="8">
        <v>679</v>
      </c>
      <c r="ND310" s="12">
        <v>195</v>
      </c>
      <c r="PP310" s="8">
        <v>534</v>
      </c>
      <c r="TZ310" s="8">
        <v>-290</v>
      </c>
      <c r="UA310" s="12">
        <v>299</v>
      </c>
      <c r="VL310" s="21"/>
      <c r="VQ310" s="6">
        <v>5</v>
      </c>
      <c r="VR310" s="28">
        <v>12</v>
      </c>
    </row>
    <row r="311" spans="22:590" x14ac:dyDescent="0.25">
      <c r="V311">
        <v>-1</v>
      </c>
      <c r="W311" s="10">
        <v>19</v>
      </c>
      <c r="BT311">
        <v>117</v>
      </c>
      <c r="BU311" s="1">
        <v>836</v>
      </c>
      <c r="CE311" s="8">
        <v>808</v>
      </c>
      <c r="CF311" s="28">
        <v>59</v>
      </c>
      <c r="CZ311" s="23">
        <v>-97</v>
      </c>
      <c r="DA311" s="25">
        <v>213</v>
      </c>
      <c r="DH311" s="23">
        <v>-264</v>
      </c>
      <c r="DI311" s="25">
        <v>304</v>
      </c>
      <c r="DL311" s="8">
        <v>-2</v>
      </c>
      <c r="EG311" s="6">
        <v>592</v>
      </c>
      <c r="EH311" s="28">
        <v>37</v>
      </c>
      <c r="EN311" s="8">
        <v>3</v>
      </c>
      <c r="EO311" s="28">
        <v>25</v>
      </c>
      <c r="EX311" s="8">
        <v>302</v>
      </c>
      <c r="EY311" s="28">
        <v>117</v>
      </c>
      <c r="FM311" s="8">
        <v>-459</v>
      </c>
      <c r="FN311" s="52">
        <v>232</v>
      </c>
      <c r="FS311" s="8">
        <v>-6</v>
      </c>
      <c r="FT311" s="52">
        <v>132</v>
      </c>
      <c r="GP311" s="6">
        <v>-91</v>
      </c>
      <c r="GQ311" s="52">
        <v>343</v>
      </c>
      <c r="GT311" s="6">
        <v>-129</v>
      </c>
      <c r="GU311" s="52">
        <v>865</v>
      </c>
      <c r="IB311" s="8">
        <v>101</v>
      </c>
      <c r="IC311" s="28">
        <v>174</v>
      </c>
      <c r="IY311" s="8">
        <v>-64</v>
      </c>
      <c r="JW311" s="6">
        <v>293</v>
      </c>
      <c r="JX311" s="12">
        <v>95</v>
      </c>
      <c r="LF311" s="8">
        <v>35</v>
      </c>
      <c r="LG311" s="28">
        <v>82</v>
      </c>
      <c r="LJ311" s="8">
        <v>-53</v>
      </c>
      <c r="LK311" s="28">
        <v>395</v>
      </c>
      <c r="LW311" s="8">
        <v>-77</v>
      </c>
      <c r="LX311" s="28">
        <v>50</v>
      </c>
      <c r="MF311" s="8">
        <v>204</v>
      </c>
      <c r="MG311" s="12">
        <v>726</v>
      </c>
      <c r="NC311" s="8">
        <v>303</v>
      </c>
      <c r="ND311" s="12">
        <v>79</v>
      </c>
      <c r="PP311" s="8">
        <v>890</v>
      </c>
      <c r="TZ311" s="8">
        <v>738</v>
      </c>
      <c r="UA311" s="12">
        <v>23</v>
      </c>
      <c r="VL311" s="21"/>
      <c r="VQ311" s="6">
        <v>-704</v>
      </c>
      <c r="VR311" s="28">
        <v>327</v>
      </c>
    </row>
    <row r="312" spans="22:590" x14ac:dyDescent="0.25">
      <c r="V312">
        <v>-2</v>
      </c>
      <c r="W312" s="10">
        <v>54</v>
      </c>
      <c r="BT312">
        <v>-75</v>
      </c>
      <c r="BU312" s="1">
        <v>151</v>
      </c>
      <c r="CE312" s="8">
        <v>215</v>
      </c>
      <c r="CF312" s="28">
        <v>27</v>
      </c>
      <c r="CZ312" s="23">
        <v>863</v>
      </c>
      <c r="DA312" s="25">
        <v>217</v>
      </c>
      <c r="DH312" s="23">
        <v>-342</v>
      </c>
      <c r="DI312" s="25">
        <v>313</v>
      </c>
      <c r="DL312" s="8">
        <v>-12</v>
      </c>
      <c r="EG312" s="6">
        <v>-390</v>
      </c>
      <c r="EH312" s="28">
        <v>144</v>
      </c>
      <c r="EN312" s="8">
        <v>62</v>
      </c>
      <c r="EO312" s="28">
        <v>51</v>
      </c>
      <c r="EX312" s="8">
        <v>-260</v>
      </c>
      <c r="EY312" s="28">
        <v>219</v>
      </c>
      <c r="FM312" s="8">
        <v>-126</v>
      </c>
      <c r="FN312" s="52">
        <v>105</v>
      </c>
      <c r="FS312" s="8">
        <v>-6</v>
      </c>
      <c r="FT312" s="52">
        <v>131</v>
      </c>
      <c r="GP312" s="6">
        <v>-38</v>
      </c>
      <c r="GQ312" s="52">
        <v>44</v>
      </c>
      <c r="GT312" s="6">
        <v>24</v>
      </c>
      <c r="GU312" s="52">
        <v>28</v>
      </c>
      <c r="IB312" s="8">
        <v>133</v>
      </c>
      <c r="IC312" s="28">
        <v>161</v>
      </c>
      <c r="IY312" s="8">
        <v>-81</v>
      </c>
      <c r="JW312" s="6">
        <v>274</v>
      </c>
      <c r="JX312" s="12">
        <v>89</v>
      </c>
      <c r="LF312" s="8">
        <v>8</v>
      </c>
      <c r="LG312" s="28">
        <v>58</v>
      </c>
      <c r="LJ312" s="8">
        <v>-913</v>
      </c>
      <c r="LK312" s="28">
        <v>238</v>
      </c>
      <c r="LW312" s="8">
        <v>-42</v>
      </c>
      <c r="LX312" s="28">
        <v>44</v>
      </c>
      <c r="MF312" s="8">
        <v>636</v>
      </c>
      <c r="MG312" s="12">
        <v>222</v>
      </c>
      <c r="NC312" s="8">
        <v>-313</v>
      </c>
      <c r="ND312" s="12">
        <v>149</v>
      </c>
      <c r="PP312" s="8">
        <v>105</v>
      </c>
      <c r="TZ312" s="8">
        <v>159</v>
      </c>
      <c r="UA312" s="12">
        <v>253</v>
      </c>
      <c r="VL312" s="21"/>
      <c r="VQ312" s="6">
        <v>-702</v>
      </c>
      <c r="VR312" s="28">
        <v>152</v>
      </c>
    </row>
    <row r="313" spans="22:590" x14ac:dyDescent="0.25">
      <c r="V313">
        <v>6</v>
      </c>
      <c r="W313" s="10">
        <v>75</v>
      </c>
      <c r="BT313">
        <v>-134</v>
      </c>
      <c r="BU313" s="1">
        <v>26</v>
      </c>
      <c r="CE313" s="8">
        <v>368</v>
      </c>
      <c r="CF313" s="28">
        <v>27</v>
      </c>
      <c r="CZ313" s="23">
        <v>316</v>
      </c>
      <c r="DA313" s="25">
        <v>136</v>
      </c>
      <c r="DH313" s="23">
        <v>-576</v>
      </c>
      <c r="DI313" s="25">
        <v>315</v>
      </c>
      <c r="DL313" s="8">
        <v>-16</v>
      </c>
      <c r="EG313" s="6">
        <v>114</v>
      </c>
      <c r="EH313" s="28">
        <v>168</v>
      </c>
      <c r="EN313" s="8">
        <v>-15</v>
      </c>
      <c r="EO313" s="28">
        <v>12</v>
      </c>
      <c r="EX313" s="8">
        <v>-445</v>
      </c>
      <c r="EY313" s="28">
        <v>117</v>
      </c>
      <c r="FM313" s="8">
        <v>-174</v>
      </c>
      <c r="FN313" s="52">
        <v>187</v>
      </c>
      <c r="FS313" s="8">
        <v>-6</v>
      </c>
      <c r="FT313" s="52">
        <v>130</v>
      </c>
      <c r="GP313" s="6">
        <v>-185</v>
      </c>
      <c r="GQ313" s="52">
        <v>236</v>
      </c>
      <c r="GT313" s="6">
        <v>-168</v>
      </c>
      <c r="GU313" s="52">
        <v>209</v>
      </c>
      <c r="IB313" s="8">
        <v>-269</v>
      </c>
      <c r="IC313" s="28">
        <v>658</v>
      </c>
      <c r="IY313" s="8">
        <v>838</v>
      </c>
      <c r="JW313" s="6">
        <v>-560</v>
      </c>
      <c r="JX313" s="12">
        <v>182</v>
      </c>
      <c r="LF313" s="8">
        <v>-22</v>
      </c>
      <c r="LG313" s="28">
        <v>58</v>
      </c>
      <c r="LJ313" s="8">
        <v>-564</v>
      </c>
      <c r="LK313" s="28">
        <v>220</v>
      </c>
      <c r="LW313" s="8">
        <v>-93</v>
      </c>
      <c r="LX313" s="28">
        <v>77</v>
      </c>
      <c r="MF313" s="8">
        <v>49</v>
      </c>
      <c r="MG313" s="12">
        <v>9</v>
      </c>
      <c r="NC313" s="8">
        <v>298</v>
      </c>
      <c r="ND313" s="12">
        <v>161</v>
      </c>
      <c r="PP313" s="8">
        <v>703</v>
      </c>
      <c r="TZ313" s="8">
        <v>165</v>
      </c>
      <c r="UA313" s="12">
        <v>519</v>
      </c>
      <c r="VL313" s="21"/>
      <c r="VQ313" s="6">
        <v>3</v>
      </c>
      <c r="VR313" s="28">
        <v>5</v>
      </c>
    </row>
    <row r="314" spans="22:590" x14ac:dyDescent="0.25">
      <c r="V314">
        <v>-2</v>
      </c>
      <c r="W314" s="10">
        <v>56</v>
      </c>
      <c r="BT314">
        <v>27</v>
      </c>
      <c r="BU314" s="1">
        <v>22</v>
      </c>
      <c r="CE314" s="8">
        <v>340</v>
      </c>
      <c r="CF314" s="28">
        <v>34</v>
      </c>
      <c r="CZ314" s="23">
        <v>223</v>
      </c>
      <c r="DA314" s="25">
        <v>670</v>
      </c>
      <c r="DH314" s="23">
        <v>-330</v>
      </c>
      <c r="DI314" s="25">
        <v>300</v>
      </c>
      <c r="DL314" s="8">
        <v>18</v>
      </c>
      <c r="EG314" s="6">
        <v>139</v>
      </c>
      <c r="EH314" s="28">
        <v>56</v>
      </c>
      <c r="EN314" s="8">
        <v>-10</v>
      </c>
      <c r="EO314" s="28">
        <v>64</v>
      </c>
      <c r="EX314" s="8">
        <v>267</v>
      </c>
      <c r="EY314" s="28">
        <v>119</v>
      </c>
      <c r="FM314" s="8">
        <v>-207</v>
      </c>
      <c r="FN314" s="52">
        <v>423</v>
      </c>
      <c r="FS314" s="8">
        <v>-92</v>
      </c>
      <c r="FT314" s="52">
        <v>138</v>
      </c>
      <c r="GP314" s="6">
        <v>-46</v>
      </c>
      <c r="GQ314" s="52">
        <v>60</v>
      </c>
      <c r="GT314" s="6">
        <v>542</v>
      </c>
      <c r="GU314" s="52">
        <v>252</v>
      </c>
      <c r="IB314" s="8">
        <v>-570</v>
      </c>
      <c r="IC314" s="28">
        <v>669</v>
      </c>
      <c r="IY314" s="8">
        <v>690</v>
      </c>
      <c r="JW314" s="6">
        <v>-435</v>
      </c>
      <c r="JX314" s="12">
        <v>142</v>
      </c>
      <c r="LF314" s="8">
        <v>-74</v>
      </c>
      <c r="LG314" s="28">
        <v>27</v>
      </c>
      <c r="LJ314" s="8">
        <v>229</v>
      </c>
      <c r="LK314" s="28">
        <v>285</v>
      </c>
      <c r="LW314" s="8">
        <v>13</v>
      </c>
      <c r="LX314" s="28">
        <v>60</v>
      </c>
      <c r="MF314" s="8">
        <v>114</v>
      </c>
      <c r="MG314" s="12">
        <v>236</v>
      </c>
      <c r="NC314" s="8">
        <v>394</v>
      </c>
      <c r="ND314" s="12">
        <v>94</v>
      </c>
      <c r="PP314" s="8">
        <v>119</v>
      </c>
      <c r="TZ314" s="8">
        <v>165</v>
      </c>
      <c r="UA314" s="12">
        <v>906</v>
      </c>
      <c r="VL314" s="21"/>
      <c r="VQ314" s="6">
        <v>516</v>
      </c>
    </row>
    <row r="315" spans="22:590" x14ac:dyDescent="0.25">
      <c r="V315">
        <v>-2</v>
      </c>
      <c r="W315" s="10">
        <v>45</v>
      </c>
      <c r="BT315">
        <v>-129</v>
      </c>
      <c r="BU315" s="1">
        <v>11</v>
      </c>
      <c r="CE315" s="8">
        <v>42</v>
      </c>
      <c r="CF315" s="28">
        <v>47</v>
      </c>
      <c r="CZ315" s="23">
        <v>-811</v>
      </c>
      <c r="DA315" s="25">
        <v>272</v>
      </c>
      <c r="DH315" s="23">
        <v>299</v>
      </c>
      <c r="DI315" s="25">
        <v>258</v>
      </c>
      <c r="DL315" s="8">
        <v>2</v>
      </c>
      <c r="EG315" s="6">
        <v>-441</v>
      </c>
      <c r="EH315" s="28">
        <v>483</v>
      </c>
      <c r="EN315" s="8">
        <v>-25</v>
      </c>
      <c r="EO315" s="28">
        <v>68</v>
      </c>
      <c r="EX315" s="8">
        <v>-365</v>
      </c>
      <c r="EY315" s="28">
        <v>128</v>
      </c>
      <c r="FM315" s="8">
        <v>195</v>
      </c>
      <c r="FN315" s="52">
        <v>789</v>
      </c>
      <c r="FS315" s="8">
        <v>-92</v>
      </c>
      <c r="FT315" s="52">
        <v>139</v>
      </c>
      <c r="GP315" s="6">
        <v>72</v>
      </c>
      <c r="GQ315" s="52">
        <v>382</v>
      </c>
      <c r="GT315" s="6">
        <v>-213</v>
      </c>
      <c r="GU315" s="52">
        <v>741</v>
      </c>
      <c r="IB315" s="8">
        <v>610</v>
      </c>
      <c r="IC315" s="28">
        <v>137</v>
      </c>
      <c r="IY315" s="8">
        <v>-79</v>
      </c>
      <c r="JW315" s="6">
        <v>-487</v>
      </c>
      <c r="JX315" s="12">
        <v>158</v>
      </c>
      <c r="LF315" s="8">
        <v>-28</v>
      </c>
      <c r="LG315" s="28">
        <v>24</v>
      </c>
      <c r="LJ315" s="8">
        <v>272</v>
      </c>
      <c r="LK315" s="28">
        <v>674</v>
      </c>
      <c r="LW315" s="8">
        <v>8</v>
      </c>
      <c r="LX315" s="28">
        <v>47</v>
      </c>
      <c r="MF315" s="8">
        <v>542</v>
      </c>
      <c r="MG315" s="12">
        <v>150</v>
      </c>
      <c r="NC315" s="8">
        <v>275</v>
      </c>
      <c r="ND315" s="12">
        <v>172</v>
      </c>
      <c r="PP315" s="8">
        <v>951</v>
      </c>
      <c r="TZ315" s="8">
        <v>157</v>
      </c>
      <c r="UA315" s="12">
        <v>612</v>
      </c>
      <c r="VL315" s="21"/>
      <c r="VQ315" s="6">
        <v>-5</v>
      </c>
    </row>
    <row r="316" spans="22:590" x14ac:dyDescent="0.25">
      <c r="V316">
        <v>12</v>
      </c>
      <c r="W316" s="10">
        <v>18</v>
      </c>
      <c r="BT316">
        <v>-129</v>
      </c>
      <c r="BU316" s="1">
        <v>112</v>
      </c>
      <c r="CE316" s="8">
        <v>299</v>
      </c>
      <c r="CF316" s="28">
        <v>38</v>
      </c>
      <c r="CZ316" s="23">
        <v>215</v>
      </c>
      <c r="DA316" s="25">
        <v>349</v>
      </c>
      <c r="DH316" s="23">
        <v>195</v>
      </c>
      <c r="DI316" s="25">
        <v>277</v>
      </c>
      <c r="DL316" s="8">
        <v>-8</v>
      </c>
      <c r="EG316" s="6">
        <v>527</v>
      </c>
      <c r="EH316" s="28">
        <v>538</v>
      </c>
      <c r="EN316" s="8">
        <v>-129</v>
      </c>
      <c r="EO316" s="28">
        <v>66</v>
      </c>
      <c r="EX316" s="8">
        <v>-208</v>
      </c>
      <c r="EY316" s="28">
        <v>172</v>
      </c>
      <c r="FM316" s="8">
        <v>-182</v>
      </c>
      <c r="FN316" s="52">
        <v>295</v>
      </c>
      <c r="FS316" s="8">
        <v>-87</v>
      </c>
      <c r="FT316" s="52">
        <v>132</v>
      </c>
      <c r="GP316" s="6">
        <v>31</v>
      </c>
      <c r="GQ316" s="52">
        <v>25</v>
      </c>
      <c r="GT316" s="6">
        <v>-140</v>
      </c>
      <c r="GU316" s="52">
        <v>952</v>
      </c>
      <c r="IB316" s="8">
        <v>411</v>
      </c>
      <c r="IC316" s="28">
        <v>135</v>
      </c>
      <c r="IY316" s="8">
        <v>122</v>
      </c>
      <c r="JW316" s="6">
        <v>52</v>
      </c>
      <c r="JX316" s="12">
        <v>17</v>
      </c>
      <c r="LF316" s="8">
        <v>-18</v>
      </c>
      <c r="LG316" s="28">
        <v>34</v>
      </c>
      <c r="LJ316" s="8">
        <v>426</v>
      </c>
      <c r="LK316" s="28">
        <v>357</v>
      </c>
      <c r="LW316" s="8">
        <v>-56</v>
      </c>
      <c r="LX316" s="28">
        <v>42</v>
      </c>
      <c r="MF316" s="8">
        <v>-753</v>
      </c>
      <c r="MG316" s="12">
        <v>416</v>
      </c>
      <c r="NC316" s="8">
        <v>165</v>
      </c>
      <c r="ND316" s="12">
        <v>237</v>
      </c>
      <c r="PP316" s="8">
        <v>949</v>
      </c>
      <c r="TZ316" s="8">
        <v>141</v>
      </c>
      <c r="UA316" s="12">
        <v>416</v>
      </c>
      <c r="VL316" s="21"/>
      <c r="VQ316" s="6">
        <v>239</v>
      </c>
    </row>
    <row r="317" spans="22:590" x14ac:dyDescent="0.25">
      <c r="V317">
        <v>-14</v>
      </c>
      <c r="W317" s="10">
        <v>202</v>
      </c>
      <c r="BT317">
        <v>-119</v>
      </c>
      <c r="BU317" s="1">
        <v>132</v>
      </c>
      <c r="CE317" s="8">
        <v>370</v>
      </c>
      <c r="CF317" s="28">
        <v>28</v>
      </c>
      <c r="CZ317" s="23">
        <v>568</v>
      </c>
      <c r="DA317" s="25">
        <v>118</v>
      </c>
      <c r="DH317" s="23">
        <v>-821</v>
      </c>
      <c r="DI317" s="25">
        <v>246</v>
      </c>
      <c r="DL317" s="8">
        <v>-7</v>
      </c>
      <c r="EG317" s="6">
        <v>715</v>
      </c>
      <c r="EH317" s="28">
        <v>589</v>
      </c>
      <c r="EN317" s="8">
        <v>-48</v>
      </c>
      <c r="EO317" s="28">
        <v>64</v>
      </c>
      <c r="EX317" s="8">
        <v>325</v>
      </c>
      <c r="EY317" s="28">
        <v>131</v>
      </c>
      <c r="FM317" s="8">
        <v>-441</v>
      </c>
      <c r="FN317" s="52">
        <v>193</v>
      </c>
      <c r="FS317" s="8">
        <v>-88</v>
      </c>
      <c r="FT317" s="52">
        <v>132</v>
      </c>
      <c r="GP317" s="6">
        <v>208</v>
      </c>
      <c r="GQ317" s="52">
        <v>301</v>
      </c>
      <c r="GT317" s="6">
        <v>236</v>
      </c>
      <c r="GU317" s="52">
        <v>958</v>
      </c>
      <c r="IB317" s="8">
        <v>644</v>
      </c>
      <c r="IC317" s="28">
        <v>138</v>
      </c>
      <c r="IY317" s="8">
        <v>-180</v>
      </c>
      <c r="JW317" s="6">
        <v>166</v>
      </c>
      <c r="JX317" s="12">
        <v>55</v>
      </c>
      <c r="LF317" s="8">
        <v>-11</v>
      </c>
      <c r="LG317" s="28">
        <v>21</v>
      </c>
      <c r="LJ317" s="8">
        <v>-549</v>
      </c>
      <c r="LK317" s="28">
        <v>689</v>
      </c>
      <c r="LW317" s="8">
        <v>-34</v>
      </c>
      <c r="LX317" s="28">
        <v>47</v>
      </c>
      <c r="MF317" s="8">
        <v>-982</v>
      </c>
      <c r="MG317" s="12">
        <v>526</v>
      </c>
      <c r="NC317" s="8">
        <v>194</v>
      </c>
      <c r="ND317" s="12">
        <v>48</v>
      </c>
      <c r="PP317" s="8">
        <v>129</v>
      </c>
      <c r="TZ317" s="8">
        <v>118</v>
      </c>
      <c r="UA317" s="12">
        <v>324</v>
      </c>
      <c r="VL317" s="21"/>
      <c r="VQ317" s="6">
        <v>-16</v>
      </c>
    </row>
    <row r="318" spans="22:590" x14ac:dyDescent="0.25">
      <c r="V318">
        <v>-2</v>
      </c>
      <c r="W318" s="10">
        <v>44</v>
      </c>
      <c r="BT318">
        <v>4</v>
      </c>
      <c r="BU318" s="28">
        <v>5</v>
      </c>
      <c r="CE318" s="8">
        <v>439</v>
      </c>
      <c r="CF318" s="28">
        <v>33</v>
      </c>
      <c r="CZ318" s="23">
        <v>-390</v>
      </c>
      <c r="DA318" s="25">
        <v>128</v>
      </c>
      <c r="DH318" s="23">
        <v>-749</v>
      </c>
      <c r="DI318" s="25">
        <v>384</v>
      </c>
      <c r="DL318" s="8">
        <v>-12</v>
      </c>
      <c r="EG318" s="6">
        <v>734</v>
      </c>
      <c r="EH318" s="28">
        <v>638</v>
      </c>
      <c r="EN318" s="8">
        <v>22</v>
      </c>
      <c r="EO318" s="28">
        <v>8</v>
      </c>
      <c r="EX318" s="8">
        <v>-624</v>
      </c>
      <c r="EY318" s="28">
        <v>118</v>
      </c>
      <c r="FM318" s="8">
        <v>-10</v>
      </c>
      <c r="FN318" s="52">
        <v>1</v>
      </c>
      <c r="FS318" s="8">
        <v>-89</v>
      </c>
      <c r="FT318" s="52">
        <v>133</v>
      </c>
      <c r="GP318" s="6">
        <v>199</v>
      </c>
      <c r="GQ318" s="52">
        <v>175</v>
      </c>
      <c r="GT318" s="6">
        <v>-417</v>
      </c>
      <c r="GU318" s="52">
        <v>161</v>
      </c>
      <c r="IB318" s="8">
        <v>-660</v>
      </c>
      <c r="IC318" s="28">
        <v>309</v>
      </c>
      <c r="IY318" s="8">
        <v>297</v>
      </c>
      <c r="JW318" s="6">
        <v>165</v>
      </c>
      <c r="JX318" s="12">
        <v>54</v>
      </c>
      <c r="LF318" s="8">
        <v>-208</v>
      </c>
      <c r="LG318" s="28">
        <v>176</v>
      </c>
      <c r="LJ318" s="8">
        <v>345</v>
      </c>
      <c r="LK318" s="28">
        <v>367</v>
      </c>
      <c r="LW318" s="8">
        <v>43</v>
      </c>
      <c r="LX318" s="28">
        <v>60</v>
      </c>
      <c r="MF318" s="8">
        <v>347</v>
      </c>
      <c r="MG318" s="12">
        <v>213</v>
      </c>
      <c r="NC318" s="8">
        <v>-586</v>
      </c>
      <c r="ND318" s="12">
        <v>156</v>
      </c>
      <c r="PP318" s="8">
        <v>288</v>
      </c>
      <c r="TZ318" s="8">
        <v>86</v>
      </c>
      <c r="UA318" s="12">
        <v>273</v>
      </c>
      <c r="VL318" s="21"/>
      <c r="VQ318" s="6">
        <v>-63</v>
      </c>
    </row>
    <row r="319" spans="22:590" x14ac:dyDescent="0.25">
      <c r="V319">
        <v>-11</v>
      </c>
      <c r="W319" s="10">
        <v>206</v>
      </c>
      <c r="BT319">
        <v>-208</v>
      </c>
      <c r="BU319" s="28">
        <v>26</v>
      </c>
      <c r="CE319" s="8">
        <v>517</v>
      </c>
      <c r="CF319" s="28">
        <v>27</v>
      </c>
      <c r="CZ319" s="23">
        <v>-194</v>
      </c>
      <c r="DA319" s="25">
        <v>877</v>
      </c>
      <c r="DH319" s="23">
        <v>-473</v>
      </c>
      <c r="DI319" s="25">
        <v>406</v>
      </c>
      <c r="DL319" s="8">
        <v>217</v>
      </c>
      <c r="EG319" s="6">
        <v>-609</v>
      </c>
      <c r="EH319" s="28">
        <v>103</v>
      </c>
      <c r="EN319" s="8">
        <v>-120</v>
      </c>
      <c r="EO319" s="28">
        <v>10</v>
      </c>
      <c r="EX319" s="8">
        <v>148</v>
      </c>
      <c r="EY319" s="28">
        <v>117</v>
      </c>
      <c r="FM319" s="8">
        <v>-102</v>
      </c>
      <c r="FN319" s="52">
        <v>84</v>
      </c>
      <c r="FS319" s="8">
        <v>-84</v>
      </c>
      <c r="FT319" s="52">
        <v>127</v>
      </c>
      <c r="GP319" s="6">
        <v>68</v>
      </c>
      <c r="GQ319" s="52">
        <v>136</v>
      </c>
      <c r="GT319" s="6">
        <v>141</v>
      </c>
      <c r="GU319" s="52">
        <v>495</v>
      </c>
      <c r="IB319" s="8">
        <v>370</v>
      </c>
      <c r="IC319" s="28">
        <v>136</v>
      </c>
      <c r="IY319" s="8">
        <v>109</v>
      </c>
      <c r="JW319" s="6">
        <v>-110</v>
      </c>
      <c r="JX319" s="12">
        <v>88</v>
      </c>
      <c r="LF319" s="8">
        <v>-50</v>
      </c>
      <c r="LG319" s="28">
        <v>127</v>
      </c>
      <c r="LJ319" s="8">
        <v>350</v>
      </c>
      <c r="LK319" s="28">
        <v>189</v>
      </c>
      <c r="LW319" s="8">
        <v>-125</v>
      </c>
      <c r="LX319" s="28">
        <v>56</v>
      </c>
      <c r="MF319" s="8">
        <v>-803</v>
      </c>
      <c r="MG319" s="12">
        <v>442</v>
      </c>
      <c r="NC319" s="8">
        <v>-285</v>
      </c>
      <c r="ND319" s="12">
        <v>58</v>
      </c>
      <c r="PP319" s="8">
        <v>228</v>
      </c>
      <c r="TZ319" s="8">
        <v>47</v>
      </c>
      <c r="UA319" s="12">
        <v>240</v>
      </c>
      <c r="VL319" s="21"/>
      <c r="VQ319" s="6">
        <v>6</v>
      </c>
    </row>
    <row r="320" spans="22:590" x14ac:dyDescent="0.25">
      <c r="V320">
        <v>-14</v>
      </c>
      <c r="W320" s="10">
        <v>194</v>
      </c>
      <c r="BT320">
        <v>-11</v>
      </c>
      <c r="BU320" s="28">
        <v>343</v>
      </c>
      <c r="CE320" s="8">
        <v>656</v>
      </c>
      <c r="CF320" s="28">
        <v>28</v>
      </c>
      <c r="CZ320" s="23">
        <v>3</v>
      </c>
      <c r="DA320" s="25">
        <v>1</v>
      </c>
      <c r="DH320" s="23">
        <v>394</v>
      </c>
      <c r="DI320" s="25">
        <v>372</v>
      </c>
      <c r="DL320" s="8">
        <v>-16</v>
      </c>
      <c r="EG320" s="6">
        <v>-592</v>
      </c>
      <c r="EH320" s="28">
        <v>102</v>
      </c>
      <c r="EN320" s="8">
        <v>-26</v>
      </c>
      <c r="EO320" s="28">
        <v>9</v>
      </c>
      <c r="EX320" s="8">
        <v>514</v>
      </c>
      <c r="EY320" s="28">
        <v>157</v>
      </c>
      <c r="FM320" s="8">
        <v>-250</v>
      </c>
      <c r="FN320" s="52">
        <v>169</v>
      </c>
      <c r="FS320" s="8">
        <v>-887</v>
      </c>
      <c r="FT320" s="52">
        <v>100</v>
      </c>
      <c r="GP320" s="6">
        <v>284</v>
      </c>
      <c r="GQ320" s="52">
        <v>463</v>
      </c>
      <c r="GT320" s="6">
        <v>7</v>
      </c>
      <c r="GU320" s="52">
        <v>136</v>
      </c>
      <c r="IB320" s="8">
        <v>144</v>
      </c>
      <c r="IC320" s="28">
        <v>120</v>
      </c>
      <c r="IY320" s="8">
        <v>361</v>
      </c>
      <c r="JW320" s="6">
        <v>-961</v>
      </c>
      <c r="JX320" s="12">
        <v>534</v>
      </c>
      <c r="LF320" s="8">
        <v>-104</v>
      </c>
      <c r="LG320" s="28">
        <v>101</v>
      </c>
      <c r="LJ320" s="8">
        <v>168</v>
      </c>
      <c r="LK320" s="28">
        <v>750</v>
      </c>
      <c r="LW320" s="8">
        <v>18</v>
      </c>
      <c r="LX320" s="28">
        <v>60</v>
      </c>
      <c r="MF320" s="8">
        <v>-114</v>
      </c>
      <c r="MG320" s="12">
        <v>621</v>
      </c>
      <c r="NC320" s="8">
        <v>365</v>
      </c>
      <c r="ND320" s="12">
        <v>82</v>
      </c>
      <c r="PP320" s="8">
        <v>142</v>
      </c>
      <c r="TZ320" s="8">
        <v>103</v>
      </c>
      <c r="UA320" s="12">
        <v>111</v>
      </c>
      <c r="VL320" s="21"/>
      <c r="VQ320" s="6">
        <v>-44</v>
      </c>
    </row>
    <row r="321" spans="22:589" x14ac:dyDescent="0.25">
      <c r="V321">
        <v>-11</v>
      </c>
      <c r="W321" s="10">
        <v>201</v>
      </c>
      <c r="BT321">
        <v>-350</v>
      </c>
      <c r="BU321" s="28">
        <v>277</v>
      </c>
      <c r="CE321" s="8">
        <v>800</v>
      </c>
      <c r="CF321" s="28">
        <v>31</v>
      </c>
      <c r="CZ321" s="23">
        <v>14</v>
      </c>
      <c r="DA321" s="25">
        <v>4</v>
      </c>
      <c r="DH321" s="23">
        <v>-115</v>
      </c>
      <c r="DI321" s="25">
        <v>336</v>
      </c>
      <c r="DL321" s="8">
        <v>22</v>
      </c>
      <c r="EG321" s="6">
        <v>-629</v>
      </c>
      <c r="EH321" s="28">
        <v>102</v>
      </c>
      <c r="EN321" s="8">
        <v>38</v>
      </c>
      <c r="EO321" s="28">
        <v>9</v>
      </c>
      <c r="EX321" s="8">
        <v>129</v>
      </c>
      <c r="EY321" s="28">
        <v>129</v>
      </c>
      <c r="FM321" s="8">
        <v>104</v>
      </c>
      <c r="FN321" s="52">
        <v>8</v>
      </c>
      <c r="FS321" s="8">
        <v>-843</v>
      </c>
      <c r="FT321" s="52">
        <v>98</v>
      </c>
      <c r="GP321" s="6">
        <v>-311</v>
      </c>
      <c r="GQ321" s="52">
        <v>209</v>
      </c>
      <c r="GT321" s="6">
        <v>33</v>
      </c>
      <c r="GU321" s="52">
        <v>686</v>
      </c>
      <c r="IB321" s="8">
        <v>140</v>
      </c>
      <c r="IC321" s="28">
        <v>122</v>
      </c>
      <c r="IY321" s="8">
        <v>-701</v>
      </c>
      <c r="JW321" s="6">
        <v>-778</v>
      </c>
      <c r="JX321" s="12">
        <v>668</v>
      </c>
      <c r="LF321" s="8">
        <v>-92</v>
      </c>
      <c r="LG321" s="28">
        <v>120</v>
      </c>
      <c r="LJ321" s="8">
        <v>109</v>
      </c>
      <c r="LK321" s="28">
        <v>187</v>
      </c>
      <c r="LW321" s="8">
        <v>-26</v>
      </c>
      <c r="LX321" s="28">
        <v>25</v>
      </c>
      <c r="MF321" s="8">
        <v>88</v>
      </c>
      <c r="MG321" s="12">
        <v>140</v>
      </c>
      <c r="NC321" s="8">
        <v>669</v>
      </c>
      <c r="ND321" s="12">
        <v>168</v>
      </c>
      <c r="PP321" s="8">
        <v>596</v>
      </c>
      <c r="TZ321" s="8">
        <v>115</v>
      </c>
      <c r="UA321" s="12">
        <v>271</v>
      </c>
      <c r="VL321" s="21"/>
      <c r="VQ321" s="6">
        <v>70</v>
      </c>
    </row>
    <row r="322" spans="22:589" x14ac:dyDescent="0.25">
      <c r="V322">
        <v>-12</v>
      </c>
      <c r="W322" s="10">
        <v>193</v>
      </c>
      <c r="BT322">
        <v>-301</v>
      </c>
      <c r="BU322" s="28">
        <v>20</v>
      </c>
      <c r="CE322" s="8">
        <v>-19</v>
      </c>
      <c r="CF322" s="28">
        <v>41</v>
      </c>
      <c r="CZ322" s="23">
        <v>-22</v>
      </c>
      <c r="DA322" s="25">
        <v>13</v>
      </c>
      <c r="DH322" s="23">
        <v>-105</v>
      </c>
      <c r="DI322" s="25">
        <v>365</v>
      </c>
      <c r="DL322" s="8">
        <v>13</v>
      </c>
      <c r="EG322" s="6">
        <v>-655</v>
      </c>
      <c r="EH322" s="28">
        <v>103</v>
      </c>
      <c r="EN322" s="8">
        <v>17</v>
      </c>
      <c r="EO322" s="28">
        <v>10</v>
      </c>
      <c r="EX322" s="8">
        <v>185</v>
      </c>
      <c r="EY322" s="28">
        <v>106</v>
      </c>
      <c r="FM322" s="8">
        <v>-335</v>
      </c>
      <c r="FN322" s="52">
        <v>16</v>
      </c>
      <c r="FS322" s="8">
        <v>-812</v>
      </c>
      <c r="FT322" s="52">
        <v>96</v>
      </c>
      <c r="GP322" s="6">
        <v>178</v>
      </c>
      <c r="GQ322" s="52">
        <v>169</v>
      </c>
      <c r="GT322" s="6">
        <v>1</v>
      </c>
      <c r="GU322" s="52">
        <v>952</v>
      </c>
      <c r="IB322" s="8">
        <v>145</v>
      </c>
      <c r="IC322" s="28">
        <v>120</v>
      </c>
      <c r="IY322" s="8">
        <v>-510</v>
      </c>
      <c r="JW322" s="6">
        <v>-570</v>
      </c>
      <c r="JX322" s="12">
        <v>338</v>
      </c>
      <c r="LF322" s="8">
        <v>-40</v>
      </c>
      <c r="LG322" s="28">
        <v>86</v>
      </c>
      <c r="LJ322" s="8">
        <v>-129</v>
      </c>
      <c r="LK322" s="28">
        <v>543</v>
      </c>
      <c r="LW322" s="8">
        <v>54</v>
      </c>
      <c r="LX322" s="28">
        <v>37</v>
      </c>
      <c r="MF322" s="8">
        <v>85</v>
      </c>
      <c r="MG322" s="12">
        <v>235</v>
      </c>
      <c r="NC322" s="8">
        <v>-28</v>
      </c>
      <c r="ND322" s="12">
        <v>62</v>
      </c>
      <c r="PP322" s="8">
        <v>484</v>
      </c>
      <c r="TZ322" s="8">
        <v>573</v>
      </c>
      <c r="UA322" s="12">
        <v>302</v>
      </c>
      <c r="VL322" s="21"/>
      <c r="VQ322" s="6">
        <v>62</v>
      </c>
    </row>
    <row r="323" spans="22:589" x14ac:dyDescent="0.25">
      <c r="V323">
        <v>-10</v>
      </c>
      <c r="W323" s="10">
        <v>286</v>
      </c>
      <c r="BT323">
        <v>-114</v>
      </c>
      <c r="BU323" s="1">
        <v>16</v>
      </c>
      <c r="CE323" s="8">
        <v>-233</v>
      </c>
      <c r="CF323" s="28">
        <v>57</v>
      </c>
      <c r="CZ323" s="23">
        <v>-2</v>
      </c>
      <c r="DA323" s="25">
        <v>5</v>
      </c>
      <c r="DH323" s="23">
        <f>123</f>
        <v>123</v>
      </c>
      <c r="DI323" s="25">
        <v>380</v>
      </c>
      <c r="DL323" s="8">
        <v>5</v>
      </c>
      <c r="EG323" s="6">
        <v>-660</v>
      </c>
      <c r="EH323" s="28">
        <v>104</v>
      </c>
      <c r="EN323" s="8">
        <v>94</v>
      </c>
      <c r="EO323" s="28">
        <v>9</v>
      </c>
      <c r="EX323" s="8">
        <v>106</v>
      </c>
      <c r="EY323" s="28">
        <v>127</v>
      </c>
      <c r="FM323" s="8">
        <v>-279</v>
      </c>
      <c r="FN323" s="52">
        <v>266</v>
      </c>
      <c r="FS323" s="8">
        <v>-880</v>
      </c>
      <c r="FT323" s="52">
        <v>103</v>
      </c>
      <c r="GP323" s="6">
        <v>-104</v>
      </c>
      <c r="GQ323" s="52">
        <v>421</v>
      </c>
      <c r="GT323" s="6">
        <v>44</v>
      </c>
      <c r="GU323" s="52">
        <v>111</v>
      </c>
      <c r="IB323" s="8">
        <v>-857</v>
      </c>
      <c r="IC323" s="28">
        <v>269</v>
      </c>
      <c r="IY323" s="8">
        <v>-124</v>
      </c>
      <c r="JW323" s="6">
        <v>-436</v>
      </c>
      <c r="JX323" s="12">
        <v>121</v>
      </c>
      <c r="LF323" s="8">
        <v>31</v>
      </c>
      <c r="LG323" s="28">
        <v>56</v>
      </c>
      <c r="LJ323" s="8">
        <v>-778</v>
      </c>
      <c r="LK323" s="28">
        <v>392</v>
      </c>
      <c r="LW323" s="8">
        <v>-40</v>
      </c>
      <c r="LX323" s="28">
        <v>49</v>
      </c>
      <c r="MF323" s="8">
        <v>113</v>
      </c>
      <c r="MG323" s="12">
        <v>121</v>
      </c>
      <c r="NC323" s="8">
        <v>-98</v>
      </c>
      <c r="ND323" s="12">
        <v>279</v>
      </c>
      <c r="PP323" s="8">
        <v>359</v>
      </c>
      <c r="TZ323" s="8">
        <v>209</v>
      </c>
      <c r="UA323" s="12">
        <v>486</v>
      </c>
      <c r="VL323" s="21"/>
      <c r="VQ323" s="6">
        <v>317</v>
      </c>
    </row>
    <row r="324" spans="22:589" x14ac:dyDescent="0.25">
      <c r="V324">
        <v>-3</v>
      </c>
      <c r="W324" s="10">
        <v>120</v>
      </c>
      <c r="BT324">
        <v>68</v>
      </c>
      <c r="BU324" s="1">
        <v>33</v>
      </c>
      <c r="CE324" s="8">
        <v>215</v>
      </c>
      <c r="CF324" s="28">
        <v>38</v>
      </c>
      <c r="CZ324" s="23">
        <v>66</v>
      </c>
      <c r="DA324" s="25">
        <v>45</v>
      </c>
      <c r="DH324" s="23">
        <v>-139</v>
      </c>
      <c r="DI324" s="25">
        <v>418</v>
      </c>
      <c r="DL324" s="8">
        <v>-3</v>
      </c>
      <c r="EG324" s="6">
        <v>-698</v>
      </c>
      <c r="EH324" s="28">
        <v>104</v>
      </c>
      <c r="EN324" s="8">
        <v>6</v>
      </c>
      <c r="EO324" s="28">
        <v>14</v>
      </c>
      <c r="EX324" s="8">
        <v>618</v>
      </c>
      <c r="EY324" s="28">
        <v>157</v>
      </c>
      <c r="FM324" s="8">
        <v>-33</v>
      </c>
      <c r="FN324" s="52">
        <v>143</v>
      </c>
      <c r="FS324" s="8">
        <v>-831</v>
      </c>
      <c r="FT324" s="52">
        <v>97</v>
      </c>
      <c r="GP324" s="6">
        <v>203</v>
      </c>
      <c r="GQ324" s="52">
        <v>228</v>
      </c>
      <c r="GT324" s="6">
        <v>64</v>
      </c>
      <c r="GU324" s="52">
        <v>162</v>
      </c>
      <c r="IB324" s="8">
        <v>800</v>
      </c>
      <c r="IC324" s="28">
        <v>115</v>
      </c>
      <c r="IY324" s="8">
        <v>647</v>
      </c>
      <c r="JW324" s="6">
        <v>-452</v>
      </c>
      <c r="JX324" s="12">
        <v>109</v>
      </c>
      <c r="LF324" s="8">
        <v>-36</v>
      </c>
      <c r="LG324" s="28">
        <v>26</v>
      </c>
      <c r="LJ324" s="8">
        <v>-443</v>
      </c>
      <c r="LK324" s="28">
        <v>276</v>
      </c>
      <c r="LW324" s="8">
        <v>-57</v>
      </c>
      <c r="LX324" s="28">
        <v>48</v>
      </c>
      <c r="MF324" s="8">
        <v>-912</v>
      </c>
      <c r="MG324" s="12">
        <v>463</v>
      </c>
      <c r="NC324" s="8">
        <v>-454</v>
      </c>
      <c r="ND324" s="12">
        <v>297</v>
      </c>
      <c r="PP324" s="8">
        <v>149</v>
      </c>
      <c r="TZ324" s="8">
        <v>-69</v>
      </c>
      <c r="UA324" s="12">
        <v>925</v>
      </c>
      <c r="VL324" s="21"/>
      <c r="VQ324" s="6">
        <v>138</v>
      </c>
    </row>
    <row r="325" spans="22:589" x14ac:dyDescent="0.25">
      <c r="V325">
        <v>-18</v>
      </c>
      <c r="W325" s="10">
        <v>288</v>
      </c>
      <c r="BT325">
        <v>-14</v>
      </c>
      <c r="BU325" s="1">
        <v>34</v>
      </c>
      <c r="BV325" s="8"/>
      <c r="CE325" s="8">
        <v>-17</v>
      </c>
      <c r="CF325" s="28">
        <v>33</v>
      </c>
      <c r="CZ325" s="23">
        <v>-136</v>
      </c>
      <c r="DA325" s="25">
        <v>56</v>
      </c>
      <c r="DH325" s="23">
        <v>-117</v>
      </c>
      <c r="DI325" s="25">
        <v>497</v>
      </c>
      <c r="DL325" s="8">
        <v>-4</v>
      </c>
      <c r="EG325" s="6">
        <v>-700</v>
      </c>
      <c r="EH325" s="28">
        <v>104</v>
      </c>
      <c r="EN325" s="8">
        <v>1</v>
      </c>
      <c r="EO325" s="28">
        <v>8</v>
      </c>
      <c r="EX325" s="8">
        <v>348</v>
      </c>
      <c r="EY325" s="28">
        <v>129</v>
      </c>
      <c r="FM325" s="8">
        <v>-949</v>
      </c>
      <c r="FN325" s="52">
        <v>145</v>
      </c>
      <c r="FS325" s="8">
        <v>-797</v>
      </c>
      <c r="FT325" s="52">
        <v>97</v>
      </c>
      <c r="GP325" s="6">
        <v>115</v>
      </c>
      <c r="GQ325" s="52">
        <v>353</v>
      </c>
      <c r="GT325" s="6">
        <v>-283</v>
      </c>
      <c r="GU325" s="52">
        <v>125</v>
      </c>
      <c r="IB325" s="8">
        <v>-627</v>
      </c>
      <c r="IC325" s="28">
        <v>693</v>
      </c>
      <c r="IY325" s="8">
        <v>310</v>
      </c>
      <c r="JW325" s="6">
        <v>-473</v>
      </c>
      <c r="JX325" s="12">
        <v>142</v>
      </c>
      <c r="LF325" s="8">
        <v>8</v>
      </c>
      <c r="LG325" s="28">
        <v>44</v>
      </c>
      <c r="LJ325" s="8">
        <v>904</v>
      </c>
      <c r="LK325" s="28">
        <v>577</v>
      </c>
      <c r="LW325" s="8">
        <v>-39</v>
      </c>
      <c r="LX325" s="28">
        <v>43</v>
      </c>
      <c r="MF325" s="8">
        <v>-147</v>
      </c>
      <c r="MG325" s="12">
        <v>632</v>
      </c>
      <c r="NC325" s="8">
        <v>-18</v>
      </c>
      <c r="ND325" s="12">
        <v>10</v>
      </c>
      <c r="PP325" s="8">
        <v>276</v>
      </c>
      <c r="TZ325" s="8">
        <v>-262</v>
      </c>
      <c r="UA325" s="12">
        <v>171</v>
      </c>
      <c r="VL325" s="21"/>
      <c r="VQ325" s="6">
        <v>247</v>
      </c>
    </row>
    <row r="326" spans="22:589" x14ac:dyDescent="0.25">
      <c r="V326">
        <v>-12</v>
      </c>
      <c r="W326" s="10">
        <v>191</v>
      </c>
      <c r="BT326">
        <v>192</v>
      </c>
      <c r="BU326" s="1">
        <v>279</v>
      </c>
      <c r="BV326" s="8"/>
      <c r="CE326" s="8">
        <v>-89</v>
      </c>
      <c r="CF326" s="28">
        <v>55</v>
      </c>
      <c r="CZ326" s="23">
        <v>-9</v>
      </c>
      <c r="DA326" s="25">
        <v>61</v>
      </c>
      <c r="DH326" s="23">
        <v>105</v>
      </c>
      <c r="DI326" s="25">
        <v>307</v>
      </c>
      <c r="DL326" s="8">
        <v>5</v>
      </c>
      <c r="EG326" s="6">
        <v>-693</v>
      </c>
      <c r="EH326" s="28">
        <v>105</v>
      </c>
      <c r="EN326" s="8">
        <v>-330</v>
      </c>
      <c r="EO326" s="28">
        <v>29</v>
      </c>
      <c r="EX326" s="8">
        <v>438</v>
      </c>
      <c r="EY326" s="28">
        <v>111</v>
      </c>
      <c r="FM326" s="8">
        <v>-163</v>
      </c>
      <c r="FN326" s="52">
        <v>40</v>
      </c>
      <c r="FS326" s="8">
        <v>-413</v>
      </c>
      <c r="FT326" s="52">
        <v>133</v>
      </c>
      <c r="GP326" s="6">
        <v>194</v>
      </c>
      <c r="GQ326" s="52">
        <v>303</v>
      </c>
      <c r="GT326" s="6">
        <v>-291</v>
      </c>
      <c r="GU326" s="52">
        <v>137</v>
      </c>
      <c r="IB326" s="8">
        <v>-780</v>
      </c>
      <c r="IC326" s="28">
        <v>666</v>
      </c>
      <c r="IY326" s="8">
        <v>101</v>
      </c>
      <c r="JW326" s="6">
        <v>-458</v>
      </c>
      <c r="JX326" s="12">
        <v>122</v>
      </c>
      <c r="LF326" s="8">
        <v>-130</v>
      </c>
      <c r="LG326" s="28">
        <v>322</v>
      </c>
      <c r="LJ326" s="8">
        <v>357</v>
      </c>
      <c r="LK326" s="28">
        <v>363</v>
      </c>
      <c r="LW326" s="8">
        <v>-112</v>
      </c>
      <c r="LX326" s="28">
        <v>79</v>
      </c>
      <c r="MF326" s="8">
        <v>-234</v>
      </c>
      <c r="MG326" s="12">
        <v>481</v>
      </c>
      <c r="NC326" s="8">
        <v>391</v>
      </c>
      <c r="ND326" s="12">
        <v>169</v>
      </c>
      <c r="PP326" s="8">
        <v>221</v>
      </c>
      <c r="TZ326" s="8">
        <v>-316</v>
      </c>
      <c r="UA326" s="12">
        <v>193</v>
      </c>
      <c r="VL326" s="21"/>
      <c r="VQ326" s="6">
        <v>78</v>
      </c>
    </row>
    <row r="327" spans="22:589" x14ac:dyDescent="0.25">
      <c r="V327">
        <v>-213</v>
      </c>
      <c r="W327" s="10">
        <v>88</v>
      </c>
      <c r="BT327">
        <v>118</v>
      </c>
      <c r="BU327" s="1">
        <v>117</v>
      </c>
      <c r="BV327" s="8"/>
      <c r="CE327" s="8">
        <v>-450</v>
      </c>
      <c r="CF327" s="28">
        <v>15</v>
      </c>
      <c r="CZ327" s="23">
        <v>899</v>
      </c>
      <c r="DA327" s="25">
        <v>217</v>
      </c>
      <c r="DH327" s="23">
        <v>152</v>
      </c>
      <c r="DI327" s="25">
        <v>176</v>
      </c>
      <c r="DL327" s="8">
        <v>-16</v>
      </c>
      <c r="EG327" s="6">
        <v>-678</v>
      </c>
      <c r="EH327" s="28">
        <v>106</v>
      </c>
      <c r="EN327" s="8">
        <v>-411</v>
      </c>
      <c r="EO327" s="28">
        <v>31</v>
      </c>
      <c r="EX327" s="8">
        <v>301</v>
      </c>
      <c r="EY327" s="28">
        <v>112</v>
      </c>
      <c r="FM327" s="8">
        <v>-844</v>
      </c>
      <c r="FN327" s="52">
        <v>154</v>
      </c>
      <c r="FS327" s="8">
        <v>-362</v>
      </c>
      <c r="FT327" s="52">
        <v>121</v>
      </c>
      <c r="GP327" s="6">
        <v>235</v>
      </c>
      <c r="GQ327" s="52">
        <v>349</v>
      </c>
      <c r="GT327" s="6">
        <v>125</v>
      </c>
      <c r="GU327" s="52">
        <v>222</v>
      </c>
      <c r="IB327" s="8">
        <v>-572</v>
      </c>
      <c r="IC327" s="28">
        <v>694</v>
      </c>
      <c r="IY327" s="8">
        <v>49</v>
      </c>
      <c r="JW327" s="6">
        <v>-167</v>
      </c>
      <c r="JX327" s="12">
        <v>71</v>
      </c>
      <c r="LF327" s="8">
        <v>-62</v>
      </c>
      <c r="LG327" s="28">
        <v>243</v>
      </c>
      <c r="LJ327" s="8">
        <v>-386</v>
      </c>
      <c r="LK327" s="28">
        <v>776</v>
      </c>
      <c r="LW327" s="8">
        <v>11</v>
      </c>
      <c r="LX327" s="28">
        <v>61</v>
      </c>
      <c r="MF327" s="8">
        <v>-276</v>
      </c>
      <c r="MG327" s="12">
        <v>442</v>
      </c>
      <c r="NC327" s="8">
        <v>671</v>
      </c>
      <c r="ND327" s="12">
        <v>194</v>
      </c>
      <c r="PP327" s="8">
        <v>294</v>
      </c>
      <c r="TZ327" s="8">
        <v>-302</v>
      </c>
      <c r="UA327" s="12">
        <v>202</v>
      </c>
      <c r="VL327" s="21"/>
      <c r="VQ327" s="6">
        <v>-63</v>
      </c>
    </row>
    <row r="328" spans="22:589" x14ac:dyDescent="0.25">
      <c r="V328">
        <v>-186</v>
      </c>
      <c r="W328" s="10">
        <v>33</v>
      </c>
      <c r="BT328">
        <v>741</v>
      </c>
      <c r="BU328" s="1">
        <v>121</v>
      </c>
      <c r="BV328" s="8"/>
      <c r="CE328" s="8">
        <v>124</v>
      </c>
      <c r="CF328" s="28">
        <v>43</v>
      </c>
      <c r="CZ328" s="23">
        <v>340</v>
      </c>
      <c r="DA328" s="25">
        <v>136</v>
      </c>
      <c r="DH328" s="23">
        <v>-117</v>
      </c>
      <c r="DI328" s="25">
        <v>203</v>
      </c>
      <c r="DL328" s="8">
        <v>-15</v>
      </c>
      <c r="EG328" s="6">
        <v>-629</v>
      </c>
      <c r="EH328" s="28">
        <v>106</v>
      </c>
      <c r="EN328" s="8">
        <v>134</v>
      </c>
      <c r="EO328" s="28">
        <v>55</v>
      </c>
      <c r="EX328" s="8">
        <v>595</v>
      </c>
      <c r="EY328" s="28">
        <v>166</v>
      </c>
      <c r="FM328" s="8">
        <v>-298</v>
      </c>
      <c r="FN328" s="52">
        <v>45</v>
      </c>
      <c r="FS328" s="8">
        <v>-368</v>
      </c>
      <c r="FT328" s="52">
        <v>120</v>
      </c>
      <c r="GP328" s="6">
        <v>72</v>
      </c>
      <c r="GQ328" s="52">
        <v>100</v>
      </c>
      <c r="GT328" s="6">
        <v>-172</v>
      </c>
      <c r="GU328" s="52">
        <v>228</v>
      </c>
      <c r="IB328" s="8">
        <v>-758</v>
      </c>
      <c r="IC328" s="28">
        <v>668</v>
      </c>
      <c r="IY328" s="8">
        <v>-72</v>
      </c>
      <c r="JW328" s="6">
        <v>-458</v>
      </c>
      <c r="JX328" s="12">
        <v>113</v>
      </c>
      <c r="LF328" s="8">
        <v>-254</v>
      </c>
      <c r="LG328" s="28">
        <v>175</v>
      </c>
      <c r="LJ328" s="8">
        <v>-604</v>
      </c>
      <c r="LK328" s="28">
        <v>343</v>
      </c>
      <c r="LW328" s="8">
        <v>-1</v>
      </c>
      <c r="LX328" s="28">
        <v>46</v>
      </c>
      <c r="MF328" s="8">
        <v>-278</v>
      </c>
      <c r="MG328" s="12">
        <v>415</v>
      </c>
      <c r="NC328" s="8">
        <v>302</v>
      </c>
      <c r="ND328" s="12">
        <v>79</v>
      </c>
      <c r="PP328" s="8">
        <v>257</v>
      </c>
      <c r="TZ328" s="8">
        <v>-200</v>
      </c>
      <c r="UA328" s="12">
        <v>208</v>
      </c>
      <c r="VL328" s="21"/>
      <c r="VQ328" s="6">
        <v>100</v>
      </c>
    </row>
    <row r="329" spans="22:589" x14ac:dyDescent="0.25">
      <c r="V329">
        <v>-14083</v>
      </c>
      <c r="W329" s="10">
        <v>66</v>
      </c>
      <c r="BT329">
        <v>-225</v>
      </c>
      <c r="BU329" s="1">
        <v>177</v>
      </c>
      <c r="BV329" s="8"/>
      <c r="CE329" s="8">
        <v>175</v>
      </c>
      <c r="CF329" s="28">
        <v>40</v>
      </c>
      <c r="CZ329" s="23">
        <v>220</v>
      </c>
      <c r="DA329" s="25">
        <v>672</v>
      </c>
      <c r="DH329" s="23">
        <v>-332</v>
      </c>
      <c r="DI329" s="25">
        <v>385</v>
      </c>
      <c r="DL329" s="8">
        <v>-6</v>
      </c>
      <c r="EG329" s="6">
        <v>-606</v>
      </c>
      <c r="EH329" s="28">
        <v>107</v>
      </c>
      <c r="EN329" s="8">
        <v>490</v>
      </c>
      <c r="EO329" s="28">
        <v>93</v>
      </c>
      <c r="EX329" s="8">
        <v>655</v>
      </c>
      <c r="EY329" s="28">
        <v>115</v>
      </c>
      <c r="FM329" s="8">
        <v>-388</v>
      </c>
      <c r="FN329" s="52">
        <v>431</v>
      </c>
      <c r="FS329" s="8">
        <v>13</v>
      </c>
      <c r="FT329" s="52">
        <v>26</v>
      </c>
      <c r="GP329" s="6">
        <v>291</v>
      </c>
      <c r="GQ329" s="52">
        <v>311</v>
      </c>
      <c r="GT329" s="6">
        <v>13</v>
      </c>
      <c r="GU329" s="52">
        <v>33</v>
      </c>
      <c r="IB329" s="8">
        <v>-709</v>
      </c>
      <c r="IC329" s="28">
        <v>321</v>
      </c>
      <c r="IY329" s="8">
        <v>15</v>
      </c>
      <c r="JW329" s="6">
        <v>-123</v>
      </c>
      <c r="JX329" s="12">
        <v>464</v>
      </c>
      <c r="LF329" s="8">
        <v>-83</v>
      </c>
      <c r="LG329" s="28">
        <v>207</v>
      </c>
      <c r="LJ329" s="8">
        <v>165</v>
      </c>
      <c r="LK329" s="28">
        <v>737</v>
      </c>
      <c r="LW329" s="8">
        <v>-39</v>
      </c>
      <c r="LX329" s="28">
        <v>43</v>
      </c>
      <c r="MF329" s="8">
        <v>-117</v>
      </c>
      <c r="MG329" s="12">
        <v>172</v>
      </c>
      <c r="NC329" s="8">
        <v>-172</v>
      </c>
      <c r="ND329" s="12">
        <v>184</v>
      </c>
      <c r="PP329" s="8">
        <v>368</v>
      </c>
      <c r="TZ329" s="8">
        <v>784</v>
      </c>
      <c r="UA329" s="12">
        <v>65</v>
      </c>
      <c r="VL329" s="21"/>
      <c r="VQ329" s="6">
        <v>-99</v>
      </c>
    </row>
    <row r="330" spans="22:589" x14ac:dyDescent="0.25">
      <c r="V330">
        <v>-1</v>
      </c>
      <c r="W330" s="10">
        <v>907</v>
      </c>
      <c r="BT330">
        <v>-290</v>
      </c>
      <c r="BU330" s="1">
        <v>56</v>
      </c>
      <c r="BV330" s="8"/>
      <c r="CE330" s="8">
        <v>180</v>
      </c>
      <c r="CF330" s="28">
        <v>40</v>
      </c>
      <c r="CZ330" s="23">
        <v>-840</v>
      </c>
      <c r="DA330" s="25">
        <v>268</v>
      </c>
      <c r="DH330" s="23">
        <v>-317</v>
      </c>
      <c r="DI330" s="25">
        <v>348</v>
      </c>
      <c r="DL330" s="8">
        <v>-23</v>
      </c>
      <c r="EG330" s="6">
        <v>-808</v>
      </c>
      <c r="EH330" s="28">
        <v>107</v>
      </c>
      <c r="EN330" s="8">
        <v>264</v>
      </c>
      <c r="EO330" s="28">
        <v>48</v>
      </c>
      <c r="EX330" s="8">
        <v>539</v>
      </c>
      <c r="EY330" s="28">
        <v>116</v>
      </c>
      <c r="FM330" s="8">
        <v>-165</v>
      </c>
      <c r="FN330" s="52">
        <v>133</v>
      </c>
      <c r="FS330" s="8">
        <v>23</v>
      </c>
      <c r="FT330" s="52">
        <v>46</v>
      </c>
      <c r="GP330" s="6">
        <v>184</v>
      </c>
      <c r="GQ330" s="52">
        <v>454</v>
      </c>
      <c r="GT330" s="6">
        <v>71</v>
      </c>
      <c r="GU330" s="52">
        <v>110</v>
      </c>
      <c r="IB330" s="8">
        <v>-671</v>
      </c>
      <c r="IC330" s="28">
        <v>316</v>
      </c>
      <c r="IY330" s="8">
        <v>137</v>
      </c>
      <c r="JW330" s="6">
        <v>-154</v>
      </c>
      <c r="JX330" s="12">
        <v>692</v>
      </c>
      <c r="LF330" s="8">
        <v>27</v>
      </c>
      <c r="LG330" s="28">
        <v>76</v>
      </c>
      <c r="LJ330" s="8">
        <v>-122</v>
      </c>
      <c r="LK330" s="28">
        <v>505</v>
      </c>
      <c r="LW330" s="8">
        <v>-43</v>
      </c>
      <c r="LX330" s="28">
        <v>48</v>
      </c>
      <c r="MF330" s="8">
        <v>80</v>
      </c>
      <c r="MG330" s="12">
        <v>11</v>
      </c>
      <c r="NC330" s="8">
        <v>297</v>
      </c>
      <c r="ND330" s="12">
        <v>161</v>
      </c>
      <c r="PP330" s="8">
        <v>404</v>
      </c>
      <c r="TZ330" s="8">
        <v>181</v>
      </c>
      <c r="UA330" s="12">
        <v>300</v>
      </c>
      <c r="VL330" s="21"/>
      <c r="VQ330" s="6">
        <v>-85</v>
      </c>
    </row>
    <row r="331" spans="22:589" x14ac:dyDescent="0.25">
      <c r="V331">
        <v>-8</v>
      </c>
      <c r="W331" s="10">
        <v>162</v>
      </c>
      <c r="BT331">
        <v>15</v>
      </c>
      <c r="BU331" s="1">
        <v>12</v>
      </c>
      <c r="BV331" s="8"/>
      <c r="CE331" s="8">
        <v>186</v>
      </c>
      <c r="CF331" s="28">
        <v>41</v>
      </c>
      <c r="CZ331" s="23">
        <v>190</v>
      </c>
      <c r="DA331" s="25">
        <v>352</v>
      </c>
      <c r="DH331" s="23">
        <v>-395</v>
      </c>
      <c r="DI331" s="25">
        <v>310</v>
      </c>
      <c r="DL331" s="8">
        <v>-7</v>
      </c>
      <c r="EG331" s="6">
        <v>-47</v>
      </c>
      <c r="EH331" s="28">
        <v>33</v>
      </c>
      <c r="EN331" s="8">
        <v>361</v>
      </c>
      <c r="EO331" s="28">
        <v>73</v>
      </c>
      <c r="EX331" s="8">
        <v>560</v>
      </c>
      <c r="EY331" s="28">
        <v>113</v>
      </c>
      <c r="FM331" s="8">
        <v>-121</v>
      </c>
      <c r="FN331" s="52">
        <v>66</v>
      </c>
      <c r="FS331" s="8">
        <v>22</v>
      </c>
      <c r="FT331" s="52">
        <v>44</v>
      </c>
      <c r="GP331" s="6">
        <v>-17</v>
      </c>
      <c r="GQ331" s="52">
        <v>16</v>
      </c>
      <c r="GT331" s="6"/>
      <c r="IB331" s="8">
        <v>-686</v>
      </c>
      <c r="IC331" s="28">
        <v>321</v>
      </c>
      <c r="IY331" s="8">
        <v>226</v>
      </c>
      <c r="JW331" s="6">
        <v>-181</v>
      </c>
      <c r="JX331" s="12">
        <v>43</v>
      </c>
      <c r="LF331" s="8">
        <v>24</v>
      </c>
      <c r="LG331" s="28">
        <v>149</v>
      </c>
      <c r="LJ331" s="8">
        <v>174</v>
      </c>
      <c r="LK331" s="28">
        <v>318</v>
      </c>
      <c r="LW331" s="8">
        <v>-7</v>
      </c>
      <c r="LX331" s="28">
        <v>62</v>
      </c>
      <c r="MF331" s="8">
        <v>-189</v>
      </c>
      <c r="MG331" s="12">
        <v>280</v>
      </c>
      <c r="NC331" s="8">
        <v>394</v>
      </c>
      <c r="ND331" s="12">
        <v>95</v>
      </c>
      <c r="PP331" s="8">
        <v>259</v>
      </c>
      <c r="TZ331" s="8">
        <v>187</v>
      </c>
      <c r="UA331" s="12">
        <v>606</v>
      </c>
      <c r="VL331" s="21"/>
      <c r="VQ331" s="6">
        <v>-117</v>
      </c>
    </row>
    <row r="332" spans="22:589" x14ac:dyDescent="0.25">
      <c r="V332">
        <v>7</v>
      </c>
      <c r="W332" s="10">
        <v>231</v>
      </c>
      <c r="BT332">
        <v>-137</v>
      </c>
      <c r="BU332" s="1">
        <v>13</v>
      </c>
      <c r="CE332" s="8">
        <v>175</v>
      </c>
      <c r="CF332" s="28">
        <v>44</v>
      </c>
      <c r="CZ332" s="23">
        <v>576</v>
      </c>
      <c r="DA332" s="25">
        <v>117</v>
      </c>
      <c r="DH332" s="23">
        <v>-104</v>
      </c>
      <c r="DI332" s="25">
        <v>416</v>
      </c>
      <c r="DL332" s="8">
        <v>-12</v>
      </c>
      <c r="EG332" s="6">
        <v>17</v>
      </c>
      <c r="EH332" s="28">
        <v>41</v>
      </c>
      <c r="EN332" s="8">
        <v>256</v>
      </c>
      <c r="EO332" s="28">
        <v>52</v>
      </c>
      <c r="EX332" s="8">
        <v>548</v>
      </c>
      <c r="EY332" s="28">
        <v>154</v>
      </c>
      <c r="FM332" s="8">
        <v>418</v>
      </c>
      <c r="FN332" s="52">
        <v>66</v>
      </c>
      <c r="FS332" s="8">
        <v>11</v>
      </c>
      <c r="FT332" s="52">
        <v>22</v>
      </c>
      <c r="GP332" s="6">
        <v>230</v>
      </c>
      <c r="GQ332" s="52">
        <v>257</v>
      </c>
      <c r="GT332" s="6"/>
      <c r="IB332" s="8">
        <v>-649</v>
      </c>
      <c r="IC332" s="28">
        <v>316</v>
      </c>
      <c r="IY332" s="8">
        <v>247</v>
      </c>
      <c r="JW332" s="6">
        <v>-146</v>
      </c>
      <c r="JX332" s="12">
        <v>517</v>
      </c>
      <c r="LF332" s="8">
        <v>-76</v>
      </c>
      <c r="LG332" s="28">
        <v>69</v>
      </c>
      <c r="LJ332" s="8">
        <v>-415</v>
      </c>
      <c r="LK332" s="28">
        <v>678</v>
      </c>
      <c r="LW332" s="8">
        <v>-98</v>
      </c>
      <c r="LX332" s="28">
        <v>56</v>
      </c>
      <c r="MF332" s="8">
        <v>-543</v>
      </c>
      <c r="MG332" s="12">
        <v>276</v>
      </c>
      <c r="NC332" s="8">
        <v>277</v>
      </c>
      <c r="ND332" s="12">
        <v>173</v>
      </c>
      <c r="PP332" s="8">
        <v>268</v>
      </c>
      <c r="TZ332" s="8">
        <v>184</v>
      </c>
      <c r="UA332" s="12">
        <v>104</v>
      </c>
      <c r="VL332" s="21"/>
      <c r="VQ332" s="6">
        <v>-128</v>
      </c>
    </row>
    <row r="333" spans="22:589" x14ac:dyDescent="0.25">
      <c r="V333">
        <v>5</v>
      </c>
      <c r="W333" s="10">
        <v>424</v>
      </c>
      <c r="BT333">
        <v>-356</v>
      </c>
      <c r="BU333" s="1">
        <v>308</v>
      </c>
      <c r="CE333" s="8">
        <v>164</v>
      </c>
      <c r="CF333" s="28">
        <v>55</v>
      </c>
      <c r="CZ333" s="23">
        <v>-389</v>
      </c>
      <c r="DA333" s="25">
        <v>128</v>
      </c>
      <c r="DH333" s="23">
        <v>-137</v>
      </c>
      <c r="DI333" s="25">
        <v>347</v>
      </c>
      <c r="DL333" s="8">
        <v>-14</v>
      </c>
      <c r="EG333" s="6">
        <v>-333</v>
      </c>
      <c r="EH333" s="28">
        <v>242</v>
      </c>
      <c r="EN333" s="8">
        <v>235</v>
      </c>
      <c r="EO333" s="28">
        <v>53</v>
      </c>
      <c r="EX333" s="8">
        <v>245</v>
      </c>
      <c r="EY333" s="28">
        <v>118</v>
      </c>
      <c r="FM333" s="8">
        <v>173</v>
      </c>
      <c r="FN333" s="52">
        <v>350</v>
      </c>
      <c r="FS333" s="8">
        <v>21</v>
      </c>
      <c r="FT333" s="52">
        <v>43</v>
      </c>
      <c r="GP333" s="6">
        <v>304</v>
      </c>
      <c r="GQ333" s="52">
        <v>334</v>
      </c>
      <c r="GT333" s="6"/>
      <c r="IB333" s="8">
        <v>290</v>
      </c>
      <c r="IC333" s="28">
        <v>120</v>
      </c>
      <c r="IY333" s="8">
        <v>281</v>
      </c>
      <c r="JW333" s="6">
        <v>-211</v>
      </c>
      <c r="JX333" s="12">
        <v>838</v>
      </c>
      <c r="LF333" s="8">
        <v>10</v>
      </c>
      <c r="LG333" s="28">
        <v>93</v>
      </c>
      <c r="LJ333" s="8">
        <v>400</v>
      </c>
      <c r="LK333" s="28">
        <v>460</v>
      </c>
      <c r="LW333" s="8">
        <v>15</v>
      </c>
      <c r="LX333" s="28">
        <v>58</v>
      </c>
      <c r="MF333" s="8">
        <v>-72</v>
      </c>
      <c r="MG333" s="12">
        <v>47</v>
      </c>
      <c r="NC333" s="8">
        <v>165</v>
      </c>
      <c r="ND333" s="12">
        <v>239</v>
      </c>
      <c r="PP333" s="8">
        <v>294</v>
      </c>
      <c r="TZ333" s="8">
        <v>174</v>
      </c>
      <c r="UA333" s="12">
        <v>702</v>
      </c>
      <c r="VL333" s="21"/>
      <c r="VQ333" s="6">
        <v>29</v>
      </c>
    </row>
    <row r="334" spans="22:589" x14ac:dyDescent="0.25">
      <c r="V334">
        <v>13</v>
      </c>
      <c r="W334" s="10">
        <v>137</v>
      </c>
      <c r="BT334">
        <v>-275</v>
      </c>
      <c r="BU334" s="1">
        <v>306</v>
      </c>
      <c r="CE334" s="8">
        <v>129</v>
      </c>
      <c r="CF334" s="28">
        <v>120</v>
      </c>
      <c r="CZ334" s="23">
        <v>-190</v>
      </c>
      <c r="DA334" s="25">
        <v>890</v>
      </c>
      <c r="DH334" s="23">
        <v>-897</v>
      </c>
      <c r="DI334" s="25">
        <v>359</v>
      </c>
      <c r="DL334" s="8">
        <v>226</v>
      </c>
      <c r="EG334" s="6">
        <v>-115</v>
      </c>
      <c r="EH334" s="28">
        <v>279</v>
      </c>
      <c r="EN334" s="8">
        <v>-94</v>
      </c>
      <c r="EO334" s="28">
        <v>51</v>
      </c>
      <c r="EX334" s="8">
        <v>179</v>
      </c>
      <c r="EY334" s="28">
        <v>109</v>
      </c>
      <c r="FM334" s="8">
        <v>-207</v>
      </c>
      <c r="FN334" s="52">
        <v>108</v>
      </c>
      <c r="FS334" s="8">
        <v>20</v>
      </c>
      <c r="FT334" s="52">
        <v>41</v>
      </c>
      <c r="GP334" s="6">
        <v>30</v>
      </c>
      <c r="GQ334" s="52">
        <v>124</v>
      </c>
      <c r="GT334" s="6"/>
      <c r="IB334" s="8">
        <v>276</v>
      </c>
      <c r="IC334" s="28">
        <v>116</v>
      </c>
      <c r="IY334" s="8">
        <v>378</v>
      </c>
      <c r="JW334" s="6">
        <v>-152</v>
      </c>
      <c r="JX334" s="12">
        <v>521</v>
      </c>
      <c r="LF334" s="8">
        <v>-520</v>
      </c>
      <c r="LG334" s="28">
        <v>880</v>
      </c>
      <c r="LJ334" s="8">
        <v>-749</v>
      </c>
      <c r="LK334" s="28">
        <v>269</v>
      </c>
      <c r="LW334" s="8">
        <v>28</v>
      </c>
      <c r="LX334" s="28">
        <v>33</v>
      </c>
      <c r="MF334" s="8">
        <v>-112</v>
      </c>
      <c r="MG334" s="12">
        <v>36</v>
      </c>
      <c r="NC334" s="8">
        <v>193</v>
      </c>
      <c r="ND334" s="12">
        <v>49</v>
      </c>
      <c r="PP334" s="8">
        <v>210</v>
      </c>
      <c r="TZ334" s="8">
        <v>155</v>
      </c>
      <c r="UA334" s="12">
        <v>473</v>
      </c>
      <c r="VL334" s="21"/>
      <c r="VQ334" s="6">
        <v>106</v>
      </c>
    </row>
    <row r="335" spans="22:589" x14ac:dyDescent="0.25">
      <c r="V335">
        <v>5</v>
      </c>
      <c r="W335" s="10">
        <v>597</v>
      </c>
      <c r="BT335">
        <v>17</v>
      </c>
      <c r="BU335" s="1">
        <v>25</v>
      </c>
      <c r="CE335" s="8">
        <v>830</v>
      </c>
      <c r="CF335" s="28">
        <v>38</v>
      </c>
      <c r="CZ335" s="23">
        <v>3</v>
      </c>
      <c r="DA335" s="25">
        <v>3</v>
      </c>
      <c r="DH335" s="23">
        <v>-134</v>
      </c>
      <c r="DI335" s="25">
        <v>341</v>
      </c>
      <c r="DL335" s="8">
        <v>211</v>
      </c>
      <c r="EG335" s="6">
        <v>117</v>
      </c>
      <c r="EH335" s="28">
        <v>236</v>
      </c>
      <c r="EN335" s="8">
        <v>-142</v>
      </c>
      <c r="EO335" s="28">
        <v>54</v>
      </c>
      <c r="EX335" s="8">
        <v>383</v>
      </c>
      <c r="EY335" s="28">
        <v>115</v>
      </c>
      <c r="FM335" s="8">
        <v>226</v>
      </c>
      <c r="FN335" s="52">
        <v>265</v>
      </c>
      <c r="FS335" s="8">
        <v>-437</v>
      </c>
      <c r="FT335" s="52">
        <v>53</v>
      </c>
      <c r="GP335" s="6">
        <v>375</v>
      </c>
      <c r="GQ335" s="52">
        <v>191</v>
      </c>
      <c r="GT335" s="6"/>
      <c r="IB335" s="8">
        <v>288</v>
      </c>
      <c r="IC335" s="28">
        <v>120</v>
      </c>
      <c r="IY335" s="8">
        <v>137</v>
      </c>
      <c r="JW335" s="8">
        <v>-194</v>
      </c>
      <c r="JX335" s="12">
        <v>662</v>
      </c>
      <c r="LF335" s="8">
        <v>-848</v>
      </c>
      <c r="LG335" s="28">
        <v>994</v>
      </c>
      <c r="LJ335" s="8">
        <v>202</v>
      </c>
      <c r="LK335" s="28">
        <v>292</v>
      </c>
      <c r="LW335" s="8">
        <v>157</v>
      </c>
      <c r="LX335" s="28">
        <v>147</v>
      </c>
      <c r="MF335" s="8">
        <v>-510</v>
      </c>
      <c r="MG335" s="12">
        <v>389</v>
      </c>
      <c r="NC335" s="8">
        <v>-581</v>
      </c>
      <c r="ND335" s="12">
        <v>156</v>
      </c>
      <c r="PP335" s="8">
        <v>160</v>
      </c>
      <c r="TZ335" s="8">
        <v>129</v>
      </c>
      <c r="UA335" s="12">
        <v>367</v>
      </c>
      <c r="VL335" s="21"/>
      <c r="VQ335" s="6">
        <v>142</v>
      </c>
    </row>
    <row r="336" spans="22:589" x14ac:dyDescent="0.25">
      <c r="V336">
        <v>6</v>
      </c>
      <c r="W336" s="10">
        <v>483</v>
      </c>
      <c r="BT336">
        <v>-289</v>
      </c>
      <c r="BU336" s="1">
        <v>36</v>
      </c>
      <c r="CE336" s="8">
        <v>218</v>
      </c>
      <c r="CF336" s="28">
        <v>16</v>
      </c>
      <c r="CZ336" s="23">
        <v>11</v>
      </c>
      <c r="DA336" s="25">
        <v>3</v>
      </c>
      <c r="DH336" s="23">
        <v>-101</v>
      </c>
      <c r="DI336" s="25">
        <v>445</v>
      </c>
      <c r="DL336" s="8">
        <v>240</v>
      </c>
      <c r="EG336" s="6">
        <v>175</v>
      </c>
      <c r="EH336" s="28">
        <v>79</v>
      </c>
      <c r="EN336" s="8">
        <v>99</v>
      </c>
      <c r="EO336" s="28">
        <v>57</v>
      </c>
      <c r="EX336" s="8">
        <v>334</v>
      </c>
      <c r="EY336" s="28">
        <v>135</v>
      </c>
      <c r="FM336" s="8">
        <v>112</v>
      </c>
      <c r="FN336" s="52">
        <v>232</v>
      </c>
      <c r="FS336" s="8">
        <v>-528</v>
      </c>
      <c r="FT336" s="52">
        <v>58</v>
      </c>
      <c r="GP336" s="6">
        <v>-143</v>
      </c>
      <c r="GQ336" s="52">
        <v>123</v>
      </c>
      <c r="GT336" s="6"/>
      <c r="IB336" s="8">
        <v>275</v>
      </c>
      <c r="IC336" s="28">
        <v>116</v>
      </c>
      <c r="IY336" s="8">
        <v>-132</v>
      </c>
      <c r="JW336" s="8">
        <v>-216</v>
      </c>
      <c r="JX336" s="12">
        <v>949</v>
      </c>
      <c r="LF336" s="8">
        <v>-580</v>
      </c>
      <c r="LG336" s="28">
        <v>967</v>
      </c>
      <c r="LJ336" s="8">
        <v>846</v>
      </c>
      <c r="LK336" s="28">
        <v>364</v>
      </c>
      <c r="LW336" s="8">
        <v>-187</v>
      </c>
      <c r="LX336" s="28">
        <v>104</v>
      </c>
      <c r="MF336" s="8">
        <v>-849</v>
      </c>
      <c r="MG336" s="12">
        <v>506</v>
      </c>
      <c r="NC336" s="8">
        <v>289</v>
      </c>
      <c r="ND336" s="12">
        <v>59</v>
      </c>
      <c r="PP336" s="8">
        <v>137</v>
      </c>
      <c r="TZ336" s="8">
        <v>94</v>
      </c>
      <c r="UA336" s="12">
        <v>308</v>
      </c>
      <c r="VL336" s="21"/>
      <c r="VQ336" s="6">
        <v>-92</v>
      </c>
    </row>
    <row r="337" spans="22:589" x14ac:dyDescent="0.25">
      <c r="V337">
        <v>7</v>
      </c>
      <c r="W337" s="10">
        <v>764</v>
      </c>
      <c r="BT337">
        <v>-12</v>
      </c>
      <c r="BU337" s="1">
        <v>348</v>
      </c>
      <c r="CE337" s="8">
        <v>261</v>
      </c>
      <c r="CF337" s="28">
        <v>15</v>
      </c>
      <c r="CZ337" s="23">
        <v>-18</v>
      </c>
      <c r="DA337" s="25">
        <v>11</v>
      </c>
      <c r="DH337" s="23">
        <v>168</v>
      </c>
      <c r="DI337" s="25">
        <v>309</v>
      </c>
      <c r="DL337" s="8">
        <v>171</v>
      </c>
      <c r="EG337" s="6">
        <v>-190</v>
      </c>
      <c r="EH337" s="28">
        <v>456</v>
      </c>
      <c r="EN337" s="8">
        <v>133</v>
      </c>
      <c r="EO337" s="28">
        <v>67</v>
      </c>
      <c r="EX337" s="8">
        <v>425</v>
      </c>
      <c r="EY337" s="28">
        <v>117</v>
      </c>
      <c r="FM337" s="8">
        <v>155</v>
      </c>
      <c r="FN337" s="52">
        <v>316</v>
      </c>
      <c r="FS337" s="8">
        <v>-529</v>
      </c>
      <c r="FT337" s="52">
        <v>62</v>
      </c>
      <c r="GP337" s="6">
        <v>-41</v>
      </c>
      <c r="GQ337" s="52">
        <v>31</v>
      </c>
      <c r="GT337" s="6"/>
      <c r="IB337" s="8">
        <v>-513</v>
      </c>
      <c r="IC337" s="28">
        <v>310</v>
      </c>
      <c r="IY337" s="8">
        <f>116</f>
        <v>116</v>
      </c>
      <c r="JW337" s="8">
        <v>-253</v>
      </c>
      <c r="JX337" s="12">
        <v>92</v>
      </c>
      <c r="LF337" s="8">
        <v>-864</v>
      </c>
      <c r="LG337" s="28">
        <v>567</v>
      </c>
      <c r="LJ337" s="8">
        <v>312</v>
      </c>
      <c r="LK337" s="28">
        <v>840</v>
      </c>
      <c r="LW337" s="8">
        <v>16</v>
      </c>
      <c r="LX337" s="28">
        <v>18</v>
      </c>
      <c r="MF337" s="8">
        <v>-159</v>
      </c>
      <c r="MG337" s="12">
        <v>273</v>
      </c>
      <c r="NC337" s="8">
        <v>369</v>
      </c>
      <c r="ND337" s="12">
        <v>84</v>
      </c>
      <c r="PP337" s="8">
        <v>711</v>
      </c>
      <c r="TZ337" s="8">
        <v>51</v>
      </c>
      <c r="UA337" s="12">
        <v>270</v>
      </c>
      <c r="VL337" s="21"/>
      <c r="VQ337" s="6">
        <v>-55</v>
      </c>
    </row>
    <row r="338" spans="22:589" x14ac:dyDescent="0.25">
      <c r="V338">
        <v>13</v>
      </c>
      <c r="W338" s="10">
        <v>296</v>
      </c>
      <c r="BT338">
        <v>-284</v>
      </c>
      <c r="BU338" s="1">
        <v>225</v>
      </c>
      <c r="CE338" s="8">
        <v>415</v>
      </c>
      <c r="CF338" s="28">
        <v>18</v>
      </c>
      <c r="CZ338" s="23">
        <v>-1</v>
      </c>
      <c r="DA338" s="25">
        <v>5</v>
      </c>
      <c r="DH338" s="23">
        <v>146</v>
      </c>
      <c r="DI338" s="25">
        <v>167</v>
      </c>
      <c r="DL338" s="8">
        <v>204</v>
      </c>
      <c r="EG338" s="6">
        <v>-204</v>
      </c>
      <c r="EH338" s="28">
        <v>571</v>
      </c>
      <c r="EN338" s="8">
        <v>427</v>
      </c>
      <c r="EO338" s="28">
        <v>54</v>
      </c>
      <c r="EX338" s="8">
        <v>321</v>
      </c>
      <c r="EY338" s="28">
        <v>104</v>
      </c>
      <c r="FM338" s="8">
        <v>-199</v>
      </c>
      <c r="FN338" s="52">
        <v>56</v>
      </c>
      <c r="FS338" s="8">
        <v>-522</v>
      </c>
      <c r="FT338" s="52">
        <v>63</v>
      </c>
      <c r="GP338" s="6">
        <v>-133</v>
      </c>
      <c r="GQ338" s="52">
        <v>238</v>
      </c>
      <c r="GT338" s="6"/>
      <c r="IB338" s="8">
        <v>-256</v>
      </c>
      <c r="IC338" s="28">
        <v>340</v>
      </c>
      <c r="IY338" s="8">
        <v>-690</v>
      </c>
      <c r="JW338" s="8">
        <v>-288</v>
      </c>
      <c r="JX338" s="12">
        <v>967</v>
      </c>
      <c r="LF338" s="8">
        <v>454</v>
      </c>
      <c r="LG338" s="28">
        <v>637</v>
      </c>
      <c r="LJ338" s="8">
        <v>-491</v>
      </c>
      <c r="LK338" s="28">
        <v>386</v>
      </c>
      <c r="LW338" s="8">
        <v>51</v>
      </c>
      <c r="LX338" s="28">
        <v>18</v>
      </c>
      <c r="MF338" s="8">
        <v>-215</v>
      </c>
      <c r="MG338" s="12">
        <v>320</v>
      </c>
      <c r="NC338" s="8">
        <v>658</v>
      </c>
      <c r="ND338" s="12">
        <v>166</v>
      </c>
      <c r="PP338" s="8">
        <v>150</v>
      </c>
      <c r="TZ338" s="8">
        <v>115</v>
      </c>
      <c r="UA338" s="12">
        <v>258</v>
      </c>
      <c r="VL338" s="21"/>
      <c r="VQ338" s="6">
        <v>128</v>
      </c>
    </row>
    <row r="339" spans="22:589" x14ac:dyDescent="0.25">
      <c r="V339">
        <v>-1</v>
      </c>
      <c r="W339" s="10">
        <v>42</v>
      </c>
      <c r="BT339">
        <v>-646</v>
      </c>
      <c r="BU339" s="1">
        <v>42</v>
      </c>
      <c r="CE339" s="8">
        <v>616</v>
      </c>
      <c r="CF339" s="28">
        <v>16</v>
      </c>
      <c r="CZ339" s="23">
        <v>56</v>
      </c>
      <c r="DA339" s="25">
        <v>43</v>
      </c>
      <c r="DH339" s="23">
        <v>653</v>
      </c>
      <c r="DI339" s="25">
        <v>164</v>
      </c>
      <c r="DL339" s="8">
        <v>199</v>
      </c>
      <c r="EG339" s="6">
        <v>-202</v>
      </c>
      <c r="EH339" s="28">
        <v>571</v>
      </c>
      <c r="EN339" s="8">
        <v>370</v>
      </c>
      <c r="EO339" s="28">
        <v>76</v>
      </c>
      <c r="EX339" s="8">
        <v>177</v>
      </c>
      <c r="EY339" s="28">
        <v>102</v>
      </c>
      <c r="FM339" s="8">
        <v>310</v>
      </c>
      <c r="FN339" s="52">
        <v>115</v>
      </c>
      <c r="FS339" s="8">
        <v>-651</v>
      </c>
      <c r="FT339" s="52">
        <v>71</v>
      </c>
      <c r="GP339" s="6">
        <v>-487</v>
      </c>
      <c r="GQ339" s="52">
        <v>603</v>
      </c>
      <c r="GT339" s="6"/>
      <c r="IB339" s="8">
        <v>-224</v>
      </c>
      <c r="IC339" s="28">
        <v>138</v>
      </c>
      <c r="IY339" s="8">
        <v>-200</v>
      </c>
      <c r="JW339" s="8">
        <v>-452</v>
      </c>
      <c r="JX339" s="12">
        <v>724</v>
      </c>
      <c r="LF339" s="8">
        <v>114</v>
      </c>
      <c r="LG339" s="28">
        <v>532</v>
      </c>
      <c r="LJ339" s="8">
        <v>217</v>
      </c>
      <c r="LK339" s="28">
        <v>918</v>
      </c>
      <c r="LW339" s="8">
        <v>3</v>
      </c>
      <c r="LX339" s="28">
        <v>32</v>
      </c>
      <c r="MF339" s="8">
        <v>-191</v>
      </c>
      <c r="MG339" s="12">
        <v>26</v>
      </c>
      <c r="NC339" s="8">
        <v>-27</v>
      </c>
      <c r="ND339" s="12">
        <v>64</v>
      </c>
      <c r="PP339" s="8">
        <v>140</v>
      </c>
      <c r="TZ339" s="8">
        <v>401</v>
      </c>
      <c r="UA339" s="12">
        <v>269</v>
      </c>
      <c r="VL339" s="21"/>
      <c r="VQ339" s="6">
        <v>17</v>
      </c>
    </row>
    <row r="340" spans="22:589" x14ac:dyDescent="0.25">
      <c r="V340">
        <v>5</v>
      </c>
      <c r="W340" s="10">
        <v>159</v>
      </c>
      <c r="BT340">
        <v>-61</v>
      </c>
      <c r="BU340" s="1">
        <v>9</v>
      </c>
      <c r="CE340" s="8">
        <v>735</v>
      </c>
      <c r="CF340" s="28">
        <v>19</v>
      </c>
      <c r="CZ340" s="23">
        <v>-116</v>
      </c>
      <c r="DA340" s="25">
        <v>51</v>
      </c>
      <c r="DH340" s="23">
        <v>318</v>
      </c>
      <c r="DI340" s="25">
        <v>298</v>
      </c>
      <c r="DL340" s="8">
        <v>199</v>
      </c>
      <c r="EG340" s="6">
        <v>-210</v>
      </c>
      <c r="EH340" s="28">
        <v>635</v>
      </c>
      <c r="EN340" s="8">
        <v>230</v>
      </c>
      <c r="EO340" s="28">
        <v>53</v>
      </c>
      <c r="EX340" s="8">
        <v>644</v>
      </c>
      <c r="EY340" s="28">
        <v>132</v>
      </c>
      <c r="FM340" s="8">
        <v>248</v>
      </c>
      <c r="FN340" s="52">
        <v>124</v>
      </c>
      <c r="FS340" s="8">
        <v>-625</v>
      </c>
      <c r="FT340" s="52">
        <v>73</v>
      </c>
      <c r="GP340" s="6">
        <v>-5</v>
      </c>
      <c r="GQ340" s="52">
        <v>3</v>
      </c>
      <c r="GT340" s="6"/>
      <c r="IB340" s="8">
        <v>-255</v>
      </c>
      <c r="IC340" s="28">
        <v>150</v>
      </c>
      <c r="IY340" s="8">
        <v>-140</v>
      </c>
      <c r="JW340" s="8">
        <v>-334</v>
      </c>
      <c r="JX340" s="12">
        <v>463</v>
      </c>
      <c r="LF340" s="8">
        <v>-363</v>
      </c>
      <c r="LG340" s="28">
        <v>45</v>
      </c>
      <c r="LJ340" s="8">
        <v>-471</v>
      </c>
      <c r="LK340" s="28">
        <v>436</v>
      </c>
      <c r="LW340" s="8">
        <v>284</v>
      </c>
      <c r="LX340" s="28">
        <v>144</v>
      </c>
      <c r="MF340" s="8">
        <v>304</v>
      </c>
      <c r="MG340" s="12">
        <v>44</v>
      </c>
      <c r="NC340" s="8">
        <v>-92</v>
      </c>
      <c r="ND340" s="12">
        <v>278</v>
      </c>
      <c r="PP340" s="8">
        <v>617</v>
      </c>
      <c r="TZ340" s="8">
        <v>209</v>
      </c>
      <c r="UA340" s="12">
        <v>317</v>
      </c>
      <c r="VL340" s="21"/>
      <c r="VQ340" s="6">
        <v>30</v>
      </c>
    </row>
    <row r="341" spans="22:589" x14ac:dyDescent="0.25">
      <c r="V341">
        <v>-17</v>
      </c>
      <c r="W341" s="12">
        <v>332</v>
      </c>
      <c r="BT341">
        <v>86</v>
      </c>
      <c r="BU341" s="1">
        <v>42</v>
      </c>
      <c r="CE341" s="8">
        <v>-146</v>
      </c>
      <c r="CF341" s="28">
        <v>35</v>
      </c>
      <c r="CZ341" s="23">
        <v>-11</v>
      </c>
      <c r="DA341" s="25">
        <v>51</v>
      </c>
      <c r="DH341" s="23">
        <v>288</v>
      </c>
      <c r="DI341" s="25">
        <v>296</v>
      </c>
      <c r="DL341" s="8">
        <v>206</v>
      </c>
      <c r="EG341" s="6">
        <v>101</v>
      </c>
      <c r="EH341" s="28">
        <v>175</v>
      </c>
      <c r="EN341" s="8">
        <v>254</v>
      </c>
      <c r="EO341" s="28">
        <v>50</v>
      </c>
      <c r="EX341" s="8">
        <v>316</v>
      </c>
      <c r="EY341" s="28">
        <v>106</v>
      </c>
      <c r="FM341" s="8">
        <v>-65</v>
      </c>
      <c r="FN341" s="52">
        <v>52</v>
      </c>
      <c r="FS341" s="8">
        <v>-84</v>
      </c>
      <c r="FT341" s="52">
        <v>32</v>
      </c>
      <c r="GP341" s="6">
        <v>-50</v>
      </c>
      <c r="GQ341" s="52">
        <v>41</v>
      </c>
      <c r="GT341" s="6"/>
      <c r="IB341" s="8">
        <v>-114</v>
      </c>
      <c r="IC341" s="28">
        <v>271</v>
      </c>
      <c r="IY341" s="8">
        <v>281</v>
      </c>
      <c r="JW341" s="8">
        <v>-318</v>
      </c>
      <c r="JX341" s="12">
        <v>444</v>
      </c>
      <c r="LF341" s="8">
        <v>-46</v>
      </c>
      <c r="LG341" s="28">
        <v>46</v>
      </c>
      <c r="LJ341" s="8">
        <v>559</v>
      </c>
      <c r="LK341" s="28">
        <v>199</v>
      </c>
      <c r="LW341" s="8">
        <v>-417</v>
      </c>
      <c r="LX341" s="28">
        <v>102</v>
      </c>
      <c r="MF341" s="8">
        <v>-104</v>
      </c>
      <c r="MG341" s="12">
        <v>143</v>
      </c>
      <c r="NC341" s="8">
        <v>-430</v>
      </c>
      <c r="ND341" s="12">
        <v>300</v>
      </c>
      <c r="PP341" s="8">
        <v>841</v>
      </c>
      <c r="TZ341" s="8">
        <v>108</v>
      </c>
      <c r="UA341" s="12">
        <v>354</v>
      </c>
      <c r="VL341" s="21"/>
      <c r="VQ341" s="6">
        <v>20</v>
      </c>
    </row>
    <row r="342" spans="22:589" x14ac:dyDescent="0.25">
      <c r="V342">
        <v>-16</v>
      </c>
      <c r="W342" s="10">
        <v>411</v>
      </c>
      <c r="BT342">
        <v>-46</v>
      </c>
      <c r="BU342" s="1">
        <v>112</v>
      </c>
      <c r="CE342" s="8">
        <v>-277</v>
      </c>
      <c r="CF342" s="28">
        <v>24</v>
      </c>
      <c r="DA342" s="25"/>
      <c r="DH342" s="23">
        <v>451</v>
      </c>
      <c r="DI342" s="25">
        <v>296</v>
      </c>
      <c r="DL342" s="8">
        <v>182</v>
      </c>
      <c r="EG342" s="6">
        <v>101</v>
      </c>
      <c r="EH342" s="28">
        <v>176</v>
      </c>
      <c r="EN342" s="8">
        <v>-64</v>
      </c>
      <c r="EO342" s="28">
        <v>51</v>
      </c>
      <c r="EX342" s="8">
        <v>294</v>
      </c>
      <c r="EY342" s="28">
        <v>102</v>
      </c>
      <c r="FM342" s="8">
        <v>267</v>
      </c>
      <c r="FN342" s="52">
        <v>556</v>
      </c>
      <c r="FS342" s="8">
        <v>-113</v>
      </c>
      <c r="FT342" s="52">
        <v>42</v>
      </c>
      <c r="GP342" s="6">
        <v>-126</v>
      </c>
      <c r="GQ342" s="52">
        <v>433</v>
      </c>
      <c r="GT342" s="6"/>
      <c r="IB342" s="8">
        <v>-533</v>
      </c>
      <c r="IC342" s="28">
        <v>283</v>
      </c>
      <c r="IY342" s="8">
        <v>612</v>
      </c>
      <c r="JW342" s="8">
        <v>-234</v>
      </c>
      <c r="JX342" s="12">
        <v>319</v>
      </c>
      <c r="LF342" s="8">
        <v>-301</v>
      </c>
      <c r="LG342" s="28">
        <v>46</v>
      </c>
      <c r="LJ342" s="8">
        <v>261</v>
      </c>
      <c r="LK342" s="28">
        <v>933</v>
      </c>
      <c r="LW342" s="8">
        <v>84</v>
      </c>
      <c r="LX342" s="28">
        <v>17</v>
      </c>
      <c r="MF342" s="8">
        <v>-127</v>
      </c>
      <c r="MG342" s="12">
        <v>173</v>
      </c>
      <c r="NC342" s="8">
        <v>-20</v>
      </c>
      <c r="ND342" s="12">
        <v>12</v>
      </c>
      <c r="PP342" s="8">
        <v>124</v>
      </c>
      <c r="TZ342" s="8">
        <v>19</v>
      </c>
      <c r="UA342" s="12">
        <v>442</v>
      </c>
      <c r="VL342" s="21"/>
      <c r="VQ342" s="6">
        <v>21</v>
      </c>
    </row>
    <row r="343" spans="22:589" x14ac:dyDescent="0.25">
      <c r="V343">
        <v>-17</v>
      </c>
      <c r="W343" s="10">
        <v>317</v>
      </c>
      <c r="BT343">
        <v>542</v>
      </c>
      <c r="BU343" s="1">
        <v>450</v>
      </c>
      <c r="CE343" s="8">
        <v>212</v>
      </c>
      <c r="CF343" s="28">
        <v>18</v>
      </c>
      <c r="DA343" s="25"/>
      <c r="DH343" s="23">
        <v>-303</v>
      </c>
      <c r="DI343" s="25">
        <v>298</v>
      </c>
      <c r="DL343" s="8">
        <v>243</v>
      </c>
      <c r="EG343" s="6">
        <v>101</v>
      </c>
      <c r="EH343" s="28">
        <v>177</v>
      </c>
      <c r="EN343" s="8">
        <v>-9</v>
      </c>
      <c r="EO343" s="28">
        <v>50</v>
      </c>
      <c r="EX343" s="8">
        <v>-578</v>
      </c>
      <c r="EY343" s="28">
        <v>102</v>
      </c>
      <c r="FM343" s="8">
        <v>762</v>
      </c>
      <c r="FN343" s="52">
        <v>69</v>
      </c>
      <c r="FS343" s="8">
        <v>-113</v>
      </c>
      <c r="FT343" s="52">
        <v>42</v>
      </c>
      <c r="GP343" s="6">
        <v>-269</v>
      </c>
      <c r="GQ343" s="52">
        <v>281</v>
      </c>
      <c r="GT343" s="6"/>
      <c r="IB343" s="8">
        <v>839</v>
      </c>
      <c r="IC343" s="28">
        <v>516</v>
      </c>
      <c r="IY343" s="8">
        <v>-150</v>
      </c>
      <c r="JW343" s="8">
        <v>-321</v>
      </c>
      <c r="JX343" s="12">
        <v>34</v>
      </c>
      <c r="LF343" s="8">
        <v>-124</v>
      </c>
      <c r="LG343" s="28">
        <v>31</v>
      </c>
      <c r="LJ343" s="8">
        <v>776</v>
      </c>
      <c r="LK343" s="28">
        <v>225</v>
      </c>
      <c r="LW343" s="8">
        <v>40</v>
      </c>
      <c r="LX343" s="28">
        <v>18</v>
      </c>
      <c r="MF343" s="8">
        <v>-108</v>
      </c>
      <c r="MG343" s="12">
        <v>435</v>
      </c>
      <c r="NC343" s="8">
        <v>373</v>
      </c>
      <c r="ND343" s="12">
        <v>171</v>
      </c>
      <c r="PP343" s="8">
        <v>924</v>
      </c>
      <c r="TZ343" s="8">
        <v>-44</v>
      </c>
      <c r="UA343" s="12">
        <v>723</v>
      </c>
      <c r="VL343" s="21"/>
      <c r="VQ343" s="6">
        <v>8</v>
      </c>
    </row>
    <row r="344" spans="22:589" x14ac:dyDescent="0.25">
      <c r="V344">
        <v>-17</v>
      </c>
      <c r="W344" s="10">
        <v>325</v>
      </c>
      <c r="BT344">
        <v>423</v>
      </c>
      <c r="BU344" s="1">
        <v>241</v>
      </c>
      <c r="CE344" s="8">
        <v>30</v>
      </c>
      <c r="CF344" s="28">
        <v>16</v>
      </c>
      <c r="DA344" s="25"/>
      <c r="DH344" s="23">
        <v>-172</v>
      </c>
      <c r="DI344" s="25">
        <v>296</v>
      </c>
      <c r="DL344" s="8">
        <v>89</v>
      </c>
      <c r="EG344" s="6">
        <v>101</v>
      </c>
      <c r="EH344" s="28">
        <v>178</v>
      </c>
      <c r="EN344" s="8">
        <v>-207</v>
      </c>
      <c r="EO344" s="28">
        <v>75</v>
      </c>
      <c r="EX344" s="8">
        <v>108</v>
      </c>
      <c r="EY344" s="28">
        <v>137</v>
      </c>
      <c r="FM344" s="8">
        <v>220</v>
      </c>
      <c r="FN344" s="52">
        <v>170</v>
      </c>
      <c r="FS344" s="8">
        <v>-216</v>
      </c>
      <c r="FT344" s="52">
        <v>27</v>
      </c>
      <c r="GP344" s="6">
        <v>-193</v>
      </c>
      <c r="GQ344" s="52">
        <v>505</v>
      </c>
      <c r="GT344" s="6"/>
      <c r="IB344" s="8">
        <v>331</v>
      </c>
      <c r="IC344" s="28">
        <v>550</v>
      </c>
      <c r="IY344" s="8">
        <v>236</v>
      </c>
      <c r="JW344" s="8">
        <v>-102</v>
      </c>
      <c r="JX344" s="12">
        <v>11</v>
      </c>
      <c r="LF344" s="8">
        <v>-26</v>
      </c>
      <c r="LG344" s="28">
        <v>36</v>
      </c>
      <c r="LJ344" s="8">
        <v>292</v>
      </c>
      <c r="LK344" s="28">
        <v>668</v>
      </c>
      <c r="LW344" s="8">
        <v>-78</v>
      </c>
      <c r="LX344" s="28">
        <v>4</v>
      </c>
      <c r="MF344" s="8">
        <v>-306</v>
      </c>
      <c r="MG344" s="12">
        <v>209</v>
      </c>
      <c r="NC344" s="8">
        <v>653</v>
      </c>
      <c r="ND344" s="12">
        <v>198</v>
      </c>
      <c r="PP344" s="8">
        <v>457</v>
      </c>
      <c r="TZ344" s="8">
        <v>-76</v>
      </c>
      <c r="UA344" s="12">
        <v>112</v>
      </c>
      <c r="VL344" s="21"/>
      <c r="VQ344" s="6">
        <v>824</v>
      </c>
    </row>
    <row r="345" spans="22:589" x14ac:dyDescent="0.25">
      <c r="V345">
        <v>-16</v>
      </c>
      <c r="W345" s="10">
        <v>342</v>
      </c>
      <c r="BT345">
        <v>110</v>
      </c>
      <c r="BU345" s="1">
        <v>245</v>
      </c>
      <c r="CE345" s="8">
        <v>-113</v>
      </c>
      <c r="CF345" s="28">
        <v>27</v>
      </c>
      <c r="DA345" s="25"/>
      <c r="DH345" s="23">
        <v>-898</v>
      </c>
      <c r="DI345" s="25">
        <v>296</v>
      </c>
      <c r="DL345" s="8">
        <v>109</v>
      </c>
      <c r="EG345" s="6">
        <v>102</v>
      </c>
      <c r="EH345" s="28">
        <v>179</v>
      </c>
      <c r="EN345" s="8">
        <v>-28</v>
      </c>
      <c r="EO345" s="28">
        <v>58</v>
      </c>
      <c r="EX345" s="8">
        <v>164</v>
      </c>
      <c r="EY345" s="28">
        <v>103</v>
      </c>
      <c r="FM345" s="8">
        <v>284</v>
      </c>
      <c r="FN345" s="52">
        <v>138</v>
      </c>
      <c r="FS345" s="8">
        <v>-912</v>
      </c>
      <c r="FT345" s="52">
        <v>71</v>
      </c>
      <c r="GP345" s="6">
        <v>-82</v>
      </c>
      <c r="GQ345" s="52">
        <v>368</v>
      </c>
      <c r="GT345" s="6"/>
      <c r="IB345" s="8">
        <v>694</v>
      </c>
      <c r="IC345" s="28">
        <v>302</v>
      </c>
      <c r="IY345" s="8">
        <v>-260</v>
      </c>
      <c r="JW345" s="8">
        <v>-277</v>
      </c>
      <c r="JX345" s="12">
        <v>437</v>
      </c>
      <c r="LF345" s="8">
        <v>-18</v>
      </c>
      <c r="LG345" s="28">
        <v>34</v>
      </c>
      <c r="LJ345" s="8">
        <v>185</v>
      </c>
      <c r="LK345" s="28">
        <v>43</v>
      </c>
      <c r="LW345" s="8">
        <v>-33</v>
      </c>
      <c r="LX345" s="28">
        <v>36</v>
      </c>
      <c r="MF345" s="8">
        <v>-244</v>
      </c>
      <c r="MG345" s="12">
        <v>73</v>
      </c>
      <c r="NC345" s="8">
        <v>284</v>
      </c>
      <c r="ND345" s="12">
        <v>80</v>
      </c>
      <c r="PP345" s="8">
        <v>860</v>
      </c>
      <c r="TZ345" s="8">
        <v>-78</v>
      </c>
      <c r="UA345" s="12">
        <v>132</v>
      </c>
      <c r="VL345" s="21"/>
      <c r="VQ345" s="6">
        <v>674</v>
      </c>
    </row>
    <row r="346" spans="22:589" x14ac:dyDescent="0.25">
      <c r="V346">
        <v>-5</v>
      </c>
      <c r="W346" s="10">
        <v>162</v>
      </c>
      <c r="BT346">
        <v>-422</v>
      </c>
      <c r="BU346" s="1">
        <v>353</v>
      </c>
      <c r="CE346" s="8">
        <v>-414</v>
      </c>
      <c r="CF346" s="28">
        <v>9</v>
      </c>
      <c r="DA346" s="25"/>
      <c r="DH346" s="23">
        <v>-226</v>
      </c>
      <c r="DI346" s="25">
        <v>296</v>
      </c>
      <c r="DL346" s="8">
        <v>145</v>
      </c>
      <c r="EG346" s="6">
        <v>102</v>
      </c>
      <c r="EH346" s="28">
        <v>179</v>
      </c>
      <c r="EN346" s="8">
        <v>-107</v>
      </c>
      <c r="EO346" s="28">
        <v>89</v>
      </c>
      <c r="EX346" s="8">
        <v>-124</v>
      </c>
      <c r="EY346" s="28">
        <v>108</v>
      </c>
      <c r="FM346" s="8">
        <v>389</v>
      </c>
      <c r="FN346" s="52">
        <v>188</v>
      </c>
      <c r="FS346" s="8">
        <v>-104</v>
      </c>
      <c r="FT346" s="52">
        <v>73</v>
      </c>
      <c r="GP346" s="6">
        <v>-67</v>
      </c>
      <c r="GQ346" s="52">
        <v>237</v>
      </c>
      <c r="GT346" s="6"/>
      <c r="IB346" s="8">
        <v>-502</v>
      </c>
      <c r="IC346" s="28">
        <v>282</v>
      </c>
      <c r="IY346" s="8">
        <v>186</v>
      </c>
      <c r="JW346" s="8">
        <v>501</v>
      </c>
      <c r="JX346" s="12">
        <v>76</v>
      </c>
      <c r="LF346" s="8">
        <v>-365</v>
      </c>
      <c r="LG346" s="28">
        <v>61</v>
      </c>
      <c r="LJ346" s="8">
        <v>241</v>
      </c>
      <c r="LK346" s="28">
        <v>504</v>
      </c>
      <c r="LW346" s="8">
        <v>57</v>
      </c>
      <c r="LX346" s="28">
        <v>178</v>
      </c>
      <c r="MF346" s="8">
        <f>197</f>
        <v>197</v>
      </c>
      <c r="MG346" s="12">
        <v>484</v>
      </c>
      <c r="NC346" s="8">
        <v>-103</v>
      </c>
      <c r="ND346" s="12">
        <v>261</v>
      </c>
      <c r="PP346" s="8">
        <v>512</v>
      </c>
      <c r="TZ346" s="8">
        <v>-56</v>
      </c>
      <c r="UA346" s="12">
        <v>143</v>
      </c>
      <c r="VL346" s="21"/>
      <c r="VQ346" s="6">
        <v>679</v>
      </c>
    </row>
    <row r="347" spans="22:589" x14ac:dyDescent="0.25">
      <c r="V347">
        <v>-16</v>
      </c>
      <c r="W347" s="10">
        <v>242</v>
      </c>
      <c r="BT347">
        <v>-763</v>
      </c>
      <c r="BU347" s="1">
        <v>148</v>
      </c>
      <c r="CE347" s="8">
        <v>130</v>
      </c>
      <c r="CF347" s="28">
        <v>33</v>
      </c>
      <c r="DA347" s="25"/>
      <c r="DH347" s="23">
        <v>512</v>
      </c>
      <c r="DI347" s="25">
        <v>300</v>
      </c>
      <c r="DL347" s="8">
        <v>105</v>
      </c>
      <c r="EG347" s="6">
        <v>102</v>
      </c>
      <c r="EH347" s="28">
        <v>180</v>
      </c>
      <c r="EN347" s="8">
        <v>-534</v>
      </c>
      <c r="EO347" s="28">
        <v>39</v>
      </c>
      <c r="EX347" s="8">
        <v>-308</v>
      </c>
      <c r="EY347" s="28">
        <v>105</v>
      </c>
      <c r="FM347" s="8">
        <v>327</v>
      </c>
      <c r="FN347" s="52">
        <v>248</v>
      </c>
      <c r="FS347" s="8">
        <v>-284</v>
      </c>
      <c r="FT347" s="52">
        <v>36</v>
      </c>
      <c r="GP347" s="6">
        <v>-93</v>
      </c>
      <c r="GQ347" s="52">
        <v>248</v>
      </c>
      <c r="GT347" s="6"/>
      <c r="IB347" s="8">
        <v>392</v>
      </c>
      <c r="IC347" s="28">
        <v>244</v>
      </c>
      <c r="IY347" s="8">
        <v>160</v>
      </c>
      <c r="JW347" s="8">
        <v>-971</v>
      </c>
      <c r="JX347" s="12">
        <v>132</v>
      </c>
      <c r="LF347" s="8">
        <v>-21</v>
      </c>
      <c r="LG347" s="28">
        <v>60</v>
      </c>
      <c r="LJ347" s="8">
        <v>444</v>
      </c>
      <c r="LK347" s="28">
        <v>92</v>
      </c>
      <c r="LW347" s="8">
        <v>-22</v>
      </c>
      <c r="LX347" s="28">
        <v>127</v>
      </c>
      <c r="MF347" s="8">
        <v>174</v>
      </c>
      <c r="MG347" s="12">
        <v>131</v>
      </c>
      <c r="NC347" s="8">
        <v>299</v>
      </c>
      <c r="ND347" s="12">
        <v>166</v>
      </c>
      <c r="PP347" s="8">
        <v>329</v>
      </c>
      <c r="TZ347" s="8">
        <v>483</v>
      </c>
      <c r="UA347" s="12">
        <v>229</v>
      </c>
      <c r="VL347" s="21"/>
      <c r="VQ347" s="6">
        <v>678</v>
      </c>
    </row>
    <row r="348" spans="22:589" x14ac:dyDescent="0.25">
      <c r="V348">
        <v>-17</v>
      </c>
      <c r="W348" s="10">
        <v>420</v>
      </c>
      <c r="BT348">
        <v>51</v>
      </c>
      <c r="BU348" s="1">
        <v>43</v>
      </c>
      <c r="CE348" s="8">
        <v>182</v>
      </c>
      <c r="CF348" s="28">
        <v>33</v>
      </c>
      <c r="DA348" s="25"/>
      <c r="DH348" s="23">
        <v>216</v>
      </c>
      <c r="DI348" s="25">
        <v>241</v>
      </c>
      <c r="DL348" s="8">
        <v>144</v>
      </c>
      <c r="EG348" s="6">
        <v>103</v>
      </c>
      <c r="EH348" s="28">
        <v>181</v>
      </c>
      <c r="EN348" s="8">
        <v>-54</v>
      </c>
      <c r="EO348" s="28">
        <v>38</v>
      </c>
      <c r="EX348" s="8">
        <v>403</v>
      </c>
      <c r="EY348" s="28">
        <v>127</v>
      </c>
      <c r="FM348" s="8">
        <v>-767</v>
      </c>
      <c r="FN348" s="52">
        <v>784</v>
      </c>
      <c r="FS348" s="8">
        <v>-969</v>
      </c>
      <c r="FT348" s="52">
        <v>76</v>
      </c>
      <c r="GP348" s="6">
        <v>-86</v>
      </c>
      <c r="GQ348" s="52">
        <v>304</v>
      </c>
      <c r="GT348" s="6"/>
      <c r="IB348" s="8">
        <v>390</v>
      </c>
      <c r="IC348" s="28">
        <v>256</v>
      </c>
      <c r="IY348" s="8">
        <v>990</v>
      </c>
      <c r="JW348" s="8">
        <v>-954</v>
      </c>
      <c r="JX348" s="12">
        <v>132</v>
      </c>
      <c r="LF348" s="8">
        <v>-352</v>
      </c>
      <c r="LG348" s="28">
        <v>60</v>
      </c>
      <c r="LJ348" s="8">
        <v>73</v>
      </c>
      <c r="LK348" s="28">
        <v>15</v>
      </c>
      <c r="LW348" s="8">
        <v>-7</v>
      </c>
      <c r="LX348" s="28">
        <v>22</v>
      </c>
      <c r="MF348" s="8">
        <v>-241</v>
      </c>
      <c r="MG348" s="12">
        <v>142</v>
      </c>
      <c r="NC348" s="8">
        <v>381</v>
      </c>
      <c r="ND348" s="12">
        <v>98</v>
      </c>
      <c r="PP348" s="8">
        <v>406</v>
      </c>
      <c r="TZ348" s="8">
        <v>190</v>
      </c>
      <c r="UA348" s="12">
        <v>365</v>
      </c>
      <c r="VL348" s="21"/>
      <c r="VQ348" s="6">
        <v>715</v>
      </c>
    </row>
    <row r="349" spans="22:589" x14ac:dyDescent="0.25">
      <c r="V349">
        <v>33</v>
      </c>
      <c r="W349" s="10">
        <v>38</v>
      </c>
      <c r="BT349">
        <v>-118</v>
      </c>
      <c r="BU349" s="1">
        <v>23</v>
      </c>
      <c r="CE349" s="8">
        <v>192</v>
      </c>
      <c r="CF349" s="28">
        <v>33</v>
      </c>
      <c r="DA349" s="25"/>
      <c r="DH349" s="23">
        <v>10</v>
      </c>
      <c r="DI349" s="25">
        <v>7</v>
      </c>
      <c r="DL349" s="8">
        <v>152</v>
      </c>
      <c r="EG349" s="6">
        <v>104</v>
      </c>
      <c r="EH349" s="28">
        <v>182</v>
      </c>
      <c r="EN349" s="8">
        <v>-161</v>
      </c>
      <c r="EO349" s="28">
        <v>56</v>
      </c>
      <c r="EX349" s="8">
        <v>146</v>
      </c>
      <c r="EY349" s="28">
        <v>105</v>
      </c>
      <c r="FM349" s="8">
        <v>306</v>
      </c>
      <c r="FN349" s="52">
        <v>179</v>
      </c>
      <c r="FS349" s="8">
        <v>-109</v>
      </c>
      <c r="FT349" s="52">
        <v>77</v>
      </c>
      <c r="GP349" s="6">
        <v>-52</v>
      </c>
      <c r="GQ349" s="52">
        <v>373</v>
      </c>
      <c r="GT349" s="6"/>
      <c r="IB349" s="8">
        <v>559</v>
      </c>
      <c r="IC349" s="28">
        <v>151</v>
      </c>
      <c r="IY349" s="8">
        <v>-149</v>
      </c>
      <c r="JW349" s="8">
        <v>452</v>
      </c>
      <c r="JX349" s="12">
        <v>451</v>
      </c>
      <c r="LF349" s="8">
        <v>-129</v>
      </c>
      <c r="LG349" s="28">
        <v>49</v>
      </c>
      <c r="LJ349" s="8">
        <v>290</v>
      </c>
      <c r="LK349" s="28">
        <v>627</v>
      </c>
      <c r="LW349" s="8">
        <v>-11</v>
      </c>
      <c r="LX349" s="28">
        <v>20</v>
      </c>
      <c r="MF349" s="8">
        <v>-699</v>
      </c>
      <c r="MG349" s="12">
        <v>183</v>
      </c>
      <c r="NC349" s="8">
        <v>264</v>
      </c>
      <c r="ND349" s="12">
        <v>173</v>
      </c>
      <c r="PP349" s="8">
        <v>123</v>
      </c>
      <c r="TZ349" s="8">
        <v>184</v>
      </c>
      <c r="UA349" s="12">
        <v>694</v>
      </c>
      <c r="VL349" s="21"/>
      <c r="VQ349" s="6">
        <v>744</v>
      </c>
    </row>
    <row r="350" spans="22:589" x14ac:dyDescent="0.25">
      <c r="V350">
        <v>-87</v>
      </c>
      <c r="W350" s="10">
        <v>20</v>
      </c>
      <c r="BT350">
        <v>-824</v>
      </c>
      <c r="BU350" s="1">
        <v>712</v>
      </c>
      <c r="CE350" s="8">
        <v>200</v>
      </c>
      <c r="CF350" s="28">
        <v>33</v>
      </c>
      <c r="DA350" s="25"/>
      <c r="DH350" s="23">
        <v>40</v>
      </c>
      <c r="DI350" s="25">
        <v>7</v>
      </c>
      <c r="DL350" s="8">
        <v>63</v>
      </c>
      <c r="EG350" s="6">
        <v>100</v>
      </c>
      <c r="EH350" s="28">
        <v>183</v>
      </c>
      <c r="EN350" s="8">
        <v>-152</v>
      </c>
      <c r="EO350" s="28">
        <v>133</v>
      </c>
      <c r="EX350" s="8">
        <v>763</v>
      </c>
      <c r="EY350" s="28">
        <v>106</v>
      </c>
      <c r="FM350" s="8">
        <v>121</v>
      </c>
      <c r="FN350" s="52">
        <v>100</v>
      </c>
      <c r="FS350" s="8">
        <v>-700</v>
      </c>
      <c r="FT350" s="52">
        <v>42</v>
      </c>
      <c r="GP350" s="6">
        <v>-120</v>
      </c>
      <c r="GQ350" s="52">
        <v>221</v>
      </c>
      <c r="GT350" s="6"/>
      <c r="IB350" s="8">
        <v>120</v>
      </c>
      <c r="IC350" s="28">
        <v>147</v>
      </c>
      <c r="IY350" s="8">
        <v>-105</v>
      </c>
      <c r="JW350" s="8">
        <v>307</v>
      </c>
      <c r="JX350" s="12">
        <v>324</v>
      </c>
      <c r="LF350" s="8">
        <v>-17</v>
      </c>
      <c r="LG350" s="28">
        <v>53</v>
      </c>
      <c r="LJ350" s="8">
        <v>-289</v>
      </c>
      <c r="LK350" s="28">
        <v>127</v>
      </c>
      <c r="LW350" s="8">
        <v>-31</v>
      </c>
      <c r="LX350" s="28">
        <v>36</v>
      </c>
      <c r="MF350" s="8">
        <v>116</v>
      </c>
      <c r="MG350" s="12">
        <v>9</v>
      </c>
      <c r="NC350" s="8">
        <v>155</v>
      </c>
      <c r="ND350" s="12">
        <v>239</v>
      </c>
      <c r="PP350" s="8">
        <v>63</v>
      </c>
      <c r="TZ350" s="8">
        <v>166</v>
      </c>
      <c r="UA350" s="12">
        <v>114</v>
      </c>
      <c r="VL350" s="21"/>
      <c r="VQ350" s="6">
        <v>688</v>
      </c>
    </row>
    <row r="351" spans="22:589" x14ac:dyDescent="0.25">
      <c r="V351">
        <v>-1616</v>
      </c>
      <c r="W351" s="10">
        <v>41</v>
      </c>
      <c r="BT351">
        <v>-614</v>
      </c>
      <c r="BU351" s="1">
        <v>683</v>
      </c>
      <c r="CE351" s="8">
        <v>202</v>
      </c>
      <c r="CF351" s="28">
        <v>33</v>
      </c>
      <c r="DA351" s="25"/>
      <c r="DH351" s="23">
        <v>179</v>
      </c>
      <c r="DI351" s="25">
        <v>143</v>
      </c>
      <c r="DL351" s="8">
        <v>123</v>
      </c>
      <c r="EG351" s="6">
        <v>87</v>
      </c>
      <c r="EH351" s="28">
        <v>47</v>
      </c>
      <c r="EN351" s="8">
        <v>-18</v>
      </c>
      <c r="EO351" s="28">
        <v>21</v>
      </c>
      <c r="EX351" s="8">
        <v>302</v>
      </c>
      <c r="EY351" s="28">
        <v>110</v>
      </c>
      <c r="FM351" s="8">
        <v>811</v>
      </c>
      <c r="FN351" s="52">
        <v>176</v>
      </c>
      <c r="FS351" s="8">
        <v>187</v>
      </c>
      <c r="FT351" s="52">
        <v>95</v>
      </c>
      <c r="GP351" s="6">
        <v>-150</v>
      </c>
      <c r="GQ351" s="52">
        <v>339</v>
      </c>
      <c r="GT351" s="6"/>
      <c r="IB351" s="8">
        <v>-479</v>
      </c>
      <c r="IC351" s="28">
        <v>494</v>
      </c>
      <c r="IY351" s="8">
        <v>-640</v>
      </c>
      <c r="JW351" s="8">
        <v>-296</v>
      </c>
      <c r="JX351" s="12">
        <v>531</v>
      </c>
      <c r="LF351" s="8">
        <v>-53</v>
      </c>
      <c r="LG351" s="28">
        <v>49</v>
      </c>
      <c r="LJ351" s="8">
        <v>-251</v>
      </c>
      <c r="LK351" s="28">
        <v>113</v>
      </c>
      <c r="LW351" s="8">
        <v>97</v>
      </c>
      <c r="LX351" s="28">
        <v>186</v>
      </c>
      <c r="MF351" s="8">
        <v>-600</v>
      </c>
      <c r="MG351" s="12">
        <v>44</v>
      </c>
      <c r="NC351" s="8">
        <v>186</v>
      </c>
      <c r="ND351" s="12">
        <v>50</v>
      </c>
      <c r="TZ351" s="8">
        <v>140</v>
      </c>
      <c r="UA351" s="12">
        <v>738</v>
      </c>
      <c r="VL351" s="21"/>
      <c r="VQ351" s="6">
        <v>714</v>
      </c>
    </row>
    <row r="352" spans="22:589" x14ac:dyDescent="0.25">
      <c r="V352">
        <v>-1</v>
      </c>
      <c r="W352" s="10">
        <v>153</v>
      </c>
      <c r="BT352">
        <v>28</v>
      </c>
      <c r="BU352" s="1">
        <v>42</v>
      </c>
      <c r="CE352" s="8">
        <v>205</v>
      </c>
      <c r="CF352" s="28">
        <v>33</v>
      </c>
      <c r="DA352" s="25"/>
      <c r="DH352" s="23">
        <v>277</v>
      </c>
      <c r="DI352" s="25">
        <v>138</v>
      </c>
      <c r="DL352" s="8">
        <v>113</v>
      </c>
      <c r="EG352" s="6">
        <v>-141</v>
      </c>
      <c r="EH352" s="28">
        <v>74</v>
      </c>
      <c r="EN352" s="8">
        <v>6</v>
      </c>
      <c r="EO352" s="28">
        <v>87</v>
      </c>
      <c r="EX352" s="8">
        <v>-379</v>
      </c>
      <c r="EY352" s="28">
        <v>131</v>
      </c>
      <c r="FM352" s="8">
        <v>196</v>
      </c>
      <c r="FN352" s="52">
        <v>60</v>
      </c>
      <c r="FS352" s="8">
        <v>369</v>
      </c>
      <c r="FT352" s="52">
        <v>18</v>
      </c>
      <c r="GP352" s="6">
        <v>-101</v>
      </c>
      <c r="GQ352" s="52">
        <v>264</v>
      </c>
      <c r="GT352" s="6"/>
      <c r="IB352" s="8">
        <v>-737</v>
      </c>
      <c r="IC352" s="28">
        <v>508</v>
      </c>
      <c r="IY352" s="8">
        <v>341</v>
      </c>
      <c r="JW352" s="8">
        <v>-322</v>
      </c>
      <c r="JX352" s="12">
        <v>576</v>
      </c>
      <c r="LF352" s="8">
        <v>-25</v>
      </c>
      <c r="LG352" s="28">
        <v>11</v>
      </c>
      <c r="LJ352" s="8">
        <v>-547</v>
      </c>
      <c r="LK352" s="28">
        <v>729</v>
      </c>
      <c r="LW352" s="8">
        <v>-177</v>
      </c>
      <c r="LX352" s="28">
        <v>131</v>
      </c>
      <c r="MF352" s="8">
        <v>-220</v>
      </c>
      <c r="MG352" s="12">
        <v>80</v>
      </c>
      <c r="NC352" s="8">
        <v>-540</v>
      </c>
      <c r="ND352" s="12">
        <v>154</v>
      </c>
      <c r="TZ352" s="8">
        <v>109</v>
      </c>
      <c r="UA352" s="12">
        <v>483</v>
      </c>
      <c r="VL352" s="21"/>
      <c r="VQ352" s="6">
        <v>689</v>
      </c>
    </row>
    <row r="353" spans="22:589" x14ac:dyDescent="0.25">
      <c r="V353">
        <v>-5</v>
      </c>
      <c r="W353" s="10">
        <v>423</v>
      </c>
      <c r="BT353">
        <v>-800</v>
      </c>
      <c r="BU353" s="1">
        <v>98</v>
      </c>
      <c r="CE353" s="8">
        <v>202</v>
      </c>
      <c r="CF353" s="28">
        <v>33</v>
      </c>
      <c r="DA353" s="25"/>
      <c r="DH353" s="23">
        <v>388</v>
      </c>
      <c r="DI353" s="25">
        <v>136</v>
      </c>
      <c r="DL353" s="8">
        <v>116</v>
      </c>
      <c r="EG353" s="6">
        <v>-584</v>
      </c>
      <c r="EH353" s="28">
        <v>574</v>
      </c>
      <c r="EN353" s="8">
        <v>54</v>
      </c>
      <c r="EO353" s="28">
        <v>99</v>
      </c>
      <c r="EX353" s="8">
        <v>138</v>
      </c>
      <c r="EY353" s="28">
        <v>103</v>
      </c>
      <c r="FM353" s="8">
        <v>876</v>
      </c>
      <c r="FN353" s="52">
        <v>209</v>
      </c>
      <c r="FS353" s="8">
        <v>-635</v>
      </c>
      <c r="FT353" s="52">
        <v>39</v>
      </c>
      <c r="GP353" s="6">
        <v>-36</v>
      </c>
      <c r="GQ353" s="52">
        <v>318</v>
      </c>
      <c r="GT353" s="6"/>
      <c r="IB353" s="8">
        <v>-653</v>
      </c>
      <c r="IC353" s="28">
        <v>303</v>
      </c>
      <c r="IY353" s="8">
        <v>215</v>
      </c>
      <c r="JW353" s="8">
        <v>-318</v>
      </c>
      <c r="JX353" s="12">
        <v>569</v>
      </c>
      <c r="LF353" s="8">
        <v>-34</v>
      </c>
      <c r="LG353" s="28">
        <v>10</v>
      </c>
      <c r="LJ353" s="8">
        <v>300</v>
      </c>
      <c r="LK353" s="28">
        <v>114</v>
      </c>
      <c r="LW353" s="8">
        <v>44</v>
      </c>
      <c r="LX353" s="28">
        <v>23</v>
      </c>
      <c r="MF353" s="8">
        <v>-463</v>
      </c>
      <c r="MG353" s="12">
        <v>92</v>
      </c>
      <c r="NC353" s="8">
        <v>279</v>
      </c>
      <c r="ND353" s="12">
        <v>61</v>
      </c>
      <c r="TZ353" s="8">
        <v>82</v>
      </c>
      <c r="UA353" s="12">
        <v>365</v>
      </c>
      <c r="VL353" s="21"/>
      <c r="VQ353" s="6">
        <v>107</v>
      </c>
    </row>
    <row r="354" spans="22:589" x14ac:dyDescent="0.25">
      <c r="V354">
        <v>-1</v>
      </c>
      <c r="W354" s="10">
        <v>44</v>
      </c>
      <c r="BT354">
        <v>-12</v>
      </c>
      <c r="BU354" s="1">
        <v>358</v>
      </c>
      <c r="CE354" s="8">
        <v>201</v>
      </c>
      <c r="CF354" s="28">
        <v>33</v>
      </c>
      <c r="DA354" s="25"/>
      <c r="DH354" s="23">
        <v>164</v>
      </c>
      <c r="DI354" s="25">
        <v>123</v>
      </c>
      <c r="DL354" s="8">
        <v>78</v>
      </c>
      <c r="EG354" s="6">
        <v>-218</v>
      </c>
      <c r="EH354" s="28">
        <v>655</v>
      </c>
      <c r="EN354" s="8">
        <v>-95</v>
      </c>
      <c r="EO354" s="28">
        <v>94</v>
      </c>
      <c r="EX354" s="8">
        <v>-136</v>
      </c>
      <c r="EY354" s="28">
        <v>113</v>
      </c>
      <c r="FM354" s="8">
        <v>-318</v>
      </c>
      <c r="FN354" s="52">
        <v>8</v>
      </c>
      <c r="FS354" s="8">
        <v>195</v>
      </c>
      <c r="FT354" s="52">
        <v>99</v>
      </c>
      <c r="GP354" s="6">
        <v>-226</v>
      </c>
      <c r="GQ354" s="52">
        <v>313</v>
      </c>
      <c r="GT354" s="6"/>
      <c r="IB354" s="8">
        <v>-816</v>
      </c>
      <c r="IC354" s="28">
        <v>309</v>
      </c>
      <c r="IY354" s="8">
        <v>487</v>
      </c>
      <c r="JW354" s="8">
        <v>-215</v>
      </c>
      <c r="JX354" s="12">
        <v>375</v>
      </c>
      <c r="LF354" s="8">
        <v>-52</v>
      </c>
      <c r="LG354" s="28">
        <v>12</v>
      </c>
      <c r="LJ354" s="8">
        <v>128</v>
      </c>
      <c r="LK354" s="28">
        <v>964</v>
      </c>
      <c r="LW354" s="8">
        <v>6</v>
      </c>
      <c r="LX354" s="28">
        <v>20</v>
      </c>
      <c r="MF354" s="8">
        <v>-625</v>
      </c>
      <c r="MG354" s="12">
        <v>42</v>
      </c>
      <c r="NC354" s="8">
        <v>359</v>
      </c>
      <c r="ND354" s="12">
        <v>87</v>
      </c>
      <c r="TZ354" s="8">
        <v>53</v>
      </c>
      <c r="UA354" s="12">
        <v>299</v>
      </c>
      <c r="VL354" s="21"/>
      <c r="VQ354" s="6">
        <v>-85</v>
      </c>
    </row>
    <row r="355" spans="22:589" x14ac:dyDescent="0.25">
      <c r="V355">
        <v>-1</v>
      </c>
      <c r="W355" s="10">
        <v>36</v>
      </c>
      <c r="BT355">
        <v>-229</v>
      </c>
      <c r="BU355" s="1">
        <v>182</v>
      </c>
      <c r="CE355" s="8">
        <v>187</v>
      </c>
      <c r="CF355" s="28">
        <v>35</v>
      </c>
      <c r="DA355" s="25"/>
      <c r="DH355" s="23">
        <v>234</v>
      </c>
      <c r="DI355" s="25">
        <v>129</v>
      </c>
      <c r="DL355" s="8">
        <v>64</v>
      </c>
      <c r="EG355" s="6">
        <v>105</v>
      </c>
      <c r="EH355" s="28">
        <v>169</v>
      </c>
      <c r="EN355" s="8">
        <v>10</v>
      </c>
      <c r="EO355" s="28">
        <v>85</v>
      </c>
      <c r="EX355" s="8">
        <v>-434</v>
      </c>
      <c r="EY355" s="28">
        <v>104</v>
      </c>
      <c r="FM355" s="8">
        <v>-504</v>
      </c>
      <c r="FN355" s="52">
        <v>92</v>
      </c>
      <c r="FS355" s="8">
        <v>449</v>
      </c>
      <c r="FT355" s="52">
        <v>22</v>
      </c>
      <c r="GP355" s="6">
        <v>36</v>
      </c>
      <c r="GQ355" s="52">
        <v>137</v>
      </c>
      <c r="GT355" s="6"/>
      <c r="IB355" s="8">
        <v>114</v>
      </c>
      <c r="IC355" s="28">
        <v>766</v>
      </c>
      <c r="IY355" s="8">
        <v>130</v>
      </c>
      <c r="JW355" s="8">
        <v>-198</v>
      </c>
      <c r="JX355" s="12">
        <v>343</v>
      </c>
      <c r="LF355" s="8">
        <v>14</v>
      </c>
      <c r="LG355" s="28">
        <v>11</v>
      </c>
      <c r="LJ355" s="8">
        <v>251</v>
      </c>
      <c r="LK355" s="28">
        <v>949</v>
      </c>
      <c r="LW355" s="8">
        <v>-6</v>
      </c>
      <c r="LX355" s="28">
        <v>7</v>
      </c>
      <c r="MF355" s="8">
        <v>177</v>
      </c>
      <c r="MG355" s="12">
        <v>159</v>
      </c>
      <c r="NC355" s="8">
        <v>591</v>
      </c>
      <c r="ND355" s="12">
        <v>157</v>
      </c>
      <c r="TZ355" s="8">
        <v>27</v>
      </c>
      <c r="UA355" s="12">
        <v>258</v>
      </c>
      <c r="VL355" s="21"/>
      <c r="VQ355" s="6">
        <v>-92</v>
      </c>
    </row>
    <row r="356" spans="22:589" x14ac:dyDescent="0.25">
      <c r="V356">
        <v>11</v>
      </c>
      <c r="W356" s="10">
        <v>688</v>
      </c>
      <c r="BT356">
        <v>-128</v>
      </c>
      <c r="BU356" s="1">
        <v>84</v>
      </c>
      <c r="CE356" s="8">
        <v>198</v>
      </c>
      <c r="CF356" s="28">
        <v>36</v>
      </c>
      <c r="DA356" s="25"/>
      <c r="DH356" s="23">
        <v>392</v>
      </c>
      <c r="DI356" s="25">
        <v>118</v>
      </c>
      <c r="DL356" s="8">
        <v>66</v>
      </c>
      <c r="EG356" s="6">
        <v>142</v>
      </c>
      <c r="EH356" s="28">
        <v>60</v>
      </c>
      <c r="EN356" s="8">
        <v>171</v>
      </c>
      <c r="EO356" s="28">
        <v>13</v>
      </c>
      <c r="EX356" s="8">
        <v>-360</v>
      </c>
      <c r="EY356" s="28">
        <v>138</v>
      </c>
      <c r="FM356" s="8">
        <v>159</v>
      </c>
      <c r="FN356" s="52">
        <v>276</v>
      </c>
      <c r="FS356" s="8">
        <v>-752</v>
      </c>
      <c r="FT356" s="52">
        <v>43</v>
      </c>
      <c r="GP356" s="6">
        <v>41</v>
      </c>
      <c r="GQ356" s="52">
        <v>103</v>
      </c>
      <c r="GT356" s="6"/>
      <c r="IB356" s="8">
        <v>121</v>
      </c>
      <c r="IC356" s="28">
        <v>765</v>
      </c>
      <c r="IY356" s="8">
        <v>-271</v>
      </c>
      <c r="JW356" s="8">
        <v>-180</v>
      </c>
      <c r="JX356" s="12">
        <v>313</v>
      </c>
      <c r="LF356" s="8">
        <v>-13</v>
      </c>
      <c r="LG356" s="28">
        <v>8</v>
      </c>
      <c r="LJ356" s="8">
        <v>319</v>
      </c>
      <c r="LK356" s="28">
        <v>132</v>
      </c>
      <c r="LW356" s="8">
        <v>-70</v>
      </c>
      <c r="LX356" s="28">
        <v>6</v>
      </c>
      <c r="MF356" s="8">
        <v>819</v>
      </c>
      <c r="MG356" s="12">
        <v>119</v>
      </c>
      <c r="NC356" s="8">
        <v>-27</v>
      </c>
      <c r="ND356" s="12">
        <v>63</v>
      </c>
      <c r="TZ356" s="8">
        <v>951</v>
      </c>
      <c r="UA356" s="12">
        <v>119</v>
      </c>
      <c r="VL356" s="21"/>
      <c r="VQ356" s="6">
        <v>-51</v>
      </c>
    </row>
    <row r="357" spans="22:589" x14ac:dyDescent="0.25">
      <c r="V357">
        <v>9</v>
      </c>
      <c r="W357" s="10">
        <v>283</v>
      </c>
      <c r="BT357">
        <v>-35</v>
      </c>
      <c r="BU357" s="1">
        <v>10</v>
      </c>
      <c r="CE357" s="8">
        <v>184</v>
      </c>
      <c r="CF357" s="28">
        <v>43</v>
      </c>
      <c r="DA357" s="25"/>
      <c r="DH357" s="23">
        <v>342</v>
      </c>
      <c r="DI357" s="25">
        <v>134</v>
      </c>
      <c r="DL357" s="8">
        <v>66</v>
      </c>
      <c r="EG357" s="6">
        <v>241</v>
      </c>
      <c r="EH357" s="28">
        <v>680</v>
      </c>
      <c r="EN357" s="8">
        <v>36</v>
      </c>
      <c r="EO357" s="28">
        <v>17</v>
      </c>
      <c r="EX357" s="8">
        <v>-471</v>
      </c>
      <c r="EY357" s="28">
        <v>106</v>
      </c>
      <c r="FM357" s="8">
        <v>195</v>
      </c>
      <c r="FN357" s="52">
        <v>172</v>
      </c>
      <c r="FS357" s="8">
        <v>198</v>
      </c>
      <c r="FT357" s="52">
        <v>99</v>
      </c>
      <c r="GP357" s="6">
        <v>19</v>
      </c>
      <c r="GQ357" s="52">
        <v>102</v>
      </c>
      <c r="GT357" s="6"/>
      <c r="IB357" s="8">
        <v>-760</v>
      </c>
      <c r="IC357" s="28">
        <v>398</v>
      </c>
      <c r="IY357" s="8">
        <v>520</v>
      </c>
      <c r="JW357" s="8">
        <v>-278</v>
      </c>
      <c r="JX357" s="12">
        <v>501</v>
      </c>
      <c r="LF357" s="8">
        <v>-3</v>
      </c>
      <c r="LG357" s="28">
        <v>9</v>
      </c>
      <c r="LJ357" s="8">
        <v>400</v>
      </c>
      <c r="LK357" s="28">
        <v>115</v>
      </c>
      <c r="LW357" s="8">
        <v>76</v>
      </c>
      <c r="LX357" s="28">
        <v>237</v>
      </c>
      <c r="MF357" s="8">
        <v>224</v>
      </c>
      <c r="MG357" s="12">
        <v>66</v>
      </c>
      <c r="NC357" s="8">
        <v>-94</v>
      </c>
      <c r="ND357" s="12">
        <v>280</v>
      </c>
      <c r="TZ357" s="8">
        <v>468</v>
      </c>
      <c r="UA357" s="12">
        <v>320</v>
      </c>
      <c r="VL357" s="21"/>
      <c r="VQ357" s="6">
        <v>-105</v>
      </c>
    </row>
    <row r="358" spans="22:589" x14ac:dyDescent="0.25">
      <c r="V358">
        <v>11</v>
      </c>
      <c r="W358" s="10">
        <v>466</v>
      </c>
      <c r="BT358">
        <v>137</v>
      </c>
      <c r="BU358" s="1">
        <v>67</v>
      </c>
      <c r="CE358" s="8">
        <v>170</v>
      </c>
      <c r="CF358" s="28">
        <v>61</v>
      </c>
      <c r="DA358" s="25"/>
      <c r="DH358" s="23">
        <v>309</v>
      </c>
      <c r="DI358" s="25">
        <v>128</v>
      </c>
      <c r="DL358" s="8">
        <v>54</v>
      </c>
      <c r="EG358" s="6">
        <v>283</v>
      </c>
      <c r="EH358" s="28">
        <v>750</v>
      </c>
      <c r="EN358" s="8">
        <v>-65</v>
      </c>
      <c r="EO358" s="28">
        <v>15</v>
      </c>
      <c r="EX358" s="8">
        <v>-241</v>
      </c>
      <c r="EY358" s="28">
        <v>108</v>
      </c>
      <c r="FM358" s="8">
        <v>-113</v>
      </c>
      <c r="FN358" s="52">
        <v>47</v>
      </c>
      <c r="FS358" s="8">
        <v>477</v>
      </c>
      <c r="FT358" s="52">
        <v>23</v>
      </c>
      <c r="GP358" s="6">
        <v>37</v>
      </c>
      <c r="GQ358" s="52">
        <v>100</v>
      </c>
      <c r="GT358" s="6"/>
      <c r="IB358" s="8">
        <v>-731</v>
      </c>
      <c r="IC358" s="28">
        <v>398</v>
      </c>
      <c r="IY358" s="8">
        <v>357</v>
      </c>
      <c r="JW358" s="8">
        <v>-314</v>
      </c>
      <c r="JX358" s="12">
        <v>564</v>
      </c>
      <c r="LF358" s="8">
        <v>64</v>
      </c>
      <c r="LG358" s="28">
        <v>56</v>
      </c>
      <c r="LJ358" s="8">
        <v>239</v>
      </c>
      <c r="LK358" s="28">
        <v>101</v>
      </c>
      <c r="LW358" s="8">
        <v>39</v>
      </c>
      <c r="LX358" s="28">
        <v>67</v>
      </c>
      <c r="MF358" s="8">
        <v>-40</v>
      </c>
      <c r="MG358" s="12">
        <v>7</v>
      </c>
      <c r="NC358" s="8">
        <v>-441</v>
      </c>
      <c r="ND358" s="12">
        <v>302</v>
      </c>
      <c r="TZ358" s="8">
        <v>275</v>
      </c>
      <c r="UA358" s="12">
        <v>356</v>
      </c>
      <c r="VL358" s="21"/>
      <c r="VQ358" s="6">
        <v>-121</v>
      </c>
    </row>
    <row r="359" spans="22:589" x14ac:dyDescent="0.25">
      <c r="V359">
        <v>11</v>
      </c>
      <c r="W359" s="10">
        <v>624</v>
      </c>
      <c r="BT359">
        <v>-63</v>
      </c>
      <c r="BU359" s="1">
        <v>154</v>
      </c>
      <c r="CE359" s="8">
        <v>136</v>
      </c>
      <c r="CF359" s="28">
        <v>121</v>
      </c>
      <c r="DA359" s="25"/>
      <c r="DH359" s="23">
        <v>-183</v>
      </c>
      <c r="DI359" s="25">
        <v>109</v>
      </c>
      <c r="DL359" s="8">
        <v>79</v>
      </c>
      <c r="EG359" s="6">
        <v>259</v>
      </c>
      <c r="EH359" s="28">
        <v>820</v>
      </c>
      <c r="EN359" s="8">
        <v>97</v>
      </c>
      <c r="EO359" s="28">
        <v>17</v>
      </c>
      <c r="EX359" s="8">
        <v>-293</v>
      </c>
      <c r="EY359" s="28">
        <v>111</v>
      </c>
      <c r="FM359" s="8">
        <v>175</v>
      </c>
      <c r="FN359" s="52">
        <v>80</v>
      </c>
      <c r="FS359" s="8">
        <v>-761</v>
      </c>
      <c r="FT359" s="52">
        <v>157</v>
      </c>
      <c r="GP359" s="6">
        <v>47</v>
      </c>
      <c r="GQ359" s="52">
        <v>65</v>
      </c>
      <c r="GT359" s="6"/>
      <c r="IB359" s="8">
        <v>595</v>
      </c>
      <c r="IC359" s="28">
        <v>732</v>
      </c>
      <c r="IY359" s="8">
        <v>544</v>
      </c>
      <c r="JW359" s="8">
        <v>-297</v>
      </c>
      <c r="JX359" s="12">
        <v>534</v>
      </c>
      <c r="LF359" s="8">
        <v>189</v>
      </c>
      <c r="LG359" s="28">
        <v>55</v>
      </c>
      <c r="LJ359" s="8">
        <v>177</v>
      </c>
      <c r="LK359" s="28">
        <v>958</v>
      </c>
      <c r="LW359" s="8">
        <v>13</v>
      </c>
      <c r="LX359" s="28">
        <v>5</v>
      </c>
      <c r="MF359" s="8">
        <v>-195</v>
      </c>
      <c r="MG359" s="12">
        <v>46</v>
      </c>
      <c r="NC359" s="8">
        <v>-21</v>
      </c>
      <c r="ND359" s="12">
        <v>13</v>
      </c>
      <c r="TZ359" s="8">
        <v>113</v>
      </c>
      <c r="UA359" s="12">
        <v>330</v>
      </c>
      <c r="VL359" s="21"/>
      <c r="VQ359" s="6">
        <v>15</v>
      </c>
    </row>
    <row r="360" spans="22:589" x14ac:dyDescent="0.25">
      <c r="V360">
        <v>11</v>
      </c>
      <c r="W360" s="10">
        <v>803</v>
      </c>
      <c r="BT360">
        <v>112</v>
      </c>
      <c r="BU360" s="1">
        <v>858</v>
      </c>
      <c r="DA360" s="25"/>
      <c r="DH360" s="23">
        <v>25</v>
      </c>
      <c r="DI360" s="25">
        <v>3</v>
      </c>
      <c r="DL360" s="8">
        <v>83</v>
      </c>
      <c r="EG360" s="6">
        <v>233</v>
      </c>
      <c r="EH360" s="28">
        <v>880</v>
      </c>
      <c r="EN360" s="8">
        <v>147</v>
      </c>
      <c r="EO360" s="28">
        <v>16</v>
      </c>
      <c r="EX360" s="8">
        <v>627</v>
      </c>
      <c r="EY360" s="28">
        <v>145</v>
      </c>
      <c r="FM360" s="8">
        <v>547</v>
      </c>
      <c r="FN360" s="52">
        <v>38</v>
      </c>
      <c r="FS360" s="8">
        <v>-737</v>
      </c>
      <c r="FT360" s="52">
        <v>149</v>
      </c>
      <c r="GP360" s="6">
        <v>37</v>
      </c>
      <c r="GQ360" s="52">
        <v>93</v>
      </c>
      <c r="GT360" s="6"/>
      <c r="IB360" s="8">
        <v>613</v>
      </c>
      <c r="IC360" s="28">
        <v>723</v>
      </c>
      <c r="IY360" s="8">
        <v>485</v>
      </c>
      <c r="JW360" s="8">
        <v>-212</v>
      </c>
      <c r="JX360" s="12">
        <v>371</v>
      </c>
      <c r="LF360" s="8">
        <v>113</v>
      </c>
      <c r="LG360" s="28">
        <v>48</v>
      </c>
      <c r="LJ360" s="8">
        <v>-125</v>
      </c>
      <c r="LK360" s="28">
        <v>857</v>
      </c>
      <c r="LW360" s="8">
        <v>220</v>
      </c>
      <c r="LX360" s="28">
        <v>127</v>
      </c>
      <c r="MF360" s="8">
        <v>454</v>
      </c>
      <c r="MG360" s="12">
        <v>35</v>
      </c>
      <c r="NC360" s="8">
        <v>380</v>
      </c>
      <c r="ND360" s="12">
        <v>171</v>
      </c>
      <c r="TZ360" s="8">
        <v>1</v>
      </c>
      <c r="UA360" s="12">
        <v>281</v>
      </c>
      <c r="VL360" s="21"/>
      <c r="VQ360" s="6">
        <v>-64</v>
      </c>
    </row>
    <row r="361" spans="22:589" x14ac:dyDescent="0.25">
      <c r="V361">
        <v>12</v>
      </c>
      <c r="W361" s="10">
        <v>764</v>
      </c>
      <c r="BT361">
        <v>101</v>
      </c>
      <c r="BU361" s="1">
        <v>498</v>
      </c>
      <c r="DA361" s="25"/>
      <c r="DH361" s="23">
        <v>18</v>
      </c>
      <c r="DI361" s="25">
        <v>2</v>
      </c>
      <c r="DL361" s="8">
        <v>49</v>
      </c>
      <c r="EG361" s="6">
        <v>-250</v>
      </c>
      <c r="EH361" s="28">
        <v>419</v>
      </c>
      <c r="EN361" s="8">
        <v>96</v>
      </c>
      <c r="EO361" s="28">
        <v>15</v>
      </c>
      <c r="EX361" s="8">
        <v>-439</v>
      </c>
      <c r="EY361" s="28">
        <v>115</v>
      </c>
      <c r="FM361" s="8">
        <v>-113</v>
      </c>
      <c r="FN361" s="52">
        <v>38</v>
      </c>
      <c r="FS361" s="8">
        <v>-955</v>
      </c>
      <c r="FT361" s="52">
        <v>189</v>
      </c>
      <c r="GP361" s="6">
        <v>-9</v>
      </c>
      <c r="GQ361" s="52">
        <v>85</v>
      </c>
      <c r="GT361" s="6"/>
      <c r="IB361" s="8">
        <v>167</v>
      </c>
      <c r="IC361" s="28">
        <v>909</v>
      </c>
      <c r="IY361" s="8">
        <v>476</v>
      </c>
      <c r="JW361" s="8">
        <v>-171</v>
      </c>
      <c r="JX361" s="12">
        <v>298</v>
      </c>
      <c r="LF361" s="8">
        <v>80</v>
      </c>
      <c r="LG361" s="28">
        <v>57</v>
      </c>
      <c r="LJ361" s="8">
        <v>146</v>
      </c>
      <c r="LK361" s="28">
        <v>973</v>
      </c>
      <c r="LW361" s="8">
        <v>65</v>
      </c>
      <c r="LX361" s="28">
        <v>139</v>
      </c>
      <c r="MF361" s="8">
        <v>333</v>
      </c>
      <c r="MG361" s="12">
        <v>18</v>
      </c>
      <c r="NC361" s="8">
        <v>667</v>
      </c>
      <c r="ND361" s="12">
        <v>199</v>
      </c>
      <c r="TZ361" s="8">
        <v>-74</v>
      </c>
      <c r="UA361" s="12">
        <v>120</v>
      </c>
      <c r="VL361" s="21"/>
      <c r="VQ361" s="6">
        <v>526</v>
      </c>
    </row>
    <row r="362" spans="22:589" x14ac:dyDescent="0.25">
      <c r="V362">
        <v>11</v>
      </c>
      <c r="W362" s="10">
        <v>737</v>
      </c>
      <c r="BT362">
        <v>108</v>
      </c>
      <c r="BU362" s="1">
        <v>505</v>
      </c>
      <c r="DA362" s="25"/>
      <c r="DH362" s="23">
        <v>64</v>
      </c>
      <c r="DI362" s="25">
        <v>5</v>
      </c>
      <c r="DL362" s="8">
        <v>81</v>
      </c>
      <c r="EG362" s="6">
        <v>219</v>
      </c>
      <c r="EH362" s="28">
        <v>409</v>
      </c>
      <c r="EN362" s="8">
        <v>36</v>
      </c>
      <c r="EO362" s="28">
        <v>21</v>
      </c>
      <c r="EX362" s="8">
        <v>825</v>
      </c>
      <c r="EY362" s="28">
        <v>108</v>
      </c>
      <c r="FM362" s="8">
        <v>964</v>
      </c>
      <c r="FN362" s="52">
        <v>343</v>
      </c>
      <c r="FS362" s="8">
        <v>-941</v>
      </c>
      <c r="FT362" s="52">
        <v>185</v>
      </c>
      <c r="GP362" s="6">
        <v>6</v>
      </c>
      <c r="GQ362" s="52">
        <v>19</v>
      </c>
      <c r="GT362" s="6"/>
      <c r="IB362" s="8">
        <v>169</v>
      </c>
      <c r="IC362" s="28">
        <v>901</v>
      </c>
      <c r="IY362" s="8">
        <v>165</v>
      </c>
      <c r="JW362" s="8">
        <v>-154</v>
      </c>
      <c r="JX362" s="12">
        <v>251</v>
      </c>
      <c r="LF362" s="8">
        <v>149</v>
      </c>
      <c r="LG362" s="28">
        <v>54</v>
      </c>
      <c r="LJ362" s="8">
        <v>236</v>
      </c>
      <c r="LK362" s="28">
        <v>790</v>
      </c>
      <c r="LW362" s="8">
        <v>207</v>
      </c>
      <c r="LX362" s="28">
        <v>136</v>
      </c>
      <c r="MF362" s="8">
        <v>-125</v>
      </c>
      <c r="MG362" s="12">
        <v>58</v>
      </c>
      <c r="NC362" s="8">
        <v>293</v>
      </c>
      <c r="ND362" s="12">
        <v>81</v>
      </c>
      <c r="TZ362" s="8">
        <v>-107</v>
      </c>
      <c r="UA362" s="12">
        <v>164</v>
      </c>
      <c r="VL362" s="21"/>
      <c r="VQ362" s="6">
        <v>525</v>
      </c>
    </row>
    <row r="363" spans="22:589" x14ac:dyDescent="0.25">
      <c r="V363">
        <v>12</v>
      </c>
      <c r="W363" s="10">
        <v>894</v>
      </c>
      <c r="BT363">
        <v>-537</v>
      </c>
      <c r="BU363" s="1">
        <v>827</v>
      </c>
      <c r="DA363" s="25"/>
      <c r="DH363" s="23">
        <v>77</v>
      </c>
      <c r="DI363" s="25">
        <v>56</v>
      </c>
      <c r="DL363" s="8">
        <v>82</v>
      </c>
      <c r="EG363" s="6">
        <v>669</v>
      </c>
      <c r="EH363" s="28">
        <v>403</v>
      </c>
      <c r="EN363" s="8">
        <v>60</v>
      </c>
      <c r="EO363" s="28">
        <v>14</v>
      </c>
      <c r="EX363" s="8">
        <v>-341</v>
      </c>
      <c r="EY363" s="28">
        <v>109</v>
      </c>
      <c r="FM363" s="8">
        <v>245</v>
      </c>
      <c r="FN363" s="52">
        <v>96</v>
      </c>
      <c r="FS363" s="8">
        <v>-684</v>
      </c>
      <c r="FT363" s="52">
        <v>150</v>
      </c>
      <c r="GP363" s="6">
        <v>-5</v>
      </c>
      <c r="GQ363" s="52">
        <v>36</v>
      </c>
      <c r="GT363" s="6"/>
      <c r="IB363" s="8">
        <v>-110</v>
      </c>
      <c r="IC363" s="28">
        <v>406</v>
      </c>
      <c r="IY363" s="8">
        <v>485</v>
      </c>
      <c r="JW363" s="8">
        <v>-311</v>
      </c>
      <c r="JX363" s="12">
        <v>671</v>
      </c>
      <c r="LF363" s="8">
        <v>88</v>
      </c>
      <c r="LG363" s="28">
        <v>50</v>
      </c>
      <c r="LJ363" s="8">
        <v>-486</v>
      </c>
      <c r="LK363" s="28">
        <v>990</v>
      </c>
      <c r="LW363" s="8">
        <v>-334</v>
      </c>
      <c r="LX363" s="28">
        <v>101</v>
      </c>
      <c r="MF363" s="8">
        <v>659</v>
      </c>
      <c r="MG363" s="12">
        <v>87</v>
      </c>
      <c r="NC363" s="8">
        <v>-15</v>
      </c>
      <c r="ND363" s="12">
        <v>233</v>
      </c>
      <c r="TZ363" s="8">
        <v>-109</v>
      </c>
      <c r="UA363" s="12">
        <v>185</v>
      </c>
      <c r="VL363" s="21"/>
      <c r="VQ363" s="6">
        <v>110</v>
      </c>
    </row>
    <row r="364" spans="22:589" x14ac:dyDescent="0.25">
      <c r="V364">
        <v>14</v>
      </c>
      <c r="W364" s="10">
        <v>351</v>
      </c>
      <c r="BT364">
        <v>-224</v>
      </c>
      <c r="BU364" s="1">
        <v>435</v>
      </c>
      <c r="DA364" s="25"/>
      <c r="DH364" s="23">
        <v>66</v>
      </c>
      <c r="DI364" s="25">
        <v>51</v>
      </c>
      <c r="DL364" s="8">
        <v>-237</v>
      </c>
      <c r="EG364" s="6">
        <v>923</v>
      </c>
      <c r="EH364" s="28">
        <v>308</v>
      </c>
      <c r="EX364" s="8">
        <v>139</v>
      </c>
      <c r="EY364" s="28">
        <v>134</v>
      </c>
      <c r="FM364" s="8">
        <v>-718</v>
      </c>
      <c r="FN364" s="52">
        <v>94</v>
      </c>
      <c r="FS364" s="8">
        <v>-104</v>
      </c>
      <c r="FT364" s="52">
        <v>129</v>
      </c>
      <c r="GP364" s="6">
        <v>9</v>
      </c>
      <c r="GQ364" s="52">
        <v>118</v>
      </c>
      <c r="GT364" s="6"/>
      <c r="IB364" s="8">
        <v>-108</v>
      </c>
      <c r="IC364" s="28">
        <v>404</v>
      </c>
      <c r="IY364" s="8">
        <v>-384</v>
      </c>
      <c r="JW364" s="8">
        <v>-195</v>
      </c>
      <c r="JX364" s="12">
        <v>265</v>
      </c>
      <c r="LF364" s="8">
        <v>43</v>
      </c>
      <c r="LG364" s="28">
        <v>10</v>
      </c>
      <c r="LJ364" s="8">
        <v>-224</v>
      </c>
      <c r="LK364" s="28">
        <v>117</v>
      </c>
      <c r="LW364" s="8">
        <v>-132</v>
      </c>
      <c r="LX364" s="28">
        <v>377</v>
      </c>
      <c r="MF364" s="8">
        <v>-283</v>
      </c>
      <c r="MG364" s="12">
        <v>13</v>
      </c>
      <c r="NC364" s="8">
        <v>303</v>
      </c>
      <c r="ND364" s="12">
        <v>166</v>
      </c>
      <c r="TZ364" s="8">
        <v>-74</v>
      </c>
      <c r="UA364" s="12">
        <v>197</v>
      </c>
      <c r="VL364" s="21"/>
      <c r="VQ364" s="6">
        <v>551</v>
      </c>
    </row>
    <row r="365" spans="22:589" x14ac:dyDescent="0.25">
      <c r="V365">
        <v>15</v>
      </c>
      <c r="W365" s="10">
        <v>391</v>
      </c>
      <c r="BT365">
        <v>130</v>
      </c>
      <c r="BU365" s="1">
        <v>108</v>
      </c>
      <c r="DA365" s="25"/>
      <c r="DH365" s="23">
        <v>11</v>
      </c>
      <c r="DI365" s="25">
        <v>55</v>
      </c>
      <c r="DL365" s="8">
        <v>-102</v>
      </c>
      <c r="EG365" s="6">
        <v>187</v>
      </c>
      <c r="EH365" s="28">
        <v>410</v>
      </c>
      <c r="EX365" s="8">
        <v>-808</v>
      </c>
      <c r="EY365" s="28">
        <v>117</v>
      </c>
      <c r="FM365" s="8">
        <v>-202</v>
      </c>
      <c r="FN365" s="52">
        <v>67</v>
      </c>
      <c r="FS365" s="8">
        <v>-101</v>
      </c>
      <c r="FT365" s="52">
        <v>124</v>
      </c>
      <c r="GP365" s="6">
        <v>-15</v>
      </c>
      <c r="GQ365" s="52">
        <v>84</v>
      </c>
      <c r="GT365" s="6"/>
      <c r="IB365" s="8">
        <v>184</v>
      </c>
      <c r="IC365" s="28">
        <v>782</v>
      </c>
      <c r="IY365" s="8">
        <v>-272</v>
      </c>
      <c r="JW365" s="8">
        <v>-352</v>
      </c>
      <c r="JX365" s="12">
        <v>814</v>
      </c>
      <c r="LF365" s="8">
        <v>47</v>
      </c>
      <c r="LG365" s="28">
        <v>10</v>
      </c>
      <c r="LJ365" s="8">
        <v>322</v>
      </c>
      <c r="LK365" s="28">
        <v>603</v>
      </c>
      <c r="LW365" s="8">
        <v>-131</v>
      </c>
      <c r="LX365" s="28">
        <v>117</v>
      </c>
      <c r="MF365" s="8">
        <v>-823</v>
      </c>
      <c r="MG365" s="12">
        <v>84</v>
      </c>
      <c r="NC365" s="8">
        <v>389</v>
      </c>
      <c r="ND365" s="12">
        <v>98</v>
      </c>
      <c r="TZ365" s="8">
        <v>493</v>
      </c>
      <c r="UA365" s="12">
        <v>411</v>
      </c>
      <c r="VL365" s="21"/>
      <c r="VQ365" s="6">
        <v>519</v>
      </c>
    </row>
    <row r="366" spans="22:589" x14ac:dyDescent="0.25">
      <c r="V366">
        <v>14</v>
      </c>
      <c r="W366" s="10">
        <v>341</v>
      </c>
      <c r="BT366">
        <v>103</v>
      </c>
      <c r="BU366" s="1">
        <v>66</v>
      </c>
      <c r="DA366" s="25"/>
      <c r="DH366" s="23">
        <v>75</v>
      </c>
      <c r="DI366" s="25">
        <v>48</v>
      </c>
      <c r="DL366" s="8">
        <v>-398</v>
      </c>
      <c r="EG366" s="6">
        <v>55</v>
      </c>
      <c r="EH366" s="28">
        <v>409</v>
      </c>
      <c r="EX366" s="8">
        <v>467</v>
      </c>
      <c r="EY366" s="28">
        <v>929</v>
      </c>
      <c r="FM366" s="8">
        <v>-670</v>
      </c>
      <c r="FN366" s="52">
        <v>347</v>
      </c>
      <c r="FS366" s="8">
        <v>-243</v>
      </c>
      <c r="FT366" s="52">
        <v>295</v>
      </c>
      <c r="GP366" s="6">
        <v>16</v>
      </c>
      <c r="GQ366" s="52">
        <v>65</v>
      </c>
      <c r="GT366" s="6"/>
      <c r="IB366" s="8">
        <v>184</v>
      </c>
      <c r="IC366" s="28">
        <v>780</v>
      </c>
      <c r="IY366" s="8">
        <v>-94</v>
      </c>
      <c r="JW366" s="8">
        <v>-314</v>
      </c>
      <c r="JX366" s="12">
        <v>441</v>
      </c>
      <c r="LF366" s="8">
        <v>79</v>
      </c>
      <c r="LG366" s="28">
        <v>13</v>
      </c>
      <c r="LJ366" s="8">
        <v>583</v>
      </c>
      <c r="LK366" s="28">
        <v>36</v>
      </c>
      <c r="LW366" s="8">
        <v>-369</v>
      </c>
      <c r="LX366" s="28">
        <v>178</v>
      </c>
      <c r="MF366" s="8">
        <v>972</v>
      </c>
      <c r="MG366" s="12">
        <v>188</v>
      </c>
      <c r="NC366" s="8">
        <v>268</v>
      </c>
      <c r="ND366" s="12">
        <v>173</v>
      </c>
      <c r="VL366" s="21"/>
      <c r="VQ366" s="6">
        <v>147</v>
      </c>
    </row>
    <row r="367" spans="22:589" x14ac:dyDescent="0.25">
      <c r="V367">
        <v>14</v>
      </c>
      <c r="W367" s="10">
        <v>339</v>
      </c>
      <c r="BT367">
        <v>-194</v>
      </c>
      <c r="BU367" s="1">
        <v>167</v>
      </c>
      <c r="DA367" s="25"/>
      <c r="DH367" s="23">
        <v>12</v>
      </c>
      <c r="DI367" s="25">
        <v>63</v>
      </c>
      <c r="DL367" s="8">
        <v>-270</v>
      </c>
      <c r="EG367" s="6">
        <v>522</v>
      </c>
      <c r="EH367" s="28">
        <v>411</v>
      </c>
      <c r="EX367" s="8">
        <v>571</v>
      </c>
      <c r="EY367" s="28">
        <v>102</v>
      </c>
      <c r="FM367" s="8">
        <v>605</v>
      </c>
      <c r="FN367" s="52">
        <v>766</v>
      </c>
      <c r="FS367" s="8">
        <v>-235</v>
      </c>
      <c r="FT367" s="52">
        <v>284</v>
      </c>
      <c r="GP367" s="6">
        <v>-11</v>
      </c>
      <c r="GQ367" s="52">
        <v>95</v>
      </c>
      <c r="GT367" s="6"/>
      <c r="IB367" s="8">
        <v>480</v>
      </c>
      <c r="IC367" s="28">
        <v>165</v>
      </c>
      <c r="IY367" s="8">
        <v>-28</v>
      </c>
      <c r="JW367" s="8">
        <v>-548</v>
      </c>
      <c r="JX367" s="12">
        <v>939</v>
      </c>
      <c r="LF367" s="8">
        <v>7</v>
      </c>
      <c r="LG367" s="28">
        <v>9</v>
      </c>
      <c r="LJ367" s="8">
        <v>158</v>
      </c>
      <c r="LK367" s="28">
        <v>505</v>
      </c>
      <c r="LW367" s="8">
        <v>-88</v>
      </c>
      <c r="LX367" s="28">
        <v>120</v>
      </c>
      <c r="MF367" s="8">
        <v>345</v>
      </c>
      <c r="MG367" s="12">
        <v>172</v>
      </c>
      <c r="NC367" s="8">
        <v>1547</v>
      </c>
      <c r="ND367" s="12">
        <v>239</v>
      </c>
      <c r="VL367" s="21"/>
      <c r="VQ367" s="6">
        <v>531</v>
      </c>
    </row>
    <row r="368" spans="22:589" x14ac:dyDescent="0.25">
      <c r="V368">
        <v>14</v>
      </c>
      <c r="W368" s="10">
        <v>382</v>
      </c>
      <c r="BT368">
        <v>-123</v>
      </c>
      <c r="BU368" s="1">
        <v>137</v>
      </c>
      <c r="DA368" s="25"/>
      <c r="DH368" s="23">
        <v>5</v>
      </c>
      <c r="DI368" s="25">
        <v>53</v>
      </c>
      <c r="DL368" s="8">
        <v>-157</v>
      </c>
      <c r="EG368" s="6">
        <v>368</v>
      </c>
      <c r="EH368" s="28">
        <v>415</v>
      </c>
      <c r="EX368" s="8">
        <v>841</v>
      </c>
      <c r="EY368" s="28">
        <v>129</v>
      </c>
      <c r="FM368" s="8">
        <v>-106</v>
      </c>
      <c r="FN368" s="52">
        <v>335</v>
      </c>
      <c r="FS368" s="8">
        <v>-191</v>
      </c>
      <c r="FT368" s="52">
        <v>284</v>
      </c>
      <c r="GP368" s="6">
        <v>3</v>
      </c>
      <c r="GQ368" s="52">
        <v>56</v>
      </c>
      <c r="GT368" s="6"/>
      <c r="IB368" s="8">
        <v>465</v>
      </c>
      <c r="IC368" s="28">
        <v>719</v>
      </c>
      <c r="IY368" s="8">
        <v>-17</v>
      </c>
      <c r="JW368" s="8">
        <v>-477</v>
      </c>
      <c r="JX368" s="12">
        <v>704</v>
      </c>
      <c r="LF368" s="8">
        <v>23</v>
      </c>
      <c r="LG368" s="28">
        <v>7</v>
      </c>
      <c r="LJ368" s="8">
        <v>120</v>
      </c>
      <c r="LK368" s="28">
        <v>85</v>
      </c>
      <c r="LW368" s="8">
        <v>-25</v>
      </c>
      <c r="LX368" s="28">
        <v>121</v>
      </c>
      <c r="MF368" s="8">
        <v>147</v>
      </c>
      <c r="MG368" s="12">
        <v>158</v>
      </c>
      <c r="NC368" s="8">
        <v>189</v>
      </c>
      <c r="ND368" s="12">
        <v>50</v>
      </c>
      <c r="VL368" s="21"/>
      <c r="VQ368" s="6">
        <v>491</v>
      </c>
    </row>
    <row r="369" spans="22:589" x14ac:dyDescent="0.25">
      <c r="V369">
        <v>6</v>
      </c>
      <c r="W369" s="10">
        <v>168</v>
      </c>
      <c r="BT369">
        <v>41</v>
      </c>
      <c r="BU369" s="1">
        <v>60</v>
      </c>
      <c r="DA369" s="25"/>
      <c r="DH369" s="23">
        <v>87</v>
      </c>
      <c r="DI369" s="25">
        <v>48</v>
      </c>
      <c r="DL369" s="8">
        <v>-39</v>
      </c>
      <c r="EG369" s="6">
        <v>623</v>
      </c>
      <c r="EH369" s="28">
        <v>420</v>
      </c>
      <c r="EX369" s="8">
        <v>411</v>
      </c>
      <c r="EY369" s="28">
        <v>106</v>
      </c>
      <c r="FM369" s="8">
        <v>-547</v>
      </c>
      <c r="FN369" s="52">
        <v>265</v>
      </c>
      <c r="FS369" s="8">
        <v>-113</v>
      </c>
      <c r="FT369" s="52">
        <v>117</v>
      </c>
      <c r="GP369" s="6">
        <v>13</v>
      </c>
      <c r="GQ369" s="52">
        <v>126</v>
      </c>
      <c r="GT369" s="6"/>
      <c r="IB369" s="8">
        <v>-280</v>
      </c>
      <c r="IC369" s="28">
        <v>141</v>
      </c>
      <c r="IY369" s="8">
        <v>-112</v>
      </c>
      <c r="JW369" s="8">
        <v>-365</v>
      </c>
      <c r="JX369" s="12">
        <v>676</v>
      </c>
      <c r="LF369" s="8">
        <v>18</v>
      </c>
      <c r="LG369" s="28">
        <v>7</v>
      </c>
      <c r="LJ369" s="8">
        <v>-3</v>
      </c>
      <c r="LK369" s="28">
        <v>14</v>
      </c>
      <c r="LW369" s="8">
        <v>-89</v>
      </c>
      <c r="LX369" s="28">
        <v>179</v>
      </c>
      <c r="MF369" s="8">
        <v>-133</v>
      </c>
      <c r="MG369" s="12">
        <v>37</v>
      </c>
      <c r="NC369" s="8">
        <v>-548</v>
      </c>
      <c r="ND369" s="12">
        <v>154</v>
      </c>
      <c r="VL369" s="21"/>
      <c r="VQ369" s="6">
        <v>252</v>
      </c>
    </row>
    <row r="370" spans="22:589" x14ac:dyDescent="0.25">
      <c r="V370">
        <v>15</v>
      </c>
      <c r="W370" s="10">
        <v>277</v>
      </c>
      <c r="BT370">
        <v>-115</v>
      </c>
      <c r="BU370" s="1">
        <v>143</v>
      </c>
      <c r="DA370" s="25"/>
      <c r="DH370" s="23">
        <v>-472</v>
      </c>
      <c r="DI370" s="25">
        <v>44</v>
      </c>
      <c r="DL370" s="8">
        <v>-20</v>
      </c>
      <c r="EG370" s="6">
        <v>139</v>
      </c>
      <c r="EH370" s="28">
        <v>427</v>
      </c>
      <c r="EX370" s="8">
        <v>771</v>
      </c>
      <c r="EY370" s="28">
        <v>994</v>
      </c>
      <c r="FM370" s="8">
        <v>-706</v>
      </c>
      <c r="FN370" s="52">
        <v>319</v>
      </c>
      <c r="FS370" s="8">
        <v>-112</v>
      </c>
      <c r="FT370" s="52">
        <v>114</v>
      </c>
      <c r="GP370" s="6">
        <v>28</v>
      </c>
      <c r="GQ370" s="52">
        <v>135</v>
      </c>
      <c r="GT370" s="6"/>
      <c r="IB370" s="8">
        <v>113</v>
      </c>
      <c r="IC370" s="28">
        <v>955</v>
      </c>
      <c r="IY370" s="8">
        <v>-149</v>
      </c>
      <c r="JW370" s="8">
        <v>-372</v>
      </c>
      <c r="JX370" s="12">
        <v>584</v>
      </c>
      <c r="LF370" s="8">
        <v>280</v>
      </c>
      <c r="LG370" s="28">
        <v>339</v>
      </c>
      <c r="LJ370" s="8">
        <v>591</v>
      </c>
      <c r="LK370" s="28">
        <v>630</v>
      </c>
      <c r="LW370" s="8">
        <v>-153</v>
      </c>
      <c r="LX370" s="28">
        <v>151</v>
      </c>
      <c r="MF370" s="8">
        <v>176</v>
      </c>
      <c r="MG370" s="12">
        <v>181</v>
      </c>
      <c r="NC370" s="8">
        <v>287</v>
      </c>
      <c r="ND370" s="12">
        <v>61</v>
      </c>
      <c r="VL370" s="21"/>
      <c r="VQ370" s="6">
        <v>239</v>
      </c>
    </row>
    <row r="371" spans="22:589" x14ac:dyDescent="0.25">
      <c r="V371">
        <v>15</v>
      </c>
      <c r="W371" s="10">
        <v>395</v>
      </c>
      <c r="BT371">
        <v>29</v>
      </c>
      <c r="BU371" s="1">
        <v>865</v>
      </c>
      <c r="DA371" s="25"/>
      <c r="DH371" s="23">
        <v>14</v>
      </c>
      <c r="DI371" s="25">
        <v>2</v>
      </c>
      <c r="DL371" s="8">
        <v>-12</v>
      </c>
      <c r="EG371" s="6">
        <v>204</v>
      </c>
      <c r="EH371" s="28">
        <v>429</v>
      </c>
      <c r="EX371" s="8">
        <v>703</v>
      </c>
      <c r="EY371" s="28">
        <v>992</v>
      </c>
      <c r="FM371" s="8">
        <v>-76</v>
      </c>
      <c r="FN371" s="52">
        <v>52</v>
      </c>
      <c r="FS371" s="8">
        <v>-829</v>
      </c>
      <c r="FT371" s="52">
        <v>103</v>
      </c>
      <c r="GP371" s="6">
        <v>9</v>
      </c>
      <c r="GQ371" s="52">
        <v>68</v>
      </c>
      <c r="GT371" s="6"/>
      <c r="IB371" s="8">
        <v>-218</v>
      </c>
      <c r="IC371" s="28">
        <v>427</v>
      </c>
      <c r="IY371" s="8">
        <v>-273</v>
      </c>
      <c r="LF371" s="8">
        <v>336</v>
      </c>
      <c r="LG371" s="28">
        <v>388</v>
      </c>
      <c r="LJ371" s="8">
        <v>-266</v>
      </c>
      <c r="LK371" s="28">
        <v>122</v>
      </c>
      <c r="LW371" s="8">
        <v>302</v>
      </c>
      <c r="LX371" s="28">
        <v>181</v>
      </c>
      <c r="MF371" s="8">
        <v>-446</v>
      </c>
      <c r="MG371" s="12">
        <v>46</v>
      </c>
      <c r="NC371" s="8">
        <v>359</v>
      </c>
      <c r="ND371" s="12">
        <v>85</v>
      </c>
      <c r="VL371" s="21"/>
    </row>
    <row r="372" spans="22:589" x14ac:dyDescent="0.25">
      <c r="V372">
        <v>-61</v>
      </c>
      <c r="W372" s="10">
        <v>64</v>
      </c>
      <c r="BT372">
        <v>134</v>
      </c>
      <c r="BU372" s="1">
        <v>106</v>
      </c>
      <c r="DA372" s="25"/>
      <c r="DH372" s="23">
        <v>9</v>
      </c>
      <c r="DI372" s="25">
        <v>2</v>
      </c>
      <c r="DL372" s="8">
        <v>-11</v>
      </c>
      <c r="EG372" s="6">
        <v>145</v>
      </c>
      <c r="EH372" s="28">
        <v>432</v>
      </c>
      <c r="EX372" s="8">
        <v>346</v>
      </c>
      <c r="EY372" s="28">
        <v>100</v>
      </c>
      <c r="FM372" s="8">
        <v>-129</v>
      </c>
      <c r="FN372" s="52">
        <v>104</v>
      </c>
      <c r="FS372" s="8">
        <v>-720</v>
      </c>
      <c r="FT372" s="52">
        <v>91</v>
      </c>
      <c r="GP372" s="6">
        <v>-2</v>
      </c>
      <c r="GQ372" s="52">
        <v>13</v>
      </c>
      <c r="GT372" s="6"/>
      <c r="IB372" s="8">
        <v>-506</v>
      </c>
      <c r="IC372" s="28">
        <v>163</v>
      </c>
      <c r="IY372" s="8">
        <v>-807</v>
      </c>
      <c r="LF372" s="8">
        <v>271</v>
      </c>
      <c r="LG372" s="28">
        <v>350</v>
      </c>
      <c r="LJ372" s="8">
        <v>-301</v>
      </c>
      <c r="LK372" s="28">
        <v>111</v>
      </c>
      <c r="LW372" s="8">
        <v>-43</v>
      </c>
      <c r="LX372" s="28">
        <v>67</v>
      </c>
      <c r="MF372" s="8">
        <v>112</v>
      </c>
      <c r="MG372" s="12">
        <v>402</v>
      </c>
      <c r="NC372" s="8">
        <v>606</v>
      </c>
      <c r="ND372" s="12">
        <v>158</v>
      </c>
      <c r="VL372" s="21"/>
    </row>
    <row r="373" spans="22:589" x14ac:dyDescent="0.25">
      <c r="V373">
        <v>-31</v>
      </c>
      <c r="W373" s="10">
        <v>7</v>
      </c>
      <c r="BT373">
        <v>-160</v>
      </c>
      <c r="BU373" s="1">
        <v>111</v>
      </c>
      <c r="DA373" s="25"/>
      <c r="DH373" s="23">
        <v>1</v>
      </c>
      <c r="DI373" s="25">
        <v>35</v>
      </c>
      <c r="DL373" s="8">
        <v>283</v>
      </c>
      <c r="EG373" s="6">
        <v>203</v>
      </c>
      <c r="EH373" s="28">
        <v>49</v>
      </c>
      <c r="EX373" s="8">
        <v>333</v>
      </c>
      <c r="EY373" s="28">
        <v>110</v>
      </c>
      <c r="FM373" s="8">
        <v>-745</v>
      </c>
      <c r="FN373" s="52">
        <v>92</v>
      </c>
      <c r="FS373" s="8">
        <v>-421</v>
      </c>
      <c r="FT373" s="52">
        <v>60</v>
      </c>
      <c r="GP373" s="6">
        <v>-9</v>
      </c>
      <c r="GQ373" s="52">
        <v>198</v>
      </c>
      <c r="GT373" s="6"/>
      <c r="IB373" s="8">
        <v>127</v>
      </c>
      <c r="IC373" s="28">
        <v>861</v>
      </c>
      <c r="IY373" s="8">
        <v>-749</v>
      </c>
      <c r="LF373" s="8">
        <v>176</v>
      </c>
      <c r="LG373" s="28">
        <v>212</v>
      </c>
      <c r="LJ373" s="8">
        <v>-854</v>
      </c>
      <c r="LK373" s="28">
        <v>714</v>
      </c>
      <c r="LW373" s="8">
        <v>1</v>
      </c>
      <c r="LX373" s="28">
        <v>4</v>
      </c>
      <c r="MF373" s="8">
        <v>-155</v>
      </c>
      <c r="MG373" s="12">
        <v>422</v>
      </c>
      <c r="VL373" s="21"/>
    </row>
    <row r="374" spans="22:589" x14ac:dyDescent="0.25">
      <c r="V374">
        <v>-7792</v>
      </c>
      <c r="W374" s="10">
        <v>142</v>
      </c>
      <c r="BT374">
        <v>-389</v>
      </c>
      <c r="BU374" s="1">
        <v>58</v>
      </c>
      <c r="DA374" s="25"/>
      <c r="DH374" s="23">
        <v>-6</v>
      </c>
      <c r="DI374" s="25">
        <v>35</v>
      </c>
      <c r="DL374" s="8">
        <v>61</v>
      </c>
      <c r="EG374" s="6">
        <v>226</v>
      </c>
      <c r="EH374" s="28">
        <v>57</v>
      </c>
      <c r="EX374" s="8">
        <v>576</v>
      </c>
      <c r="EY374" s="28">
        <v>138</v>
      </c>
      <c r="FM374" s="8">
        <v>1150</v>
      </c>
      <c r="FN374" s="52">
        <v>283</v>
      </c>
      <c r="FS374" s="8">
        <v>-13</v>
      </c>
      <c r="FT374" s="52">
        <v>44</v>
      </c>
      <c r="GP374" s="6">
        <v>12</v>
      </c>
      <c r="GQ374" s="52">
        <v>82</v>
      </c>
      <c r="GT374" s="6"/>
      <c r="IB374" s="8">
        <v>-535</v>
      </c>
      <c r="IC374" s="28">
        <v>286</v>
      </c>
      <c r="IY374" s="8">
        <v>-560</v>
      </c>
      <c r="LF374" s="8">
        <v>165</v>
      </c>
      <c r="LG374" s="28">
        <v>232</v>
      </c>
      <c r="LJ374" s="8">
        <v>358</v>
      </c>
      <c r="LK374" s="28">
        <v>111</v>
      </c>
      <c r="LW374" s="8">
        <v>94</v>
      </c>
      <c r="LX374" s="28">
        <v>119</v>
      </c>
      <c r="MF374" s="8">
        <v>403</v>
      </c>
      <c r="MG374" s="12">
        <v>492</v>
      </c>
      <c r="VL374" s="21"/>
    </row>
    <row r="375" spans="22:589" x14ac:dyDescent="0.25">
      <c r="V375">
        <v>-2</v>
      </c>
      <c r="W375" s="10">
        <v>296</v>
      </c>
      <c r="BT375">
        <v>13</v>
      </c>
      <c r="BU375" s="1">
        <v>10</v>
      </c>
      <c r="DA375" s="25"/>
      <c r="DH375" s="23">
        <v>27</v>
      </c>
      <c r="DI375" s="25">
        <v>39</v>
      </c>
      <c r="DL375" s="8">
        <v>350</v>
      </c>
      <c r="EG375" s="6">
        <v>260</v>
      </c>
      <c r="EH375" s="28">
        <v>878</v>
      </c>
      <c r="EX375" s="8">
        <v>337</v>
      </c>
      <c r="EY375" s="28">
        <v>114</v>
      </c>
      <c r="FM375" s="8">
        <v>-997</v>
      </c>
      <c r="FN375" s="52">
        <v>503</v>
      </c>
      <c r="FS375" s="8">
        <v>35</v>
      </c>
      <c r="FT375" s="52">
        <v>80</v>
      </c>
      <c r="GP375" s="6">
        <v>-8</v>
      </c>
      <c r="GQ375" s="52">
        <v>32</v>
      </c>
      <c r="GT375" s="6"/>
      <c r="IB375" s="8">
        <v>112</v>
      </c>
      <c r="IC375" s="28">
        <v>979</v>
      </c>
      <c r="IY375" s="8">
        <v>-300</v>
      </c>
      <c r="LF375" s="8">
        <v>710</v>
      </c>
      <c r="LG375" s="28">
        <v>208</v>
      </c>
      <c r="LJ375" s="8">
        <v>654</v>
      </c>
      <c r="LK375" s="28">
        <v>963</v>
      </c>
      <c r="LW375" s="8">
        <v>195</v>
      </c>
      <c r="LX375" s="28">
        <v>108</v>
      </c>
      <c r="MF375" s="8">
        <v>424</v>
      </c>
      <c r="MG375" s="12">
        <v>135</v>
      </c>
      <c r="VL375" s="21"/>
    </row>
    <row r="376" spans="22:589" x14ac:dyDescent="0.25">
      <c r="V376">
        <v>-5</v>
      </c>
      <c r="W376" s="10">
        <v>471</v>
      </c>
      <c r="BT376">
        <v>-131</v>
      </c>
      <c r="BU376" s="1">
        <v>319</v>
      </c>
      <c r="DA376" s="25"/>
      <c r="DH376" s="23">
        <v>-43</v>
      </c>
      <c r="DI376" s="25">
        <v>36</v>
      </c>
      <c r="DL376" s="8">
        <v>99</v>
      </c>
      <c r="EG376" s="6">
        <v>-119</v>
      </c>
      <c r="EH376" s="28">
        <v>891</v>
      </c>
      <c r="EX376" s="8">
        <v>591</v>
      </c>
      <c r="EY376" s="28">
        <v>107</v>
      </c>
      <c r="FM376" s="8">
        <v>-332</v>
      </c>
      <c r="FN376" s="52">
        <v>66</v>
      </c>
      <c r="FS376" s="8">
        <v>50</v>
      </c>
      <c r="FT376" s="52">
        <v>89</v>
      </c>
      <c r="GP376" s="6">
        <v>24</v>
      </c>
      <c r="GQ376" s="52">
        <v>199</v>
      </c>
      <c r="GT376" s="6"/>
      <c r="IB376" s="8">
        <v>803</v>
      </c>
      <c r="IC376" s="28">
        <v>120</v>
      </c>
      <c r="IY376" s="8">
        <v>-315</v>
      </c>
      <c r="LF376" s="8">
        <v>23</v>
      </c>
      <c r="LG376" s="28">
        <v>194</v>
      </c>
      <c r="LJ376" s="8">
        <v>448</v>
      </c>
      <c r="LK376" s="28">
        <v>103</v>
      </c>
      <c r="LW376" s="8">
        <v>166</v>
      </c>
      <c r="LX376" s="28">
        <v>136</v>
      </c>
      <c r="MF376" s="8">
        <v>555</v>
      </c>
      <c r="MG376" s="12">
        <v>172</v>
      </c>
      <c r="VL376" s="21"/>
    </row>
    <row r="377" spans="22:589" x14ac:dyDescent="0.25">
      <c r="V377">
        <v>1</v>
      </c>
      <c r="W377" s="10">
        <v>33</v>
      </c>
      <c r="BT377">
        <v>210</v>
      </c>
      <c r="BU377" s="1">
        <v>200</v>
      </c>
      <c r="DA377" s="25"/>
      <c r="DH377" s="23">
        <v>-27</v>
      </c>
      <c r="DI377" s="25">
        <v>35</v>
      </c>
      <c r="DL377" s="8">
        <v>-120</v>
      </c>
      <c r="EG377" s="6">
        <v>121</v>
      </c>
      <c r="EH377" s="28">
        <v>239</v>
      </c>
      <c r="EX377" s="8">
        <v>432</v>
      </c>
      <c r="EY377" s="28">
        <v>106</v>
      </c>
      <c r="FM377" s="8">
        <v>-759</v>
      </c>
      <c r="FN377" s="52">
        <v>142</v>
      </c>
      <c r="FS377" s="8">
        <v>-11</v>
      </c>
      <c r="FT377" s="52">
        <v>38</v>
      </c>
      <c r="GP377" s="6">
        <v>-10</v>
      </c>
      <c r="GQ377" s="52">
        <v>9</v>
      </c>
      <c r="GT377" s="6"/>
      <c r="IB377" s="8">
        <v>391</v>
      </c>
      <c r="IC377" s="28">
        <v>111</v>
      </c>
      <c r="LF377" s="8">
        <v>54</v>
      </c>
      <c r="LG377" s="28">
        <v>182</v>
      </c>
      <c r="LJ377" s="8">
        <v>307</v>
      </c>
      <c r="LK377" s="28">
        <v>135</v>
      </c>
      <c r="LW377" s="8">
        <v>-47</v>
      </c>
      <c r="LX377" s="28">
        <v>104</v>
      </c>
      <c r="MF377" s="8">
        <v>129</v>
      </c>
      <c r="MG377" s="12">
        <v>165</v>
      </c>
      <c r="VL377" s="21"/>
    </row>
    <row r="378" spans="22:589" x14ac:dyDescent="0.25">
      <c r="V378">
        <v>-1</v>
      </c>
      <c r="W378" s="10">
        <v>101</v>
      </c>
      <c r="BT378">
        <v>218</v>
      </c>
      <c r="BU378" s="1">
        <v>885</v>
      </c>
      <c r="DA378" s="25"/>
      <c r="DH378" s="23">
        <v>-35</v>
      </c>
      <c r="DI378" s="25">
        <v>35</v>
      </c>
      <c r="DL378" s="8">
        <v>-51</v>
      </c>
      <c r="EG378" s="6">
        <v>474</v>
      </c>
      <c r="EH378" s="28">
        <v>66</v>
      </c>
      <c r="EX378" s="8">
        <v>141</v>
      </c>
      <c r="EY378" s="28">
        <v>159</v>
      </c>
      <c r="FM378" s="8">
        <v>-140</v>
      </c>
      <c r="FN378" s="52">
        <v>148</v>
      </c>
      <c r="FS378" s="8">
        <v>37</v>
      </c>
      <c r="FT378" s="52">
        <v>85</v>
      </c>
      <c r="GP378" s="6">
        <v>13</v>
      </c>
      <c r="GQ378" s="52">
        <v>153</v>
      </c>
      <c r="GT378" s="6"/>
      <c r="IB378" s="8">
        <v>148</v>
      </c>
      <c r="IC378" s="28">
        <v>134</v>
      </c>
      <c r="LF378" s="8">
        <v>4</v>
      </c>
      <c r="LG378" s="28">
        <v>168</v>
      </c>
      <c r="LJ378" s="8">
        <v>-898</v>
      </c>
      <c r="LK378" s="28">
        <v>111</v>
      </c>
      <c r="LW378" s="8">
        <v>92</v>
      </c>
      <c r="LX378" s="28">
        <v>174</v>
      </c>
      <c r="MF378" s="8">
        <v>-159</v>
      </c>
      <c r="MG378" s="12">
        <v>107</v>
      </c>
      <c r="VL378" s="21"/>
    </row>
    <row r="379" spans="22:589" x14ac:dyDescent="0.25">
      <c r="V379">
        <v>-1</v>
      </c>
      <c r="W379" s="10">
        <v>25</v>
      </c>
      <c r="BT379">
        <v>-859</v>
      </c>
      <c r="BU379" s="1">
        <v>908</v>
      </c>
      <c r="DA379" s="25"/>
      <c r="DH379" s="23">
        <v>-58</v>
      </c>
      <c r="DI379" s="25">
        <v>33</v>
      </c>
      <c r="DL379" s="8">
        <v>86</v>
      </c>
      <c r="EG379" s="6">
        <v>140</v>
      </c>
      <c r="EH379" s="28">
        <v>515</v>
      </c>
      <c r="EX379" s="8">
        <v>653</v>
      </c>
      <c r="EY379" s="28">
        <v>259</v>
      </c>
      <c r="FM379" s="8">
        <v>-179</v>
      </c>
      <c r="FN379" s="52">
        <v>196</v>
      </c>
      <c r="FS379" s="8">
        <v>53</v>
      </c>
      <c r="FT379" s="52">
        <v>92</v>
      </c>
      <c r="GP379" s="6">
        <v>-2</v>
      </c>
      <c r="GQ379" s="52">
        <v>33</v>
      </c>
      <c r="GT379" s="6"/>
      <c r="IB379" s="8">
        <v>164</v>
      </c>
      <c r="IC379" s="28">
        <v>136</v>
      </c>
      <c r="LF379" s="8">
        <v>5</v>
      </c>
      <c r="LG379" s="28">
        <v>126</v>
      </c>
      <c r="LJ379" s="8">
        <v>202</v>
      </c>
      <c r="LK379" s="28">
        <v>105</v>
      </c>
      <c r="LW379" s="8">
        <v>-414</v>
      </c>
      <c r="LX379" s="28">
        <v>148</v>
      </c>
      <c r="MF379" s="8">
        <v>406</v>
      </c>
      <c r="MG379" s="12">
        <v>113</v>
      </c>
      <c r="VL379" s="21"/>
    </row>
    <row r="380" spans="22:589" x14ac:dyDescent="0.25">
      <c r="V380">
        <v>1</v>
      </c>
      <c r="W380" s="10">
        <v>35</v>
      </c>
      <c r="BT380">
        <v>-775</v>
      </c>
      <c r="BU380" s="1">
        <v>152</v>
      </c>
      <c r="DA380" s="25"/>
      <c r="DH380" s="23">
        <v>-34</v>
      </c>
      <c r="DI380" s="25">
        <v>32</v>
      </c>
      <c r="DL380" s="8">
        <v>-13</v>
      </c>
      <c r="EG380" s="6">
        <v>235</v>
      </c>
      <c r="EH380" s="28">
        <v>570</v>
      </c>
      <c r="EX380" s="8">
        <v>-340</v>
      </c>
      <c r="EY380" s="28">
        <v>104</v>
      </c>
      <c r="FM380" s="8">
        <v>-136</v>
      </c>
      <c r="FN380" s="52">
        <v>259</v>
      </c>
      <c r="FS380" s="8">
        <v>133</v>
      </c>
      <c r="FT380" s="52">
        <v>91</v>
      </c>
      <c r="GP380" s="6">
        <v>-15</v>
      </c>
      <c r="GQ380" s="52">
        <v>114</v>
      </c>
      <c r="GT380" s="6"/>
      <c r="IB380" s="8">
        <v>-160</v>
      </c>
      <c r="IC380" s="28">
        <v>121</v>
      </c>
      <c r="LF380" s="8">
        <v>-14</v>
      </c>
      <c r="LG380" s="28">
        <v>125</v>
      </c>
      <c r="LJ380" s="8">
        <v>-811</v>
      </c>
      <c r="LK380" s="28">
        <v>948</v>
      </c>
      <c r="LW380" s="8">
        <v>-292</v>
      </c>
      <c r="LX380" s="28">
        <v>106</v>
      </c>
      <c r="MF380" s="8">
        <v>588</v>
      </c>
      <c r="MG380" s="12">
        <v>172</v>
      </c>
      <c r="VL380" s="21"/>
    </row>
    <row r="381" spans="22:589" x14ac:dyDescent="0.25">
      <c r="V381">
        <v>8</v>
      </c>
      <c r="W381" s="10">
        <v>488</v>
      </c>
      <c r="BT381">
        <v>-348</v>
      </c>
      <c r="BU381" s="1">
        <v>678</v>
      </c>
      <c r="DA381" s="25"/>
      <c r="DH381" s="23">
        <v>301</v>
      </c>
      <c r="DI381" s="25">
        <v>31</v>
      </c>
      <c r="DL381" s="8">
        <v>-27</v>
      </c>
      <c r="EG381" s="6">
        <v>294</v>
      </c>
      <c r="EH381" s="28">
        <v>630</v>
      </c>
      <c r="EX381" s="8">
        <v>-382</v>
      </c>
      <c r="EY381" s="28">
        <v>115</v>
      </c>
      <c r="FM381" s="8">
        <v>350</v>
      </c>
      <c r="FN381" s="52">
        <v>784</v>
      </c>
      <c r="FS381" s="8">
        <v>63</v>
      </c>
      <c r="FT381" s="52">
        <v>41</v>
      </c>
      <c r="GP381" s="6">
        <v>-19</v>
      </c>
      <c r="GQ381" s="52">
        <v>66</v>
      </c>
      <c r="GT381" s="6"/>
      <c r="IB381" s="8">
        <v>300</v>
      </c>
      <c r="IC381" s="28">
        <v>111</v>
      </c>
      <c r="LF381" s="8">
        <v>-12</v>
      </c>
      <c r="LG381" s="28">
        <v>92</v>
      </c>
      <c r="LJ381" s="8">
        <v>-126</v>
      </c>
      <c r="LK381" s="28">
        <v>797</v>
      </c>
      <c r="LW381" s="8">
        <v>-148</v>
      </c>
      <c r="LX381" s="28">
        <v>122</v>
      </c>
      <c r="MF381" s="8">
        <v>-995</v>
      </c>
      <c r="MG381" s="12">
        <v>49</v>
      </c>
      <c r="VL381" s="21"/>
    </row>
    <row r="382" spans="22:589" x14ac:dyDescent="0.25">
      <c r="V382">
        <v>-1</v>
      </c>
      <c r="W382" s="10">
        <v>40</v>
      </c>
      <c r="BT382">
        <v>149</v>
      </c>
      <c r="BU382" s="1">
        <v>124</v>
      </c>
      <c r="DA382" s="25"/>
      <c r="DH382" s="23">
        <v>28</v>
      </c>
      <c r="DI382" s="25">
        <v>4</v>
      </c>
      <c r="DL382" s="8">
        <v>-29</v>
      </c>
      <c r="EG382" s="6">
        <v>343</v>
      </c>
      <c r="EH382" s="28">
        <v>694</v>
      </c>
      <c r="EX382" s="8">
        <v>-145</v>
      </c>
      <c r="EY382" s="28">
        <v>143</v>
      </c>
      <c r="FM382" s="8">
        <v>-925</v>
      </c>
      <c r="FN382" s="52">
        <v>134</v>
      </c>
      <c r="FS382" s="8">
        <v>69</v>
      </c>
      <c r="FT382" s="52">
        <v>45</v>
      </c>
      <c r="GP382" s="6">
        <v>5</v>
      </c>
      <c r="GQ382" s="52">
        <v>52</v>
      </c>
      <c r="GT382" s="6"/>
      <c r="IB382" s="8">
        <v>720</v>
      </c>
      <c r="IC382" s="28">
        <v>137</v>
      </c>
      <c r="LF382" s="8">
        <v>-71</v>
      </c>
      <c r="LG382" s="28">
        <v>233</v>
      </c>
      <c r="LJ382" s="8">
        <v>109</v>
      </c>
      <c r="LK382" s="28">
        <v>916</v>
      </c>
      <c r="LW382" s="8">
        <v>-358</v>
      </c>
      <c r="LX382" s="28">
        <v>134</v>
      </c>
      <c r="MF382" s="8">
        <v>630</v>
      </c>
      <c r="MG382" s="12">
        <v>75</v>
      </c>
      <c r="VL382" s="21"/>
    </row>
    <row r="383" spans="22:589" x14ac:dyDescent="0.25">
      <c r="V383">
        <v>-8</v>
      </c>
      <c r="W383" s="10">
        <v>344</v>
      </c>
      <c r="BT383">
        <v>307</v>
      </c>
      <c r="BU383" s="1">
        <v>163</v>
      </c>
      <c r="DA383" s="25"/>
      <c r="DH383" s="23">
        <v>-12</v>
      </c>
      <c r="DI383" s="25">
        <v>3</v>
      </c>
      <c r="DL383" s="8">
        <v>801</v>
      </c>
      <c r="EG383" s="6">
        <v>-299</v>
      </c>
      <c r="EH383" s="28">
        <v>429</v>
      </c>
      <c r="EX383" s="8">
        <v>-334</v>
      </c>
      <c r="EY383" s="28">
        <v>118</v>
      </c>
      <c r="FM383" s="8">
        <v>-619</v>
      </c>
      <c r="FN383" s="52">
        <v>121</v>
      </c>
      <c r="FS383" s="8">
        <v>132</v>
      </c>
      <c r="FT383" s="52">
        <v>90</v>
      </c>
      <c r="GP383" s="6">
        <v>-1</v>
      </c>
      <c r="GQ383" s="52">
        <v>9</v>
      </c>
      <c r="GT383" s="6"/>
      <c r="IB383" s="8">
        <v>140</v>
      </c>
      <c r="IC383" s="28">
        <v>116</v>
      </c>
      <c r="LF383" s="8">
        <v>37</v>
      </c>
      <c r="LG383" s="28">
        <v>205</v>
      </c>
      <c r="LJ383" s="8">
        <v>429</v>
      </c>
      <c r="LK383" s="28">
        <v>792</v>
      </c>
      <c r="LW383" s="8">
        <v>-331</v>
      </c>
      <c r="LX383" s="28">
        <v>122</v>
      </c>
      <c r="MF383" s="8">
        <v>-822</v>
      </c>
      <c r="MG383" s="12">
        <v>222</v>
      </c>
      <c r="VL383" s="21"/>
    </row>
    <row r="384" spans="22:589" x14ac:dyDescent="0.25">
      <c r="V384">
        <v>-8</v>
      </c>
      <c r="W384" s="10">
        <v>407</v>
      </c>
      <c r="BT384">
        <v>-237</v>
      </c>
      <c r="BU384" s="1">
        <v>205</v>
      </c>
      <c r="DA384" s="25"/>
      <c r="DH384" s="23">
        <v>-12</v>
      </c>
      <c r="DI384" s="25">
        <v>58</v>
      </c>
      <c r="DL384" s="8">
        <v>989</v>
      </c>
      <c r="EG384" s="6">
        <v>-159</v>
      </c>
      <c r="EH384" s="28">
        <v>430</v>
      </c>
      <c r="EX384" s="8">
        <v>-135</v>
      </c>
      <c r="EY384" s="28">
        <v>112</v>
      </c>
      <c r="FM384" s="8">
        <v>-289</v>
      </c>
      <c r="FN384" s="52">
        <v>139</v>
      </c>
      <c r="FS384" s="8">
        <v>60</v>
      </c>
      <c r="FT384" s="52">
        <v>39</v>
      </c>
      <c r="GP384" s="6">
        <v>27</v>
      </c>
      <c r="GQ384" s="52">
        <v>302</v>
      </c>
      <c r="GT384" s="6"/>
      <c r="IB384" s="8">
        <v>486</v>
      </c>
      <c r="IC384" s="28">
        <v>137</v>
      </c>
      <c r="LF384" s="8">
        <v>-13</v>
      </c>
      <c r="LG384" s="28">
        <v>194</v>
      </c>
      <c r="LJ384" s="8">
        <v>-128</v>
      </c>
      <c r="LK384" s="28">
        <v>965</v>
      </c>
      <c r="LW384" s="8">
        <v>-350</v>
      </c>
      <c r="LX384" s="28">
        <v>112</v>
      </c>
      <c r="MF384" s="8">
        <v>-158</v>
      </c>
      <c r="MG384" s="12">
        <v>883</v>
      </c>
      <c r="VL384" s="21"/>
    </row>
    <row r="385" spans="22:584" x14ac:dyDescent="0.25">
      <c r="V385">
        <v>-8</v>
      </c>
      <c r="W385" s="10">
        <v>333</v>
      </c>
      <c r="BT385">
        <v>-183</v>
      </c>
      <c r="BU385" s="1">
        <v>203</v>
      </c>
      <c r="DA385" s="25"/>
      <c r="DH385" s="23">
        <v>-66</v>
      </c>
      <c r="DI385" s="25">
        <v>52</v>
      </c>
      <c r="DL385" s="8">
        <v>-50</v>
      </c>
      <c r="EG385" s="6">
        <v>-438</v>
      </c>
      <c r="EH385" s="28">
        <v>427</v>
      </c>
      <c r="EX385" s="8">
        <v>-315</v>
      </c>
      <c r="EY385" s="28">
        <v>112</v>
      </c>
      <c r="FM385" s="8">
        <v>-738</v>
      </c>
      <c r="FN385" s="52">
        <v>53</v>
      </c>
      <c r="FS385" s="8">
        <v>65</v>
      </c>
      <c r="FT385" s="52">
        <v>42</v>
      </c>
      <c r="GP385" s="6">
        <v>35</v>
      </c>
      <c r="GQ385" s="52">
        <v>122</v>
      </c>
      <c r="GT385" s="6"/>
      <c r="IB385" s="8">
        <v>449</v>
      </c>
      <c r="IC385" s="28">
        <v>176</v>
      </c>
      <c r="LF385" s="8">
        <v>-144</v>
      </c>
      <c r="LG385" s="28">
        <v>182</v>
      </c>
      <c r="LJ385" s="8">
        <v>-105</v>
      </c>
      <c r="LK385" s="28">
        <v>110</v>
      </c>
      <c r="LW385" s="8">
        <v>-33</v>
      </c>
      <c r="LX385" s="28">
        <v>119</v>
      </c>
      <c r="MF385" s="8">
        <v>-117</v>
      </c>
      <c r="MG385" s="12">
        <v>899</v>
      </c>
      <c r="VL385" s="21"/>
    </row>
    <row r="386" spans="22:584" x14ac:dyDescent="0.25">
      <c r="V386">
        <v>-8</v>
      </c>
      <c r="W386" s="10">
        <v>334</v>
      </c>
      <c r="BT386">
        <v>114</v>
      </c>
      <c r="BU386" s="1">
        <v>168</v>
      </c>
      <c r="DA386" s="25"/>
      <c r="DH386" s="23">
        <v>4</v>
      </c>
      <c r="DI386" s="25">
        <v>55</v>
      </c>
      <c r="DL386" s="8">
        <v>43</v>
      </c>
      <c r="EG386" s="6">
        <v>-794</v>
      </c>
      <c r="EH386" s="28">
        <v>432</v>
      </c>
      <c r="EX386" s="8">
        <v>144</v>
      </c>
      <c r="EY386" s="28">
        <v>160</v>
      </c>
      <c r="FM386" s="8">
        <v>-499</v>
      </c>
      <c r="FN386" s="52">
        <v>260</v>
      </c>
      <c r="FS386" s="8">
        <v>107</v>
      </c>
      <c r="FT386" s="52">
        <v>83</v>
      </c>
      <c r="GP386" s="6">
        <v>17</v>
      </c>
      <c r="GQ386" s="52">
        <v>274</v>
      </c>
      <c r="GT386" s="6"/>
      <c r="IB386" s="8">
        <v>282</v>
      </c>
      <c r="IC386" s="28">
        <v>135</v>
      </c>
      <c r="LF386" s="8">
        <v>-8</v>
      </c>
      <c r="LG386" s="28">
        <v>154</v>
      </c>
      <c r="LJ386" s="8">
        <v>487</v>
      </c>
      <c r="LK386" s="28">
        <v>978</v>
      </c>
      <c r="LW386" s="8">
        <v>-181</v>
      </c>
      <c r="LX386" s="28">
        <v>498</v>
      </c>
      <c r="MF386" s="8">
        <v>-198</v>
      </c>
      <c r="MG386" s="12">
        <v>711</v>
      </c>
      <c r="VL386" s="21"/>
    </row>
    <row r="387" spans="22:584" x14ac:dyDescent="0.25">
      <c r="V387">
        <v>-8</v>
      </c>
      <c r="W387" s="10">
        <v>364</v>
      </c>
      <c r="BT387">
        <v>-112</v>
      </c>
      <c r="BU387" s="1">
        <v>145</v>
      </c>
      <c r="DA387" s="25"/>
      <c r="DH387" s="23">
        <v>-163</v>
      </c>
      <c r="DI387" s="25">
        <v>55</v>
      </c>
      <c r="DL387" s="8">
        <v>-56</v>
      </c>
      <c r="EG387" s="6">
        <v>-142</v>
      </c>
      <c r="EH387" s="28">
        <v>435</v>
      </c>
      <c r="EX387" s="8">
        <v>646</v>
      </c>
      <c r="EY387" s="28">
        <v>257</v>
      </c>
      <c r="FM387" s="8">
        <v>865</v>
      </c>
      <c r="FN387" s="52">
        <v>8</v>
      </c>
      <c r="FS387" s="8">
        <v>17</v>
      </c>
      <c r="FT387" s="52">
        <v>13</v>
      </c>
      <c r="GP387" s="6">
        <v>-17</v>
      </c>
      <c r="GQ387" s="52">
        <v>178</v>
      </c>
      <c r="GT387" s="6"/>
      <c r="IB387" s="8">
        <v>-293</v>
      </c>
      <c r="IC387" s="28">
        <v>112</v>
      </c>
      <c r="LF387" s="8">
        <v>-29</v>
      </c>
      <c r="LG387" s="28">
        <v>131</v>
      </c>
      <c r="LJ387" s="8">
        <v>782</v>
      </c>
      <c r="LK387" s="28">
        <v>65</v>
      </c>
      <c r="LW387" s="8">
        <v>-108</v>
      </c>
      <c r="LX387" s="28">
        <v>124</v>
      </c>
      <c r="MF387" s="8">
        <v>-614</v>
      </c>
      <c r="MG387" s="12">
        <v>585</v>
      </c>
      <c r="VL387" s="21"/>
    </row>
    <row r="388" spans="22:584" x14ac:dyDescent="0.25">
      <c r="V388">
        <v>-3</v>
      </c>
      <c r="W388" s="10">
        <v>166</v>
      </c>
      <c r="BT388">
        <v>105</v>
      </c>
      <c r="BU388" s="1">
        <v>315</v>
      </c>
      <c r="DA388" s="25"/>
      <c r="DH388" s="23">
        <v>-143</v>
      </c>
      <c r="DI388" s="25">
        <v>49</v>
      </c>
      <c r="DL388" s="8">
        <v>-9</v>
      </c>
      <c r="EG388" s="6">
        <v>-161</v>
      </c>
      <c r="EH388" s="28">
        <v>436</v>
      </c>
      <c r="EX388" s="8">
        <v>274</v>
      </c>
      <c r="EY388" s="28">
        <v>5331</v>
      </c>
      <c r="FM388" s="8">
        <v>136</v>
      </c>
      <c r="FN388" s="52">
        <v>67</v>
      </c>
      <c r="FS388" s="8">
        <v>27</v>
      </c>
      <c r="FT388" s="52">
        <v>21</v>
      </c>
      <c r="GP388" s="6">
        <v>75</v>
      </c>
      <c r="GQ388" s="52">
        <v>259</v>
      </c>
      <c r="GT388" s="6"/>
      <c r="IB388" s="8">
        <v>508</v>
      </c>
      <c r="IC388" s="28">
        <v>198</v>
      </c>
      <c r="LF388" s="8">
        <v>23</v>
      </c>
      <c r="LG388" s="28">
        <v>37</v>
      </c>
      <c r="LJ388" s="8">
        <v>178</v>
      </c>
      <c r="LK388" s="28">
        <v>820</v>
      </c>
      <c r="LW388" s="8">
        <v>-30</v>
      </c>
      <c r="LX388" s="28">
        <v>33</v>
      </c>
      <c r="MF388" s="8">
        <v>-381</v>
      </c>
      <c r="MG388" s="12">
        <v>358</v>
      </c>
      <c r="VL388" s="21"/>
    </row>
    <row r="389" spans="22:584" x14ac:dyDescent="0.25">
      <c r="V389">
        <v>-8</v>
      </c>
      <c r="W389" s="10">
        <v>271</v>
      </c>
      <c r="BT389">
        <v>505</v>
      </c>
      <c r="BU389" s="1">
        <v>399</v>
      </c>
      <c r="DA389" s="25"/>
      <c r="DH389" s="23">
        <v>-168</v>
      </c>
      <c r="DI389" s="25">
        <v>57</v>
      </c>
      <c r="DL389" s="8">
        <v>41</v>
      </c>
      <c r="EG389" s="6">
        <v>-194</v>
      </c>
      <c r="EH389" s="28">
        <v>437</v>
      </c>
      <c r="EX389" s="8">
        <v>5</v>
      </c>
      <c r="EY389" s="28">
        <v>1</v>
      </c>
      <c r="FM389" s="8">
        <v>-783</v>
      </c>
      <c r="FN389" s="52">
        <v>313</v>
      </c>
      <c r="FS389" s="8">
        <v>-451</v>
      </c>
      <c r="FT389" s="52">
        <v>87</v>
      </c>
      <c r="GP389" s="6">
        <v>48</v>
      </c>
      <c r="GQ389" s="52">
        <v>281</v>
      </c>
      <c r="GT389" s="6"/>
      <c r="IB389" s="8">
        <v>-466</v>
      </c>
      <c r="IC389" s="28">
        <v>225</v>
      </c>
      <c r="LF389" s="8">
        <v>42</v>
      </c>
      <c r="LG389" s="28">
        <v>36</v>
      </c>
      <c r="LJ389" s="8">
        <v>196</v>
      </c>
      <c r="LK389" s="28">
        <v>150</v>
      </c>
      <c r="LW389" s="8">
        <v>7</v>
      </c>
      <c r="LX389" s="28">
        <v>4</v>
      </c>
      <c r="MF389" s="8">
        <v>-929</v>
      </c>
      <c r="MG389" s="12">
        <v>72</v>
      </c>
      <c r="VL389" s="21"/>
    </row>
    <row r="390" spans="22:584" x14ac:dyDescent="0.25">
      <c r="V390">
        <f>9</f>
        <v>9</v>
      </c>
      <c r="W390" s="10">
        <v>402</v>
      </c>
      <c r="BT390">
        <v>-336</v>
      </c>
      <c r="BU390" s="1">
        <v>229</v>
      </c>
      <c r="DA390" s="25"/>
      <c r="DH390" s="23">
        <v>-191</v>
      </c>
      <c r="DI390" s="25">
        <v>59</v>
      </c>
      <c r="DL390" s="8">
        <v>-4</v>
      </c>
      <c r="EG390" s="6">
        <v>-229</v>
      </c>
      <c r="EH390" s="28">
        <v>442</v>
      </c>
      <c r="EX390" s="8">
        <v>-825</v>
      </c>
      <c r="EY390" s="28">
        <v>367</v>
      </c>
      <c r="FM390" s="8">
        <v>-860</v>
      </c>
      <c r="FN390" s="52">
        <v>171</v>
      </c>
      <c r="FS390" s="8">
        <v>-495</v>
      </c>
      <c r="FT390" s="52">
        <v>86</v>
      </c>
      <c r="GP390" s="6">
        <v>21</v>
      </c>
      <c r="GQ390" s="52">
        <v>202</v>
      </c>
      <c r="GT390" s="6"/>
      <c r="IB390" s="8">
        <v>439</v>
      </c>
      <c r="IC390" s="28">
        <v>406</v>
      </c>
      <c r="LF390" s="8">
        <v>55</v>
      </c>
      <c r="LG390" s="28">
        <v>46</v>
      </c>
      <c r="LJ390" s="8">
        <v>22</v>
      </c>
      <c r="LK390" s="28">
        <v>32</v>
      </c>
      <c r="LW390" s="8">
        <v>106</v>
      </c>
      <c r="LX390" s="28">
        <v>80</v>
      </c>
      <c r="MF390" s="8">
        <v>-216</v>
      </c>
      <c r="MG390" s="12">
        <v>254</v>
      </c>
      <c r="VL390" s="21"/>
    </row>
    <row r="391" spans="22:584" x14ac:dyDescent="0.25">
      <c r="V391">
        <v>-24</v>
      </c>
      <c r="W391" s="10">
        <v>26</v>
      </c>
      <c r="BT391">
        <v>-380</v>
      </c>
      <c r="BU391" s="1">
        <v>67</v>
      </c>
      <c r="DA391" s="25"/>
      <c r="DH391" s="23">
        <v>-160</v>
      </c>
      <c r="DI391" s="25">
        <v>71</v>
      </c>
      <c r="DL391" s="8">
        <v>17</v>
      </c>
      <c r="EG391" s="6">
        <v>-179</v>
      </c>
      <c r="EH391" s="28">
        <v>447</v>
      </c>
      <c r="EX391" s="8">
        <v>249</v>
      </c>
      <c r="EY391" s="28">
        <v>164</v>
      </c>
      <c r="FM391" s="8">
        <v>123</v>
      </c>
      <c r="FN391" s="52">
        <v>14</v>
      </c>
      <c r="FS391" s="8">
        <v>-474</v>
      </c>
      <c r="FT391" s="52">
        <v>83</v>
      </c>
      <c r="GP391" s="6">
        <v>-3</v>
      </c>
      <c r="GQ391" s="52">
        <v>3</v>
      </c>
      <c r="GT391" s="6"/>
      <c r="IB391" s="8">
        <v>374</v>
      </c>
      <c r="IC391" s="28">
        <v>850</v>
      </c>
      <c r="LF391" s="8">
        <v>18</v>
      </c>
      <c r="LG391" s="28">
        <v>35</v>
      </c>
      <c r="LJ391" s="8">
        <v>125</v>
      </c>
      <c r="LK391" s="28">
        <v>979</v>
      </c>
      <c r="LW391" s="8">
        <v>177</v>
      </c>
      <c r="LX391" s="28">
        <v>75</v>
      </c>
      <c r="MF391" s="8">
        <v>-596</v>
      </c>
      <c r="MG391" s="12">
        <v>205</v>
      </c>
      <c r="VL391" s="21"/>
    </row>
    <row r="392" spans="22:584" x14ac:dyDescent="0.25">
      <c r="V392">
        <v>-70</v>
      </c>
      <c r="W392" s="10">
        <v>16</v>
      </c>
      <c r="BT392">
        <v>173</v>
      </c>
      <c r="BU392" s="1">
        <v>87</v>
      </c>
      <c r="DH392" s="23">
        <v>116</v>
      </c>
      <c r="DI392" s="25">
        <v>49</v>
      </c>
      <c r="DL392" s="8">
        <v>-20</v>
      </c>
      <c r="EG392" s="6">
        <v>-162</v>
      </c>
      <c r="EH392" s="28">
        <v>456</v>
      </c>
      <c r="EX392" s="8">
        <v>-106</v>
      </c>
      <c r="EY392" s="28">
        <v>755</v>
      </c>
      <c r="FM392" s="8">
        <v>-848</v>
      </c>
      <c r="FN392" s="52">
        <v>90</v>
      </c>
      <c r="FS392" s="8">
        <v>-457</v>
      </c>
      <c r="FT392" s="52">
        <v>88</v>
      </c>
      <c r="GP392" s="6">
        <v>21</v>
      </c>
      <c r="GQ392" s="52">
        <v>159</v>
      </c>
      <c r="GT392" s="6"/>
      <c r="IB392" s="8">
        <v>-125</v>
      </c>
      <c r="IC392" s="28">
        <v>110</v>
      </c>
      <c r="LF392" s="8">
        <v>17</v>
      </c>
      <c r="LG392" s="28">
        <v>30</v>
      </c>
      <c r="LJ392" s="8">
        <v>-733</v>
      </c>
      <c r="LK392" s="28">
        <v>195</v>
      </c>
      <c r="LW392" s="8">
        <v>153</v>
      </c>
      <c r="LX392" s="28">
        <v>61</v>
      </c>
      <c r="MF392" s="8">
        <v>-599</v>
      </c>
      <c r="MG392" s="12">
        <v>132</v>
      </c>
      <c r="VL392" s="21"/>
    </row>
    <row r="393" spans="22:584" x14ac:dyDescent="0.25">
      <c r="V393">
        <v>-6095</v>
      </c>
      <c r="W393" s="10">
        <v>129</v>
      </c>
      <c r="BT393">
        <v>-38</v>
      </c>
      <c r="BU393" s="1">
        <v>93</v>
      </c>
      <c r="DH393" s="23">
        <v>54</v>
      </c>
      <c r="DI393" s="25">
        <v>8</v>
      </c>
      <c r="DL393" s="8">
        <v>-10</v>
      </c>
      <c r="EG393" s="6">
        <v>-655</v>
      </c>
      <c r="EH393" s="28">
        <v>457</v>
      </c>
      <c r="EX393" s="8">
        <v>-406</v>
      </c>
      <c r="EY393" s="28">
        <v>197</v>
      </c>
      <c r="FM393" s="8">
        <v>-279</v>
      </c>
      <c r="FN393" s="52">
        <v>49</v>
      </c>
      <c r="FS393" s="8">
        <v>-499</v>
      </c>
      <c r="FT393" s="52">
        <v>87</v>
      </c>
      <c r="GP393" s="6">
        <v>89</v>
      </c>
      <c r="GQ393" s="52">
        <v>355</v>
      </c>
      <c r="GT393" s="6"/>
      <c r="IB393" s="8">
        <v>113</v>
      </c>
      <c r="IC393" s="28">
        <v>679</v>
      </c>
      <c r="LF393" s="8">
        <v>29</v>
      </c>
      <c r="LG393" s="28">
        <v>37</v>
      </c>
      <c r="LJ393" s="8">
        <v>-293</v>
      </c>
      <c r="LK393" s="28">
        <v>166</v>
      </c>
      <c r="LW393" s="8">
        <v>-92</v>
      </c>
      <c r="LX393" s="28">
        <v>82</v>
      </c>
      <c r="MF393" s="8">
        <v>196</v>
      </c>
      <c r="MG393" s="12">
        <v>34</v>
      </c>
      <c r="VL393" s="21"/>
    </row>
    <row r="394" spans="22:584" x14ac:dyDescent="0.25">
      <c r="V394">
        <v>-2</v>
      </c>
      <c r="W394" s="10">
        <v>220</v>
      </c>
      <c r="BT394">
        <v>426</v>
      </c>
      <c r="BU394" s="1">
        <v>459</v>
      </c>
      <c r="DH394" s="23">
        <v>-34</v>
      </c>
      <c r="DI394" s="25">
        <v>6</v>
      </c>
      <c r="DL394" s="8">
        <v>4</v>
      </c>
      <c r="EG394" s="6">
        <v>-384</v>
      </c>
      <c r="EH394" s="28">
        <v>462</v>
      </c>
      <c r="EX394" s="8">
        <v>-834</v>
      </c>
      <c r="EY394" s="28">
        <v>428</v>
      </c>
      <c r="FM394" s="8">
        <v>-117</v>
      </c>
      <c r="FN394" s="52">
        <v>91</v>
      </c>
      <c r="FS394" s="8">
        <v>-480</v>
      </c>
      <c r="FT394" s="52">
        <v>84</v>
      </c>
      <c r="GP394" s="6">
        <v>39</v>
      </c>
      <c r="GQ394" s="52">
        <v>165</v>
      </c>
      <c r="GT394" s="6"/>
      <c r="IB394" s="8">
        <v>-447</v>
      </c>
      <c r="IC394" s="28">
        <v>296</v>
      </c>
      <c r="LF394" s="8">
        <v>469</v>
      </c>
      <c r="LG394" s="28">
        <v>209</v>
      </c>
      <c r="LJ394" s="8">
        <v>460</v>
      </c>
      <c r="LK394" s="28">
        <v>110</v>
      </c>
      <c r="LW394" s="8">
        <v>-104</v>
      </c>
      <c r="LX394" s="28">
        <v>74</v>
      </c>
      <c r="MF394" s="8">
        <v>-273</v>
      </c>
      <c r="MG394" s="12">
        <v>153</v>
      </c>
      <c r="VL394" s="21"/>
    </row>
    <row r="395" spans="22:584" x14ac:dyDescent="0.25">
      <c r="V395">
        <v>-5</v>
      </c>
      <c r="W395" s="10">
        <v>453</v>
      </c>
      <c r="BT395">
        <v>261</v>
      </c>
      <c r="BU395" s="1">
        <v>961</v>
      </c>
      <c r="DH395" s="23">
        <v>-113</v>
      </c>
      <c r="DI395" s="25">
        <v>123</v>
      </c>
      <c r="DL395" s="8">
        <v>15</v>
      </c>
      <c r="EG395" s="6">
        <v>69</v>
      </c>
      <c r="EH395" s="28">
        <v>111</v>
      </c>
      <c r="EX395" s="8">
        <v>104</v>
      </c>
      <c r="EY395" s="28">
        <v>114</v>
      </c>
      <c r="FM395" s="8">
        <v>-710</v>
      </c>
      <c r="FN395" s="52">
        <v>552</v>
      </c>
      <c r="FS395" s="8">
        <v>-161</v>
      </c>
      <c r="FT395" s="52">
        <v>32</v>
      </c>
      <c r="GP395" s="6">
        <v>9</v>
      </c>
      <c r="GQ395" s="52">
        <v>179</v>
      </c>
      <c r="GT395" s="6"/>
      <c r="IB395" s="8">
        <v>-361</v>
      </c>
      <c r="IC395" s="28">
        <v>806</v>
      </c>
      <c r="LF395" s="8">
        <v>289</v>
      </c>
      <c r="LG395" s="28">
        <v>181</v>
      </c>
      <c r="LJ395" s="8">
        <v>144</v>
      </c>
      <c r="LK395" s="28">
        <v>194</v>
      </c>
      <c r="LW395" s="8">
        <v>-29</v>
      </c>
      <c r="LX395" s="28">
        <v>96</v>
      </c>
      <c r="MF395" s="8">
        <v>595</v>
      </c>
      <c r="MG395" s="12">
        <v>99</v>
      </c>
      <c r="VL395" s="21"/>
    </row>
    <row r="396" spans="22:584" x14ac:dyDescent="0.25">
      <c r="V396">
        <v>-1</v>
      </c>
      <c r="W396" s="10">
        <v>77</v>
      </c>
      <c r="BT396">
        <v>166</v>
      </c>
      <c r="BU396" s="1">
        <v>106</v>
      </c>
      <c r="DH396" s="23">
        <v>-101</v>
      </c>
      <c r="DI396" s="25">
        <v>119</v>
      </c>
      <c r="DL396" s="8">
        <v>-14</v>
      </c>
      <c r="EG396" s="6">
        <v>367</v>
      </c>
      <c r="EH396" s="28">
        <v>106</v>
      </c>
      <c r="EX396" s="8">
        <v>-292</v>
      </c>
      <c r="EY396" s="28">
        <v>104</v>
      </c>
      <c r="FM396" s="8">
        <v>-942</v>
      </c>
      <c r="FN396" s="52">
        <v>88</v>
      </c>
      <c r="FS396" s="8">
        <v>-202</v>
      </c>
      <c r="FT396" s="52">
        <v>47</v>
      </c>
      <c r="GP396" s="6">
        <v>47</v>
      </c>
      <c r="GQ396" s="52">
        <v>162</v>
      </c>
      <c r="GT396" s="6"/>
      <c r="IB396" s="8">
        <v>-139</v>
      </c>
      <c r="IC396" s="28">
        <v>536</v>
      </c>
      <c r="LF396" s="8">
        <v>181</v>
      </c>
      <c r="LG396" s="28">
        <v>186</v>
      </c>
      <c r="LJ396" s="8">
        <v>-729</v>
      </c>
      <c r="LK396" s="28">
        <v>152</v>
      </c>
      <c r="LW396" s="8">
        <v>-61</v>
      </c>
      <c r="LX396" s="28">
        <v>97</v>
      </c>
      <c r="MF396" s="8">
        <v>127</v>
      </c>
      <c r="MG396" s="12">
        <v>270</v>
      </c>
      <c r="VL396" s="21"/>
    </row>
    <row r="397" spans="22:584" x14ac:dyDescent="0.25">
      <c r="V397">
        <v>5</v>
      </c>
      <c r="W397" s="10">
        <v>692</v>
      </c>
      <c r="BT397">
        <v>256</v>
      </c>
      <c r="BU397" s="1">
        <v>211</v>
      </c>
      <c r="DH397" s="23">
        <v>-151</v>
      </c>
      <c r="DI397" s="25">
        <v>112</v>
      </c>
      <c r="DL397" s="8">
        <v>1</v>
      </c>
      <c r="EG397" s="6">
        <v>100</v>
      </c>
      <c r="EH397" s="28">
        <v>850</v>
      </c>
      <c r="EX397" s="8">
        <v>280</v>
      </c>
      <c r="EY397" s="28">
        <v>127</v>
      </c>
      <c r="FM397" s="8">
        <v>127</v>
      </c>
      <c r="FN397" s="52">
        <v>37</v>
      </c>
      <c r="FS397" s="8">
        <v>345</v>
      </c>
      <c r="FT397" s="52">
        <v>80</v>
      </c>
      <c r="GP397" s="6">
        <v>53</v>
      </c>
      <c r="GQ397" s="52">
        <v>333</v>
      </c>
      <c r="GT397" s="6"/>
      <c r="IB397" s="8">
        <v>-184</v>
      </c>
      <c r="IC397" s="28">
        <v>174</v>
      </c>
      <c r="LF397" s="8">
        <v>438</v>
      </c>
      <c r="LG397" s="28">
        <v>204</v>
      </c>
      <c r="LJ397" s="8">
        <v>162</v>
      </c>
      <c r="LK397" s="28">
        <v>163</v>
      </c>
      <c r="LW397" s="8">
        <v>-14</v>
      </c>
      <c r="LX397" s="28">
        <v>225</v>
      </c>
      <c r="MF397" s="8">
        <v>155</v>
      </c>
      <c r="MG397" s="12">
        <v>183</v>
      </c>
      <c r="VL397" s="21"/>
    </row>
    <row r="398" spans="22:584" x14ac:dyDescent="0.25">
      <c r="V398">
        <v>6</v>
      </c>
      <c r="W398" s="10">
        <v>146</v>
      </c>
      <c r="BT398">
        <v>-202</v>
      </c>
      <c r="BU398" s="1">
        <v>63</v>
      </c>
      <c r="DH398" s="23">
        <v>-327</v>
      </c>
      <c r="DI398" s="25">
        <v>14</v>
      </c>
      <c r="DL398" s="8">
        <v>11</v>
      </c>
      <c r="EG398" s="6">
        <v>158</v>
      </c>
      <c r="EH398" s="28">
        <v>83</v>
      </c>
      <c r="EX398" s="8">
        <v>-108</v>
      </c>
      <c r="EY398" s="28">
        <v>110</v>
      </c>
      <c r="FM398" s="8">
        <v>733</v>
      </c>
      <c r="FN398" s="52">
        <v>68</v>
      </c>
      <c r="FS398" s="8">
        <v>-162</v>
      </c>
      <c r="FT398" s="52">
        <v>33</v>
      </c>
      <c r="GP398" s="6">
        <v>-12</v>
      </c>
      <c r="GQ398" s="52">
        <v>152</v>
      </c>
      <c r="GT398" s="6"/>
      <c r="IB398" s="8">
        <v>119</v>
      </c>
      <c r="IC398" s="28">
        <v>119</v>
      </c>
      <c r="LF398" s="8">
        <v>268</v>
      </c>
      <c r="LG398" s="28">
        <v>170</v>
      </c>
      <c r="LJ398" s="8">
        <v>202</v>
      </c>
      <c r="LK398" s="28">
        <v>227</v>
      </c>
      <c r="LW398" s="8">
        <v>58</v>
      </c>
      <c r="LX398" s="28">
        <v>114</v>
      </c>
      <c r="MF398" s="8">
        <v>144</v>
      </c>
      <c r="MG398" s="12">
        <v>135</v>
      </c>
      <c r="VL398" s="21"/>
    </row>
    <row r="399" spans="22:584" x14ac:dyDescent="0.25">
      <c r="V399">
        <v>5</v>
      </c>
      <c r="W399" s="10">
        <v>487</v>
      </c>
      <c r="BT399">
        <v>378</v>
      </c>
      <c r="BU399" s="1">
        <v>58</v>
      </c>
      <c r="DH399" s="23">
        <v>-403</v>
      </c>
      <c r="DI399" s="25">
        <v>107</v>
      </c>
      <c r="DL399" s="8">
        <v>-599</v>
      </c>
      <c r="EG399" s="6">
        <v>639</v>
      </c>
      <c r="EH399" s="28">
        <v>460</v>
      </c>
      <c r="EX399" s="8">
        <v>-208</v>
      </c>
      <c r="EY399" s="28">
        <v>985</v>
      </c>
      <c r="FM399" s="8">
        <v>107</v>
      </c>
      <c r="FN399" s="52">
        <v>122</v>
      </c>
      <c r="FS399" s="8">
        <v>-204</v>
      </c>
      <c r="FT399" s="52">
        <v>48</v>
      </c>
      <c r="GP399" s="6">
        <v>31</v>
      </c>
      <c r="GQ399" s="52">
        <v>251</v>
      </c>
      <c r="GT399" s="6"/>
      <c r="IB399" s="8">
        <v>-548</v>
      </c>
      <c r="IC399" s="28">
        <v>370</v>
      </c>
      <c r="LF399" s="8">
        <v>209</v>
      </c>
      <c r="LG399" s="28">
        <v>178</v>
      </c>
      <c r="LJ399" s="8">
        <v>-208</v>
      </c>
      <c r="LK399" s="28">
        <v>170</v>
      </c>
      <c r="LW399" s="8">
        <v>-19</v>
      </c>
      <c r="LX399" s="28">
        <v>100</v>
      </c>
      <c r="MF399" s="8">
        <v>321</v>
      </c>
      <c r="MG399" s="12">
        <v>480</v>
      </c>
      <c r="VL399" s="21"/>
    </row>
    <row r="400" spans="22:584" x14ac:dyDescent="0.25">
      <c r="V400">
        <v>5</v>
      </c>
      <c r="W400" s="10">
        <v>816</v>
      </c>
      <c r="BT400">
        <v>-185</v>
      </c>
      <c r="BU400" s="1">
        <v>48</v>
      </c>
      <c r="DH400" s="23">
        <v>-248</v>
      </c>
      <c r="DI400" s="25">
        <v>131</v>
      </c>
      <c r="DL400" s="8">
        <v>778</v>
      </c>
      <c r="EG400" s="6">
        <v>820</v>
      </c>
      <c r="EH400" s="28">
        <v>459</v>
      </c>
      <c r="EX400" s="8">
        <v>-719</v>
      </c>
      <c r="EY400" s="28">
        <v>411</v>
      </c>
      <c r="FM400" s="8">
        <v>-292</v>
      </c>
      <c r="FN400" s="52">
        <v>860</v>
      </c>
      <c r="FS400" s="8">
        <v>334</v>
      </c>
      <c r="FT400" s="52">
        <v>79</v>
      </c>
      <c r="GP400" s="6">
        <v>14</v>
      </c>
      <c r="GQ400" s="52">
        <v>282</v>
      </c>
      <c r="GT400" s="6"/>
      <c r="IB400" s="8">
        <v>-279</v>
      </c>
      <c r="IC400" s="28">
        <v>138</v>
      </c>
      <c r="LF400" s="8">
        <v>-18</v>
      </c>
      <c r="LG400" s="28">
        <v>36</v>
      </c>
      <c r="LJ400" s="8">
        <v>735</v>
      </c>
      <c r="LK400" s="28">
        <v>172</v>
      </c>
      <c r="LW400" s="8">
        <v>-141</v>
      </c>
      <c r="LX400" s="28">
        <v>82</v>
      </c>
      <c r="MF400" s="8">
        <v>409</v>
      </c>
      <c r="MG400" s="12">
        <v>709</v>
      </c>
      <c r="VL400" s="21"/>
    </row>
    <row r="401" spans="22:584" x14ac:dyDescent="0.25">
      <c r="V401">
        <v>5</v>
      </c>
      <c r="W401" s="10">
        <v>587</v>
      </c>
      <c r="BT401">
        <v>475</v>
      </c>
      <c r="BU401" s="1">
        <v>120</v>
      </c>
      <c r="DH401" s="23">
        <v>-312</v>
      </c>
      <c r="DI401" s="25">
        <v>133</v>
      </c>
      <c r="DL401" s="8">
        <v>983</v>
      </c>
      <c r="EG401" s="6">
        <v>968</v>
      </c>
      <c r="EH401" s="28">
        <v>462</v>
      </c>
      <c r="EX401" s="8">
        <v>-219</v>
      </c>
      <c r="EY401" s="28">
        <v>989</v>
      </c>
      <c r="FM401" s="8">
        <v>-639</v>
      </c>
      <c r="FN401" s="52">
        <v>222</v>
      </c>
      <c r="FS401" s="8">
        <v>-201</v>
      </c>
      <c r="FT401" s="52">
        <v>44</v>
      </c>
      <c r="GP401" s="6">
        <v>43</v>
      </c>
      <c r="GQ401" s="52">
        <v>264</v>
      </c>
      <c r="GT401" s="6"/>
      <c r="IB401" s="8">
        <v>591</v>
      </c>
      <c r="IC401" s="28">
        <v>576</v>
      </c>
      <c r="LF401" s="8">
        <v>-24</v>
      </c>
      <c r="LG401" s="28">
        <v>36</v>
      </c>
      <c r="LJ401" s="8">
        <v>-225</v>
      </c>
      <c r="LK401" s="28">
        <v>158</v>
      </c>
      <c r="LW401" s="8">
        <v>-75</v>
      </c>
      <c r="LX401" s="28">
        <v>94</v>
      </c>
      <c r="MF401" s="8">
        <v>338</v>
      </c>
      <c r="MG401" s="12">
        <v>556</v>
      </c>
      <c r="VL401" s="21"/>
    </row>
    <row r="402" spans="22:584" x14ac:dyDescent="0.25">
      <c r="V402">
        <v>10</v>
      </c>
      <c r="W402" s="10">
        <v>1162</v>
      </c>
      <c r="BT402">
        <v>-561</v>
      </c>
      <c r="BU402" s="1">
        <v>115</v>
      </c>
      <c r="DH402" s="23">
        <v>243</v>
      </c>
      <c r="DI402" s="25">
        <v>106</v>
      </c>
      <c r="DL402" s="8">
        <v>865</v>
      </c>
      <c r="EG402" s="6">
        <v>109</v>
      </c>
      <c r="EH402" s="28">
        <v>469</v>
      </c>
      <c r="EX402" s="8">
        <v>520</v>
      </c>
      <c r="EY402" s="28">
        <v>150</v>
      </c>
      <c r="FM402" s="8">
        <v>-299</v>
      </c>
      <c r="FN402" s="52">
        <v>289</v>
      </c>
      <c r="FS402" s="8">
        <v>-256</v>
      </c>
      <c r="FT402" s="52">
        <v>69</v>
      </c>
      <c r="GP402" s="6">
        <v>46</v>
      </c>
      <c r="GQ402" s="52">
        <v>217</v>
      </c>
      <c r="GT402" s="6"/>
      <c r="IB402" s="8">
        <v>278</v>
      </c>
      <c r="IC402" s="28">
        <v>548</v>
      </c>
      <c r="LF402" s="8">
        <v>-89</v>
      </c>
      <c r="LG402" s="28">
        <v>47</v>
      </c>
      <c r="LJ402" s="8">
        <v>-185</v>
      </c>
      <c r="LK402" s="28">
        <v>129</v>
      </c>
      <c r="LW402" s="8">
        <v>-105</v>
      </c>
      <c r="LX402" s="28">
        <v>127</v>
      </c>
      <c r="MF402" s="8">
        <v>199</v>
      </c>
      <c r="MG402" s="12">
        <v>379</v>
      </c>
      <c r="VL402" s="21"/>
    </row>
    <row r="403" spans="22:584" x14ac:dyDescent="0.25">
      <c r="V403">
        <v>5</v>
      </c>
      <c r="W403" s="10">
        <v>345</v>
      </c>
      <c r="BT403">
        <v>236</v>
      </c>
      <c r="BU403" s="1">
        <v>55</v>
      </c>
      <c r="DH403" s="23">
        <v>25</v>
      </c>
      <c r="DI403" s="25">
        <v>3</v>
      </c>
      <c r="DL403" s="8">
        <v>868</v>
      </c>
      <c r="EG403" s="6">
        <v>187</v>
      </c>
      <c r="EH403" s="28">
        <v>258</v>
      </c>
      <c r="EX403" s="8">
        <v>120</v>
      </c>
      <c r="EY403" s="28">
        <v>170</v>
      </c>
      <c r="FM403" s="8">
        <v>156</v>
      </c>
      <c r="FN403" s="52">
        <v>94</v>
      </c>
      <c r="FS403" s="8">
        <v>265</v>
      </c>
      <c r="FT403" s="52">
        <v>74</v>
      </c>
      <c r="GP403" s="6">
        <v>37</v>
      </c>
      <c r="GQ403" s="52">
        <v>302</v>
      </c>
      <c r="GT403" s="6"/>
      <c r="IB403" s="8">
        <v>-559</v>
      </c>
      <c r="IC403" s="28">
        <v>526</v>
      </c>
      <c r="LF403" s="8">
        <v>-14</v>
      </c>
      <c r="LG403" s="28">
        <v>27</v>
      </c>
      <c r="LJ403" s="8">
        <v>187</v>
      </c>
      <c r="LK403" s="28">
        <v>151</v>
      </c>
      <c r="LW403" s="8">
        <v>-46</v>
      </c>
      <c r="LX403" s="28">
        <v>92</v>
      </c>
      <c r="MF403" s="8">
        <v>667</v>
      </c>
      <c r="MG403" s="12">
        <v>131</v>
      </c>
      <c r="VL403" s="21"/>
    </row>
    <row r="404" spans="22:584" x14ac:dyDescent="0.25">
      <c r="V404">
        <v>6</v>
      </c>
      <c r="W404" s="10">
        <v>363</v>
      </c>
      <c r="BT404">
        <v>-483</v>
      </c>
      <c r="BU404" s="1">
        <v>73</v>
      </c>
      <c r="DH404" s="23">
        <v>5</v>
      </c>
      <c r="DI404" s="25">
        <v>3</v>
      </c>
      <c r="DL404" s="8">
        <v>947</v>
      </c>
      <c r="EG404" s="6">
        <v>201</v>
      </c>
      <c r="EH404" s="28">
        <v>247</v>
      </c>
      <c r="EX404" s="8">
        <v>995</v>
      </c>
      <c r="EY404" s="28">
        <v>108</v>
      </c>
      <c r="FM404" s="8">
        <v>253</v>
      </c>
      <c r="FN404" s="52">
        <v>230</v>
      </c>
      <c r="FS404" s="8">
        <v>35</v>
      </c>
      <c r="FT404" s="52">
        <v>202</v>
      </c>
      <c r="GP404" s="6">
        <v>-16</v>
      </c>
      <c r="GQ404" s="52">
        <v>262</v>
      </c>
      <c r="GT404" s="6"/>
      <c r="IB404" s="8">
        <v>284</v>
      </c>
      <c r="IC404" s="28">
        <v>547</v>
      </c>
      <c r="LF404" s="8">
        <v>-6</v>
      </c>
      <c r="LG404" s="28">
        <v>25</v>
      </c>
      <c r="LJ404" s="8">
        <v>-465</v>
      </c>
      <c r="LK404" s="28">
        <v>128</v>
      </c>
      <c r="LW404" s="8">
        <v>-185</v>
      </c>
      <c r="LX404" s="28">
        <v>67</v>
      </c>
      <c r="MF404" s="8">
        <v>-205</v>
      </c>
      <c r="MG404" s="12">
        <v>20</v>
      </c>
      <c r="VL404" s="21"/>
    </row>
    <row r="405" spans="22:584" x14ac:dyDescent="0.25">
      <c r="BT405">
        <v>158</v>
      </c>
      <c r="BU405" s="1">
        <v>131</v>
      </c>
      <c r="DH405" s="23">
        <v>41</v>
      </c>
      <c r="DI405" s="25">
        <v>53</v>
      </c>
      <c r="DL405" s="8">
        <v>103</v>
      </c>
      <c r="EG405" s="6">
        <v>550</v>
      </c>
      <c r="EH405" s="28">
        <v>254</v>
      </c>
      <c r="EX405" s="8">
        <v>-191</v>
      </c>
      <c r="EY405" s="28">
        <v>135</v>
      </c>
      <c r="FM405" s="8">
        <v>201</v>
      </c>
      <c r="FN405" s="52">
        <v>217</v>
      </c>
      <c r="FS405" s="8">
        <v>34</v>
      </c>
      <c r="FT405" s="52">
        <v>232</v>
      </c>
      <c r="GP405" s="6">
        <v>18</v>
      </c>
      <c r="GQ405" s="52">
        <v>181</v>
      </c>
      <c r="GT405" s="6"/>
      <c r="IB405" s="8">
        <v>288</v>
      </c>
      <c r="IC405" s="28">
        <v>649</v>
      </c>
      <c r="LF405" s="8">
        <v>-62</v>
      </c>
      <c r="LG405" s="28">
        <v>24</v>
      </c>
      <c r="LJ405" s="8">
        <v>-652</v>
      </c>
      <c r="LK405" s="28">
        <v>156</v>
      </c>
      <c r="LW405" s="8">
        <v>40</v>
      </c>
      <c r="LX405" s="28">
        <v>24</v>
      </c>
      <c r="MF405" s="8">
        <v>331</v>
      </c>
      <c r="MG405" s="12">
        <v>39</v>
      </c>
      <c r="VL405" s="21"/>
    </row>
    <row r="406" spans="22:584" x14ac:dyDescent="0.25">
      <c r="BT406">
        <v>-124</v>
      </c>
      <c r="BU406" s="1">
        <v>118</v>
      </c>
      <c r="DH406" s="23">
        <v>5</v>
      </c>
      <c r="DI406" s="25">
        <v>52</v>
      </c>
      <c r="DL406" s="8">
        <v>-48</v>
      </c>
      <c r="EG406" s="6">
        <v>702</v>
      </c>
      <c r="EH406" s="28">
        <v>263</v>
      </c>
      <c r="EX406" s="8">
        <v>-875</v>
      </c>
      <c r="EY406" s="28">
        <v>819</v>
      </c>
      <c r="FM406" s="8">
        <v>103</v>
      </c>
      <c r="FN406" s="52">
        <v>197</v>
      </c>
      <c r="FS406" s="8">
        <v>29</v>
      </c>
      <c r="FT406" s="52">
        <v>183</v>
      </c>
      <c r="GP406" s="6">
        <v>-139</v>
      </c>
      <c r="GQ406" s="52">
        <v>4</v>
      </c>
      <c r="GT406" s="6"/>
      <c r="IB406" s="8">
        <v>-107</v>
      </c>
      <c r="IC406" s="28">
        <v>426</v>
      </c>
      <c r="LJ406" s="8">
        <v>-262</v>
      </c>
      <c r="LK406" s="28">
        <v>178</v>
      </c>
      <c r="LW406" s="8">
        <v>10</v>
      </c>
      <c r="LX406" s="28">
        <v>1</v>
      </c>
      <c r="MF406" s="8">
        <v>680</v>
      </c>
      <c r="MG406" s="12">
        <v>101</v>
      </c>
      <c r="VL406" s="21"/>
    </row>
    <row r="407" spans="22:584" x14ac:dyDescent="0.25">
      <c r="BT407">
        <v>205</v>
      </c>
      <c r="BU407" s="1">
        <v>58</v>
      </c>
      <c r="DH407" s="23">
        <v>56</v>
      </c>
      <c r="DI407" s="25">
        <v>52</v>
      </c>
      <c r="DL407" s="8">
        <v>42</v>
      </c>
      <c r="EG407" s="6">
        <v>-316</v>
      </c>
      <c r="EH407" s="28">
        <v>259</v>
      </c>
      <c r="EX407" s="8">
        <v>-212</v>
      </c>
      <c r="EY407" s="28">
        <v>251</v>
      </c>
      <c r="FM407" s="8">
        <v>86</v>
      </c>
      <c r="FN407" s="52">
        <v>204</v>
      </c>
      <c r="FS407" s="8">
        <v>-66</v>
      </c>
      <c r="FT407" s="52">
        <v>78</v>
      </c>
      <c r="GP407" s="6">
        <v>564</v>
      </c>
      <c r="GQ407" s="52">
        <v>31</v>
      </c>
      <c r="GT407" s="6"/>
      <c r="IB407" s="8">
        <v>736</v>
      </c>
      <c r="IC407" s="28">
        <v>459</v>
      </c>
      <c r="LJ407" s="8">
        <v>385</v>
      </c>
      <c r="LK407" s="28">
        <v>188</v>
      </c>
      <c r="LW407" s="8">
        <v>40</v>
      </c>
      <c r="LX407" s="28">
        <v>54</v>
      </c>
      <c r="MF407" s="8">
        <v>-590</v>
      </c>
      <c r="MG407" s="12">
        <v>153</v>
      </c>
      <c r="VL407" s="21"/>
    </row>
    <row r="408" spans="22:584" x14ac:dyDescent="0.25">
      <c r="BT408">
        <v>-279</v>
      </c>
      <c r="BU408" s="1">
        <v>49</v>
      </c>
      <c r="DH408" s="23">
        <v>-75</v>
      </c>
      <c r="DI408" s="25">
        <v>53</v>
      </c>
      <c r="DL408" s="8">
        <v>-53</v>
      </c>
      <c r="EG408" s="6">
        <v>-137</v>
      </c>
      <c r="EH408" s="28">
        <v>253</v>
      </c>
      <c r="EX408" s="8">
        <v>-414</v>
      </c>
      <c r="EY408" s="28">
        <v>195</v>
      </c>
      <c r="FM408" s="8">
        <v>-427</v>
      </c>
      <c r="FN408" s="52">
        <v>263</v>
      </c>
      <c r="FS408" s="8">
        <v>36</v>
      </c>
      <c r="FT408" s="52">
        <v>100</v>
      </c>
      <c r="GP408" s="6">
        <v>38</v>
      </c>
      <c r="GQ408" s="52">
        <v>4</v>
      </c>
      <c r="GT408" s="6"/>
      <c r="IB408" s="8">
        <v>804</v>
      </c>
      <c r="IC408" s="28">
        <v>519</v>
      </c>
      <c r="LJ408" s="8">
        <v>114</v>
      </c>
      <c r="LK408" s="28">
        <v>116</v>
      </c>
      <c r="LW408" s="8">
        <v>83</v>
      </c>
      <c r="LX408" s="28">
        <v>45</v>
      </c>
      <c r="MF408" s="8">
        <v>-986</v>
      </c>
      <c r="MG408" s="12">
        <v>255</v>
      </c>
      <c r="VL408" s="21"/>
    </row>
    <row r="409" spans="22:584" x14ac:dyDescent="0.25">
      <c r="BT409">
        <v>44</v>
      </c>
      <c r="BU409" s="1">
        <v>85</v>
      </c>
      <c r="DH409" s="23">
        <v>-30</v>
      </c>
      <c r="DI409" s="25">
        <v>52</v>
      </c>
      <c r="DL409" s="8">
        <v>-9</v>
      </c>
      <c r="EG409" s="6">
        <v>335</v>
      </c>
      <c r="EH409" s="28">
        <v>257</v>
      </c>
      <c r="EX409" s="8">
        <v>-724</v>
      </c>
      <c r="EY409" s="28">
        <v>471</v>
      </c>
      <c r="FM409" s="8">
        <v>235</v>
      </c>
      <c r="FN409" s="52">
        <v>69</v>
      </c>
      <c r="FS409" s="8">
        <v>16</v>
      </c>
      <c r="FT409" s="52">
        <v>54</v>
      </c>
      <c r="GP409" s="6">
        <v>323</v>
      </c>
      <c r="GQ409" s="52">
        <v>59</v>
      </c>
      <c r="GT409" s="6"/>
      <c r="IB409" s="8">
        <v>711</v>
      </c>
      <c r="IC409" s="28">
        <v>465</v>
      </c>
      <c r="LJ409" s="8">
        <v>122</v>
      </c>
      <c r="LK409" s="28">
        <v>163</v>
      </c>
      <c r="LW409" s="8">
        <v>90</v>
      </c>
      <c r="LX409" s="28">
        <v>36</v>
      </c>
      <c r="MF409" s="8">
        <v>-382</v>
      </c>
      <c r="MG409" s="12">
        <v>92</v>
      </c>
      <c r="VL409" s="21"/>
    </row>
    <row r="410" spans="22:584" x14ac:dyDescent="0.25">
      <c r="BT410">
        <v>119</v>
      </c>
      <c r="BU410" s="1">
        <v>235</v>
      </c>
      <c r="DH410" s="23">
        <v>-6</v>
      </c>
      <c r="DI410" s="25">
        <v>52</v>
      </c>
      <c r="DL410" s="8">
        <v>45</v>
      </c>
      <c r="EG410" s="6">
        <v>163</v>
      </c>
      <c r="EH410" s="28">
        <v>263</v>
      </c>
      <c r="EX410" s="8">
        <v>-107</v>
      </c>
      <c r="EY410" s="28">
        <v>104</v>
      </c>
      <c r="FM410" s="8">
        <v>241</v>
      </c>
      <c r="FN410" s="52">
        <v>117</v>
      </c>
      <c r="FS410" s="8">
        <v>-65</v>
      </c>
      <c r="FT410" s="52">
        <v>77</v>
      </c>
      <c r="GP410" s="6">
        <v>-502</v>
      </c>
      <c r="GQ410" s="52">
        <v>91</v>
      </c>
      <c r="GT410" s="6"/>
      <c r="IB410" s="8">
        <v>108</v>
      </c>
      <c r="IC410" s="28">
        <v>587</v>
      </c>
      <c r="LJ410" s="8">
        <v>347</v>
      </c>
      <c r="LK410" s="28">
        <v>299</v>
      </c>
      <c r="LW410" s="8">
        <v>-67</v>
      </c>
      <c r="LX410" s="28">
        <v>54</v>
      </c>
      <c r="MF410" s="8">
        <v>-738</v>
      </c>
      <c r="MG410" s="12">
        <v>179</v>
      </c>
      <c r="VL410" s="21"/>
    </row>
    <row r="411" spans="22:584" x14ac:dyDescent="0.25">
      <c r="BT411">
        <v>248</v>
      </c>
      <c r="BU411" s="1">
        <v>634</v>
      </c>
      <c r="DH411" s="23">
        <v>-64</v>
      </c>
      <c r="DI411" s="25">
        <v>52</v>
      </c>
      <c r="DL411" s="8">
        <v>-5</v>
      </c>
      <c r="EG411" s="6">
        <v>392</v>
      </c>
      <c r="EH411" s="28">
        <v>270</v>
      </c>
      <c r="EX411" s="8">
        <v>-850</v>
      </c>
      <c r="EY411" s="28">
        <v>104</v>
      </c>
      <c r="FM411" s="8">
        <v>874</v>
      </c>
      <c r="FN411" s="52">
        <v>73</v>
      </c>
      <c r="FS411" s="8">
        <v>37</v>
      </c>
      <c r="FT411" s="52">
        <v>102</v>
      </c>
      <c r="GP411" s="6">
        <v>-329</v>
      </c>
      <c r="GQ411" s="52">
        <v>48</v>
      </c>
      <c r="GT411" s="6"/>
      <c r="IB411" s="8">
        <v>273</v>
      </c>
      <c r="IC411" s="28">
        <v>899</v>
      </c>
      <c r="LJ411" s="8">
        <v>-66</v>
      </c>
      <c r="LK411" s="28">
        <v>51</v>
      </c>
      <c r="LW411" s="8">
        <v>-137</v>
      </c>
      <c r="LX411" s="28">
        <v>78</v>
      </c>
      <c r="MF411" s="8">
        <v>-452</v>
      </c>
      <c r="MG411" s="12">
        <v>101</v>
      </c>
      <c r="VL411" s="21"/>
    </row>
    <row r="412" spans="22:584" x14ac:dyDescent="0.25">
      <c r="BT412">
        <v>118</v>
      </c>
      <c r="BU412" s="1">
        <v>126</v>
      </c>
      <c r="DH412" s="23">
        <v>-13</v>
      </c>
      <c r="DI412" s="25">
        <v>53</v>
      </c>
      <c r="DL412" s="8">
        <v>16</v>
      </c>
      <c r="EG412" s="6">
        <v>979</v>
      </c>
      <c r="EH412" s="28">
        <v>277</v>
      </c>
      <c r="EX412" s="8">
        <v>-274</v>
      </c>
      <c r="EY412" s="28">
        <v>575</v>
      </c>
      <c r="FM412" s="8">
        <v>110</v>
      </c>
      <c r="FN412" s="52">
        <v>160</v>
      </c>
      <c r="FS412" s="8">
        <v>17</v>
      </c>
      <c r="FT412" s="52">
        <v>57</v>
      </c>
      <c r="GP412" s="6">
        <v>-102</v>
      </c>
      <c r="GQ412" s="52">
        <v>119</v>
      </c>
      <c r="GT412" s="6"/>
      <c r="IB412" s="8">
        <v>184</v>
      </c>
      <c r="IC412" s="28">
        <v>705</v>
      </c>
      <c r="LJ412" s="8">
        <v>189</v>
      </c>
      <c r="LK412" s="28">
        <v>184</v>
      </c>
      <c r="LW412" s="8">
        <v>43</v>
      </c>
      <c r="LX412" s="28">
        <v>56</v>
      </c>
      <c r="MF412" s="8">
        <v>-63</v>
      </c>
      <c r="MG412" s="12">
        <v>79</v>
      </c>
      <c r="VL412" s="21"/>
    </row>
    <row r="413" spans="22:584" x14ac:dyDescent="0.25">
      <c r="BT413">
        <v>130</v>
      </c>
      <c r="BU413" s="1">
        <v>141</v>
      </c>
      <c r="DH413" s="23">
        <v>291</v>
      </c>
      <c r="DI413" s="25">
        <v>43</v>
      </c>
      <c r="DL413" s="8">
        <v>-12</v>
      </c>
      <c r="EG413" s="6">
        <v>290</v>
      </c>
      <c r="EH413" s="28">
        <v>269</v>
      </c>
      <c r="EX413" s="8">
        <v>759</v>
      </c>
      <c r="EY413" s="28">
        <v>705</v>
      </c>
      <c r="FM413" s="8">
        <v>196</v>
      </c>
      <c r="FN413" s="52">
        <v>256</v>
      </c>
      <c r="FS413" s="8">
        <v>-75</v>
      </c>
      <c r="FT413" s="52">
        <v>87</v>
      </c>
      <c r="GP413" s="6">
        <v>-356</v>
      </c>
      <c r="GQ413" s="52">
        <v>84</v>
      </c>
      <c r="GT413" s="6"/>
      <c r="IB413" s="8">
        <v>-437</v>
      </c>
      <c r="IC413" s="28">
        <v>482</v>
      </c>
      <c r="LJ413" s="8">
        <v>-109</v>
      </c>
      <c r="LK413" s="28">
        <v>413</v>
      </c>
      <c r="LW413" s="8">
        <v>-34</v>
      </c>
      <c r="LX413" s="28">
        <v>51</v>
      </c>
      <c r="MF413" s="8">
        <v>-70</v>
      </c>
      <c r="MG413" s="12">
        <v>53</v>
      </c>
      <c r="VL413" s="21"/>
    </row>
    <row r="414" spans="22:584" x14ac:dyDescent="0.25">
      <c r="BT414">
        <v>116</v>
      </c>
      <c r="BU414" s="1">
        <v>283</v>
      </c>
      <c r="DH414" s="23">
        <v>239</v>
      </c>
      <c r="DI414" s="25">
        <v>110</v>
      </c>
      <c r="DL414" s="8">
        <v>3</v>
      </c>
      <c r="EG414" s="6">
        <v>-179</v>
      </c>
      <c r="EH414" s="28">
        <v>265</v>
      </c>
      <c r="EX414" s="8">
        <v>-158</v>
      </c>
      <c r="EY414" s="28">
        <v>742</v>
      </c>
      <c r="FM414" s="8">
        <v>-10</v>
      </c>
      <c r="FN414" s="52">
        <v>33</v>
      </c>
      <c r="FS414" s="8">
        <v>24</v>
      </c>
      <c r="FT414" s="52">
        <v>55</v>
      </c>
      <c r="GP414" s="6">
        <v>-203</v>
      </c>
      <c r="GQ414" s="52">
        <v>356</v>
      </c>
      <c r="GT414" s="6"/>
      <c r="IB414" s="8">
        <v>-262</v>
      </c>
      <c r="IC414" s="28">
        <v>107</v>
      </c>
      <c r="LJ414" s="8">
        <v>-197</v>
      </c>
      <c r="LK414" s="28">
        <v>295</v>
      </c>
      <c r="LW414" s="8">
        <v>-101</v>
      </c>
      <c r="LX414" s="28">
        <v>100</v>
      </c>
      <c r="MF414" s="8">
        <v>238</v>
      </c>
      <c r="MG414" s="12">
        <v>723</v>
      </c>
      <c r="VL414" s="21"/>
    </row>
    <row r="415" spans="22:584" x14ac:dyDescent="0.25">
      <c r="BT415">
        <v>-416</v>
      </c>
      <c r="BU415" s="1">
        <v>130</v>
      </c>
      <c r="DH415" s="23">
        <v>-632</v>
      </c>
      <c r="DI415" s="25">
        <v>194</v>
      </c>
      <c r="DL415" s="8">
        <v>21</v>
      </c>
      <c r="EG415" s="6">
        <v>165</v>
      </c>
      <c r="EH415" s="28">
        <v>54</v>
      </c>
      <c r="EX415" s="8">
        <v>161</v>
      </c>
      <c r="EY415" s="28">
        <v>543</v>
      </c>
      <c r="FM415" s="8">
        <v>134</v>
      </c>
      <c r="FN415" s="52">
        <v>298</v>
      </c>
      <c r="FS415" s="8">
        <v>8</v>
      </c>
      <c r="FT415" s="52">
        <v>21</v>
      </c>
      <c r="GP415" s="6">
        <v>-219</v>
      </c>
      <c r="GQ415" s="52">
        <v>159</v>
      </c>
      <c r="GT415" s="6"/>
      <c r="IB415" s="8">
        <v>-221</v>
      </c>
      <c r="IC415" s="28">
        <v>126</v>
      </c>
      <c r="LJ415" s="8">
        <v>135</v>
      </c>
      <c r="LK415" s="28">
        <v>208</v>
      </c>
      <c r="LW415" s="8">
        <v>88</v>
      </c>
      <c r="LX415" s="28">
        <v>89</v>
      </c>
      <c r="MF415" s="8">
        <v>-367</v>
      </c>
      <c r="MG415" s="12">
        <v>46</v>
      </c>
      <c r="VL415" s="21"/>
    </row>
    <row r="416" spans="22:584" x14ac:dyDescent="0.25">
      <c r="BT416">
        <v>199</v>
      </c>
      <c r="BU416" s="1">
        <v>44</v>
      </c>
      <c r="DH416" s="23">
        <v>-151</v>
      </c>
      <c r="DI416" s="25">
        <v>141</v>
      </c>
      <c r="DL416" s="8">
        <v>10</v>
      </c>
      <c r="EG416" s="6">
        <v>280</v>
      </c>
      <c r="EH416" s="28">
        <v>75</v>
      </c>
      <c r="EX416" s="8">
        <v>-614</v>
      </c>
      <c r="EY416" s="28">
        <v>234</v>
      </c>
      <c r="FM416" s="8">
        <v>216</v>
      </c>
      <c r="FN416" s="52">
        <v>58</v>
      </c>
      <c r="FS416" s="8">
        <v>32</v>
      </c>
      <c r="FT416" s="52">
        <v>205</v>
      </c>
      <c r="GP416" s="6">
        <v>-102</v>
      </c>
      <c r="GQ416" s="52">
        <v>119</v>
      </c>
      <c r="GT416" s="6"/>
      <c r="IB416" s="8">
        <v>346</v>
      </c>
      <c r="IC416" s="28">
        <v>159</v>
      </c>
      <c r="LJ416" s="8">
        <v>-701</v>
      </c>
      <c r="LK416" s="28">
        <v>391</v>
      </c>
      <c r="LW416" s="8">
        <v>-12</v>
      </c>
      <c r="LX416" s="28">
        <v>57</v>
      </c>
      <c r="MF416" s="8">
        <v>189</v>
      </c>
      <c r="MG416" s="12">
        <v>55</v>
      </c>
      <c r="VL416" s="21"/>
    </row>
    <row r="417" spans="72:584" x14ac:dyDescent="0.25">
      <c r="BT417">
        <v>-188</v>
      </c>
      <c r="BU417" s="1">
        <v>53</v>
      </c>
      <c r="DH417" s="23">
        <v>-113</v>
      </c>
      <c r="DI417" s="25">
        <v>123</v>
      </c>
      <c r="DL417" s="8">
        <v>15</v>
      </c>
      <c r="EG417" s="6">
        <v>-486</v>
      </c>
      <c r="EH417" s="28">
        <v>435</v>
      </c>
      <c r="EX417" s="8">
        <v>150</v>
      </c>
      <c r="EY417" s="28">
        <v>581</v>
      </c>
      <c r="FM417" s="8">
        <v>-336</v>
      </c>
      <c r="FN417" s="52">
        <v>233</v>
      </c>
      <c r="FS417" s="8">
        <v>31</v>
      </c>
      <c r="FT417" s="52">
        <v>210</v>
      </c>
      <c r="GP417" s="6">
        <v>5</v>
      </c>
      <c r="GQ417" s="52">
        <v>1</v>
      </c>
      <c r="GT417" s="6"/>
      <c r="IB417" s="8">
        <v>-201</v>
      </c>
      <c r="IC417" s="28">
        <v>422</v>
      </c>
      <c r="LJ417" s="8">
        <v>-444</v>
      </c>
      <c r="LK417" s="28">
        <v>297</v>
      </c>
      <c r="LW417" s="8">
        <v>7</v>
      </c>
      <c r="LX417" s="28">
        <v>58</v>
      </c>
      <c r="MF417" s="8">
        <v>223</v>
      </c>
      <c r="MG417" s="12">
        <v>171</v>
      </c>
      <c r="VL417" s="21"/>
    </row>
    <row r="418" spans="72:584" x14ac:dyDescent="0.25">
      <c r="BT418">
        <v>124</v>
      </c>
      <c r="BU418" s="1">
        <v>133</v>
      </c>
      <c r="DH418" s="23">
        <v>146</v>
      </c>
      <c r="DI418" s="25">
        <v>725</v>
      </c>
      <c r="DL418" s="8">
        <v>28</v>
      </c>
      <c r="EG418" s="6">
        <v>-262</v>
      </c>
      <c r="EH418" s="28">
        <v>465</v>
      </c>
      <c r="EX418" s="8">
        <v>-373</v>
      </c>
      <c r="EY418" s="28">
        <v>660</v>
      </c>
      <c r="FM418" s="8">
        <v>671</v>
      </c>
      <c r="FN418" s="52">
        <v>96</v>
      </c>
      <c r="FS418" s="8">
        <v>28</v>
      </c>
      <c r="FT418" s="52">
        <v>191</v>
      </c>
      <c r="GP418" s="6">
        <v>-658</v>
      </c>
      <c r="GQ418" s="52">
        <v>99</v>
      </c>
      <c r="GT418" s="6"/>
      <c r="IB418" s="8">
        <v>-517</v>
      </c>
      <c r="IC418" s="28">
        <v>471</v>
      </c>
      <c r="LJ418" s="8">
        <v>-144</v>
      </c>
      <c r="LK418" s="28">
        <v>313</v>
      </c>
      <c r="LW418" s="8">
        <v>60</v>
      </c>
      <c r="LX418" s="28">
        <v>63</v>
      </c>
      <c r="MF418" s="8">
        <v>-225</v>
      </c>
      <c r="MG418" s="12">
        <v>245</v>
      </c>
      <c r="VL418" s="21"/>
    </row>
    <row r="419" spans="72:584" x14ac:dyDescent="0.25">
      <c r="BT419">
        <v>-123</v>
      </c>
      <c r="BU419" s="1">
        <v>128</v>
      </c>
      <c r="DH419" s="23">
        <v>781</v>
      </c>
      <c r="DI419" s="25">
        <v>557</v>
      </c>
      <c r="DL419" s="8">
        <v>597</v>
      </c>
      <c r="EG419" s="6">
        <v>115</v>
      </c>
      <c r="EH419" s="28">
        <v>244</v>
      </c>
      <c r="EX419" s="8">
        <v>57</v>
      </c>
      <c r="EY419" s="28">
        <v>545</v>
      </c>
      <c r="FM419" s="8">
        <v>134</v>
      </c>
      <c r="FN419" s="52">
        <v>70</v>
      </c>
      <c r="FS419" s="8">
        <v>622</v>
      </c>
      <c r="FT419" s="52">
        <v>79</v>
      </c>
      <c r="GP419" s="6">
        <v>-105</v>
      </c>
      <c r="GQ419" s="52">
        <v>153</v>
      </c>
      <c r="GT419" s="6"/>
      <c r="IB419" s="8">
        <v>11</v>
      </c>
      <c r="IC419" s="28">
        <v>665</v>
      </c>
      <c r="LJ419" s="8">
        <v>506</v>
      </c>
      <c r="LK419" s="28">
        <v>482</v>
      </c>
      <c r="LW419" s="8">
        <v>78</v>
      </c>
      <c r="LX419" s="28">
        <v>61</v>
      </c>
      <c r="MF419" s="8">
        <v>-391</v>
      </c>
      <c r="MG419" s="12">
        <v>41</v>
      </c>
      <c r="VL419" s="21"/>
    </row>
    <row r="420" spans="72:584" x14ac:dyDescent="0.25">
      <c r="BT420">
        <v>108</v>
      </c>
      <c r="BU420" s="1">
        <v>95</v>
      </c>
      <c r="DH420" s="23">
        <v>-917</v>
      </c>
      <c r="DI420" s="25">
        <v>563</v>
      </c>
      <c r="DL420" s="8">
        <v>699</v>
      </c>
      <c r="EG420" s="6">
        <v>106</v>
      </c>
      <c r="EH420" s="28">
        <v>86</v>
      </c>
      <c r="EX420" s="8">
        <v>291</v>
      </c>
      <c r="EY420" s="28">
        <v>281</v>
      </c>
      <c r="FM420" s="8">
        <v>-704</v>
      </c>
      <c r="FN420" s="52">
        <v>5</v>
      </c>
      <c r="FS420" s="8">
        <v>736</v>
      </c>
      <c r="FT420" s="52">
        <v>82</v>
      </c>
      <c r="GP420" s="6">
        <v>-168</v>
      </c>
      <c r="GQ420" s="52">
        <v>375</v>
      </c>
      <c r="GT420" s="6"/>
      <c r="IB420" s="8">
        <v>192</v>
      </c>
      <c r="IC420" s="28">
        <v>326</v>
      </c>
      <c r="LJ420" s="8">
        <v>-598</v>
      </c>
      <c r="LK420" s="28">
        <v>338</v>
      </c>
      <c r="LW420" s="8">
        <v>426</v>
      </c>
      <c r="LX420" s="28">
        <v>158</v>
      </c>
      <c r="MF420" s="8">
        <v>-740</v>
      </c>
      <c r="MG420" s="12">
        <v>70</v>
      </c>
      <c r="VL420" s="21"/>
    </row>
    <row r="421" spans="72:584" x14ac:dyDescent="0.25">
      <c r="BT421">
        <v>-635</v>
      </c>
      <c r="BU421" s="1">
        <v>94</v>
      </c>
      <c r="DH421" s="23">
        <v>-114</v>
      </c>
      <c r="DI421" s="25">
        <v>123</v>
      </c>
      <c r="DL421" s="8">
        <v>987</v>
      </c>
      <c r="EG421" s="6">
        <v>350</v>
      </c>
      <c r="EH421" s="28">
        <v>509</v>
      </c>
      <c r="EX421" s="8">
        <v>-200</v>
      </c>
      <c r="EY421" s="28">
        <v>343</v>
      </c>
      <c r="FM421" s="8">
        <v>297</v>
      </c>
      <c r="FN421" s="52">
        <v>82</v>
      </c>
      <c r="FS421" s="8">
        <v>827</v>
      </c>
      <c r="FT421" s="52">
        <v>84</v>
      </c>
      <c r="GP421" s="6">
        <v>-295</v>
      </c>
      <c r="GQ421" s="52">
        <v>148</v>
      </c>
      <c r="GT421" s="6"/>
      <c r="IB421" s="8">
        <v>193</v>
      </c>
      <c r="IC421" s="28">
        <v>751</v>
      </c>
      <c r="LJ421" s="8">
        <v>-195</v>
      </c>
      <c r="LK421" s="28">
        <v>354</v>
      </c>
      <c r="LW421" s="8">
        <v>-131</v>
      </c>
      <c r="LX421" s="28">
        <v>115</v>
      </c>
      <c r="MF421" s="8">
        <v>-313</v>
      </c>
      <c r="MG421" s="12">
        <v>29</v>
      </c>
      <c r="VL421" s="21"/>
    </row>
    <row r="422" spans="72:584" x14ac:dyDescent="0.25">
      <c r="BT422">
        <v>152</v>
      </c>
      <c r="BU422" s="1">
        <v>134</v>
      </c>
      <c r="DH422" s="23">
        <v>233</v>
      </c>
      <c r="DI422" s="25">
        <v>110</v>
      </c>
      <c r="DL422" s="8">
        <v>875</v>
      </c>
      <c r="EG422" s="6">
        <v>517</v>
      </c>
      <c r="EH422" s="28">
        <v>491</v>
      </c>
      <c r="EX422" s="8">
        <v>332</v>
      </c>
      <c r="EY422" s="28">
        <v>280</v>
      </c>
      <c r="FM422" s="8">
        <v>-160</v>
      </c>
      <c r="FN422" s="52">
        <v>106</v>
      </c>
      <c r="FS422" s="8">
        <v>620</v>
      </c>
      <c r="FT422" s="52">
        <v>80</v>
      </c>
      <c r="GP422" s="6">
        <v>-147</v>
      </c>
      <c r="GQ422" s="52">
        <v>199</v>
      </c>
      <c r="GT422" s="6"/>
      <c r="IB422" s="8">
        <v>-195</v>
      </c>
      <c r="IC422" s="28">
        <v>469</v>
      </c>
      <c r="LJ422" s="8">
        <v>-496</v>
      </c>
      <c r="LK422" s="28">
        <v>323</v>
      </c>
      <c r="LW422" s="8">
        <v>-364</v>
      </c>
      <c r="LX422" s="28">
        <v>654</v>
      </c>
      <c r="MF422" s="8">
        <v>-144</v>
      </c>
      <c r="MG422" s="12">
        <v>128</v>
      </c>
      <c r="VL422" s="21"/>
    </row>
    <row r="423" spans="72:584" x14ac:dyDescent="0.25">
      <c r="BT423">
        <v>-956</v>
      </c>
      <c r="BU423" s="1">
        <v>115</v>
      </c>
      <c r="DH423" s="23">
        <v>760</v>
      </c>
      <c r="DI423" s="25">
        <v>556</v>
      </c>
      <c r="DL423" s="8">
        <v>918</v>
      </c>
      <c r="EG423" s="6">
        <v>698</v>
      </c>
      <c r="EH423" s="28">
        <v>493</v>
      </c>
      <c r="EX423" s="8">
        <v>-117</v>
      </c>
      <c r="EY423" s="28">
        <v>12</v>
      </c>
      <c r="FM423" s="8">
        <v>-232</v>
      </c>
      <c r="FN423" s="52">
        <v>56</v>
      </c>
      <c r="FS423" s="8">
        <v>728</v>
      </c>
      <c r="FT423" s="52">
        <v>82</v>
      </c>
      <c r="GP423" s="6">
        <v>-567</v>
      </c>
      <c r="GQ423" s="52">
        <v>111</v>
      </c>
      <c r="GT423" s="6"/>
      <c r="IB423" s="8">
        <v>450</v>
      </c>
      <c r="IC423" s="28">
        <v>258</v>
      </c>
      <c r="LJ423" s="8">
        <v>-778</v>
      </c>
      <c r="LK423" s="28">
        <v>255</v>
      </c>
      <c r="LW423" s="8">
        <v>149</v>
      </c>
      <c r="LX423" s="28">
        <v>524</v>
      </c>
      <c r="MF423" s="8">
        <v>413</v>
      </c>
      <c r="MG423" s="12">
        <v>201</v>
      </c>
      <c r="VL423" s="21"/>
    </row>
    <row r="424" spans="72:584" x14ac:dyDescent="0.25">
      <c r="BT424">
        <v>417</v>
      </c>
      <c r="BU424" s="1">
        <v>118</v>
      </c>
      <c r="DH424" s="23">
        <v>-139</v>
      </c>
      <c r="DI424" s="25">
        <v>141</v>
      </c>
      <c r="DL424" s="8">
        <v>986</v>
      </c>
      <c r="EG424" s="6">
        <v>828</v>
      </c>
      <c r="EH424" s="28">
        <v>512</v>
      </c>
      <c r="EX424" s="8">
        <v>41</v>
      </c>
      <c r="EY424" s="28">
        <v>3</v>
      </c>
      <c r="FM424" s="8">
        <v>210</v>
      </c>
      <c r="FN424" s="52">
        <v>171</v>
      </c>
      <c r="FS424" s="8">
        <v>823</v>
      </c>
      <c r="FT424" s="52">
        <v>85</v>
      </c>
      <c r="GP424" s="6">
        <v>377</v>
      </c>
      <c r="GQ424" s="52">
        <v>77</v>
      </c>
      <c r="GT424" s="6"/>
      <c r="IB424" s="8">
        <v>-115</v>
      </c>
      <c r="IC424" s="28">
        <v>892</v>
      </c>
      <c r="LJ424" s="8">
        <v>-456</v>
      </c>
      <c r="LK424" s="28">
        <v>310</v>
      </c>
      <c r="LW424" s="8">
        <v>-70</v>
      </c>
      <c r="LX424" s="28">
        <v>109</v>
      </c>
      <c r="MF424" s="8">
        <v>-132</v>
      </c>
      <c r="MG424" s="12">
        <v>39</v>
      </c>
      <c r="VL424" s="21"/>
    </row>
    <row r="425" spans="72:584" x14ac:dyDescent="0.25">
      <c r="BT425">
        <v>-141</v>
      </c>
      <c r="BU425" s="1">
        <v>37</v>
      </c>
      <c r="DH425" s="23">
        <v>-870</v>
      </c>
      <c r="DI425" s="25">
        <v>563</v>
      </c>
      <c r="DL425" s="8">
        <v>103</v>
      </c>
      <c r="EG425" s="6">
        <v>124</v>
      </c>
      <c r="EH425" s="28">
        <v>331</v>
      </c>
      <c r="EX425" s="8">
        <v>196</v>
      </c>
      <c r="EY425" s="28">
        <v>374</v>
      </c>
      <c r="FM425" s="8">
        <v>-436</v>
      </c>
      <c r="FN425" s="52">
        <v>64</v>
      </c>
      <c r="FS425" s="8">
        <v>-141</v>
      </c>
      <c r="FT425" s="52">
        <v>111</v>
      </c>
      <c r="GP425" s="6">
        <v>-721</v>
      </c>
      <c r="GQ425" s="52">
        <v>56</v>
      </c>
      <c r="GT425" s="6"/>
      <c r="IB425" s="8">
        <v>-356</v>
      </c>
      <c r="IC425" s="28">
        <v>395</v>
      </c>
      <c r="LJ425" s="8">
        <v>-587</v>
      </c>
      <c r="LK425" s="28">
        <v>251</v>
      </c>
      <c r="LW425" s="8">
        <v>-144</v>
      </c>
      <c r="LX425" s="28">
        <v>96</v>
      </c>
      <c r="MF425" s="8">
        <v>-171</v>
      </c>
      <c r="MG425" s="12">
        <v>259</v>
      </c>
      <c r="VL425" s="21"/>
    </row>
    <row r="426" spans="72:584" x14ac:dyDescent="0.25">
      <c r="BT426">
        <v>52</v>
      </c>
      <c r="BU426" s="1">
        <v>102</v>
      </c>
      <c r="DH426" s="23">
        <v>-112</v>
      </c>
      <c r="DI426" s="25">
        <v>123</v>
      </c>
      <c r="DL426" s="8">
        <v>-48</v>
      </c>
      <c r="EG426" s="6">
        <v>111</v>
      </c>
      <c r="EH426" s="28">
        <v>316</v>
      </c>
      <c r="EX426" s="8">
        <v>558</v>
      </c>
      <c r="EY426" s="28">
        <v>367</v>
      </c>
      <c r="FM426" s="8">
        <v>105</v>
      </c>
      <c r="FN426" s="52">
        <v>152</v>
      </c>
      <c r="FS426" s="8">
        <v>-561</v>
      </c>
      <c r="FT426" s="52">
        <v>54</v>
      </c>
      <c r="GP426" s="6">
        <v>120</v>
      </c>
      <c r="GQ426" s="52">
        <v>102</v>
      </c>
      <c r="GT426" s="6"/>
      <c r="IB426" s="8">
        <v>-354</v>
      </c>
      <c r="IC426" s="28">
        <v>153</v>
      </c>
      <c r="LJ426" s="8">
        <v>-132</v>
      </c>
      <c r="LK426" s="28">
        <v>311</v>
      </c>
      <c r="LW426" s="8">
        <v>-89</v>
      </c>
      <c r="LX426" s="28">
        <v>15</v>
      </c>
      <c r="VL426" s="21"/>
    </row>
    <row r="427" spans="72:584" x14ac:dyDescent="0.25">
      <c r="BT427">
        <v>378</v>
      </c>
      <c r="BU427" s="1">
        <v>358</v>
      </c>
      <c r="DH427" s="23">
        <v>23</v>
      </c>
      <c r="DI427" s="25">
        <v>46</v>
      </c>
      <c r="DL427" s="8">
        <v>42</v>
      </c>
      <c r="EG427" s="6">
        <v>143</v>
      </c>
      <c r="EH427" s="28">
        <v>313</v>
      </c>
      <c r="EX427" s="8">
        <v>246</v>
      </c>
      <c r="EY427" s="28">
        <v>700</v>
      </c>
      <c r="FM427" s="8">
        <v>214</v>
      </c>
      <c r="FN427" s="52">
        <v>162</v>
      </c>
      <c r="FS427" s="8">
        <v>-298</v>
      </c>
      <c r="FT427" s="52">
        <v>30</v>
      </c>
      <c r="GP427" s="6">
        <v>49</v>
      </c>
      <c r="GQ427" s="52">
        <v>21</v>
      </c>
      <c r="GT427" s="6"/>
      <c r="IB427" s="8">
        <v>-689</v>
      </c>
      <c r="IC427" s="28">
        <v>529</v>
      </c>
      <c r="LJ427" s="8">
        <v>-623</v>
      </c>
      <c r="LK427" s="28">
        <v>350</v>
      </c>
      <c r="LW427" s="8">
        <v>-119</v>
      </c>
      <c r="LX427" s="28">
        <v>104</v>
      </c>
      <c r="VL427" s="21"/>
    </row>
    <row r="428" spans="72:584" x14ac:dyDescent="0.25">
      <c r="BT428">
        <v>595</v>
      </c>
      <c r="BU428" s="1">
        <v>802</v>
      </c>
      <c r="DH428" s="23">
        <v>42</v>
      </c>
      <c r="DI428" s="25">
        <v>72</v>
      </c>
      <c r="DL428" s="8">
        <v>-53</v>
      </c>
      <c r="EG428" s="6">
        <v>139</v>
      </c>
      <c r="EH428" s="28">
        <v>306</v>
      </c>
      <c r="EX428" s="8">
        <v>270</v>
      </c>
      <c r="EY428" s="28">
        <v>433</v>
      </c>
      <c r="FM428" s="8">
        <v>370</v>
      </c>
      <c r="FN428" s="52">
        <v>342</v>
      </c>
      <c r="FS428" s="8">
        <v>-140</v>
      </c>
      <c r="FT428" s="52">
        <v>111</v>
      </c>
      <c r="GP428" s="6">
        <v>198</v>
      </c>
      <c r="GQ428" s="52">
        <v>246</v>
      </c>
      <c r="GT428" s="6"/>
      <c r="IB428" s="8">
        <v>153</v>
      </c>
      <c r="IC428" s="28">
        <v>588</v>
      </c>
      <c r="LJ428" s="8">
        <v>848</v>
      </c>
      <c r="LK428" s="28">
        <v>236</v>
      </c>
      <c r="LW428" s="8">
        <v>67</v>
      </c>
      <c r="LX428" s="28">
        <v>688</v>
      </c>
      <c r="VL428" s="21"/>
    </row>
    <row r="429" spans="72:584" x14ac:dyDescent="0.25">
      <c r="BT429">
        <v>432</v>
      </c>
      <c r="BU429" s="1">
        <v>239</v>
      </c>
      <c r="DH429" s="23">
        <v>-23</v>
      </c>
      <c r="DI429" s="25">
        <v>53</v>
      </c>
      <c r="DL429" s="8">
        <v>-10</v>
      </c>
      <c r="EG429" s="6">
        <v>107</v>
      </c>
      <c r="EH429" s="28">
        <v>310</v>
      </c>
      <c r="EX429" s="8">
        <v>588</v>
      </c>
      <c r="EY429" s="28">
        <v>401</v>
      </c>
      <c r="FM429" s="8">
        <v>145</v>
      </c>
      <c r="FN429" s="52">
        <v>144</v>
      </c>
      <c r="FS429" s="8">
        <v>-542</v>
      </c>
      <c r="FT429" s="52">
        <v>53</v>
      </c>
      <c r="GP429" s="6">
        <v>39</v>
      </c>
      <c r="GQ429" s="52">
        <v>78</v>
      </c>
      <c r="GT429" s="6"/>
      <c r="IB429" s="8">
        <v>-328</v>
      </c>
      <c r="IC429" s="28">
        <v>449</v>
      </c>
      <c r="LJ429" s="8">
        <v>248</v>
      </c>
      <c r="LK429" s="28">
        <v>115</v>
      </c>
      <c r="LW429" s="8">
        <v>-271</v>
      </c>
      <c r="LX429" s="28">
        <v>694</v>
      </c>
    </row>
    <row r="430" spans="72:584" x14ac:dyDescent="0.25">
      <c r="BT430">
        <v>163</v>
      </c>
      <c r="BU430" s="1">
        <v>253</v>
      </c>
      <c r="DH430" s="23">
        <v>13</v>
      </c>
      <c r="DI430" s="25">
        <v>46</v>
      </c>
      <c r="DL430" s="8">
        <v>47</v>
      </c>
      <c r="EG430" s="6">
        <v>123</v>
      </c>
      <c r="EH430" s="28">
        <v>296</v>
      </c>
      <c r="EX430" s="8">
        <v>-465</v>
      </c>
      <c r="EY430" s="28">
        <v>480</v>
      </c>
      <c r="FM430" s="8">
        <v>546</v>
      </c>
      <c r="FN430" s="52">
        <v>209</v>
      </c>
      <c r="FS430" s="8">
        <v>-273</v>
      </c>
      <c r="FT430" s="52">
        <v>28</v>
      </c>
      <c r="GP430" s="6">
        <v>61</v>
      </c>
      <c r="GQ430" s="52">
        <v>196</v>
      </c>
      <c r="GT430" s="6"/>
      <c r="IB430" s="8">
        <v>680</v>
      </c>
      <c r="IC430" s="28">
        <v>587</v>
      </c>
      <c r="LJ430" s="8">
        <v>511</v>
      </c>
      <c r="LK430" s="28">
        <v>198</v>
      </c>
      <c r="LW430" s="8">
        <v>52</v>
      </c>
      <c r="LX430" s="28">
        <v>167</v>
      </c>
    </row>
    <row r="431" spans="72:584" x14ac:dyDescent="0.25">
      <c r="BT431">
        <v>148</v>
      </c>
      <c r="BU431" s="1">
        <v>448</v>
      </c>
      <c r="DH431" s="23">
        <v>9</v>
      </c>
      <c r="DI431" s="25">
        <v>26</v>
      </c>
      <c r="DL431" s="8">
        <v>-5</v>
      </c>
      <c r="EG431" s="6">
        <v>116</v>
      </c>
      <c r="EH431" s="28">
        <v>297</v>
      </c>
      <c r="EX431" s="8">
        <v>287</v>
      </c>
      <c r="EY431" s="28">
        <v>537</v>
      </c>
      <c r="FM431" s="8">
        <v>202</v>
      </c>
      <c r="FN431" s="52">
        <v>65</v>
      </c>
      <c r="FS431" s="8">
        <v>-936</v>
      </c>
      <c r="FT431" s="52">
        <v>97</v>
      </c>
      <c r="GP431" s="6">
        <v>25</v>
      </c>
      <c r="GQ431" s="52">
        <v>36</v>
      </c>
      <c r="GT431" s="6"/>
      <c r="IB431" s="8">
        <v>616</v>
      </c>
      <c r="IC431" s="28">
        <v>617</v>
      </c>
      <c r="LJ431" s="8">
        <v>306</v>
      </c>
      <c r="LK431" s="28">
        <v>382</v>
      </c>
      <c r="LW431" s="8">
        <v>26</v>
      </c>
      <c r="LX431" s="28">
        <v>74</v>
      </c>
    </row>
    <row r="432" spans="72:584" x14ac:dyDescent="0.25">
      <c r="BT432">
        <v>-101</v>
      </c>
      <c r="BU432" s="1">
        <v>315</v>
      </c>
      <c r="DH432" s="23">
        <v>257</v>
      </c>
      <c r="DI432" s="25">
        <v>269</v>
      </c>
      <c r="DL432" s="8">
        <v>17</v>
      </c>
      <c r="EG432" s="6">
        <v>109</v>
      </c>
      <c r="EH432" s="28">
        <v>298</v>
      </c>
      <c r="EX432" s="8">
        <v>4</v>
      </c>
      <c r="EY432" s="28">
        <v>1</v>
      </c>
      <c r="FM432" s="8">
        <v>110</v>
      </c>
      <c r="FN432" s="52">
        <v>133</v>
      </c>
      <c r="FS432" s="8">
        <v>-73</v>
      </c>
      <c r="FT432" s="52">
        <v>12</v>
      </c>
      <c r="GP432" s="6">
        <v>-24</v>
      </c>
      <c r="GQ432" s="52">
        <v>29</v>
      </c>
      <c r="GT432" s="6"/>
      <c r="IB432" s="8">
        <v>-654</v>
      </c>
      <c r="IC432" s="28">
        <v>531</v>
      </c>
      <c r="LJ432" s="8">
        <v>660</v>
      </c>
      <c r="LK432" s="28">
        <v>59</v>
      </c>
      <c r="LW432" s="8">
        <v>-90</v>
      </c>
      <c r="LX432" s="28">
        <v>16</v>
      </c>
    </row>
    <row r="433" spans="72:336" x14ac:dyDescent="0.25">
      <c r="BT433">
        <v>633</v>
      </c>
      <c r="BU433" s="1">
        <v>102</v>
      </c>
      <c r="DH433" s="23">
        <v>-230</v>
      </c>
      <c r="DI433" s="25">
        <v>270</v>
      </c>
      <c r="DL433" s="8">
        <v>-15</v>
      </c>
      <c r="EG433" s="6">
        <v>109</v>
      </c>
      <c r="EH433" s="28">
        <v>299</v>
      </c>
      <c r="EX433" s="8">
        <v>-871</v>
      </c>
      <c r="EY433" s="28">
        <v>367</v>
      </c>
      <c r="FM433" s="8">
        <v>94</v>
      </c>
      <c r="FN433" s="52">
        <v>284</v>
      </c>
      <c r="FS433" s="8">
        <v>157</v>
      </c>
      <c r="FT433" s="52">
        <v>26</v>
      </c>
      <c r="GP433" s="6">
        <v>72</v>
      </c>
      <c r="GQ433" s="52">
        <v>199</v>
      </c>
      <c r="GT433" s="6"/>
      <c r="IB433" s="8">
        <v>-180</v>
      </c>
      <c r="IC433" s="28">
        <v>502</v>
      </c>
      <c r="LJ433" s="8">
        <v>319</v>
      </c>
      <c r="LK433" s="28">
        <v>215</v>
      </c>
      <c r="LW433" s="8">
        <v>-81</v>
      </c>
      <c r="LX433" s="28">
        <v>122</v>
      </c>
    </row>
    <row r="434" spans="72:336" x14ac:dyDescent="0.25">
      <c r="BT434">
        <v>-149</v>
      </c>
      <c r="BU434" s="1">
        <v>93</v>
      </c>
      <c r="DH434" s="23">
        <v>12</v>
      </c>
      <c r="DI434" s="25">
        <v>46</v>
      </c>
      <c r="DL434" s="8">
        <v>-2</v>
      </c>
      <c r="EG434" s="6">
        <v>110</v>
      </c>
      <c r="EH434" s="28">
        <v>301</v>
      </c>
      <c r="EX434" s="8">
        <v>246</v>
      </c>
      <c r="EY434" s="28">
        <v>164</v>
      </c>
      <c r="FM434" s="8">
        <v>-67</v>
      </c>
      <c r="FN434" s="52">
        <v>443</v>
      </c>
      <c r="FS434" s="8">
        <v>116</v>
      </c>
      <c r="FT434" s="52">
        <v>78</v>
      </c>
      <c r="GP434" s="6">
        <v>109</v>
      </c>
      <c r="GQ434" s="52">
        <v>223</v>
      </c>
      <c r="GT434" s="6"/>
      <c r="IB434" s="8">
        <v>-181</v>
      </c>
      <c r="IC434" s="28">
        <v>583</v>
      </c>
      <c r="LJ434" s="8">
        <v>-192</v>
      </c>
      <c r="LK434" s="28">
        <v>478</v>
      </c>
      <c r="LW434" s="8">
        <v>-52</v>
      </c>
      <c r="LX434" s="28">
        <v>70</v>
      </c>
    </row>
    <row r="435" spans="72:336" x14ac:dyDescent="0.25">
      <c r="BT435">
        <v>265</v>
      </c>
      <c r="BU435" s="1">
        <v>243</v>
      </c>
      <c r="DH435" s="23">
        <v>21</v>
      </c>
      <c r="DI435" s="25">
        <v>46</v>
      </c>
      <c r="DL435" s="8">
        <v>15</v>
      </c>
      <c r="EG435" s="6">
        <v>118</v>
      </c>
      <c r="EH435" s="28">
        <v>302</v>
      </c>
      <c r="EX435" s="8">
        <v>296</v>
      </c>
      <c r="EY435" s="28">
        <v>736</v>
      </c>
      <c r="FM435" s="8">
        <v>-33</v>
      </c>
      <c r="FN435" s="52">
        <v>185</v>
      </c>
      <c r="FS435" s="8">
        <v>142</v>
      </c>
      <c r="FT435" s="52">
        <v>84</v>
      </c>
      <c r="GP435" s="6">
        <v>145</v>
      </c>
      <c r="GQ435" s="52">
        <v>156</v>
      </c>
      <c r="GT435" s="6"/>
      <c r="IB435" s="8">
        <v>-147</v>
      </c>
      <c r="IC435" s="28">
        <v>502</v>
      </c>
      <c r="LJ435" s="8">
        <v>-310</v>
      </c>
      <c r="LK435" s="28">
        <v>355</v>
      </c>
      <c r="LW435" s="8">
        <v>376</v>
      </c>
      <c r="LX435" s="28">
        <v>264</v>
      </c>
    </row>
    <row r="436" spans="72:336" x14ac:dyDescent="0.25">
      <c r="BT436">
        <v>-253</v>
      </c>
      <c r="BU436" s="1">
        <v>248</v>
      </c>
      <c r="DH436" s="23">
        <v>254</v>
      </c>
      <c r="DI436" s="25">
        <v>270</v>
      </c>
      <c r="DL436" s="8">
        <v>-3</v>
      </c>
      <c r="EG436" s="6">
        <v>663</v>
      </c>
      <c r="EH436" s="28">
        <v>303</v>
      </c>
      <c r="EX436" s="8">
        <v>-421</v>
      </c>
      <c r="EY436" s="28">
        <v>197</v>
      </c>
      <c r="FM436" s="8">
        <v>-92</v>
      </c>
      <c r="FN436" s="52">
        <v>660</v>
      </c>
      <c r="FS436" s="8">
        <v>139</v>
      </c>
      <c r="FT436" s="52">
        <v>81</v>
      </c>
      <c r="GP436" s="6">
        <v>-20</v>
      </c>
      <c r="GQ436" s="52">
        <v>24</v>
      </c>
      <c r="GT436" s="6"/>
      <c r="IB436" s="8">
        <v>-392</v>
      </c>
      <c r="IC436" s="28">
        <v>645</v>
      </c>
      <c r="LJ436" s="8">
        <v>305</v>
      </c>
      <c r="LK436" s="28">
        <v>240</v>
      </c>
      <c r="LW436" s="8">
        <v>-487</v>
      </c>
      <c r="LX436" s="28">
        <v>193</v>
      </c>
    </row>
    <row r="437" spans="72:336" x14ac:dyDescent="0.25">
      <c r="BT437">
        <v>165</v>
      </c>
      <c r="BU437" s="1">
        <v>183</v>
      </c>
      <c r="DH437" s="23">
        <v>-20</v>
      </c>
      <c r="DI437" s="25">
        <v>54</v>
      </c>
      <c r="DL437" s="8">
        <v>13</v>
      </c>
      <c r="EG437" s="6">
        <v>446</v>
      </c>
      <c r="EH437" s="28">
        <v>145</v>
      </c>
      <c r="EX437" s="8">
        <v>-893</v>
      </c>
      <c r="EY437" s="28">
        <v>428</v>
      </c>
      <c r="FM437" s="8">
        <v>-57</v>
      </c>
      <c r="FN437" s="52">
        <v>524</v>
      </c>
      <c r="FS437" s="8">
        <v>114</v>
      </c>
      <c r="FT437" s="52">
        <v>76</v>
      </c>
      <c r="GP437" s="6">
        <v>-106</v>
      </c>
      <c r="GQ437" s="52">
        <v>143</v>
      </c>
      <c r="GT437" s="6"/>
      <c r="IB437" s="8">
        <v>162</v>
      </c>
      <c r="IC437" s="28">
        <v>102</v>
      </c>
      <c r="LJ437" s="8">
        <v>-154</v>
      </c>
      <c r="LK437" s="28">
        <v>436</v>
      </c>
      <c r="LW437" s="8">
        <v>103</v>
      </c>
      <c r="LX437" s="28">
        <v>34</v>
      </c>
    </row>
    <row r="438" spans="72:336" x14ac:dyDescent="0.25">
      <c r="BT438">
        <v>-162</v>
      </c>
      <c r="BU438" s="1">
        <v>229</v>
      </c>
      <c r="DH438" s="23">
        <v>-224</v>
      </c>
      <c r="DI438" s="25">
        <v>270</v>
      </c>
      <c r="DL438" s="8">
        <v>29</v>
      </c>
      <c r="EG438" s="6">
        <v>-111</v>
      </c>
      <c r="EH438" s="28">
        <v>160</v>
      </c>
      <c r="EX438" s="8">
        <v>132</v>
      </c>
      <c r="EY438" s="28">
        <v>114</v>
      </c>
      <c r="FM438" s="8">
        <v>-109</v>
      </c>
      <c r="FN438" s="52">
        <v>423</v>
      </c>
      <c r="FS438" s="8">
        <v>139</v>
      </c>
      <c r="FT438" s="52">
        <v>81</v>
      </c>
      <c r="GP438" s="6">
        <v>-61</v>
      </c>
      <c r="GQ438" s="52">
        <v>89</v>
      </c>
      <c r="GT438" s="6"/>
      <c r="IB438" s="8">
        <v>112</v>
      </c>
      <c r="IC438" s="28">
        <v>896</v>
      </c>
      <c r="LJ438" s="8">
        <v>145</v>
      </c>
      <c r="LK438" s="28">
        <v>376</v>
      </c>
      <c r="LW438" s="8">
        <v>17</v>
      </c>
      <c r="LX438" s="28">
        <v>33</v>
      </c>
    </row>
    <row r="439" spans="72:336" x14ac:dyDescent="0.25">
      <c r="BT439">
        <v>145</v>
      </c>
      <c r="BU439" s="1">
        <v>211</v>
      </c>
      <c r="DH439" s="23">
        <v>13</v>
      </c>
      <c r="DI439" s="25">
        <v>467</v>
      </c>
      <c r="DL439" s="8">
        <v>42</v>
      </c>
      <c r="EG439" s="6">
        <v>109</v>
      </c>
      <c r="EH439" s="28">
        <v>130</v>
      </c>
      <c r="EX439" s="8">
        <v>-274</v>
      </c>
      <c r="EY439" s="28">
        <v>104</v>
      </c>
      <c r="FM439" s="8">
        <v>-27</v>
      </c>
      <c r="FN439" s="52">
        <v>322</v>
      </c>
      <c r="FS439" s="8">
        <v>137</v>
      </c>
      <c r="FT439" s="52">
        <v>79</v>
      </c>
      <c r="GP439" s="6">
        <v>69</v>
      </c>
      <c r="GQ439" s="52">
        <v>119</v>
      </c>
      <c r="GT439" s="6"/>
      <c r="IB439" s="8">
        <v>-124</v>
      </c>
      <c r="IC439" s="28">
        <v>479</v>
      </c>
      <c r="LJ439" s="8">
        <v>-854</v>
      </c>
      <c r="LK439" s="28">
        <v>359</v>
      </c>
      <c r="LW439" s="8">
        <v>-80</v>
      </c>
      <c r="LX439" s="28">
        <v>8</v>
      </c>
    </row>
    <row r="440" spans="72:336" x14ac:dyDescent="0.25">
      <c r="BT440">
        <v>-711</v>
      </c>
      <c r="BU440" s="1">
        <v>202</v>
      </c>
      <c r="DH440" s="23">
        <v>-219</v>
      </c>
      <c r="DI440" s="25">
        <v>397</v>
      </c>
      <c r="DL440" s="8">
        <v>-596</v>
      </c>
      <c r="EG440" s="6">
        <v>-195</v>
      </c>
      <c r="EH440" s="28">
        <v>148</v>
      </c>
      <c r="EX440" s="8">
        <v>281</v>
      </c>
      <c r="EY440" s="28">
        <v>127</v>
      </c>
      <c r="FM440" s="8">
        <v>-82</v>
      </c>
      <c r="FN440" s="52">
        <v>545</v>
      </c>
      <c r="FS440" s="8">
        <v>-244</v>
      </c>
      <c r="FT440" s="52">
        <v>21</v>
      </c>
      <c r="GP440" s="6">
        <v>98</v>
      </c>
      <c r="GQ440" s="52">
        <v>192</v>
      </c>
      <c r="GT440" s="6"/>
      <c r="IB440" s="8">
        <v>-175</v>
      </c>
      <c r="IC440" s="28">
        <v>970</v>
      </c>
      <c r="LJ440" s="8">
        <v>384</v>
      </c>
      <c r="LK440" s="28">
        <v>698</v>
      </c>
      <c r="LW440" s="8">
        <v>19</v>
      </c>
      <c r="LX440" s="28">
        <v>73</v>
      </c>
    </row>
    <row r="441" spans="72:336" x14ac:dyDescent="0.25">
      <c r="BT441">
        <v>765</v>
      </c>
      <c r="BU441" s="1">
        <v>216</v>
      </c>
      <c r="DH441" s="23">
        <v>-260</v>
      </c>
      <c r="DI441" s="25">
        <v>224</v>
      </c>
      <c r="DL441" s="8">
        <v>436</v>
      </c>
      <c r="EG441" s="6">
        <v>421</v>
      </c>
      <c r="EH441" s="28">
        <v>35</v>
      </c>
      <c r="EX441" s="8">
        <v>183</v>
      </c>
      <c r="EY441" s="28">
        <v>110</v>
      </c>
      <c r="FM441" s="8">
        <v>-32</v>
      </c>
      <c r="FN441" s="52">
        <v>376</v>
      </c>
      <c r="FS441" s="8">
        <v>-141</v>
      </c>
      <c r="FT441" s="52">
        <v>150</v>
      </c>
      <c r="GP441" s="6">
        <v>135</v>
      </c>
      <c r="GQ441" s="52">
        <v>668</v>
      </c>
      <c r="GT441" s="6"/>
      <c r="IB441" s="8">
        <v>-685</v>
      </c>
      <c r="IC441" s="28">
        <v>137</v>
      </c>
      <c r="LJ441" s="8">
        <v>-965</v>
      </c>
      <c r="LK441" s="28">
        <v>415</v>
      </c>
      <c r="LW441" s="8">
        <v>33</v>
      </c>
      <c r="LX441" s="28">
        <v>42</v>
      </c>
    </row>
    <row r="442" spans="72:336" x14ac:dyDescent="0.25">
      <c r="BT442">
        <v>-76</v>
      </c>
      <c r="BU442" s="1">
        <v>62</v>
      </c>
      <c r="DH442" s="23">
        <v>775</v>
      </c>
      <c r="DI442" s="25">
        <v>375</v>
      </c>
      <c r="DL442" s="8">
        <v>395</v>
      </c>
      <c r="EG442" s="6">
        <v>-679</v>
      </c>
      <c r="EH442" s="28">
        <v>105</v>
      </c>
      <c r="EX442" s="8">
        <v>-184</v>
      </c>
      <c r="EY442" s="28">
        <v>984</v>
      </c>
      <c r="FM442" s="8">
        <v>-85</v>
      </c>
      <c r="FN442" s="52">
        <v>548</v>
      </c>
      <c r="FS442" s="8">
        <v>-130</v>
      </c>
      <c r="FT442" s="52">
        <v>143</v>
      </c>
      <c r="GP442" s="6">
        <v>118</v>
      </c>
      <c r="GQ442" s="52">
        <v>191</v>
      </c>
      <c r="GT442" s="6"/>
      <c r="IB442" s="8">
        <v>-198</v>
      </c>
      <c r="IC442" s="28">
        <v>178</v>
      </c>
      <c r="LJ442" s="8">
        <v>602</v>
      </c>
      <c r="LK442" s="28">
        <v>477</v>
      </c>
      <c r="LW442" s="8">
        <v>353</v>
      </c>
      <c r="LX442" s="28">
        <v>224</v>
      </c>
    </row>
    <row r="443" spans="72:336" x14ac:dyDescent="0.25">
      <c r="BT443">
        <v>77</v>
      </c>
      <c r="BU443" s="1">
        <v>150</v>
      </c>
      <c r="DH443" s="23">
        <v>-393</v>
      </c>
      <c r="DI443" s="25">
        <v>501</v>
      </c>
      <c r="DL443" s="8">
        <v>-96</v>
      </c>
      <c r="EG443" s="6">
        <v>402</v>
      </c>
      <c r="EH443" s="28">
        <v>52</v>
      </c>
      <c r="EX443" s="8">
        <v>-116</v>
      </c>
      <c r="EY443" s="28">
        <v>411</v>
      </c>
      <c r="FM443" s="8">
        <v>-65</v>
      </c>
      <c r="FN443" s="52">
        <v>643</v>
      </c>
      <c r="FS443" s="8">
        <v>-347</v>
      </c>
      <c r="FT443" s="52">
        <v>30</v>
      </c>
      <c r="GP443" s="6">
        <v>-139</v>
      </c>
      <c r="GQ443" s="52">
        <v>40</v>
      </c>
      <c r="GT443" s="6"/>
      <c r="IB443" s="8">
        <v>192</v>
      </c>
      <c r="IC443" s="28">
        <v>408</v>
      </c>
      <c r="LJ443" s="8">
        <v>-245</v>
      </c>
      <c r="LK443" s="28">
        <v>382</v>
      </c>
      <c r="LW443" s="8">
        <v>-426</v>
      </c>
      <c r="LX443" s="28">
        <v>151</v>
      </c>
    </row>
    <row r="444" spans="72:336" x14ac:dyDescent="0.25">
      <c r="BT444">
        <v>479</v>
      </c>
      <c r="BU444" s="1">
        <v>517</v>
      </c>
      <c r="DH444" s="23">
        <v>-298</v>
      </c>
      <c r="DI444" s="25">
        <v>226</v>
      </c>
      <c r="DL444" s="8">
        <v>41</v>
      </c>
      <c r="EG444" s="6">
        <v>113</v>
      </c>
      <c r="EH444" s="28">
        <v>51</v>
      </c>
      <c r="EX444" s="8">
        <v>-182</v>
      </c>
      <c r="EY444" s="28">
        <v>986</v>
      </c>
      <c r="FM444" s="8">
        <v>-62</v>
      </c>
      <c r="FN444" s="52">
        <v>363</v>
      </c>
      <c r="FS444" s="8">
        <v>-154</v>
      </c>
      <c r="FT444" s="52">
        <v>164</v>
      </c>
      <c r="GP444" s="6">
        <v>-121</v>
      </c>
      <c r="GQ444" s="52">
        <v>172</v>
      </c>
      <c r="GT444" s="6"/>
      <c r="IB444" s="8">
        <v>-739</v>
      </c>
      <c r="IC444" s="28">
        <v>402</v>
      </c>
      <c r="LJ444" s="8">
        <v>-971</v>
      </c>
      <c r="LK444" s="28">
        <v>302</v>
      </c>
      <c r="LW444" s="8">
        <v>83</v>
      </c>
      <c r="LX444" s="28">
        <v>25</v>
      </c>
    </row>
    <row r="445" spans="72:336" x14ac:dyDescent="0.25">
      <c r="BT445">
        <v>116</v>
      </c>
      <c r="BU445" s="1">
        <v>162</v>
      </c>
      <c r="DH445" s="23">
        <v>-147</v>
      </c>
      <c r="DI445" s="25">
        <v>574</v>
      </c>
      <c r="DL445" s="8">
        <v>-219</v>
      </c>
      <c r="EG445" s="6">
        <v>183</v>
      </c>
      <c r="EH445" s="28">
        <v>52</v>
      </c>
      <c r="EX445" s="8">
        <v>432</v>
      </c>
      <c r="EY445" s="28">
        <v>150</v>
      </c>
      <c r="FM445" s="8">
        <v>-55</v>
      </c>
      <c r="FN445" s="52">
        <v>224</v>
      </c>
      <c r="FS445" s="8">
        <v>-141</v>
      </c>
      <c r="FT445" s="52">
        <v>155</v>
      </c>
      <c r="GP445" s="6">
        <v>384</v>
      </c>
      <c r="GQ445" s="52">
        <v>43</v>
      </c>
      <c r="GT445" s="6"/>
      <c r="IB445" s="8">
        <v>-893</v>
      </c>
      <c r="IC445" s="28">
        <v>148</v>
      </c>
      <c r="LJ445" s="8">
        <v>-754</v>
      </c>
      <c r="LK445" s="28">
        <v>426</v>
      </c>
      <c r="LW445" s="8">
        <v>65</v>
      </c>
      <c r="LX445" s="28">
        <v>24</v>
      </c>
    </row>
    <row r="446" spans="72:336" x14ac:dyDescent="0.25">
      <c r="BT446">
        <v>101</v>
      </c>
      <c r="BU446" s="1">
        <v>506</v>
      </c>
      <c r="DH446" s="23">
        <v>-133</v>
      </c>
      <c r="DI446" s="25">
        <v>573</v>
      </c>
      <c r="DL446" s="8">
        <v>3</v>
      </c>
      <c r="EG446" s="6">
        <v>234</v>
      </c>
      <c r="EH446" s="28">
        <v>53</v>
      </c>
      <c r="EX446" s="8">
        <v>103</v>
      </c>
      <c r="EY446" s="28">
        <v>170</v>
      </c>
      <c r="FM446" s="8">
        <v>-43</v>
      </c>
      <c r="FN446" s="52">
        <v>477</v>
      </c>
      <c r="FS446" s="8">
        <v>91</v>
      </c>
      <c r="FT446" s="52">
        <v>10</v>
      </c>
      <c r="GP446" s="6">
        <v>-78</v>
      </c>
      <c r="GQ446" s="52">
        <v>40</v>
      </c>
      <c r="GT446" s="6"/>
      <c r="IB446" s="8">
        <v>-466</v>
      </c>
      <c r="IC446" s="28">
        <v>215</v>
      </c>
      <c r="LJ446" s="8">
        <v>-595</v>
      </c>
      <c r="LK446" s="28">
        <v>322</v>
      </c>
      <c r="LW446" s="8">
        <v>5</v>
      </c>
      <c r="LX446" s="28">
        <v>5</v>
      </c>
    </row>
    <row r="447" spans="72:336" x14ac:dyDescent="0.25">
      <c r="BT447">
        <v>155</v>
      </c>
      <c r="BU447" s="1">
        <v>532</v>
      </c>
      <c r="DH447" s="23">
        <v>-201</v>
      </c>
      <c r="DI447" s="25">
        <v>598</v>
      </c>
      <c r="DL447" s="8">
        <v>15</v>
      </c>
      <c r="EG447" s="6">
        <v>296</v>
      </c>
      <c r="EH447" s="28">
        <v>52</v>
      </c>
      <c r="EX447" s="8">
        <v>108</v>
      </c>
      <c r="EY447" s="28">
        <v>108</v>
      </c>
      <c r="FM447" s="8">
        <v>-36</v>
      </c>
      <c r="FN447" s="52">
        <v>398</v>
      </c>
      <c r="FS447" s="8">
        <v>-101</v>
      </c>
      <c r="FT447" s="52">
        <v>248</v>
      </c>
      <c r="GP447" s="6">
        <v>-66</v>
      </c>
      <c r="GQ447" s="52">
        <v>21</v>
      </c>
      <c r="GT447" s="6"/>
      <c r="IB447" s="8">
        <v>-214</v>
      </c>
      <c r="IC447" s="28">
        <v>212</v>
      </c>
      <c r="LJ447" s="8">
        <v>-177</v>
      </c>
      <c r="LK447" s="28">
        <v>383</v>
      </c>
      <c r="LW447" s="8">
        <v>-311</v>
      </c>
      <c r="LX447" s="28">
        <v>964</v>
      </c>
    </row>
    <row r="448" spans="72:336" x14ac:dyDescent="0.25">
      <c r="BT448">
        <v>454</v>
      </c>
      <c r="BU448" s="1">
        <v>191</v>
      </c>
      <c r="DH448" s="23">
        <v>-312</v>
      </c>
      <c r="DI448" s="25">
        <v>617</v>
      </c>
      <c r="DL448" s="8">
        <v>-104</v>
      </c>
      <c r="EG448" s="6">
        <v>413</v>
      </c>
      <c r="EH448" s="28">
        <v>51</v>
      </c>
      <c r="EX448" s="8">
        <v>-198</v>
      </c>
      <c r="EY448" s="28">
        <v>135</v>
      </c>
      <c r="FM448" s="8">
        <v>-53</v>
      </c>
      <c r="FN448" s="52">
        <v>459</v>
      </c>
      <c r="FS448" s="8">
        <v>-898</v>
      </c>
      <c r="FT448" s="52">
        <v>207</v>
      </c>
      <c r="GP448" s="6">
        <v>-336</v>
      </c>
      <c r="GQ448" s="52">
        <v>395</v>
      </c>
      <c r="GT448" s="6"/>
      <c r="IB448" s="8">
        <v>-904</v>
      </c>
      <c r="IC448" s="28">
        <v>937</v>
      </c>
      <c r="LJ448" s="8">
        <v>-212</v>
      </c>
      <c r="LK448" s="28">
        <v>430</v>
      </c>
      <c r="LW448" s="8">
        <v>149</v>
      </c>
      <c r="LX448" s="28">
        <v>767</v>
      </c>
    </row>
    <row r="449" spans="72:336" x14ac:dyDescent="0.25">
      <c r="BT449">
        <v>-303</v>
      </c>
      <c r="BU449" s="1">
        <v>945</v>
      </c>
      <c r="DH449" s="23">
        <v>-476</v>
      </c>
      <c r="DI449" s="25">
        <v>662</v>
      </c>
      <c r="DL449" s="8">
        <v>30</v>
      </c>
      <c r="EG449" s="6">
        <v>508</v>
      </c>
      <c r="EH449" s="28">
        <v>52</v>
      </c>
      <c r="EX449" s="8">
        <v>-231</v>
      </c>
      <c r="EY449" s="28">
        <v>810</v>
      </c>
      <c r="FM449" s="8">
        <v>-73</v>
      </c>
      <c r="FN449" s="52">
        <v>633</v>
      </c>
      <c r="FS449" s="8">
        <v>107</v>
      </c>
      <c r="FT449" s="52">
        <v>27</v>
      </c>
      <c r="GP449" s="6">
        <v>-48</v>
      </c>
      <c r="GQ449" s="52">
        <v>77</v>
      </c>
      <c r="GT449" s="6"/>
      <c r="IB449" s="8">
        <v>-885</v>
      </c>
      <c r="IC449" s="28">
        <v>839</v>
      </c>
      <c r="LW449" s="8">
        <v>-39</v>
      </c>
      <c r="LX449" s="28">
        <v>148</v>
      </c>
    </row>
    <row r="450" spans="72:336" x14ac:dyDescent="0.25">
      <c r="BT450">
        <v>163</v>
      </c>
      <c r="BU450" s="1">
        <v>244</v>
      </c>
      <c r="DH450" s="23">
        <v>-566</v>
      </c>
      <c r="DI450" s="25">
        <v>692</v>
      </c>
      <c r="DL450" s="8">
        <v>-189</v>
      </c>
      <c r="EG450" s="6">
        <v>622</v>
      </c>
      <c r="EH450" s="28">
        <v>75</v>
      </c>
      <c r="EX450" s="8">
        <v>-255</v>
      </c>
      <c r="EY450" s="28">
        <v>251</v>
      </c>
      <c r="FM450" s="8">
        <v>-50</v>
      </c>
      <c r="FN450" s="52">
        <v>465</v>
      </c>
      <c r="FS450" s="8">
        <v>620</v>
      </c>
      <c r="FT450" s="52">
        <v>125</v>
      </c>
      <c r="GP450" s="6">
        <v>51</v>
      </c>
      <c r="GQ450" s="52">
        <v>124</v>
      </c>
      <c r="GT450" s="6"/>
      <c r="IB450" s="8">
        <v>-855</v>
      </c>
      <c r="IC450" s="28">
        <v>850</v>
      </c>
      <c r="LW450" s="8">
        <v>-20</v>
      </c>
      <c r="LX450" s="28">
        <v>121</v>
      </c>
    </row>
    <row r="451" spans="72:336" x14ac:dyDescent="0.25">
      <c r="BT451">
        <v>133</v>
      </c>
      <c r="BU451" s="1">
        <v>236</v>
      </c>
      <c r="DH451" s="23">
        <v>-687</v>
      </c>
      <c r="DI451" s="25">
        <v>734</v>
      </c>
      <c r="DL451" s="8">
        <v>-680</v>
      </c>
      <c r="EG451" s="6">
        <v>-73</v>
      </c>
      <c r="EH451" s="28">
        <v>240</v>
      </c>
      <c r="EX451" s="8">
        <v>-436</v>
      </c>
      <c r="EY451" s="28">
        <v>195</v>
      </c>
      <c r="FM451" s="8">
        <v>-68</v>
      </c>
      <c r="FN451" s="52">
        <v>317</v>
      </c>
      <c r="FS451" s="8">
        <v>838</v>
      </c>
      <c r="FT451" s="52">
        <v>138</v>
      </c>
      <c r="GP451" s="6">
        <v>36</v>
      </c>
      <c r="GQ451" s="52">
        <v>40</v>
      </c>
      <c r="GT451" s="6"/>
      <c r="IB451" s="8">
        <v>-561</v>
      </c>
      <c r="IC451" s="28">
        <v>119</v>
      </c>
      <c r="LW451" s="8">
        <v>4</v>
      </c>
      <c r="LX451" s="28">
        <v>31</v>
      </c>
    </row>
    <row r="452" spans="72:336" x14ac:dyDescent="0.25">
      <c r="BT452">
        <v>640</v>
      </c>
      <c r="BU452" s="1">
        <v>534</v>
      </c>
      <c r="DH452" s="23">
        <v>128</v>
      </c>
      <c r="DI452" s="25">
        <v>385</v>
      </c>
      <c r="DL452" s="8">
        <v>-592</v>
      </c>
      <c r="EG452" s="6">
        <v>233</v>
      </c>
      <c r="EH452" s="28">
        <v>418</v>
      </c>
      <c r="EX452" s="8">
        <v>-776</v>
      </c>
      <c r="EY452" s="28">
        <v>471</v>
      </c>
      <c r="FM452" s="8">
        <v>-45</v>
      </c>
      <c r="FN452" s="52">
        <v>379</v>
      </c>
      <c r="FS452" s="8">
        <v>160</v>
      </c>
      <c r="FT452" s="52">
        <v>41</v>
      </c>
      <c r="GP452" s="6">
        <v>151</v>
      </c>
      <c r="GQ452" s="52">
        <v>142</v>
      </c>
      <c r="GT452" s="6"/>
      <c r="IB452" s="8">
        <v>-507</v>
      </c>
      <c r="IC452" s="28">
        <v>164</v>
      </c>
      <c r="LW452" s="8">
        <v>-89</v>
      </c>
      <c r="LX452" s="28">
        <v>24</v>
      </c>
    </row>
    <row r="453" spans="72:336" x14ac:dyDescent="0.25">
      <c r="BT453">
        <v>-522</v>
      </c>
      <c r="BU453" s="1">
        <v>555</v>
      </c>
      <c r="DH453" s="23">
        <v>-369</v>
      </c>
      <c r="DI453" s="25">
        <v>874</v>
      </c>
      <c r="DL453" s="8">
        <v>-239</v>
      </c>
      <c r="EG453" s="6">
        <v>-311</v>
      </c>
      <c r="EH453" s="28">
        <v>537</v>
      </c>
      <c r="EX453" s="8">
        <v>-705</v>
      </c>
      <c r="EY453" s="28">
        <v>104</v>
      </c>
      <c r="FM453" s="8">
        <v>-22</v>
      </c>
      <c r="FN453" s="52">
        <v>214</v>
      </c>
      <c r="FS453" s="8">
        <v>639</v>
      </c>
      <c r="FT453" s="52">
        <v>133</v>
      </c>
      <c r="GP453" s="6">
        <v>-75</v>
      </c>
      <c r="GQ453" s="52">
        <v>183</v>
      </c>
      <c r="GT453" s="6"/>
      <c r="IB453" s="8">
        <v>-168</v>
      </c>
      <c r="IC453" s="28">
        <v>269</v>
      </c>
      <c r="LW453" s="8">
        <v>438</v>
      </c>
      <c r="LX453" s="28">
        <v>594</v>
      </c>
    </row>
    <row r="454" spans="72:336" x14ac:dyDescent="0.25">
      <c r="BT454">
        <v>244</v>
      </c>
      <c r="BU454" s="1">
        <v>418</v>
      </c>
      <c r="DH454" s="23">
        <v>-605</v>
      </c>
      <c r="DI454" s="25">
        <v>422</v>
      </c>
      <c r="DL454" s="8">
        <v>346</v>
      </c>
      <c r="EG454" s="6">
        <v>-46</v>
      </c>
      <c r="EH454" s="28">
        <v>19</v>
      </c>
      <c r="EX454" s="8">
        <v>-360</v>
      </c>
      <c r="EY454" s="28">
        <v>104</v>
      </c>
      <c r="FM454" s="8">
        <v>-81</v>
      </c>
      <c r="FN454" s="52">
        <v>345</v>
      </c>
      <c r="FS454" s="8">
        <v>854</v>
      </c>
      <c r="FT454" s="52">
        <v>143</v>
      </c>
      <c r="GP454" s="6">
        <v>75</v>
      </c>
      <c r="GQ454" s="52">
        <v>126</v>
      </c>
      <c r="GT454" s="6"/>
      <c r="IB454" s="8">
        <v>-415</v>
      </c>
      <c r="IC454" s="28">
        <v>453</v>
      </c>
      <c r="LW454" s="8">
        <v>-673</v>
      </c>
      <c r="LX454" s="28">
        <v>567</v>
      </c>
    </row>
    <row r="455" spans="72:336" x14ac:dyDescent="0.25">
      <c r="BT455">
        <v>-239</v>
      </c>
      <c r="BU455" s="1">
        <v>362</v>
      </c>
      <c r="DH455" s="23">
        <v>-173</v>
      </c>
      <c r="DI455" s="25">
        <v>638</v>
      </c>
      <c r="DL455" s="8">
        <v>110</v>
      </c>
      <c r="EG455" s="6">
        <v>-212</v>
      </c>
      <c r="EH455" s="28">
        <v>107</v>
      </c>
      <c r="EX455" s="8">
        <v>-290</v>
      </c>
      <c r="EY455" s="28">
        <v>575</v>
      </c>
      <c r="FM455" s="8">
        <v>-64</v>
      </c>
      <c r="FN455" s="52">
        <v>491</v>
      </c>
      <c r="FS455" s="8">
        <v>293</v>
      </c>
      <c r="FT455" s="52">
        <v>70</v>
      </c>
      <c r="GP455" s="6">
        <v>111</v>
      </c>
      <c r="GQ455" s="52">
        <v>95</v>
      </c>
      <c r="GT455" s="6"/>
      <c r="IB455" s="8">
        <v>287</v>
      </c>
      <c r="IC455" s="28">
        <v>157</v>
      </c>
      <c r="LW455" s="8">
        <v>200</v>
      </c>
      <c r="LX455" s="28">
        <v>129</v>
      </c>
    </row>
    <row r="456" spans="72:336" x14ac:dyDescent="0.25">
      <c r="BT456">
        <v>-358</v>
      </c>
      <c r="BU456" s="1">
        <v>455</v>
      </c>
      <c r="DH456" s="23">
        <v>-942</v>
      </c>
      <c r="DI456" s="25">
        <v>630</v>
      </c>
      <c r="DL456" s="8">
        <v>35</v>
      </c>
      <c r="EG456" s="6">
        <v>33</v>
      </c>
      <c r="EH456" s="28">
        <v>11</v>
      </c>
      <c r="EX456" s="8">
        <v>751</v>
      </c>
      <c r="EY456" s="28">
        <v>706</v>
      </c>
      <c r="FM456" s="8">
        <v>-63</v>
      </c>
      <c r="FN456" s="52">
        <v>381</v>
      </c>
      <c r="FS456" s="8">
        <v>-241</v>
      </c>
      <c r="FT456" s="52">
        <v>47</v>
      </c>
      <c r="GP456" s="6">
        <v>161</v>
      </c>
      <c r="GQ456" s="52">
        <v>128</v>
      </c>
      <c r="GT456" s="6"/>
      <c r="IB456" s="8">
        <v>206</v>
      </c>
      <c r="IC456" s="28">
        <v>137</v>
      </c>
      <c r="LW456" s="8">
        <v>-155</v>
      </c>
      <c r="LX456" s="28">
        <v>89</v>
      </c>
    </row>
    <row r="457" spans="72:336" x14ac:dyDescent="0.25">
      <c r="BT457">
        <v>426</v>
      </c>
      <c r="BU457" s="1">
        <v>513</v>
      </c>
      <c r="DH457" s="23">
        <v>-186</v>
      </c>
      <c r="DI457" s="25">
        <v>669</v>
      </c>
      <c r="DL457" s="8">
        <v>-135</v>
      </c>
      <c r="EG457" s="6">
        <v>148</v>
      </c>
      <c r="EH457" s="28">
        <v>44</v>
      </c>
      <c r="EX457" s="8">
        <v>-174</v>
      </c>
      <c r="EY457" s="28">
        <v>745</v>
      </c>
      <c r="FM457" s="8">
        <v>-76</v>
      </c>
      <c r="FN457" s="52">
        <v>368</v>
      </c>
      <c r="FS457" s="8">
        <v>-465</v>
      </c>
      <c r="FT457" s="52">
        <v>74</v>
      </c>
      <c r="GP457" s="6">
        <v>173</v>
      </c>
      <c r="GQ457" s="52">
        <v>162</v>
      </c>
      <c r="GT457" s="6"/>
      <c r="IB457" s="8">
        <v>-274</v>
      </c>
      <c r="IC457" s="28">
        <v>148</v>
      </c>
      <c r="LW457" s="8">
        <v>-19</v>
      </c>
      <c r="LX457" s="28">
        <v>43</v>
      </c>
    </row>
    <row r="458" spans="72:336" x14ac:dyDescent="0.25">
      <c r="BT458">
        <v>978</v>
      </c>
      <c r="BU458" s="1">
        <v>285</v>
      </c>
      <c r="DH458" s="23">
        <v>-202</v>
      </c>
      <c r="DI458" s="25">
        <v>688</v>
      </c>
      <c r="DL458" s="8">
        <v>413</v>
      </c>
      <c r="EG458" s="6">
        <v>443</v>
      </c>
      <c r="EH458" s="28">
        <v>50</v>
      </c>
      <c r="EX458" s="8">
        <v>173</v>
      </c>
      <c r="EY458" s="28">
        <v>543</v>
      </c>
      <c r="FM458" s="8">
        <v>-98</v>
      </c>
      <c r="FN458" s="52">
        <v>423</v>
      </c>
      <c r="FS458" s="8">
        <v>251</v>
      </c>
      <c r="FT458" s="52">
        <v>61</v>
      </c>
      <c r="GP458" s="6">
        <v>218</v>
      </c>
      <c r="GQ458" s="52">
        <v>210</v>
      </c>
      <c r="GT458" s="6"/>
      <c r="IB458" s="8">
        <v>-125</v>
      </c>
      <c r="IC458" s="28">
        <v>278</v>
      </c>
      <c r="LW458" s="8">
        <v>-151</v>
      </c>
      <c r="LX458" s="28">
        <v>42</v>
      </c>
    </row>
    <row r="459" spans="72:336" x14ac:dyDescent="0.25">
      <c r="BT459">
        <v>-853</v>
      </c>
      <c r="BU459" s="1">
        <v>188</v>
      </c>
      <c r="DH459" s="23">
        <v>-209</v>
      </c>
      <c r="DI459" s="25">
        <v>787</v>
      </c>
      <c r="DL459" s="8">
        <v>261</v>
      </c>
      <c r="EG459" s="6">
        <v>678</v>
      </c>
      <c r="EH459" s="28">
        <v>47</v>
      </c>
      <c r="EX459" s="8">
        <v>-623</v>
      </c>
      <c r="EY459" s="28">
        <v>234</v>
      </c>
      <c r="FM459" s="8">
        <v>-102</v>
      </c>
      <c r="FN459" s="52">
        <v>488</v>
      </c>
      <c r="FS459" s="8">
        <v>-249</v>
      </c>
      <c r="FT459" s="52">
        <v>50</v>
      </c>
      <c r="GP459" s="6">
        <v>61</v>
      </c>
      <c r="GQ459" s="52">
        <v>77</v>
      </c>
      <c r="GT459" s="6"/>
      <c r="IB459" s="8">
        <v>113</v>
      </c>
      <c r="IC459" s="28">
        <v>735</v>
      </c>
      <c r="LW459" s="8">
        <v>15</v>
      </c>
      <c r="LX459" s="28">
        <v>338</v>
      </c>
    </row>
    <row r="460" spans="72:336" x14ac:dyDescent="0.25">
      <c r="BT460">
        <v>7</v>
      </c>
      <c r="BU460" s="1">
        <v>20</v>
      </c>
      <c r="DH460" s="23">
        <v>-225</v>
      </c>
      <c r="DI460" s="25">
        <v>870</v>
      </c>
      <c r="DL460" s="8">
        <v>-281</v>
      </c>
      <c r="EG460" s="6">
        <v>792</v>
      </c>
      <c r="EH460" s="28">
        <v>57</v>
      </c>
      <c r="EX460" s="8">
        <v>151</v>
      </c>
      <c r="EY460" s="28">
        <v>580</v>
      </c>
      <c r="FM460" s="8">
        <v>-48</v>
      </c>
      <c r="FN460" s="52">
        <v>419</v>
      </c>
      <c r="FS460" s="8">
        <v>-468</v>
      </c>
      <c r="FT460" s="52">
        <v>76</v>
      </c>
      <c r="GP460" s="6">
        <v>64</v>
      </c>
      <c r="GQ460" s="52">
        <v>122</v>
      </c>
      <c r="GT460" s="6"/>
      <c r="IB460" s="8">
        <v>-117</v>
      </c>
      <c r="IC460" s="28">
        <v>943</v>
      </c>
      <c r="LW460" s="8">
        <v>-151</v>
      </c>
      <c r="LX460" s="28">
        <v>224</v>
      </c>
    </row>
    <row r="461" spans="72:336" x14ac:dyDescent="0.25">
      <c r="BT461">
        <v>101</v>
      </c>
      <c r="BU461" s="1">
        <v>111</v>
      </c>
      <c r="DH461" s="23">
        <v>-291</v>
      </c>
      <c r="DI461" s="25">
        <v>974</v>
      </c>
      <c r="DL461" s="8">
        <v>12</v>
      </c>
      <c r="EG461" s="6">
        <v>123</v>
      </c>
      <c r="EH461" s="28">
        <v>50</v>
      </c>
      <c r="EX461" s="8">
        <v>-426</v>
      </c>
      <c r="EY461" s="28">
        <v>660</v>
      </c>
      <c r="FM461" s="8">
        <v>-61</v>
      </c>
      <c r="FN461" s="52">
        <v>454</v>
      </c>
      <c r="FS461" s="8">
        <v>644</v>
      </c>
      <c r="FT461" s="52">
        <v>175</v>
      </c>
      <c r="GP461" s="6">
        <v>-102</v>
      </c>
      <c r="GQ461" s="52">
        <v>329</v>
      </c>
      <c r="GT461" s="6"/>
      <c r="IB461" s="8">
        <v>-648</v>
      </c>
      <c r="IC461" s="28">
        <v>803</v>
      </c>
      <c r="LW461" s="8">
        <v>58</v>
      </c>
      <c r="LX461" s="28">
        <v>37</v>
      </c>
    </row>
    <row r="462" spans="72:336" x14ac:dyDescent="0.25">
      <c r="BT462">
        <v>223</v>
      </c>
      <c r="BU462" s="1">
        <v>415</v>
      </c>
      <c r="DH462" s="23">
        <v>913</v>
      </c>
      <c r="DI462" s="25">
        <v>549</v>
      </c>
      <c r="DL462" s="8">
        <v>-224</v>
      </c>
      <c r="EG462" s="6">
        <v>140</v>
      </c>
      <c r="EH462" s="28">
        <v>60</v>
      </c>
      <c r="EX462" s="8">
        <v>91</v>
      </c>
      <c r="EY462" s="28">
        <v>545</v>
      </c>
      <c r="FM462" s="8">
        <v>-67</v>
      </c>
      <c r="FN462" s="52">
        <v>450</v>
      </c>
      <c r="FS462" s="8">
        <v>595</v>
      </c>
      <c r="FT462" s="52">
        <v>170</v>
      </c>
      <c r="GP462" s="6">
        <v>-26</v>
      </c>
      <c r="GQ462" s="52">
        <v>107</v>
      </c>
      <c r="GT462" s="6"/>
      <c r="IB462" s="8">
        <v>-401</v>
      </c>
      <c r="IC462" s="28">
        <v>566</v>
      </c>
      <c r="LW462" s="8">
        <v>33</v>
      </c>
      <c r="LX462" s="28">
        <v>36</v>
      </c>
    </row>
    <row r="463" spans="72:336" x14ac:dyDescent="0.25">
      <c r="BT463">
        <v>218</v>
      </c>
      <c r="BU463" s="1">
        <v>925</v>
      </c>
      <c r="DH463" s="23">
        <v>-84</v>
      </c>
      <c r="DI463" s="25">
        <v>17</v>
      </c>
      <c r="DL463" s="8">
        <v>37</v>
      </c>
      <c r="EG463" s="6">
        <v>271</v>
      </c>
      <c r="EH463" s="28">
        <v>50</v>
      </c>
      <c r="EX463" s="8">
        <v>208</v>
      </c>
      <c r="EY463" s="28">
        <v>281</v>
      </c>
      <c r="FM463" s="8">
        <v>-27</v>
      </c>
      <c r="FN463" s="52">
        <v>344</v>
      </c>
      <c r="FS463" s="8">
        <v>-650</v>
      </c>
      <c r="FT463" s="52">
        <v>177</v>
      </c>
      <c r="GP463" s="6">
        <v>100</v>
      </c>
      <c r="GQ463" s="52">
        <v>118</v>
      </c>
      <c r="GT463" s="6"/>
      <c r="IB463" s="8">
        <v>-138</v>
      </c>
      <c r="IC463" s="28">
        <v>445</v>
      </c>
      <c r="LW463" s="8">
        <v>-22</v>
      </c>
      <c r="LX463" s="28">
        <v>12</v>
      </c>
    </row>
    <row r="464" spans="72:336" x14ac:dyDescent="0.25">
      <c r="BT464">
        <v>479</v>
      </c>
      <c r="BU464" s="1">
        <v>101</v>
      </c>
      <c r="DH464" s="23">
        <v>-189</v>
      </c>
      <c r="DI464" s="25">
        <v>102</v>
      </c>
      <c r="DL464" s="8">
        <v>-92</v>
      </c>
      <c r="EG464" s="6">
        <v>448</v>
      </c>
      <c r="EH464" s="28">
        <v>61</v>
      </c>
      <c r="EX464" s="8">
        <v>-201</v>
      </c>
      <c r="EY464" s="28">
        <v>343</v>
      </c>
      <c r="FM464" s="8">
        <v>-41</v>
      </c>
      <c r="FN464" s="52">
        <v>417</v>
      </c>
      <c r="FS464" s="8">
        <v>-601</v>
      </c>
      <c r="FT464" s="52">
        <v>171</v>
      </c>
      <c r="GP464" s="6">
        <v>-37</v>
      </c>
      <c r="GQ464" s="52">
        <v>115</v>
      </c>
      <c r="GT464" s="6"/>
      <c r="IB464" s="8">
        <v>224</v>
      </c>
      <c r="IC464" s="28">
        <v>453</v>
      </c>
      <c r="LW464" s="8">
        <v>-88</v>
      </c>
      <c r="LX464" s="28">
        <v>12</v>
      </c>
    </row>
    <row r="465" spans="72:336" x14ac:dyDescent="0.25">
      <c r="BT465">
        <v>600</v>
      </c>
      <c r="BU465" s="1">
        <v>318</v>
      </c>
      <c r="DH465" s="23">
        <v>440</v>
      </c>
      <c r="DI465" s="25">
        <v>171</v>
      </c>
      <c r="DL465" s="8">
        <v>39</v>
      </c>
      <c r="EG465" s="6">
        <v>-171</v>
      </c>
      <c r="EH465" s="28">
        <v>573</v>
      </c>
      <c r="EX465" s="8">
        <v>330</v>
      </c>
      <c r="EY465" s="28">
        <v>280</v>
      </c>
      <c r="FM465" s="8">
        <v>10</v>
      </c>
      <c r="FN465" s="52">
        <v>391</v>
      </c>
      <c r="FS465" s="8">
        <v>858</v>
      </c>
      <c r="FT465" s="52">
        <v>156</v>
      </c>
      <c r="GP465" s="6">
        <v>612</v>
      </c>
      <c r="GQ465" s="52">
        <v>66</v>
      </c>
      <c r="GT465" s="6"/>
      <c r="IB465" s="8">
        <v>-134</v>
      </c>
      <c r="IC465" s="28">
        <v>297</v>
      </c>
      <c r="LW465" s="8">
        <v>112</v>
      </c>
      <c r="LX465" s="28">
        <v>308</v>
      </c>
    </row>
    <row r="466" spans="72:336" x14ac:dyDescent="0.25">
      <c r="BT466">
        <v>-486</v>
      </c>
      <c r="BU466" s="1">
        <v>151</v>
      </c>
      <c r="DH466" s="23">
        <v>-153</v>
      </c>
      <c r="DI466" s="25">
        <v>21</v>
      </c>
      <c r="DL466" s="8">
        <v>-231</v>
      </c>
      <c r="EG466" s="6">
        <v>-118</v>
      </c>
      <c r="EH466" s="28">
        <v>755</v>
      </c>
      <c r="EX466" s="8">
        <v>-115</v>
      </c>
      <c r="EY466" s="28">
        <v>12</v>
      </c>
      <c r="FM466" s="8">
        <v>-75</v>
      </c>
      <c r="FN466" s="52">
        <v>423</v>
      </c>
      <c r="FS466" s="8">
        <v>803</v>
      </c>
      <c r="FT466" s="52">
        <v>153</v>
      </c>
      <c r="GP466" s="6">
        <v>-140</v>
      </c>
      <c r="GQ466" s="52">
        <v>59</v>
      </c>
      <c r="GT466" s="6"/>
      <c r="IB466" s="8">
        <v>-272</v>
      </c>
      <c r="IC466" s="28">
        <v>647</v>
      </c>
      <c r="LW466" s="8">
        <v>-160</v>
      </c>
      <c r="LX466" s="28">
        <v>219</v>
      </c>
    </row>
    <row r="467" spans="72:336" x14ac:dyDescent="0.25">
      <c r="BT467">
        <v>192</v>
      </c>
      <c r="BU467" s="1">
        <v>324</v>
      </c>
      <c r="DH467" s="23">
        <v>-203</v>
      </c>
      <c r="DI467" s="25">
        <v>103</v>
      </c>
      <c r="DL467" s="8">
        <v>4</v>
      </c>
      <c r="EG467" s="6">
        <v>-874</v>
      </c>
      <c r="EH467" s="28">
        <v>579</v>
      </c>
      <c r="EX467" s="8">
        <v>41</v>
      </c>
      <c r="EY467" s="28">
        <v>3</v>
      </c>
      <c r="FM467" s="8">
        <v>-102</v>
      </c>
      <c r="FN467" s="52">
        <v>695</v>
      </c>
      <c r="FS467" s="8">
        <v>-847</v>
      </c>
      <c r="FT467" s="52">
        <v>154</v>
      </c>
      <c r="GP467" s="6">
        <v>-53</v>
      </c>
      <c r="GQ467" s="52">
        <v>41</v>
      </c>
      <c r="GT467" s="6"/>
      <c r="IB467" s="8">
        <v>153</v>
      </c>
      <c r="IC467" s="28">
        <v>115</v>
      </c>
      <c r="LW467" s="8">
        <v>34</v>
      </c>
      <c r="LX467" s="28">
        <v>38</v>
      </c>
    </row>
    <row r="468" spans="72:336" x14ac:dyDescent="0.25">
      <c r="BT468">
        <v>407</v>
      </c>
      <c r="BU468" s="1">
        <v>545</v>
      </c>
      <c r="DH468" s="23">
        <v>-505</v>
      </c>
      <c r="DI468" s="25">
        <v>222</v>
      </c>
      <c r="DL468" s="8">
        <v>29</v>
      </c>
      <c r="EG468" s="6">
        <v>-500</v>
      </c>
      <c r="EH468" s="28">
        <v>17</v>
      </c>
      <c r="EX468" s="8">
        <v>126</v>
      </c>
      <c r="EY468" s="28">
        <v>374</v>
      </c>
      <c r="FM468" s="8">
        <v>-75</v>
      </c>
      <c r="FN468" s="52">
        <v>395</v>
      </c>
      <c r="FS468" s="8">
        <v>-794</v>
      </c>
      <c r="FT468" s="52">
        <v>151</v>
      </c>
      <c r="GP468" s="6">
        <v>18</v>
      </c>
      <c r="GQ468" s="52">
        <v>69</v>
      </c>
      <c r="GT468" s="6"/>
      <c r="IB468" s="8">
        <v>251</v>
      </c>
      <c r="IC468" s="28">
        <v>231</v>
      </c>
      <c r="LW468" s="8">
        <v>3</v>
      </c>
      <c r="LX468" s="28">
        <v>26</v>
      </c>
    </row>
    <row r="469" spans="72:336" x14ac:dyDescent="0.25">
      <c r="BT469">
        <v>803</v>
      </c>
      <c r="BU469" s="1">
        <v>106</v>
      </c>
      <c r="DH469" s="23">
        <v>-609</v>
      </c>
      <c r="DI469" s="25">
        <v>226</v>
      </c>
      <c r="DL469" s="8">
        <v>-100</v>
      </c>
      <c r="EG469" s="6">
        <v>200</v>
      </c>
      <c r="EH469" s="28">
        <v>86</v>
      </c>
      <c r="EX469" s="8">
        <v>523</v>
      </c>
      <c r="EY469" s="28">
        <v>367</v>
      </c>
      <c r="FM469" s="8">
        <v>-58</v>
      </c>
      <c r="FN469" s="52">
        <v>399</v>
      </c>
      <c r="FS469" s="8">
        <v>974</v>
      </c>
      <c r="FT469" s="52">
        <v>146</v>
      </c>
      <c r="GP469" s="6">
        <v>-16</v>
      </c>
      <c r="GQ469" s="52">
        <v>88</v>
      </c>
      <c r="GT469" s="6"/>
      <c r="IB469" s="8">
        <v>333</v>
      </c>
      <c r="IC469" s="28">
        <v>600</v>
      </c>
      <c r="LW469" s="8">
        <v>-3</v>
      </c>
      <c r="LX469" s="28">
        <v>10</v>
      </c>
    </row>
    <row r="470" spans="72:336" x14ac:dyDescent="0.25">
      <c r="BT470">
        <v>-795</v>
      </c>
      <c r="BU470" s="1">
        <v>117</v>
      </c>
      <c r="DH470" s="23">
        <v>-808</v>
      </c>
      <c r="DI470" s="25">
        <v>231</v>
      </c>
      <c r="DL470" s="8">
        <v>22</v>
      </c>
      <c r="EG470" s="6">
        <v>1</v>
      </c>
      <c r="EH470" s="28">
        <v>5</v>
      </c>
      <c r="EX470" s="8">
        <v>238</v>
      </c>
      <c r="EY470" s="28">
        <v>700</v>
      </c>
      <c r="FM470" s="8">
        <v>-86</v>
      </c>
      <c r="FN470" s="52">
        <v>727</v>
      </c>
      <c r="FS470" s="8">
        <v>937</v>
      </c>
      <c r="FT470" s="52">
        <v>143</v>
      </c>
      <c r="GP470" s="6">
        <v>-24</v>
      </c>
      <c r="GQ470" s="52">
        <v>149</v>
      </c>
      <c r="GT470" s="6"/>
      <c r="IB470" s="8">
        <v>143</v>
      </c>
      <c r="IC470" s="28">
        <v>441</v>
      </c>
      <c r="LW470" s="8">
        <v>-58</v>
      </c>
      <c r="LX470" s="28">
        <v>8</v>
      </c>
    </row>
    <row r="471" spans="72:336" x14ac:dyDescent="0.25">
      <c r="BT471">
        <v>701</v>
      </c>
      <c r="BU471" s="1">
        <v>892</v>
      </c>
      <c r="DH471" s="23">
        <v>-122</v>
      </c>
      <c r="DI471" s="25">
        <v>242</v>
      </c>
      <c r="DL471" s="8">
        <v>-120</v>
      </c>
      <c r="EG471" s="6">
        <v>176</v>
      </c>
      <c r="EH471" s="28">
        <v>72</v>
      </c>
      <c r="EX471" s="8">
        <v>265</v>
      </c>
      <c r="EY471" s="28">
        <v>434</v>
      </c>
      <c r="FM471" s="8">
        <v>-82</v>
      </c>
      <c r="FN471" s="52">
        <v>337</v>
      </c>
      <c r="FS471" s="8">
        <v>-956</v>
      </c>
      <c r="FT471" s="52">
        <v>143</v>
      </c>
      <c r="GP471" s="6">
        <v>49</v>
      </c>
      <c r="GQ471" s="52">
        <v>119</v>
      </c>
      <c r="GT471" s="6"/>
      <c r="IB471" s="8">
        <v>-102</v>
      </c>
      <c r="IC471" s="28">
        <v>607</v>
      </c>
      <c r="LW471" s="8">
        <v>303</v>
      </c>
      <c r="LX471" s="28">
        <v>258</v>
      </c>
    </row>
    <row r="472" spans="72:336" x14ac:dyDescent="0.25">
      <c r="BT472">
        <v>-239</v>
      </c>
      <c r="BU472" s="1">
        <v>472</v>
      </c>
      <c r="DH472" s="23">
        <v>-201</v>
      </c>
      <c r="DI472" s="25">
        <v>263</v>
      </c>
      <c r="DL472" s="8">
        <v>-615</v>
      </c>
      <c r="EG472" s="6">
        <v>393</v>
      </c>
      <c r="EH472" s="28">
        <v>79</v>
      </c>
      <c r="EX472" s="8">
        <v>587</v>
      </c>
      <c r="EY472" s="28">
        <v>401</v>
      </c>
      <c r="FM472" s="8">
        <v>-40</v>
      </c>
      <c r="FN472" s="52">
        <v>327</v>
      </c>
      <c r="FS472" s="8">
        <v>-921</v>
      </c>
      <c r="FT472" s="52">
        <v>140</v>
      </c>
      <c r="GP472" s="6">
        <v>45</v>
      </c>
      <c r="GQ472" s="52">
        <v>112</v>
      </c>
      <c r="GT472" s="6"/>
      <c r="IB472" s="8">
        <v>-486</v>
      </c>
      <c r="IC472" s="28">
        <v>143</v>
      </c>
      <c r="LW472" s="8">
        <v>-67</v>
      </c>
      <c r="LX472" s="28">
        <v>80</v>
      </c>
    </row>
    <row r="473" spans="72:336" x14ac:dyDescent="0.25">
      <c r="BT473">
        <v>-134</v>
      </c>
      <c r="BU473" s="1">
        <v>114</v>
      </c>
      <c r="DH473" s="23">
        <v>-227</v>
      </c>
      <c r="DI473" s="25">
        <v>275</v>
      </c>
      <c r="DL473" s="8">
        <v>-613</v>
      </c>
      <c r="EG473" s="6">
        <v>642</v>
      </c>
      <c r="EH473" s="28">
        <v>74</v>
      </c>
      <c r="EX473" s="8">
        <v>-484</v>
      </c>
      <c r="EY473" s="28">
        <v>480</v>
      </c>
      <c r="FM473" s="8">
        <v>126</v>
      </c>
      <c r="FN473" s="52">
        <v>802</v>
      </c>
      <c r="FS473" s="8">
        <v>23</v>
      </c>
      <c r="FT473" s="52">
        <v>52</v>
      </c>
      <c r="GP473" s="6">
        <v>9</v>
      </c>
      <c r="GQ473" s="52">
        <v>69</v>
      </c>
      <c r="GT473" s="6"/>
      <c r="IB473" s="8">
        <v>-481</v>
      </c>
      <c r="IC473" s="28">
        <v>652</v>
      </c>
      <c r="LW473" s="8">
        <v>-4</v>
      </c>
      <c r="LX473" s="28">
        <v>5</v>
      </c>
    </row>
    <row r="474" spans="72:336" x14ac:dyDescent="0.25">
      <c r="BT474">
        <v>165</v>
      </c>
      <c r="BU474" s="1">
        <v>136</v>
      </c>
      <c r="DH474" s="23">
        <v>-272</v>
      </c>
      <c r="DI474" s="25">
        <v>297</v>
      </c>
      <c r="DL474" s="8">
        <v>-244</v>
      </c>
      <c r="EG474" s="6">
        <v>110</v>
      </c>
      <c r="EH474" s="28">
        <v>85</v>
      </c>
      <c r="EX474" s="8">
        <v>-983</v>
      </c>
      <c r="EY474" s="28">
        <v>384</v>
      </c>
      <c r="FM474" s="8">
        <v>-26</v>
      </c>
      <c r="FN474" s="52">
        <v>394</v>
      </c>
      <c r="FS474" s="8">
        <v>-13</v>
      </c>
      <c r="FT474" s="52">
        <v>43</v>
      </c>
      <c r="GP474" s="6">
        <v>-2</v>
      </c>
      <c r="GQ474" s="52">
        <v>13</v>
      </c>
      <c r="GT474" s="6"/>
      <c r="IB474" s="8">
        <v>-285</v>
      </c>
      <c r="IC474" s="28">
        <v>788</v>
      </c>
      <c r="LW474" s="8">
        <v>103</v>
      </c>
      <c r="LX474" s="28">
        <v>186</v>
      </c>
    </row>
    <row r="475" spans="72:336" x14ac:dyDescent="0.25">
      <c r="BT475">
        <v>210</v>
      </c>
      <c r="BU475" s="1">
        <v>609</v>
      </c>
      <c r="DH475" s="23">
        <v>645</v>
      </c>
      <c r="DI475" s="25">
        <v>174</v>
      </c>
      <c r="DL475" s="8">
        <v>296</v>
      </c>
      <c r="EG475" s="6">
        <v>153</v>
      </c>
      <c r="EH475" s="28">
        <v>76</v>
      </c>
      <c r="EX475" s="8">
        <v>7</v>
      </c>
      <c r="EY475" s="28">
        <v>1</v>
      </c>
      <c r="FM475" s="8">
        <v>-22</v>
      </c>
      <c r="FN475" s="52">
        <v>312</v>
      </c>
      <c r="FS475" s="8">
        <v>-32</v>
      </c>
      <c r="FT475" s="52">
        <v>108</v>
      </c>
      <c r="GP475" s="6">
        <v>-66</v>
      </c>
      <c r="GQ475" s="52">
        <v>104</v>
      </c>
      <c r="GT475" s="6"/>
      <c r="IB475" s="8">
        <v>-153</v>
      </c>
      <c r="IC475" s="28">
        <v>930</v>
      </c>
      <c r="LW475" s="8">
        <v>32</v>
      </c>
      <c r="LX475" s="28">
        <v>177</v>
      </c>
    </row>
    <row r="476" spans="72:336" x14ac:dyDescent="0.25">
      <c r="BT476">
        <v>-856</v>
      </c>
      <c r="BU476" s="1">
        <v>320</v>
      </c>
      <c r="DH476" s="23">
        <v>-47</v>
      </c>
      <c r="DI476" s="25">
        <v>36</v>
      </c>
      <c r="DL476" s="8">
        <v>126</v>
      </c>
      <c r="EG476" s="6">
        <v>199</v>
      </c>
      <c r="EH476" s="28">
        <v>91</v>
      </c>
      <c r="EX476" s="8">
        <v>-221</v>
      </c>
      <c r="EY476" s="28">
        <v>453</v>
      </c>
      <c r="FM476" s="8">
        <v>-83</v>
      </c>
      <c r="FN476" s="52">
        <v>645</v>
      </c>
      <c r="FS476" s="8">
        <v>23</v>
      </c>
      <c r="FT476" s="52">
        <v>52</v>
      </c>
      <c r="GP476" s="6">
        <v>28</v>
      </c>
      <c r="GQ476" s="52">
        <v>84</v>
      </c>
      <c r="GT476" s="6"/>
      <c r="IB476" s="8">
        <v>-294</v>
      </c>
      <c r="IC476" s="28">
        <v>427</v>
      </c>
      <c r="LW476" s="8">
        <v>111</v>
      </c>
      <c r="LX476" s="28">
        <v>121</v>
      </c>
    </row>
    <row r="477" spans="72:336" x14ac:dyDescent="0.25">
      <c r="BT477">
        <v>102</v>
      </c>
      <c r="BU477" s="1">
        <v>201</v>
      </c>
      <c r="DH477" s="23">
        <v>-307</v>
      </c>
      <c r="DI477" s="25">
        <v>171</v>
      </c>
      <c r="DL477" s="8">
        <v>65</v>
      </c>
      <c r="EG477" s="6">
        <v>336</v>
      </c>
      <c r="EH477" s="28">
        <v>78</v>
      </c>
      <c r="EX477" s="8">
        <v>451</v>
      </c>
      <c r="EY477" s="28">
        <v>903</v>
      </c>
      <c r="FM477" s="8">
        <v>-111</v>
      </c>
      <c r="FN477" s="52">
        <v>484</v>
      </c>
      <c r="FS477" s="8">
        <v>-11</v>
      </c>
      <c r="FT477" s="52">
        <v>37</v>
      </c>
      <c r="GP477" s="6">
        <v>-25</v>
      </c>
      <c r="GQ477" s="52">
        <v>65</v>
      </c>
      <c r="GT477" s="6"/>
      <c r="IB477" s="8">
        <v>-452</v>
      </c>
      <c r="IC477" s="28">
        <v>343</v>
      </c>
      <c r="LW477" s="8">
        <v>119</v>
      </c>
      <c r="LX477" s="28">
        <v>120</v>
      </c>
    </row>
    <row r="478" spans="72:336" x14ac:dyDescent="0.25">
      <c r="BT478">
        <v>303</v>
      </c>
      <c r="BU478" s="1">
        <v>197</v>
      </c>
      <c r="DH478" s="23">
        <v>-560</v>
      </c>
      <c r="DI478" s="25">
        <v>242</v>
      </c>
      <c r="DL478" s="8">
        <v>-164</v>
      </c>
      <c r="EG478" s="6">
        <v>505</v>
      </c>
      <c r="EH478" s="28">
        <v>93</v>
      </c>
      <c r="EX478" s="8">
        <v>-185</v>
      </c>
      <c r="EY478" s="28">
        <v>623</v>
      </c>
      <c r="FM478" s="8">
        <v>-8</v>
      </c>
      <c r="FN478" s="52">
        <v>506</v>
      </c>
      <c r="FS478" s="8">
        <v>-30</v>
      </c>
      <c r="FT478" s="52">
        <v>107</v>
      </c>
      <c r="GP478" s="6">
        <v>-4</v>
      </c>
      <c r="GQ478" s="52">
        <v>10</v>
      </c>
      <c r="GT478" s="6"/>
      <c r="IB478" s="8">
        <v>124</v>
      </c>
      <c r="IC478" s="28">
        <v>354</v>
      </c>
      <c r="LW478" s="8">
        <v>-188</v>
      </c>
      <c r="LX478" s="28">
        <v>260</v>
      </c>
    </row>
    <row r="479" spans="72:336" x14ac:dyDescent="0.25">
      <c r="BT479">
        <v>-20</v>
      </c>
      <c r="BU479" s="1">
        <v>14</v>
      </c>
      <c r="DH479" s="23">
        <v>-468</v>
      </c>
      <c r="DI479" s="25">
        <v>243</v>
      </c>
      <c r="DL479" s="8">
        <v>349</v>
      </c>
      <c r="EG479" s="6">
        <v>766</v>
      </c>
      <c r="EH479" s="28">
        <v>879</v>
      </c>
      <c r="EX479" s="8">
        <v>-225</v>
      </c>
      <c r="EY479" s="28">
        <v>565</v>
      </c>
      <c r="FM479" s="8">
        <v>-34</v>
      </c>
      <c r="FN479" s="52">
        <v>269</v>
      </c>
      <c r="FS479" s="8">
        <v>-37</v>
      </c>
      <c r="FT479" s="52">
        <v>85</v>
      </c>
      <c r="GP479" s="6">
        <v>-39</v>
      </c>
      <c r="GQ479" s="52">
        <v>106</v>
      </c>
      <c r="GT479" s="6"/>
      <c r="IB479" s="8">
        <v>-127</v>
      </c>
      <c r="IC479" s="28">
        <v>383</v>
      </c>
      <c r="LW479" s="8">
        <v>118</v>
      </c>
      <c r="LX479" s="28">
        <v>151</v>
      </c>
    </row>
    <row r="480" spans="72:336" x14ac:dyDescent="0.25">
      <c r="BT480">
        <v>193</v>
      </c>
      <c r="BU480" s="1">
        <v>135</v>
      </c>
      <c r="DH480" s="23">
        <v>-674</v>
      </c>
      <c r="DI480" s="25">
        <v>250</v>
      </c>
      <c r="DL480" s="8">
        <v>389</v>
      </c>
      <c r="EG480" s="6">
        <v>-223</v>
      </c>
      <c r="EH480" s="28">
        <v>988</v>
      </c>
      <c r="EX480" s="8">
        <v>-240</v>
      </c>
      <c r="EY480" s="28">
        <v>577</v>
      </c>
      <c r="FM480" s="8">
        <v>-18</v>
      </c>
      <c r="FN480" s="52">
        <v>398</v>
      </c>
      <c r="FS480" s="8">
        <v>19</v>
      </c>
      <c r="FT480" s="52">
        <v>62</v>
      </c>
      <c r="GP480" s="6">
        <v>25</v>
      </c>
      <c r="GQ480" s="52">
        <v>103</v>
      </c>
      <c r="GT480" s="6"/>
      <c r="IB480" s="8">
        <v>-285</v>
      </c>
      <c r="IC480" s="28">
        <v>544</v>
      </c>
      <c r="LW480" s="8">
        <v>-3</v>
      </c>
      <c r="LX480" s="28">
        <v>172</v>
      </c>
    </row>
    <row r="481" spans="72:336" x14ac:dyDescent="0.25">
      <c r="BT481">
        <v>364</v>
      </c>
      <c r="BU481" s="1">
        <v>192</v>
      </c>
      <c r="DH481" s="23">
        <v>-669</v>
      </c>
      <c r="DI481" s="25">
        <v>257</v>
      </c>
      <c r="DL481" s="8">
        <v>107</v>
      </c>
      <c r="EG481" s="6">
        <v>-218</v>
      </c>
      <c r="EH481" s="28">
        <v>975</v>
      </c>
      <c r="EX481" s="8">
        <v>-177</v>
      </c>
      <c r="EY481" s="28">
        <v>621</v>
      </c>
      <c r="FM481" s="8">
        <v>-22</v>
      </c>
      <c r="FN481" s="52">
        <v>322</v>
      </c>
      <c r="FS481" s="8">
        <v>-38</v>
      </c>
      <c r="FT481" s="52">
        <v>86</v>
      </c>
      <c r="GP481" s="6">
        <v>-16</v>
      </c>
      <c r="GQ481" s="52">
        <v>145</v>
      </c>
      <c r="GT481" s="6"/>
      <c r="IB481" s="8">
        <v>125</v>
      </c>
      <c r="IC481" s="28">
        <v>107</v>
      </c>
      <c r="LW481" s="8">
        <v>-30</v>
      </c>
      <c r="LX481" s="28">
        <v>178</v>
      </c>
    </row>
    <row r="482" spans="72:336" x14ac:dyDescent="0.25">
      <c r="BT482">
        <v>211</v>
      </c>
      <c r="BU482" s="1">
        <v>449</v>
      </c>
      <c r="DH482" s="23">
        <v>-100</v>
      </c>
      <c r="DI482" s="25">
        <v>304</v>
      </c>
      <c r="DL482" s="8">
        <v>231</v>
      </c>
      <c r="EG482" s="6">
        <v>-57</v>
      </c>
      <c r="EH482" s="28">
        <v>28</v>
      </c>
      <c r="EX482" s="8">
        <v>-533</v>
      </c>
      <c r="EY482" s="28">
        <v>109</v>
      </c>
      <c r="FM482" s="8">
        <v>-18</v>
      </c>
      <c r="FN482" s="52">
        <v>477</v>
      </c>
      <c r="FS482" s="8">
        <v>-3</v>
      </c>
      <c r="FT482" s="52">
        <v>8</v>
      </c>
      <c r="GP482" s="6">
        <v>-26</v>
      </c>
      <c r="GQ482" s="52">
        <v>107</v>
      </c>
      <c r="GT482" s="6"/>
      <c r="IB482" s="8">
        <v>141</v>
      </c>
      <c r="IC482" s="28">
        <v>189</v>
      </c>
      <c r="LW482" s="8">
        <v>-54</v>
      </c>
      <c r="LX482" s="28">
        <v>174</v>
      </c>
    </row>
    <row r="483" spans="72:336" x14ac:dyDescent="0.25">
      <c r="BT483">
        <v>-599</v>
      </c>
      <c r="BU483" s="1">
        <v>162</v>
      </c>
      <c r="DH483" s="23">
        <v>-998</v>
      </c>
      <c r="DI483" s="25">
        <v>341</v>
      </c>
      <c r="DL483" s="8">
        <v>47</v>
      </c>
      <c r="EG483" s="6">
        <v>375</v>
      </c>
      <c r="EH483" s="28">
        <v>60</v>
      </c>
      <c r="EX483" s="8">
        <v>-604</v>
      </c>
      <c r="EY483" s="28">
        <v>109</v>
      </c>
      <c r="FM483" s="8">
        <v>-67</v>
      </c>
      <c r="FN483" s="52">
        <v>472</v>
      </c>
      <c r="FS483" s="8">
        <v>17</v>
      </c>
      <c r="FT483" s="52">
        <v>57</v>
      </c>
      <c r="GP483" s="6">
        <v>-312</v>
      </c>
      <c r="GQ483" s="52">
        <v>136</v>
      </c>
      <c r="GT483" s="6"/>
      <c r="IB483" s="8">
        <v>-192</v>
      </c>
      <c r="IC483" s="28">
        <v>673</v>
      </c>
      <c r="LW483" s="8">
        <v>127</v>
      </c>
      <c r="LX483" s="28">
        <v>273</v>
      </c>
    </row>
    <row r="484" spans="72:336" x14ac:dyDescent="0.25">
      <c r="BT484">
        <v>619</v>
      </c>
      <c r="BU484" s="1">
        <v>645</v>
      </c>
      <c r="DH484" s="23">
        <v>-127</v>
      </c>
      <c r="DI484" s="25">
        <v>386</v>
      </c>
      <c r="DL484" s="8">
        <v>244</v>
      </c>
      <c r="EG484" s="6">
        <v>241</v>
      </c>
      <c r="EH484" s="28">
        <v>57</v>
      </c>
      <c r="EX484" s="8">
        <v>-512</v>
      </c>
      <c r="EY484" s="28">
        <v>110</v>
      </c>
      <c r="FM484" s="8">
        <v>-32</v>
      </c>
      <c r="FN484" s="52">
        <v>383</v>
      </c>
      <c r="FS484" s="8">
        <v>432</v>
      </c>
      <c r="FT484" s="52">
        <v>108</v>
      </c>
      <c r="GP484" s="6">
        <v>-37</v>
      </c>
      <c r="GQ484" s="52">
        <v>115</v>
      </c>
      <c r="GT484" s="6"/>
      <c r="IB484" s="8">
        <v>523</v>
      </c>
      <c r="IC484" s="28">
        <v>373</v>
      </c>
      <c r="LW484" s="8">
        <v>1</v>
      </c>
      <c r="LX484" s="28">
        <v>190</v>
      </c>
    </row>
    <row r="485" spans="72:336" x14ac:dyDescent="0.25">
      <c r="BT485">
        <v>-222</v>
      </c>
      <c r="BU485" s="1">
        <v>316</v>
      </c>
      <c r="DH485" s="23">
        <v>421</v>
      </c>
      <c r="DI485" s="25">
        <v>223</v>
      </c>
      <c r="DL485" s="8">
        <v>-93</v>
      </c>
      <c r="EG485" s="6">
        <v>342</v>
      </c>
      <c r="EH485" s="28">
        <v>64</v>
      </c>
      <c r="EX485" s="8">
        <v>-554</v>
      </c>
      <c r="EY485" s="28">
        <v>109</v>
      </c>
      <c r="FM485" s="8">
        <v>-41</v>
      </c>
      <c r="FN485" s="52">
        <v>412</v>
      </c>
      <c r="FS485" s="8">
        <v>446</v>
      </c>
      <c r="FT485" s="52">
        <v>104</v>
      </c>
      <c r="GP485" s="6">
        <v>-582</v>
      </c>
      <c r="GQ485" s="52">
        <v>62</v>
      </c>
      <c r="GT485" s="6"/>
      <c r="IB485" s="8">
        <v>-663</v>
      </c>
      <c r="IC485" s="28">
        <v>714</v>
      </c>
      <c r="LW485" s="8">
        <v>86</v>
      </c>
      <c r="LX485" s="28">
        <v>193</v>
      </c>
    </row>
    <row r="486" spans="72:336" x14ac:dyDescent="0.25">
      <c r="BT486">
        <v>306</v>
      </c>
      <c r="BU486" s="1">
        <v>633</v>
      </c>
      <c r="DH486" s="23">
        <v>-66</v>
      </c>
      <c r="DI486" s="25">
        <v>956</v>
      </c>
      <c r="DL486" s="8">
        <v>39</v>
      </c>
      <c r="EG486" s="6">
        <v>375</v>
      </c>
      <c r="EH486" s="28">
        <v>60</v>
      </c>
      <c r="EX486" s="8">
        <v>-852</v>
      </c>
      <c r="EY486" s="28">
        <v>181</v>
      </c>
      <c r="FM486" s="8">
        <v>-161</v>
      </c>
      <c r="FN486" s="52">
        <v>594</v>
      </c>
      <c r="FS486" s="8">
        <v>427</v>
      </c>
      <c r="FT486" s="52">
        <v>102</v>
      </c>
      <c r="GP486" s="6">
        <v>-18</v>
      </c>
      <c r="GQ486" s="52">
        <v>147</v>
      </c>
      <c r="GT486" s="6"/>
      <c r="IB486" s="8">
        <v>567</v>
      </c>
      <c r="IC486" s="28">
        <v>149</v>
      </c>
      <c r="LW486" s="8">
        <v>-81</v>
      </c>
      <c r="LX486" s="28">
        <v>128</v>
      </c>
    </row>
    <row r="487" spans="72:336" x14ac:dyDescent="0.25">
      <c r="BT487">
        <v>92</v>
      </c>
      <c r="BU487" s="1">
        <v>911</v>
      </c>
      <c r="DH487" s="23">
        <v>253</v>
      </c>
      <c r="DI487" s="25">
        <v>345</v>
      </c>
      <c r="DL487" s="8">
        <v>-224</v>
      </c>
      <c r="EG487" s="6">
        <v>600</v>
      </c>
      <c r="EH487" s="28">
        <v>65</v>
      </c>
      <c r="EX487" s="8">
        <v>-896</v>
      </c>
      <c r="EY487" s="28">
        <v>181</v>
      </c>
      <c r="FM487" s="8">
        <v>-22</v>
      </c>
      <c r="FN487" s="52">
        <v>320</v>
      </c>
      <c r="FS487" s="8">
        <v>427</v>
      </c>
      <c r="FT487" s="52">
        <v>108</v>
      </c>
      <c r="GP487" s="6">
        <v>45</v>
      </c>
      <c r="GQ487" s="52">
        <v>258</v>
      </c>
      <c r="GT487" s="6"/>
      <c r="LW487" s="8">
        <v>361</v>
      </c>
      <c r="LX487" s="28">
        <v>255</v>
      </c>
    </row>
    <row r="488" spans="72:336" x14ac:dyDescent="0.25">
      <c r="BT488">
        <v>-180</v>
      </c>
      <c r="BU488" s="1">
        <v>567</v>
      </c>
      <c r="DH488" s="23">
        <v>-138</v>
      </c>
      <c r="DI488" s="25">
        <v>169</v>
      </c>
      <c r="DL488" s="8">
        <v>-3</v>
      </c>
      <c r="EG488" s="6">
        <v>676</v>
      </c>
      <c r="EH488" s="28">
        <v>79</v>
      </c>
      <c r="EX488" s="8">
        <v>-882</v>
      </c>
      <c r="EY488" s="28">
        <v>181</v>
      </c>
      <c r="FM488" s="8">
        <v>-42</v>
      </c>
      <c r="FN488" s="52">
        <v>332</v>
      </c>
      <c r="FS488" s="8">
        <v>438</v>
      </c>
      <c r="FT488" s="52">
        <v>105</v>
      </c>
      <c r="GP488" s="6">
        <v>3</v>
      </c>
      <c r="GQ488" s="52">
        <v>36</v>
      </c>
      <c r="GT488" s="6"/>
      <c r="LW488" s="8">
        <v>16</v>
      </c>
      <c r="LX488" s="28">
        <v>81</v>
      </c>
    </row>
    <row r="489" spans="72:336" x14ac:dyDescent="0.25">
      <c r="BT489">
        <v>746</v>
      </c>
      <c r="BU489" s="1">
        <v>266</v>
      </c>
      <c r="DH489" s="23">
        <v>-1</v>
      </c>
      <c r="DI489" s="25">
        <v>39</v>
      </c>
      <c r="DL489" s="8">
        <v>29</v>
      </c>
      <c r="EG489" s="6">
        <v>973</v>
      </c>
      <c r="EH489" s="28">
        <v>68</v>
      </c>
      <c r="EX489" s="8">
        <v>-880</v>
      </c>
      <c r="EY489" s="28">
        <v>181</v>
      </c>
      <c r="FM489" s="8">
        <v>-1</v>
      </c>
      <c r="FN489" s="52">
        <v>216</v>
      </c>
      <c r="FS489" s="8">
        <v>423</v>
      </c>
      <c r="FT489" s="52">
        <v>102</v>
      </c>
      <c r="GP489" s="6">
        <v>-17</v>
      </c>
      <c r="GQ489" s="52">
        <v>97</v>
      </c>
      <c r="GT489" s="6"/>
      <c r="LW489" s="8">
        <v>3</v>
      </c>
      <c r="LX489" s="28">
        <v>6</v>
      </c>
    </row>
    <row r="490" spans="72:336" x14ac:dyDescent="0.25">
      <c r="BT490">
        <v>206</v>
      </c>
      <c r="BU490" s="1">
        <v>639</v>
      </c>
      <c r="DH490" s="23">
        <v>515</v>
      </c>
      <c r="DI490" s="25">
        <v>312</v>
      </c>
      <c r="DL490" s="8">
        <v>-84</v>
      </c>
      <c r="EG490" s="6">
        <v>173</v>
      </c>
      <c r="EH490" s="28">
        <v>74</v>
      </c>
      <c r="EX490" s="8">
        <v>-132</v>
      </c>
      <c r="EY490" s="28">
        <v>272</v>
      </c>
      <c r="FM490" s="8">
        <v>-19</v>
      </c>
      <c r="FN490" s="52">
        <v>442</v>
      </c>
      <c r="FS490" s="8">
        <v>-373</v>
      </c>
      <c r="FT490" s="52">
        <v>94</v>
      </c>
      <c r="GP490" s="6">
        <v>23</v>
      </c>
      <c r="GQ490" s="52">
        <v>152</v>
      </c>
      <c r="GT490" s="6"/>
      <c r="LW490" s="8">
        <v>34</v>
      </c>
      <c r="LX490" s="28">
        <v>156</v>
      </c>
    </row>
    <row r="491" spans="72:336" x14ac:dyDescent="0.25">
      <c r="BT491">
        <v>-623</v>
      </c>
      <c r="BU491" s="1">
        <v>882</v>
      </c>
      <c r="DH491" s="23">
        <v>-46</v>
      </c>
      <c r="DI491" s="25">
        <v>66</v>
      </c>
      <c r="DL491" s="8">
        <v>31</v>
      </c>
      <c r="EG491" s="6">
        <v>-133</v>
      </c>
      <c r="EH491" s="28">
        <v>24</v>
      </c>
      <c r="EX491" s="8">
        <v>-134</v>
      </c>
      <c r="EY491" s="28">
        <v>272</v>
      </c>
      <c r="FM491" s="8">
        <v>-32</v>
      </c>
      <c r="FN491" s="52">
        <v>694</v>
      </c>
      <c r="FS491" s="8">
        <v>-387</v>
      </c>
      <c r="FT491" s="52">
        <v>92</v>
      </c>
      <c r="GP491" s="6">
        <v>9</v>
      </c>
      <c r="GQ491" s="52">
        <v>46</v>
      </c>
      <c r="GT491" s="6"/>
      <c r="LW491" s="8">
        <v>1</v>
      </c>
      <c r="LX491" s="28">
        <v>182</v>
      </c>
    </row>
    <row r="492" spans="72:336" x14ac:dyDescent="0.25">
      <c r="BT492">
        <v>-175</v>
      </c>
      <c r="BU492" s="1">
        <v>145</v>
      </c>
      <c r="DH492" s="23">
        <v>-244</v>
      </c>
      <c r="DI492" s="25">
        <v>441</v>
      </c>
      <c r="DL492" s="8">
        <v>-73</v>
      </c>
      <c r="EG492" s="6">
        <v>735</v>
      </c>
      <c r="EH492" s="28">
        <v>128</v>
      </c>
      <c r="EX492" s="8">
        <v>-134</v>
      </c>
      <c r="EY492" s="28">
        <v>272</v>
      </c>
      <c r="FM492" s="8">
        <v>-21</v>
      </c>
      <c r="FN492" s="52">
        <v>225</v>
      </c>
      <c r="FS492" s="8">
        <v>-368</v>
      </c>
      <c r="FT492" s="52">
        <v>88</v>
      </c>
      <c r="GP492" s="6">
        <v>49</v>
      </c>
      <c r="GQ492" s="52">
        <v>157</v>
      </c>
      <c r="GT492" s="6"/>
      <c r="LW492" s="8">
        <v>-5</v>
      </c>
      <c r="LX492" s="28">
        <v>133</v>
      </c>
    </row>
    <row r="493" spans="72:336" x14ac:dyDescent="0.25">
      <c r="BT493">
        <v>-68</v>
      </c>
      <c r="BU493" s="1">
        <v>47</v>
      </c>
      <c r="DH493" s="23">
        <v>285</v>
      </c>
      <c r="DI493" s="25">
        <v>333</v>
      </c>
      <c r="DL493" s="8">
        <v>-527</v>
      </c>
      <c r="EG493" s="6">
        <v>-40</v>
      </c>
      <c r="EH493" s="28">
        <v>8</v>
      </c>
      <c r="EX493" s="8">
        <v>-135</v>
      </c>
      <c r="EY493" s="28">
        <v>272</v>
      </c>
      <c r="FM493" s="8">
        <v>-25</v>
      </c>
      <c r="FN493" s="52">
        <v>514</v>
      </c>
      <c r="FS493" s="8">
        <v>-369</v>
      </c>
      <c r="FT493" s="52">
        <v>94</v>
      </c>
      <c r="GP493" s="6">
        <v>-6</v>
      </c>
      <c r="GQ493" s="52">
        <v>39</v>
      </c>
      <c r="GT493" s="6"/>
      <c r="LW493" s="8">
        <v>-96</v>
      </c>
      <c r="LX493" s="28">
        <v>172</v>
      </c>
    </row>
    <row r="494" spans="72:336" x14ac:dyDescent="0.25">
      <c r="BT494">
        <v>966</v>
      </c>
      <c r="BU494" s="1">
        <v>158</v>
      </c>
      <c r="DH494" s="23">
        <v>-145</v>
      </c>
      <c r="DI494" s="25">
        <v>561</v>
      </c>
      <c r="DL494" s="8">
        <v>-537</v>
      </c>
      <c r="EG494" s="6">
        <v>220</v>
      </c>
      <c r="EH494" s="28">
        <v>70</v>
      </c>
      <c r="EX494" s="8">
        <v>-190</v>
      </c>
      <c r="EY494" s="28">
        <v>381</v>
      </c>
      <c r="FM494" s="8">
        <v>-19</v>
      </c>
      <c r="FN494" s="52">
        <v>239</v>
      </c>
      <c r="FS494" s="8">
        <v>-380</v>
      </c>
      <c r="FT494" s="52">
        <v>91</v>
      </c>
      <c r="GP494" s="6">
        <v>2</v>
      </c>
      <c r="GQ494" s="52">
        <v>16</v>
      </c>
      <c r="GT494" s="6"/>
      <c r="LW494" s="8">
        <v>64</v>
      </c>
      <c r="LX494" s="28">
        <v>296</v>
      </c>
    </row>
    <row r="495" spans="72:336" x14ac:dyDescent="0.25">
      <c r="BT495">
        <v>-447</v>
      </c>
      <c r="BU495" s="1">
        <v>308</v>
      </c>
      <c r="DH495" s="23">
        <v>-449</v>
      </c>
      <c r="DI495" s="25">
        <v>561</v>
      </c>
      <c r="DL495" s="8">
        <v>-144</v>
      </c>
      <c r="EG495" s="6">
        <v>411</v>
      </c>
      <c r="EH495" s="28">
        <v>75</v>
      </c>
      <c r="EX495" s="8">
        <v>-187</v>
      </c>
      <c r="EY495" s="28">
        <v>381</v>
      </c>
      <c r="FM495" s="8">
        <v>-17</v>
      </c>
      <c r="FN495" s="52">
        <v>424</v>
      </c>
      <c r="FS495" s="8">
        <v>-366</v>
      </c>
      <c r="FT495" s="52">
        <v>89</v>
      </c>
      <c r="GP495" s="6">
        <v>15</v>
      </c>
      <c r="GQ495" s="52">
        <v>69</v>
      </c>
      <c r="GT495" s="6"/>
      <c r="LW495" s="8">
        <v>-213</v>
      </c>
      <c r="LX495" s="28">
        <v>201</v>
      </c>
    </row>
    <row r="496" spans="72:336" x14ac:dyDescent="0.25">
      <c r="BT496">
        <v>480</v>
      </c>
      <c r="BU496" s="1">
        <v>493</v>
      </c>
      <c r="DH496" s="23">
        <v>355</v>
      </c>
      <c r="DI496" s="25">
        <v>334</v>
      </c>
      <c r="DL496" s="8">
        <v>360</v>
      </c>
      <c r="EG496" s="6">
        <v>452</v>
      </c>
      <c r="EH496" s="28">
        <v>73</v>
      </c>
      <c r="EX496" s="8">
        <v>-191</v>
      </c>
      <c r="EY496" s="28">
        <v>381</v>
      </c>
      <c r="FM496" s="8">
        <v>-57</v>
      </c>
      <c r="FN496" s="52">
        <v>657</v>
      </c>
      <c r="FS496" s="8">
        <v>-79</v>
      </c>
      <c r="FT496" s="52">
        <v>224</v>
      </c>
      <c r="GP496" s="6">
        <v>-3</v>
      </c>
      <c r="GQ496" s="52">
        <v>27</v>
      </c>
      <c r="GT496" s="6"/>
      <c r="LW496" s="8">
        <v>64</v>
      </c>
      <c r="LX496" s="28">
        <v>162</v>
      </c>
    </row>
    <row r="497" spans="72:336" x14ac:dyDescent="0.25">
      <c r="BT497">
        <v>-552</v>
      </c>
      <c r="BU497" s="1">
        <v>179</v>
      </c>
      <c r="DH497" s="23">
        <v>-175</v>
      </c>
      <c r="DI497" s="25">
        <v>612</v>
      </c>
      <c r="DL497" s="8">
        <v>128</v>
      </c>
      <c r="EG497" s="6">
        <v>798</v>
      </c>
      <c r="EH497" s="28">
        <v>84</v>
      </c>
      <c r="EX497" s="8">
        <v>-188</v>
      </c>
      <c r="EY497" s="28">
        <v>381</v>
      </c>
      <c r="FM497" s="8">
        <v>-48</v>
      </c>
      <c r="FN497" s="52">
        <v>615</v>
      </c>
      <c r="FS497" s="8">
        <v>-78</v>
      </c>
      <c r="FT497" s="52">
        <v>205</v>
      </c>
      <c r="GP497" s="6">
        <v>-2</v>
      </c>
      <c r="GQ497" s="52">
        <v>2</v>
      </c>
      <c r="GT497" s="6"/>
      <c r="LW497" s="8">
        <v>-175</v>
      </c>
      <c r="LX497" s="28">
        <v>162</v>
      </c>
    </row>
    <row r="498" spans="72:336" x14ac:dyDescent="0.25">
      <c r="BT498">
        <v>109</v>
      </c>
      <c r="BU498" s="1">
        <v>657</v>
      </c>
      <c r="DH498" s="23">
        <v>-160</v>
      </c>
      <c r="DI498" s="25">
        <v>608</v>
      </c>
      <c r="DL498" s="8">
        <v>83</v>
      </c>
      <c r="EG498" s="6">
        <v>563</v>
      </c>
      <c r="EH498" s="28">
        <v>78</v>
      </c>
      <c r="EX498" s="8">
        <v>-250</v>
      </c>
      <c r="EY498" s="28">
        <v>508</v>
      </c>
      <c r="FM498" s="8">
        <v>-18</v>
      </c>
      <c r="FN498" s="52">
        <v>412</v>
      </c>
      <c r="FS498" s="8">
        <v>-78</v>
      </c>
      <c r="FT498" s="52">
        <v>209</v>
      </c>
      <c r="GP498" s="6">
        <v>11</v>
      </c>
      <c r="GQ498" s="52">
        <v>75</v>
      </c>
      <c r="GT498" s="6"/>
      <c r="LW498" s="8">
        <v>2</v>
      </c>
      <c r="LX498" s="28">
        <v>172</v>
      </c>
    </row>
    <row r="499" spans="72:336" x14ac:dyDescent="0.25">
      <c r="BT499">
        <v>-367</v>
      </c>
      <c r="BU499" s="1">
        <v>318</v>
      </c>
      <c r="DH499" s="23">
        <v>-251</v>
      </c>
      <c r="DI499" s="25">
        <v>638</v>
      </c>
      <c r="DL499" s="8">
        <v>-174</v>
      </c>
      <c r="EG499" s="6">
        <v>877</v>
      </c>
      <c r="EH499" s="28">
        <v>97</v>
      </c>
      <c r="EX499" s="8">
        <v>-253</v>
      </c>
      <c r="EY499" s="28">
        <v>508</v>
      </c>
      <c r="FM499" s="8">
        <v>-53</v>
      </c>
      <c r="FN499" s="52">
        <v>395</v>
      </c>
      <c r="FS499" s="8">
        <v>70</v>
      </c>
      <c r="FT499" s="52">
        <v>200</v>
      </c>
      <c r="GP499" s="6">
        <v>7</v>
      </c>
      <c r="GQ499" s="52">
        <v>118</v>
      </c>
      <c r="GT499" s="6"/>
      <c r="LW499" s="8">
        <v>-168</v>
      </c>
      <c r="LX499" s="28">
        <v>157</v>
      </c>
    </row>
    <row r="500" spans="72:336" x14ac:dyDescent="0.25">
      <c r="BT500">
        <v>567</v>
      </c>
      <c r="BU500" s="1">
        <v>884</v>
      </c>
      <c r="DH500" s="23">
        <v>-352</v>
      </c>
      <c r="DI500" s="25">
        <v>655</v>
      </c>
      <c r="DL500" s="8">
        <v>630</v>
      </c>
      <c r="EG500" s="6">
        <v>135</v>
      </c>
      <c r="EH500" s="28">
        <v>86</v>
      </c>
      <c r="EX500" s="8">
        <v>-253</v>
      </c>
      <c r="EY500" s="28">
        <v>508</v>
      </c>
      <c r="FM500" s="8">
        <v>-8</v>
      </c>
      <c r="FN500" s="52">
        <v>346</v>
      </c>
      <c r="FS500" s="8">
        <v>70</v>
      </c>
      <c r="FT500" s="52">
        <v>183</v>
      </c>
      <c r="GP500" s="6">
        <v>2</v>
      </c>
      <c r="GQ500" s="52">
        <v>34</v>
      </c>
      <c r="GT500" s="6"/>
      <c r="LW500" s="8">
        <v>-142</v>
      </c>
      <c r="LX500" s="28">
        <v>156</v>
      </c>
    </row>
    <row r="501" spans="72:336" x14ac:dyDescent="0.25">
      <c r="BT501">
        <v>-575</v>
      </c>
      <c r="BU501" s="1">
        <v>105</v>
      </c>
      <c r="DH501" s="23">
        <v>-563</v>
      </c>
      <c r="DI501" s="25">
        <v>703</v>
      </c>
      <c r="DL501" s="8">
        <v>553</v>
      </c>
      <c r="EG501" s="6">
        <v>246</v>
      </c>
      <c r="EH501" s="28">
        <v>98</v>
      </c>
      <c r="EX501" s="8">
        <v>-256</v>
      </c>
      <c r="EY501" s="28">
        <v>508</v>
      </c>
      <c r="FM501" s="8">
        <v>-79</v>
      </c>
      <c r="FN501" s="52">
        <v>552</v>
      </c>
      <c r="FS501" s="8">
        <v>70</v>
      </c>
      <c r="FT501" s="52">
        <v>186</v>
      </c>
      <c r="GP501" s="6">
        <v>-15</v>
      </c>
      <c r="GQ501" s="52">
        <v>133</v>
      </c>
      <c r="GT501" s="6"/>
      <c r="LW501" s="8">
        <v>-34</v>
      </c>
      <c r="LX501" s="28">
        <v>184</v>
      </c>
    </row>
    <row r="502" spans="72:336" x14ac:dyDescent="0.25">
      <c r="BT502">
        <v>321</v>
      </c>
      <c r="BU502" s="1">
        <v>599</v>
      </c>
      <c r="DH502" s="23">
        <v>-641</v>
      </c>
      <c r="DI502" s="25">
        <v>739</v>
      </c>
      <c r="DL502" s="8">
        <v>-2</v>
      </c>
      <c r="EG502" s="6">
        <v>300</v>
      </c>
      <c r="EH502" s="28">
        <v>434</v>
      </c>
      <c r="EX502" s="8">
        <v>-328</v>
      </c>
      <c r="EY502" s="28">
        <v>653</v>
      </c>
      <c r="FM502" s="8">
        <v>-227</v>
      </c>
      <c r="FN502" s="52">
        <v>714</v>
      </c>
      <c r="FS502" s="8">
        <v>-67</v>
      </c>
      <c r="FT502" s="52">
        <v>213</v>
      </c>
      <c r="GP502" s="6">
        <v>11</v>
      </c>
      <c r="GQ502" s="52">
        <v>97</v>
      </c>
      <c r="GT502" s="6"/>
      <c r="LW502" s="8">
        <v>-618</v>
      </c>
      <c r="LX502" s="28">
        <v>361</v>
      </c>
    </row>
    <row r="503" spans="72:336" x14ac:dyDescent="0.25">
      <c r="BT503">
        <v>-174</v>
      </c>
      <c r="BU503" s="1">
        <v>284</v>
      </c>
      <c r="DH503" s="23">
        <v>-781</v>
      </c>
      <c r="DI503" s="25">
        <v>786</v>
      </c>
      <c r="DL503" s="8">
        <v>2</v>
      </c>
      <c r="EG503" s="6">
        <v>-522</v>
      </c>
      <c r="EH503" s="28">
        <v>452</v>
      </c>
      <c r="EX503" s="8">
        <v>-327</v>
      </c>
      <c r="EY503" s="28">
        <v>653</v>
      </c>
      <c r="FS503" s="8">
        <v>-66</v>
      </c>
      <c r="FT503" s="52">
        <v>195</v>
      </c>
      <c r="GP503" s="6">
        <v>-4</v>
      </c>
      <c r="GQ503" s="52">
        <v>58</v>
      </c>
      <c r="GT503" s="6"/>
      <c r="LW503" s="8">
        <v>104</v>
      </c>
      <c r="LX503" s="28">
        <v>163</v>
      </c>
    </row>
    <row r="504" spans="72:336" x14ac:dyDescent="0.25">
      <c r="BT504">
        <v>-90</v>
      </c>
      <c r="BU504" s="1">
        <v>915</v>
      </c>
      <c r="DH504" s="23">
        <v>252</v>
      </c>
      <c r="DI504" s="25">
        <v>564</v>
      </c>
      <c r="DL504" s="8">
        <v>-1</v>
      </c>
      <c r="EG504" s="6">
        <v>-273</v>
      </c>
      <c r="EH504" s="28">
        <v>570</v>
      </c>
      <c r="EX504" s="8">
        <v>-327</v>
      </c>
      <c r="EY504" s="28">
        <v>653</v>
      </c>
      <c r="FS504" s="8">
        <v>-68</v>
      </c>
      <c r="FT504" s="52">
        <v>196</v>
      </c>
      <c r="GP504" s="6">
        <v>64</v>
      </c>
      <c r="GQ504" s="52">
        <v>180</v>
      </c>
      <c r="GT504" s="6"/>
      <c r="LW504" s="8">
        <v>-17</v>
      </c>
      <c r="LX504" s="28">
        <v>128</v>
      </c>
    </row>
    <row r="505" spans="72:336" x14ac:dyDescent="0.25">
      <c r="BT505">
        <v>-183</v>
      </c>
      <c r="BU505" s="1">
        <v>101</v>
      </c>
      <c r="DH505" s="23">
        <v>-86</v>
      </c>
      <c r="DI505" s="25">
        <v>981</v>
      </c>
      <c r="DL505" s="8">
        <v>-2</v>
      </c>
      <c r="EG505" s="6">
        <v>104</v>
      </c>
      <c r="EH505" s="28">
        <v>46</v>
      </c>
      <c r="EX505" s="8">
        <v>-408</v>
      </c>
      <c r="EY505" s="28">
        <v>816</v>
      </c>
      <c r="FS505" s="8">
        <v>61</v>
      </c>
      <c r="FT505" s="52">
        <v>195</v>
      </c>
      <c r="GP505" s="6">
        <v>-26</v>
      </c>
      <c r="GQ505" s="52">
        <v>210</v>
      </c>
      <c r="GT505" s="6"/>
      <c r="LW505" s="8">
        <v>-50</v>
      </c>
      <c r="LX505" s="28">
        <v>34</v>
      </c>
    </row>
    <row r="506" spans="72:336" x14ac:dyDescent="0.25">
      <c r="BT506">
        <v>-271</v>
      </c>
      <c r="BU506" s="1">
        <v>230</v>
      </c>
      <c r="DH506" s="23">
        <v>-213</v>
      </c>
      <c r="DI506" s="25">
        <v>533</v>
      </c>
      <c r="DL506" s="8">
        <v>9</v>
      </c>
      <c r="EG506" s="6">
        <v>576</v>
      </c>
      <c r="EH506" s="28">
        <v>64</v>
      </c>
      <c r="EX506" s="8">
        <v>-403</v>
      </c>
      <c r="EY506" s="28">
        <v>816</v>
      </c>
      <c r="FS506" s="8">
        <v>60</v>
      </c>
      <c r="FT506" s="52">
        <v>178</v>
      </c>
      <c r="GP506" s="6">
        <v>19</v>
      </c>
      <c r="GQ506" s="52">
        <v>53</v>
      </c>
      <c r="GT506" s="6"/>
      <c r="LW506" s="8">
        <v>7</v>
      </c>
      <c r="LX506" s="28">
        <v>4</v>
      </c>
    </row>
    <row r="507" spans="72:336" x14ac:dyDescent="0.25">
      <c r="BT507">
        <v>58</v>
      </c>
      <c r="BU507" s="1">
        <v>41</v>
      </c>
      <c r="DH507" s="23">
        <v>-180</v>
      </c>
      <c r="DI507" s="25">
        <v>685</v>
      </c>
      <c r="DL507" s="8">
        <v>5</v>
      </c>
      <c r="EG507" s="6">
        <v>100</v>
      </c>
      <c r="EH507" s="28">
        <v>80</v>
      </c>
      <c r="EX507" s="8">
        <v>-410</v>
      </c>
      <c r="EY507" s="28">
        <v>816</v>
      </c>
      <c r="FS507" s="8">
        <v>-643</v>
      </c>
      <c r="FT507" s="52">
        <v>88</v>
      </c>
      <c r="GP507" s="6">
        <v>47</v>
      </c>
      <c r="GQ507" s="52">
        <v>297</v>
      </c>
      <c r="GT507" s="6"/>
      <c r="LW507" s="8">
        <v>108</v>
      </c>
      <c r="LX507" s="28">
        <v>84</v>
      </c>
    </row>
    <row r="508" spans="72:336" x14ac:dyDescent="0.25">
      <c r="BT508">
        <v>152</v>
      </c>
      <c r="BU508" s="1">
        <v>317</v>
      </c>
      <c r="DH508" s="23">
        <v>-945</v>
      </c>
      <c r="DI508" s="25">
        <v>673</v>
      </c>
      <c r="DL508" s="8">
        <v>-7</v>
      </c>
      <c r="EG508" s="6">
        <v>168</v>
      </c>
      <c r="EH508" s="28">
        <v>91</v>
      </c>
      <c r="EX508" s="8">
        <v>-411</v>
      </c>
      <c r="EY508" s="28">
        <v>816</v>
      </c>
      <c r="FS508" s="8">
        <v>-764</v>
      </c>
      <c r="FT508" s="52">
        <v>93</v>
      </c>
      <c r="GP508" s="6">
        <v>45</v>
      </c>
      <c r="GQ508" s="52">
        <v>226</v>
      </c>
      <c r="GT508" s="6"/>
      <c r="LW508" s="8">
        <v>82</v>
      </c>
      <c r="LX508" s="28">
        <v>79</v>
      </c>
    </row>
    <row r="509" spans="72:336" x14ac:dyDescent="0.25">
      <c r="BT509">
        <v>-351</v>
      </c>
      <c r="BU509" s="1">
        <v>682</v>
      </c>
      <c r="DH509" s="23">
        <v>-205</v>
      </c>
      <c r="DI509" s="25">
        <v>72</v>
      </c>
      <c r="DL509" s="8">
        <v>2</v>
      </c>
      <c r="EG509" s="6">
        <v>247</v>
      </c>
      <c r="EH509" s="28">
        <v>112</v>
      </c>
      <c r="EX509" s="8">
        <v>-496</v>
      </c>
      <c r="EY509" s="28">
        <v>997</v>
      </c>
      <c r="FS509" s="8">
        <v>-823</v>
      </c>
      <c r="FT509" s="52">
        <v>95</v>
      </c>
      <c r="GP509" s="6">
        <v>82</v>
      </c>
      <c r="GQ509" s="52">
        <v>395</v>
      </c>
      <c r="GT509" s="6"/>
      <c r="LW509" s="8">
        <v>-73</v>
      </c>
      <c r="LX509" s="28">
        <v>47</v>
      </c>
    </row>
    <row r="510" spans="72:336" x14ac:dyDescent="0.25">
      <c r="BT510">
        <v>460</v>
      </c>
      <c r="BU510" s="1">
        <v>949</v>
      </c>
      <c r="DH510" s="23">
        <v>-203</v>
      </c>
      <c r="DI510" s="25">
        <v>736</v>
      </c>
      <c r="DL510" s="8">
        <v>-13</v>
      </c>
      <c r="EG510" s="6">
        <v>297</v>
      </c>
      <c r="EH510" s="28">
        <v>99</v>
      </c>
      <c r="EX510" s="8">
        <v>-500</v>
      </c>
      <c r="EY510" s="28">
        <v>997</v>
      </c>
      <c r="FS510" s="8">
        <v>-667</v>
      </c>
      <c r="FT510" s="52">
        <v>92</v>
      </c>
      <c r="GP510" s="6">
        <v>41</v>
      </c>
      <c r="GQ510" s="52">
        <v>336</v>
      </c>
      <c r="GT510" s="6"/>
      <c r="LW510" s="8">
        <v>103</v>
      </c>
      <c r="LX510" s="28">
        <v>68</v>
      </c>
    </row>
    <row r="511" spans="72:336" x14ac:dyDescent="0.25">
      <c r="BT511">
        <v>-142</v>
      </c>
      <c r="BU511" s="1">
        <v>336</v>
      </c>
      <c r="DH511" s="23">
        <v>-219</v>
      </c>
      <c r="DI511" s="25">
        <v>844</v>
      </c>
      <c r="DL511" s="8">
        <v>7</v>
      </c>
      <c r="EG511" s="6">
        <v>344</v>
      </c>
      <c r="EH511" s="28">
        <v>121</v>
      </c>
      <c r="EX511" s="8">
        <v>-499</v>
      </c>
      <c r="EY511" s="28">
        <v>997</v>
      </c>
      <c r="FS511" s="8">
        <v>-774</v>
      </c>
      <c r="FT511" s="52">
        <v>96</v>
      </c>
      <c r="GP511" s="6">
        <v>-23</v>
      </c>
      <c r="GQ511" s="52">
        <v>195</v>
      </c>
      <c r="GT511" s="6"/>
      <c r="LW511" s="8">
        <v>-8</v>
      </c>
      <c r="LX511" s="28">
        <v>64</v>
      </c>
    </row>
    <row r="512" spans="72:336" x14ac:dyDescent="0.25">
      <c r="BT512">
        <v>157</v>
      </c>
      <c r="BU512" s="1">
        <v>123</v>
      </c>
      <c r="DH512" s="23">
        <v>-223</v>
      </c>
      <c r="DI512" s="25">
        <v>936</v>
      </c>
      <c r="DL512" s="8">
        <v>-6</v>
      </c>
      <c r="EG512" s="6">
        <v>428</v>
      </c>
      <c r="EH512" s="28">
        <v>106</v>
      </c>
      <c r="EI512" s="28"/>
      <c r="EX512" s="8">
        <v>-500</v>
      </c>
      <c r="EY512" s="28">
        <v>997</v>
      </c>
      <c r="FS512" s="8">
        <v>-827</v>
      </c>
      <c r="FT512" s="52">
        <v>98</v>
      </c>
      <c r="GP512" s="6">
        <v>38</v>
      </c>
      <c r="GQ512" s="52">
        <v>307</v>
      </c>
      <c r="GT512" s="6"/>
      <c r="LW512" s="8">
        <v>20</v>
      </c>
      <c r="LX512" s="28">
        <v>104</v>
      </c>
    </row>
    <row r="513" spans="72:336" x14ac:dyDescent="0.25">
      <c r="BT513">
        <v>-633</v>
      </c>
      <c r="BU513" s="1">
        <v>656</v>
      </c>
      <c r="DH513" s="23">
        <v>-274</v>
      </c>
      <c r="DI513" s="25">
        <v>104</v>
      </c>
      <c r="DL513" s="8">
        <v>-7</v>
      </c>
      <c r="EG513" s="6">
        <v>474</v>
      </c>
      <c r="EH513" s="28">
        <v>128</v>
      </c>
      <c r="EI513" s="28"/>
      <c r="EX513" s="8">
        <v>-597</v>
      </c>
      <c r="EY513" s="28">
        <v>119</v>
      </c>
      <c r="FS513" s="8">
        <v>544</v>
      </c>
      <c r="FT513" s="52">
        <v>74</v>
      </c>
      <c r="GP513" s="6">
        <v>18</v>
      </c>
      <c r="GQ513" s="52">
        <v>174</v>
      </c>
      <c r="GT513" s="6"/>
      <c r="LW513" s="8">
        <v>-25</v>
      </c>
      <c r="LX513" s="28">
        <v>108</v>
      </c>
    </row>
    <row r="514" spans="72:336" x14ac:dyDescent="0.25">
      <c r="BT514">
        <v>923</v>
      </c>
      <c r="BU514" s="1">
        <v>208</v>
      </c>
      <c r="DH514" s="23">
        <v>155</v>
      </c>
      <c r="DI514" s="25">
        <v>692</v>
      </c>
      <c r="DL514" s="8">
        <v>19</v>
      </c>
      <c r="EG514" s="6">
        <v>153</v>
      </c>
      <c r="EH514" s="28">
        <v>130</v>
      </c>
      <c r="EI514" s="28"/>
      <c r="EX514" s="8">
        <v>-598</v>
      </c>
      <c r="EY514" s="28">
        <v>119</v>
      </c>
      <c r="FS514" s="8">
        <v>665</v>
      </c>
      <c r="FT514" s="52">
        <v>81</v>
      </c>
      <c r="GP514" s="6">
        <v>-14</v>
      </c>
      <c r="GQ514" s="52">
        <v>264</v>
      </c>
      <c r="GT514" s="6"/>
      <c r="LW514" s="8">
        <v>-13</v>
      </c>
      <c r="LX514" s="28">
        <v>221</v>
      </c>
    </row>
    <row r="515" spans="72:336" x14ac:dyDescent="0.25">
      <c r="BT515">
        <v>184</v>
      </c>
      <c r="BU515" s="1">
        <v>203</v>
      </c>
      <c r="DH515" s="23">
        <v>-97</v>
      </c>
      <c r="DI515" s="25">
        <v>18</v>
      </c>
      <c r="DL515" s="8">
        <v>-40</v>
      </c>
      <c r="EG515" s="6">
        <v>105</v>
      </c>
      <c r="EH515" s="28">
        <v>182</v>
      </c>
      <c r="EI515" s="28"/>
      <c r="EX515" s="8">
        <v>-599</v>
      </c>
      <c r="EY515" s="28">
        <v>119</v>
      </c>
      <c r="FS515" s="8">
        <v>730</v>
      </c>
      <c r="FT515" s="52">
        <v>85</v>
      </c>
      <c r="GP515" s="6">
        <v>-8</v>
      </c>
      <c r="GQ515" s="52">
        <v>125</v>
      </c>
      <c r="GT515" s="6"/>
      <c r="LW515" s="8">
        <v>-103</v>
      </c>
      <c r="LX515" s="28">
        <v>156</v>
      </c>
    </row>
    <row r="516" spans="72:336" x14ac:dyDescent="0.25">
      <c r="BT516">
        <v>297</v>
      </c>
      <c r="BU516" s="1">
        <v>109</v>
      </c>
      <c r="DH516" s="23">
        <v>62</v>
      </c>
      <c r="DI516" s="25">
        <v>147</v>
      </c>
      <c r="DL516" s="8">
        <v>-913</v>
      </c>
      <c r="EG516" s="6">
        <v>374</v>
      </c>
      <c r="EH516" s="28">
        <v>270</v>
      </c>
      <c r="EI516" s="28"/>
      <c r="EX516" s="8">
        <v>-599</v>
      </c>
      <c r="EY516" s="28">
        <v>119</v>
      </c>
      <c r="FS516" s="8">
        <v>572</v>
      </c>
      <c r="FT516" s="52">
        <v>79</v>
      </c>
      <c r="GP516" s="6">
        <v>28</v>
      </c>
      <c r="GQ516" s="52">
        <v>233</v>
      </c>
      <c r="GT516" s="6"/>
      <c r="LW516" s="8">
        <v>146</v>
      </c>
      <c r="LX516" s="28">
        <v>102</v>
      </c>
    </row>
    <row r="517" spans="72:336" x14ac:dyDescent="0.25">
      <c r="BT517">
        <v>-189</v>
      </c>
      <c r="BU517" s="1">
        <v>570</v>
      </c>
      <c r="DH517" s="23">
        <v>212</v>
      </c>
      <c r="DI517" s="25">
        <v>247</v>
      </c>
      <c r="DL517" s="8">
        <v>677</v>
      </c>
      <c r="EG517" s="6">
        <v>-121</v>
      </c>
      <c r="EH517" s="28">
        <v>47</v>
      </c>
      <c r="EI517" s="28"/>
      <c r="EX517" s="8">
        <v>-706</v>
      </c>
      <c r="EY517" s="28">
        <v>141</v>
      </c>
      <c r="FS517" s="8">
        <v>679</v>
      </c>
      <c r="FT517" s="52">
        <v>84</v>
      </c>
      <c r="GP517" s="6">
        <v>22</v>
      </c>
      <c r="GQ517" s="52">
        <v>196</v>
      </c>
      <c r="GT517" s="6"/>
      <c r="LW517" s="8">
        <v>-89</v>
      </c>
      <c r="LX517" s="28">
        <v>87</v>
      </c>
    </row>
    <row r="518" spans="72:336" x14ac:dyDescent="0.25">
      <c r="BT518">
        <v>-305</v>
      </c>
      <c r="BU518" s="1">
        <v>214</v>
      </c>
      <c r="DH518" s="23">
        <v>-177</v>
      </c>
      <c r="DI518" s="25">
        <v>24</v>
      </c>
      <c r="DL518" s="8">
        <v>543</v>
      </c>
      <c r="EG518" s="6">
        <v>-55</v>
      </c>
      <c r="EH518" s="28">
        <v>15</v>
      </c>
      <c r="EI518" s="28"/>
      <c r="EX518" s="8">
        <v>-706</v>
      </c>
      <c r="EY518" s="28">
        <v>141</v>
      </c>
      <c r="FS518" s="8">
        <v>737</v>
      </c>
      <c r="FT518" s="52">
        <v>88</v>
      </c>
      <c r="GP518" s="6">
        <v>131</v>
      </c>
      <c r="GQ518" s="52">
        <v>275</v>
      </c>
      <c r="GT518" s="6"/>
      <c r="LW518" s="8">
        <v>-122</v>
      </c>
      <c r="LX518" s="28">
        <v>105</v>
      </c>
    </row>
    <row r="519" spans="72:336" x14ac:dyDescent="0.25">
      <c r="BT519">
        <v>-198</v>
      </c>
      <c r="BU519" s="1">
        <v>199</v>
      </c>
      <c r="DH519" s="23">
        <v>89</v>
      </c>
      <c r="DI519" s="25">
        <v>148</v>
      </c>
      <c r="DL519" s="8">
        <v>405</v>
      </c>
      <c r="EG519" s="6">
        <v>473</v>
      </c>
      <c r="EH519" s="28">
        <v>149</v>
      </c>
      <c r="EI519" s="28"/>
      <c r="EX519" s="8">
        <v>-707</v>
      </c>
      <c r="EY519" s="28">
        <v>141</v>
      </c>
      <c r="FS519" s="8">
        <v>-814</v>
      </c>
      <c r="FT519" s="52">
        <v>88</v>
      </c>
      <c r="GP519" s="6">
        <v>71</v>
      </c>
      <c r="GQ519" s="52">
        <v>172</v>
      </c>
      <c r="GT519" s="6"/>
      <c r="LW519" s="8">
        <v>146</v>
      </c>
      <c r="LX519" s="28">
        <v>106</v>
      </c>
    </row>
    <row r="520" spans="72:336" x14ac:dyDescent="0.25">
      <c r="BT520">
        <v>-75</v>
      </c>
      <c r="BU520" s="1">
        <v>516</v>
      </c>
      <c r="DH520" s="23">
        <v>-608</v>
      </c>
      <c r="DI520" s="25">
        <v>235</v>
      </c>
      <c r="DL520" s="8">
        <v>469</v>
      </c>
      <c r="EG520" s="6">
        <v>519</v>
      </c>
      <c r="EH520" s="28">
        <v>163</v>
      </c>
      <c r="EI520" s="28"/>
      <c r="EX520" s="8">
        <v>-707</v>
      </c>
      <c r="EY520" s="28">
        <v>141</v>
      </c>
      <c r="FS520" s="8">
        <v>-970</v>
      </c>
      <c r="FT520" s="52">
        <v>94</v>
      </c>
      <c r="GP520" s="6">
        <v>54</v>
      </c>
      <c r="GQ520" s="52">
        <v>371</v>
      </c>
      <c r="GT520" s="6"/>
      <c r="LW520" s="8">
        <v>-134</v>
      </c>
      <c r="LX520" s="28">
        <v>107</v>
      </c>
    </row>
    <row r="521" spans="72:336" x14ac:dyDescent="0.25">
      <c r="BT521">
        <v>-97</v>
      </c>
      <c r="BU521" s="1">
        <v>68</v>
      </c>
      <c r="DH521" s="23">
        <v>-686</v>
      </c>
      <c r="DI521" s="25">
        <v>238</v>
      </c>
      <c r="DL521" s="8">
        <v>449</v>
      </c>
      <c r="EG521" s="6">
        <v>116</v>
      </c>
      <c r="EH521" s="28">
        <v>155</v>
      </c>
      <c r="EI521" s="28"/>
      <c r="EX521" s="8">
        <v>-822</v>
      </c>
      <c r="EY521" s="28">
        <v>164</v>
      </c>
      <c r="FS521" s="8">
        <v>-101</v>
      </c>
      <c r="FT521" s="52">
        <v>94</v>
      </c>
      <c r="GP521" s="6">
        <v>56</v>
      </c>
      <c r="GQ521" s="52">
        <v>349</v>
      </c>
      <c r="GT521" s="6"/>
      <c r="LW521" s="8">
        <v>-236</v>
      </c>
      <c r="LX521" s="28">
        <v>150</v>
      </c>
    </row>
    <row r="522" spans="72:336" x14ac:dyDescent="0.25">
      <c r="BT522">
        <v>162</v>
      </c>
      <c r="BU522" s="1">
        <v>744</v>
      </c>
      <c r="DH522" s="23">
        <v>-962</v>
      </c>
      <c r="DI522" s="25">
        <v>245</v>
      </c>
      <c r="DL522" s="8">
        <v>652</v>
      </c>
      <c r="EG522" s="6">
        <v>143</v>
      </c>
      <c r="EH522" s="28">
        <v>173</v>
      </c>
      <c r="EI522" s="28"/>
      <c r="EX522" s="8">
        <v>-823</v>
      </c>
      <c r="EY522" s="28">
        <v>164</v>
      </c>
      <c r="FS522" s="8">
        <v>-797</v>
      </c>
      <c r="FT522" s="52">
        <v>87</v>
      </c>
      <c r="GP522" s="6">
        <v>19</v>
      </c>
      <c r="GQ522" s="52">
        <v>118</v>
      </c>
      <c r="GT522" s="6"/>
      <c r="LW522" s="8">
        <v>-103</v>
      </c>
      <c r="LX522" s="28">
        <v>78</v>
      </c>
    </row>
    <row r="523" spans="72:336" x14ac:dyDescent="0.25">
      <c r="BT523">
        <v>-196</v>
      </c>
      <c r="BU523" s="1">
        <v>203</v>
      </c>
      <c r="DH523" s="23">
        <v>-133</v>
      </c>
      <c r="DI523" s="25">
        <v>256</v>
      </c>
      <c r="DL523" s="8">
        <v>-2</v>
      </c>
      <c r="EG523" s="6">
        <v>235</v>
      </c>
      <c r="EH523" s="28">
        <v>165</v>
      </c>
      <c r="EI523" s="28"/>
      <c r="EX523" s="8">
        <v>-822</v>
      </c>
      <c r="EY523" s="28">
        <v>164</v>
      </c>
      <c r="FS523" s="8">
        <v>-933</v>
      </c>
      <c r="FT523" s="52">
        <v>92</v>
      </c>
      <c r="GP523" s="6">
        <v>17</v>
      </c>
      <c r="GQ523" s="52">
        <v>173</v>
      </c>
      <c r="GT523" s="6"/>
      <c r="LW523" s="8">
        <v>-49</v>
      </c>
      <c r="LX523" s="28">
        <v>73</v>
      </c>
    </row>
    <row r="524" spans="72:336" x14ac:dyDescent="0.25">
      <c r="BT524">
        <v>234</v>
      </c>
      <c r="BU524" s="1">
        <v>191</v>
      </c>
      <c r="DH524" s="23">
        <v>-228</v>
      </c>
      <c r="DI524" s="25">
        <v>279</v>
      </c>
      <c r="DL524" s="8">
        <v>2</v>
      </c>
      <c r="EG524" s="6">
        <v>299</v>
      </c>
      <c r="EH524" s="28">
        <v>180</v>
      </c>
      <c r="EI524" s="28"/>
      <c r="EX524" s="8">
        <v>825</v>
      </c>
      <c r="EY524" s="28">
        <v>164</v>
      </c>
      <c r="FS524" s="8">
        <v>-985</v>
      </c>
      <c r="FT524" s="52">
        <v>92</v>
      </c>
      <c r="GP524" s="6">
        <v>22</v>
      </c>
      <c r="GQ524" s="52">
        <v>243</v>
      </c>
      <c r="GT524" s="6"/>
      <c r="LW524" s="8">
        <v>4</v>
      </c>
      <c r="LX524" s="28">
        <v>25</v>
      </c>
    </row>
    <row r="525" spans="72:336" x14ac:dyDescent="0.25">
      <c r="BT525">
        <v>497</v>
      </c>
      <c r="BU525" s="1">
        <v>798</v>
      </c>
      <c r="DH525" s="23">
        <v>-247</v>
      </c>
      <c r="DI525" s="25">
        <v>293</v>
      </c>
      <c r="DL525" s="8">
        <v>-1</v>
      </c>
      <c r="EG525" s="6">
        <v>359</v>
      </c>
      <c r="EH525" s="28">
        <v>173</v>
      </c>
      <c r="EI525" s="28"/>
      <c r="EX525" s="8">
        <v>-952</v>
      </c>
      <c r="EY525" s="28">
        <v>190</v>
      </c>
      <c r="FS525" s="8">
        <v>837</v>
      </c>
      <c r="FT525" s="52">
        <v>90</v>
      </c>
      <c r="GP525" s="6">
        <v>23</v>
      </c>
      <c r="GQ525" s="52">
        <v>223</v>
      </c>
      <c r="GT525" s="6"/>
      <c r="LW525" s="8">
        <v>7</v>
      </c>
      <c r="LX525" s="28">
        <v>2</v>
      </c>
    </row>
    <row r="526" spans="72:336" x14ac:dyDescent="0.25">
      <c r="BT526">
        <v>-132</v>
      </c>
      <c r="BU526" s="1">
        <v>251</v>
      </c>
      <c r="DH526" s="23">
        <v>-298</v>
      </c>
      <c r="DI526" s="25">
        <v>318</v>
      </c>
      <c r="DL526" s="8">
        <v>10</v>
      </c>
      <c r="EG526" s="6">
        <v>655</v>
      </c>
      <c r="EH526" s="28">
        <v>193</v>
      </c>
      <c r="EI526" s="28"/>
      <c r="EX526" s="8">
        <v>-951</v>
      </c>
      <c r="EY526" s="28">
        <v>190</v>
      </c>
      <c r="FS526" s="8">
        <v>100</v>
      </c>
      <c r="FT526" s="52">
        <v>98</v>
      </c>
      <c r="GP526" s="6">
        <v>123</v>
      </c>
      <c r="GQ526" s="52">
        <v>279</v>
      </c>
      <c r="GT526" s="6"/>
      <c r="LW526" s="8">
        <v>-14</v>
      </c>
      <c r="LX526" s="28">
        <v>69</v>
      </c>
    </row>
    <row r="527" spans="72:336" x14ac:dyDescent="0.25">
      <c r="BT527">
        <v>802</v>
      </c>
      <c r="BU527" s="1">
        <v>141</v>
      </c>
      <c r="DH527" s="23">
        <v>174</v>
      </c>
      <c r="DI527" s="25">
        <v>249</v>
      </c>
      <c r="DL527" s="8">
        <v>5</v>
      </c>
      <c r="EX527" s="8">
        <v>-950</v>
      </c>
      <c r="EY527" s="28">
        <v>190</v>
      </c>
      <c r="FS527" s="8">
        <v>104</v>
      </c>
      <c r="FT527" s="52">
        <v>97</v>
      </c>
      <c r="GP527" s="6">
        <v>103</v>
      </c>
      <c r="GQ527" s="52">
        <v>285</v>
      </c>
      <c r="GT527" s="6"/>
      <c r="LW527" s="8">
        <v>-48</v>
      </c>
      <c r="LX527" s="28">
        <v>57</v>
      </c>
    </row>
    <row r="528" spans="72:336" x14ac:dyDescent="0.25">
      <c r="BT528">
        <v>473</v>
      </c>
      <c r="BU528" s="1">
        <v>566</v>
      </c>
      <c r="DH528" s="23">
        <v>-32</v>
      </c>
      <c r="DI528" s="25">
        <v>39</v>
      </c>
      <c r="DL528" s="8">
        <v>-6</v>
      </c>
      <c r="EX528" s="8">
        <v>-951</v>
      </c>
      <c r="EY528" s="28">
        <v>190</v>
      </c>
      <c r="FS528" s="8">
        <v>818</v>
      </c>
      <c r="FT528" s="52">
        <v>89</v>
      </c>
      <c r="GP528" s="6">
        <v>49</v>
      </c>
      <c r="GQ528" s="52">
        <v>447</v>
      </c>
      <c r="GT528" s="6"/>
      <c r="LW528" s="8">
        <v>-38</v>
      </c>
      <c r="LX528" s="28">
        <v>34</v>
      </c>
    </row>
    <row r="529" spans="72:336" x14ac:dyDescent="0.25">
      <c r="BT529">
        <v>339</v>
      </c>
      <c r="BU529" s="1">
        <v>507</v>
      </c>
      <c r="DH529" s="23">
        <v>-133</v>
      </c>
      <c r="DI529" s="25">
        <v>189</v>
      </c>
      <c r="DL529" s="8">
        <v>3</v>
      </c>
      <c r="EX529" s="8">
        <v>-108</v>
      </c>
      <c r="EY529" s="28">
        <v>217</v>
      </c>
      <c r="FS529" s="8">
        <v>965</v>
      </c>
      <c r="FT529" s="52">
        <v>95</v>
      </c>
      <c r="GP529" s="6">
        <v>12</v>
      </c>
      <c r="GQ529" s="52">
        <v>107</v>
      </c>
      <c r="GT529" s="6"/>
      <c r="LW529" s="8">
        <v>40</v>
      </c>
      <c r="LX529" s="28">
        <v>63</v>
      </c>
    </row>
    <row r="530" spans="72:336" x14ac:dyDescent="0.25">
      <c r="BT530">
        <v>285</v>
      </c>
      <c r="BU530" s="1">
        <v>234</v>
      </c>
      <c r="DH530" s="23">
        <v>-608</v>
      </c>
      <c r="DI530" s="25">
        <v>257</v>
      </c>
      <c r="DL530" s="8">
        <v>-7</v>
      </c>
      <c r="EX530" s="8">
        <v>-108</v>
      </c>
      <c r="EY530" s="28">
        <v>217</v>
      </c>
      <c r="FS530" s="8">
        <v>101</v>
      </c>
      <c r="FT530" s="52">
        <v>95</v>
      </c>
      <c r="GP530" s="6">
        <v>46</v>
      </c>
      <c r="GQ530" s="52">
        <v>396</v>
      </c>
      <c r="GT530" s="6"/>
      <c r="LW530" s="8">
        <v>-43</v>
      </c>
      <c r="LX530" s="28">
        <v>91</v>
      </c>
    </row>
    <row r="531" spans="72:336" x14ac:dyDescent="0.25">
      <c r="BT531">
        <v>-128</v>
      </c>
      <c r="BU531" s="1">
        <v>133</v>
      </c>
      <c r="DH531" s="23">
        <v>-502</v>
      </c>
      <c r="DI531" s="25">
        <v>256</v>
      </c>
      <c r="DL531" s="8">
        <v>7</v>
      </c>
      <c r="EX531" s="8">
        <v>-108</v>
      </c>
      <c r="EY531" s="28">
        <v>217</v>
      </c>
      <c r="GP531" s="6">
        <v>-159</v>
      </c>
      <c r="GQ531" s="52">
        <v>104</v>
      </c>
      <c r="LW531" s="8">
        <v>-112</v>
      </c>
      <c r="LX531" s="28">
        <v>69</v>
      </c>
    </row>
    <row r="532" spans="72:336" x14ac:dyDescent="0.25">
      <c r="BT532">
        <v>930</v>
      </c>
      <c r="BU532" s="1">
        <v>522</v>
      </c>
      <c r="DH532" s="23">
        <v>-766</v>
      </c>
      <c r="DI532" s="25">
        <v>266</v>
      </c>
      <c r="DL532" s="8">
        <v>-7</v>
      </c>
      <c r="EX532" s="8">
        <v>-108</v>
      </c>
      <c r="EY532" s="28">
        <v>217</v>
      </c>
      <c r="GP532" s="6">
        <v>58</v>
      </c>
      <c r="GQ532" s="52">
        <v>181</v>
      </c>
      <c r="LW532" s="8">
        <v>-82</v>
      </c>
      <c r="LX532" s="28">
        <v>56</v>
      </c>
    </row>
    <row r="533" spans="72:336" x14ac:dyDescent="0.25">
      <c r="BT533">
        <v>-451</v>
      </c>
      <c r="BU533" s="1">
        <v>503</v>
      </c>
      <c r="DH533" s="23">
        <v>-694</v>
      </c>
      <c r="DI533" s="25">
        <v>273</v>
      </c>
      <c r="DL533" s="8">
        <v>2</v>
      </c>
      <c r="EX533" s="8">
        <v>-101</v>
      </c>
      <c r="EY533" s="28">
        <v>384</v>
      </c>
      <c r="GP533" s="6">
        <v>87</v>
      </c>
      <c r="GQ533" s="52">
        <v>332</v>
      </c>
      <c r="LW533" s="8">
        <v>-55</v>
      </c>
      <c r="LX533" s="28">
        <v>132</v>
      </c>
    </row>
    <row r="534" spans="72:336" x14ac:dyDescent="0.25">
      <c r="BT534">
        <v>597</v>
      </c>
      <c r="BU534" s="1">
        <v>129</v>
      </c>
      <c r="DH534" s="23">
        <v>-103</v>
      </c>
      <c r="DI534" s="25">
        <v>324</v>
      </c>
      <c r="DL534" s="8">
        <v>31</v>
      </c>
      <c r="EX534" s="8">
        <v>7</v>
      </c>
      <c r="EY534" s="28">
        <v>1</v>
      </c>
      <c r="GP534" s="6">
        <v>66</v>
      </c>
      <c r="GQ534" s="52">
        <v>4</v>
      </c>
      <c r="LW534" s="8">
        <v>42</v>
      </c>
      <c r="LX534" s="28">
        <v>97</v>
      </c>
    </row>
    <row r="535" spans="72:336" x14ac:dyDescent="0.25">
      <c r="BT535">
        <v>373</v>
      </c>
      <c r="BU535" s="1">
        <v>260</v>
      </c>
      <c r="DH535" s="23">
        <v>-945</v>
      </c>
      <c r="DI535" s="25">
        <v>364</v>
      </c>
      <c r="DL535" s="8">
        <v>-38</v>
      </c>
      <c r="EX535" s="8">
        <v>-232</v>
      </c>
      <c r="EY535" s="28">
        <v>456</v>
      </c>
      <c r="GP535" s="6">
        <v>295</v>
      </c>
      <c r="GQ535" s="52">
        <v>41</v>
      </c>
      <c r="LW535" s="8">
        <v>1</v>
      </c>
      <c r="LX535" s="28">
        <v>61</v>
      </c>
    </row>
    <row r="536" spans="72:336" x14ac:dyDescent="0.25">
      <c r="BT536">
        <v>-838</v>
      </c>
      <c r="BU536" s="1">
        <v>138</v>
      </c>
      <c r="DH536" s="23">
        <v>-117</v>
      </c>
      <c r="DI536" s="25">
        <v>412</v>
      </c>
      <c r="DL536" s="8">
        <v>-813</v>
      </c>
      <c r="EX536" s="8">
        <v>473</v>
      </c>
      <c r="EY536" s="28">
        <v>902</v>
      </c>
      <c r="GP536" s="6">
        <v>-413</v>
      </c>
      <c r="GQ536" s="52">
        <v>148</v>
      </c>
      <c r="LW536" s="8">
        <v>-23</v>
      </c>
      <c r="LX536" s="28">
        <v>58</v>
      </c>
    </row>
    <row r="537" spans="72:336" x14ac:dyDescent="0.25">
      <c r="BT537">
        <v>122</v>
      </c>
      <c r="BU537" s="1">
        <v>311</v>
      </c>
      <c r="DH537" s="23">
        <v>137</v>
      </c>
      <c r="DI537" s="25">
        <v>246</v>
      </c>
      <c r="DL537" s="8">
        <v>662</v>
      </c>
      <c r="EX537" s="8">
        <v>-193</v>
      </c>
      <c r="EY537" s="28">
        <v>617</v>
      </c>
      <c r="GP537" s="6">
        <v>795</v>
      </c>
      <c r="GQ537" s="52">
        <v>64</v>
      </c>
      <c r="LW537" s="8">
        <v>-43</v>
      </c>
      <c r="LX537" s="28">
        <v>60</v>
      </c>
    </row>
    <row r="538" spans="72:336" x14ac:dyDescent="0.25">
      <c r="BT538">
        <v>371</v>
      </c>
      <c r="BU538" s="1">
        <v>304</v>
      </c>
      <c r="DH538" s="23">
        <v>-174</v>
      </c>
      <c r="DI538" s="25">
        <v>472</v>
      </c>
      <c r="DL538" s="8">
        <v>497</v>
      </c>
      <c r="EX538" s="8">
        <v>-239</v>
      </c>
      <c r="EY538" s="28">
        <v>555</v>
      </c>
      <c r="GP538" s="6">
        <v>209</v>
      </c>
      <c r="GQ538" s="52">
        <v>133</v>
      </c>
      <c r="LW538" s="8">
        <v>-81</v>
      </c>
      <c r="LX538" s="28">
        <v>87</v>
      </c>
    </row>
    <row r="539" spans="72:336" x14ac:dyDescent="0.25">
      <c r="BT539">
        <v>175</v>
      </c>
      <c r="BU539" s="1">
        <v>154</v>
      </c>
      <c r="DH539" s="23">
        <v>-173</v>
      </c>
      <c r="DI539" s="25">
        <v>207</v>
      </c>
      <c r="DL539" s="8">
        <v>430</v>
      </c>
      <c r="EX539" s="8">
        <v>-249</v>
      </c>
      <c r="EY539" s="28">
        <v>569</v>
      </c>
      <c r="GP539" s="8">
        <f>678</f>
        <v>678</v>
      </c>
      <c r="GQ539" s="52">
        <v>146</v>
      </c>
      <c r="LW539" s="8">
        <v>-122</v>
      </c>
      <c r="LX539" s="28">
        <v>75</v>
      </c>
    </row>
    <row r="540" spans="72:336" x14ac:dyDescent="0.25">
      <c r="BT540">
        <v>-281</v>
      </c>
      <c r="BU540" s="1">
        <v>525</v>
      </c>
      <c r="DH540" s="23">
        <v>366</v>
      </c>
      <c r="DI540" s="25">
        <v>343</v>
      </c>
      <c r="DL540" s="8">
        <v>478</v>
      </c>
      <c r="EX540" s="8">
        <v>-191</v>
      </c>
      <c r="EY540" s="28">
        <v>613</v>
      </c>
      <c r="GP540" s="6">
        <v>158</v>
      </c>
      <c r="GQ540" s="52">
        <v>18</v>
      </c>
      <c r="LW540" s="8">
        <v>56</v>
      </c>
      <c r="LX540" s="28">
        <v>73</v>
      </c>
    </row>
    <row r="541" spans="72:336" x14ac:dyDescent="0.25">
      <c r="BT541">
        <v>217</v>
      </c>
      <c r="BU541" s="1">
        <v>304</v>
      </c>
      <c r="DH541" s="23">
        <v>-250</v>
      </c>
      <c r="DI541" s="25">
        <v>579</v>
      </c>
      <c r="DL541" s="8">
        <v>438</v>
      </c>
      <c r="EX541" s="8">
        <v>-559</v>
      </c>
      <c r="EY541" s="28">
        <v>107</v>
      </c>
      <c r="GP541" s="6">
        <v>-238</v>
      </c>
      <c r="GQ541" s="52">
        <v>356</v>
      </c>
      <c r="LW541" s="8">
        <v>-1</v>
      </c>
      <c r="LX541" s="28">
        <v>45</v>
      </c>
    </row>
    <row r="542" spans="72:336" x14ac:dyDescent="0.25">
      <c r="BT542">
        <v>198</v>
      </c>
      <c r="BU542" s="1">
        <v>108</v>
      </c>
      <c r="DH542" s="23">
        <v>-194</v>
      </c>
      <c r="DI542" s="25">
        <v>207</v>
      </c>
      <c r="DL542" s="8">
        <v>635</v>
      </c>
      <c r="EX542" s="8">
        <v>-632</v>
      </c>
      <c r="EY542" s="28">
        <v>107</v>
      </c>
      <c r="GP542" s="6">
        <v>-74</v>
      </c>
      <c r="GQ542" s="52">
        <v>18</v>
      </c>
    </row>
    <row r="543" spans="72:336" x14ac:dyDescent="0.25">
      <c r="BT543">
        <v>709</v>
      </c>
      <c r="BU543" s="1">
        <v>102</v>
      </c>
      <c r="DH543" s="23">
        <v>-183</v>
      </c>
      <c r="DI543" s="25">
        <v>700</v>
      </c>
      <c r="DL543" s="8">
        <v>-2</v>
      </c>
      <c r="EX543" s="8">
        <v>-536</v>
      </c>
      <c r="EY543" s="28">
        <v>109</v>
      </c>
      <c r="GP543" s="6">
        <v>140</v>
      </c>
      <c r="GQ543" s="52">
        <v>153</v>
      </c>
    </row>
    <row r="544" spans="72:336" x14ac:dyDescent="0.25">
      <c r="BT544">
        <v>884</v>
      </c>
      <c r="BU544" s="1">
        <v>482</v>
      </c>
      <c r="DH544" s="23">
        <v>-145</v>
      </c>
      <c r="DI544" s="25">
        <v>708</v>
      </c>
      <c r="DL544" s="8">
        <v>2</v>
      </c>
      <c r="EX544" s="8">
        <v>-580</v>
      </c>
      <c r="EY544" s="28">
        <v>107</v>
      </c>
      <c r="GP544" s="6">
        <v>-244</v>
      </c>
      <c r="GQ544" s="52">
        <v>214</v>
      </c>
    </row>
    <row r="545" spans="72:199" x14ac:dyDescent="0.25">
      <c r="BT545">
        <v>-478</v>
      </c>
      <c r="BU545" s="1">
        <v>282</v>
      </c>
      <c r="DH545" s="23">
        <v>-325</v>
      </c>
      <c r="DI545" s="25">
        <v>749</v>
      </c>
      <c r="DL545" s="8">
        <v>9</v>
      </c>
      <c r="EX545" s="8">
        <v>-898</v>
      </c>
      <c r="EY545" s="28">
        <v>179</v>
      </c>
      <c r="GP545" s="6">
        <v>148</v>
      </c>
      <c r="GQ545" s="52">
        <v>157</v>
      </c>
    </row>
    <row r="546" spans="72:199" x14ac:dyDescent="0.25">
      <c r="BT546">
        <v>-532</v>
      </c>
      <c r="BU546" s="1">
        <v>105</v>
      </c>
      <c r="DH546" s="23">
        <v>-972</v>
      </c>
      <c r="DI546" s="25">
        <v>755</v>
      </c>
      <c r="DL546" s="8">
        <v>5</v>
      </c>
      <c r="EX546" s="8">
        <v>-940</v>
      </c>
      <c r="EY546" s="28">
        <v>179</v>
      </c>
      <c r="GP546" s="6">
        <v>-655</v>
      </c>
      <c r="GQ546" s="52">
        <v>63</v>
      </c>
    </row>
    <row r="547" spans="72:199" x14ac:dyDescent="0.25">
      <c r="BT547">
        <v>727</v>
      </c>
      <c r="BU547" s="1">
        <v>979</v>
      </c>
      <c r="DH547" s="23">
        <v>-123</v>
      </c>
      <c r="DI547" s="25">
        <v>806</v>
      </c>
      <c r="DL547" s="8">
        <v>-6</v>
      </c>
      <c r="EX547" s="8">
        <v>-926</v>
      </c>
      <c r="EY547" s="28">
        <v>179</v>
      </c>
      <c r="GP547" s="6">
        <v>-195</v>
      </c>
      <c r="GQ547" s="52">
        <v>139</v>
      </c>
    </row>
    <row r="548" spans="72:199" x14ac:dyDescent="0.25">
      <c r="BT548">
        <v>-109</v>
      </c>
      <c r="BU548" s="1">
        <v>313</v>
      </c>
      <c r="DH548" s="23">
        <v>-223</v>
      </c>
      <c r="DI548" s="25">
        <v>806</v>
      </c>
      <c r="DL548" s="8">
        <v>2</v>
      </c>
      <c r="EX548" s="8">
        <v>-924</v>
      </c>
      <c r="EY548" s="28">
        <v>179</v>
      </c>
      <c r="GP548" s="6">
        <v>368</v>
      </c>
      <c r="GQ548" s="52">
        <v>1</v>
      </c>
    </row>
    <row r="549" spans="72:199" x14ac:dyDescent="0.25">
      <c r="BT549">
        <v>-788</v>
      </c>
      <c r="BU549" s="1">
        <v>165</v>
      </c>
      <c r="DH549" s="23">
        <v>-307</v>
      </c>
      <c r="DI549" s="25">
        <v>856</v>
      </c>
      <c r="DL549" s="8">
        <v>-7</v>
      </c>
      <c r="EX549" s="8">
        <v>-138</v>
      </c>
      <c r="EY549" s="28">
        <v>269</v>
      </c>
      <c r="GP549" s="6">
        <v>-298</v>
      </c>
      <c r="GQ549" s="52">
        <v>67</v>
      </c>
    </row>
    <row r="550" spans="72:199" x14ac:dyDescent="0.25">
      <c r="BT550">
        <v>-551</v>
      </c>
      <c r="BU550" s="1">
        <v>196</v>
      </c>
      <c r="DH550" s="23">
        <v>581</v>
      </c>
      <c r="DI550" s="25">
        <v>351</v>
      </c>
      <c r="DL550" s="8">
        <v>8</v>
      </c>
      <c r="EX550" s="8">
        <v>-140</v>
      </c>
      <c r="EY550" s="28">
        <v>269</v>
      </c>
      <c r="GP550" s="6">
        <v>-379</v>
      </c>
      <c r="GQ550" s="52">
        <v>78</v>
      </c>
    </row>
    <row r="551" spans="72:199" x14ac:dyDescent="0.25">
      <c r="BT551">
        <v>-90</v>
      </c>
      <c r="BU551" s="1">
        <v>626</v>
      </c>
      <c r="DH551" s="23">
        <v>-107</v>
      </c>
      <c r="DI551" s="25">
        <v>122</v>
      </c>
      <c r="DL551" s="8">
        <v>-7</v>
      </c>
      <c r="EX551" s="8">
        <v>-141</v>
      </c>
      <c r="EY551" s="28">
        <v>269</v>
      </c>
      <c r="GP551" s="6">
        <v>-807</v>
      </c>
      <c r="GQ551" s="52">
        <v>45</v>
      </c>
    </row>
    <row r="552" spans="72:199" x14ac:dyDescent="0.25">
      <c r="BT552">
        <v>-241</v>
      </c>
      <c r="BU552" s="1">
        <v>891</v>
      </c>
      <c r="DH552" s="23">
        <v>287</v>
      </c>
      <c r="DI552" s="25">
        <v>328</v>
      </c>
      <c r="DL552" s="8">
        <v>3</v>
      </c>
      <c r="EX552" s="8">
        <v>-142</v>
      </c>
      <c r="EY552" s="28">
        <v>269</v>
      </c>
      <c r="GP552" s="6">
        <v>923</v>
      </c>
      <c r="GQ552" s="52">
        <v>123</v>
      </c>
    </row>
    <row r="553" spans="72:199" x14ac:dyDescent="0.25">
      <c r="BT553">
        <v>311</v>
      </c>
      <c r="BU553" s="1">
        <v>229</v>
      </c>
      <c r="DH553" s="23">
        <v>-126</v>
      </c>
      <c r="DI553" s="25">
        <v>817</v>
      </c>
      <c r="DL553" s="8">
        <v>35</v>
      </c>
      <c r="EX553" s="8">
        <v>-199</v>
      </c>
      <c r="EY553" s="28">
        <v>378</v>
      </c>
      <c r="GP553" s="6">
        <v>-301</v>
      </c>
      <c r="GQ553" s="52">
        <v>44</v>
      </c>
    </row>
    <row r="554" spans="72:199" x14ac:dyDescent="0.25">
      <c r="BT554">
        <v>-208</v>
      </c>
      <c r="BU554" s="1">
        <v>687</v>
      </c>
      <c r="DH554" s="23">
        <v>227</v>
      </c>
      <c r="DI554" s="25">
        <v>863</v>
      </c>
      <c r="DL554" s="8">
        <v>-38</v>
      </c>
      <c r="EX554" s="8">
        <v>-197</v>
      </c>
      <c r="EY554" s="28">
        <v>378</v>
      </c>
      <c r="GP554" s="6">
        <v>145</v>
      </c>
      <c r="GQ554" s="52">
        <v>160</v>
      </c>
    </row>
    <row r="555" spans="72:199" x14ac:dyDescent="0.25">
      <c r="BT555">
        <v>-144</v>
      </c>
      <c r="BU555" s="1">
        <v>340</v>
      </c>
      <c r="DH555" s="23">
        <v>-351</v>
      </c>
      <c r="DI555" s="25">
        <v>915</v>
      </c>
      <c r="DL555" s="8">
        <v>-845</v>
      </c>
      <c r="EX555" s="8">
        <v>-200</v>
      </c>
      <c r="EY555" s="28">
        <v>378</v>
      </c>
      <c r="GP555" s="6">
        <v>-432</v>
      </c>
      <c r="GQ555" s="52">
        <v>94</v>
      </c>
    </row>
    <row r="556" spans="72:199" x14ac:dyDescent="0.25">
      <c r="BT556">
        <v>786</v>
      </c>
      <c r="BU556" s="1">
        <v>178</v>
      </c>
      <c r="DH556" s="23">
        <v>-583</v>
      </c>
      <c r="DI556" s="25">
        <v>935</v>
      </c>
      <c r="DL556" s="8">
        <v>426</v>
      </c>
      <c r="EX556" s="8">
        <v>-197</v>
      </c>
      <c r="EY556" s="28">
        <v>378</v>
      </c>
      <c r="GP556" s="6">
        <v>-21</v>
      </c>
      <c r="GQ556" s="52">
        <v>34</v>
      </c>
    </row>
    <row r="557" spans="72:199" x14ac:dyDescent="0.25">
      <c r="BT557">
        <v>-105</v>
      </c>
      <c r="BU557" s="1">
        <v>465</v>
      </c>
      <c r="DH557" s="23">
        <v>-640</v>
      </c>
      <c r="DI557" s="25">
        <v>105</v>
      </c>
      <c r="DL557" s="8">
        <v>317</v>
      </c>
      <c r="EX557" s="8">
        <v>-263</v>
      </c>
      <c r="EY557" s="28">
        <v>505</v>
      </c>
      <c r="GP557" s="6">
        <v>-119</v>
      </c>
      <c r="GQ557" s="52">
        <v>69</v>
      </c>
    </row>
    <row r="558" spans="72:199" x14ac:dyDescent="0.25">
      <c r="BT558">
        <v>138</v>
      </c>
      <c r="BU558" s="1">
        <v>464</v>
      </c>
      <c r="DH558" s="23">
        <v>-864</v>
      </c>
      <c r="DI558" s="25">
        <v>115</v>
      </c>
      <c r="DL558" s="8">
        <v>244</v>
      </c>
      <c r="EX558" s="8">
        <v>-265</v>
      </c>
      <c r="EY558" s="28">
        <v>504</v>
      </c>
      <c r="GP558" s="6">
        <v>-447</v>
      </c>
      <c r="GQ558" s="52">
        <v>60</v>
      </c>
    </row>
    <row r="559" spans="72:199" x14ac:dyDescent="0.25">
      <c r="BT559">
        <v>538</v>
      </c>
      <c r="BU559" s="1">
        <v>285</v>
      </c>
      <c r="DH559" s="23">
        <v>-147</v>
      </c>
      <c r="DI559" s="25">
        <v>130</v>
      </c>
      <c r="DL559" s="8">
        <v>299</v>
      </c>
      <c r="EX559" s="8">
        <v>-266</v>
      </c>
      <c r="EY559" s="28">
        <v>504</v>
      </c>
      <c r="GP559" s="6">
        <v>-134</v>
      </c>
      <c r="GQ559" s="52">
        <v>121</v>
      </c>
    </row>
    <row r="560" spans="72:199" x14ac:dyDescent="0.25">
      <c r="BT560">
        <v>-409</v>
      </c>
      <c r="BU560" s="1">
        <v>141</v>
      </c>
      <c r="DH560" s="23">
        <v>-259</v>
      </c>
      <c r="DI560" s="25">
        <v>475</v>
      </c>
      <c r="DL560" s="8">
        <v>259</v>
      </c>
      <c r="EX560" s="8">
        <v>-268</v>
      </c>
      <c r="EY560" s="28">
        <v>503</v>
      </c>
      <c r="GP560" s="6">
        <v>-81</v>
      </c>
      <c r="GQ560" s="52">
        <v>48</v>
      </c>
    </row>
    <row r="561" spans="72:199" x14ac:dyDescent="0.25">
      <c r="BT561">
        <v>-178</v>
      </c>
      <c r="BU561" s="1">
        <v>393</v>
      </c>
      <c r="DH561" s="23">
        <v>-31</v>
      </c>
      <c r="DI561" s="25">
        <v>10</v>
      </c>
      <c r="DL561" s="8">
        <v>416</v>
      </c>
      <c r="EX561" s="8">
        <v>-344</v>
      </c>
      <c r="EY561" s="28">
        <v>649</v>
      </c>
      <c r="GP561" s="6">
        <v>-69</v>
      </c>
      <c r="GQ561" s="52">
        <v>85</v>
      </c>
    </row>
    <row r="562" spans="72:199" x14ac:dyDescent="0.25">
      <c r="BT562">
        <v>140</v>
      </c>
      <c r="BU562" s="1">
        <v>445</v>
      </c>
      <c r="DH562" s="23">
        <v>-47</v>
      </c>
      <c r="DI562" s="25">
        <v>37</v>
      </c>
      <c r="DL562" s="8">
        <v>-2</v>
      </c>
      <c r="EX562" s="8">
        <v>-343</v>
      </c>
      <c r="EY562" s="28">
        <v>649</v>
      </c>
      <c r="GP562" s="6">
        <v>193</v>
      </c>
      <c r="GQ562" s="52">
        <v>382</v>
      </c>
    </row>
    <row r="563" spans="72:199" x14ac:dyDescent="0.25">
      <c r="BT563">
        <v>193</v>
      </c>
      <c r="BU563" s="1">
        <v>336</v>
      </c>
      <c r="DH563" s="23">
        <v>862</v>
      </c>
      <c r="DI563" s="25">
        <v>617</v>
      </c>
      <c r="DL563" s="8">
        <v>2</v>
      </c>
      <c r="EX563" s="8">
        <v>-344</v>
      </c>
      <c r="EY563" s="28">
        <v>649</v>
      </c>
      <c r="GP563" s="6">
        <v>-57</v>
      </c>
      <c r="GQ563" s="52">
        <v>146</v>
      </c>
    </row>
    <row r="564" spans="72:199" x14ac:dyDescent="0.25">
      <c r="BT564">
        <v>327</v>
      </c>
      <c r="BU564" s="1">
        <v>43</v>
      </c>
      <c r="DH564" s="23">
        <v>-48</v>
      </c>
      <c r="DI564" s="25">
        <v>12</v>
      </c>
      <c r="DL564" s="8">
        <v>-28</v>
      </c>
      <c r="EX564" s="8">
        <v>-343</v>
      </c>
      <c r="EY564" s="28">
        <v>649</v>
      </c>
      <c r="GP564" s="6">
        <v>97</v>
      </c>
      <c r="GQ564" s="52">
        <v>112</v>
      </c>
    </row>
    <row r="565" spans="72:199" x14ac:dyDescent="0.25">
      <c r="BT565">
        <v>103</v>
      </c>
      <c r="BU565" s="1">
        <v>547</v>
      </c>
      <c r="DH565" s="23">
        <v>-52</v>
      </c>
      <c r="DI565" s="25">
        <v>38</v>
      </c>
      <c r="DL565" s="8">
        <v>2</v>
      </c>
      <c r="EX565" s="8">
        <v>-429</v>
      </c>
      <c r="EY565" s="28">
        <v>811</v>
      </c>
      <c r="GP565" s="6">
        <v>32</v>
      </c>
      <c r="GQ565" s="52">
        <v>39</v>
      </c>
    </row>
    <row r="566" spans="72:199" x14ac:dyDescent="0.25">
      <c r="BT566">
        <v>-203</v>
      </c>
      <c r="BU566" s="1">
        <v>284</v>
      </c>
      <c r="DH566" s="23">
        <v>-336</v>
      </c>
      <c r="DI566" s="25">
        <v>144</v>
      </c>
      <c r="DL566" s="8">
        <v>10</v>
      </c>
      <c r="EX566" s="8">
        <v>-424</v>
      </c>
      <c r="EY566" s="28">
        <v>811</v>
      </c>
      <c r="GP566" s="6">
        <v>-16</v>
      </c>
      <c r="GQ566" s="52">
        <v>12</v>
      </c>
    </row>
    <row r="567" spans="72:199" x14ac:dyDescent="0.25">
      <c r="BT567">
        <v>-537</v>
      </c>
      <c r="BU567" s="1">
        <v>324</v>
      </c>
      <c r="DH567" s="23">
        <v>247</v>
      </c>
      <c r="DI567" s="25">
        <v>146</v>
      </c>
      <c r="DL567" s="8">
        <v>-5</v>
      </c>
      <c r="EX567" s="8">
        <v>-430</v>
      </c>
      <c r="EY567" s="28">
        <v>811</v>
      </c>
      <c r="GP567" s="6">
        <v>48</v>
      </c>
      <c r="GQ567" s="52">
        <v>50</v>
      </c>
    </row>
    <row r="568" spans="72:199" x14ac:dyDescent="0.25">
      <c r="BT568">
        <v>-177</v>
      </c>
      <c r="BU568" s="1">
        <v>246</v>
      </c>
      <c r="DH568" s="23">
        <v>263</v>
      </c>
      <c r="DI568" s="25">
        <v>157</v>
      </c>
      <c r="DL568" s="8">
        <v>10</v>
      </c>
      <c r="EX568" s="8">
        <v>-431</v>
      </c>
      <c r="EY568" s="28">
        <v>811</v>
      </c>
      <c r="GP568" s="6">
        <v>131</v>
      </c>
      <c r="GQ568" s="52">
        <v>106</v>
      </c>
    </row>
    <row r="569" spans="72:199" x14ac:dyDescent="0.25">
      <c r="BT569">
        <v>142</v>
      </c>
      <c r="BU569" s="1">
        <v>818</v>
      </c>
      <c r="DH569" s="23">
        <v>-139</v>
      </c>
      <c r="DI569" s="25">
        <v>159</v>
      </c>
      <c r="DL569" s="8">
        <v>-8</v>
      </c>
      <c r="EX569" s="8">
        <v>-521</v>
      </c>
      <c r="EY569" s="28">
        <v>992</v>
      </c>
      <c r="GP569" s="6">
        <v>-781</v>
      </c>
      <c r="GQ569" s="52">
        <v>1</v>
      </c>
    </row>
    <row r="570" spans="72:199" x14ac:dyDescent="0.25">
      <c r="BT570">
        <v>-688</v>
      </c>
      <c r="BU570" s="1">
        <v>136</v>
      </c>
      <c r="DH570" s="23">
        <v>-252</v>
      </c>
      <c r="DI570" s="25">
        <v>166</v>
      </c>
      <c r="DL570" s="8">
        <v>-53</v>
      </c>
      <c r="EX570" s="8">
        <v>-525</v>
      </c>
      <c r="EY570" s="28">
        <v>992</v>
      </c>
      <c r="GP570" s="6">
        <v>-96</v>
      </c>
      <c r="GQ570" s="52">
        <v>37</v>
      </c>
    </row>
    <row r="571" spans="72:199" x14ac:dyDescent="0.25">
      <c r="BT571">
        <v>-967</v>
      </c>
      <c r="BU571" s="1">
        <v>259</v>
      </c>
      <c r="DH571" s="23">
        <v>-457</v>
      </c>
      <c r="DI571" s="25">
        <v>162</v>
      </c>
      <c r="DL571" s="8">
        <v>-14</v>
      </c>
      <c r="EX571" s="8">
        <v>-524</v>
      </c>
      <c r="EY571" s="28">
        <v>992</v>
      </c>
      <c r="GP571" s="6">
        <v>-17</v>
      </c>
      <c r="GQ571" s="52">
        <v>9</v>
      </c>
    </row>
    <row r="572" spans="72:199" x14ac:dyDescent="0.25">
      <c r="BT572">
        <v>-165</v>
      </c>
      <c r="BU572" s="1">
        <v>879</v>
      </c>
      <c r="DH572" s="23">
        <v>-613</v>
      </c>
      <c r="DI572" s="25">
        <v>173</v>
      </c>
      <c r="DL572" s="8">
        <v>-54</v>
      </c>
      <c r="EX572" s="8">
        <v>-525</v>
      </c>
      <c r="EY572" s="28">
        <v>992</v>
      </c>
      <c r="GP572" s="6">
        <v>193</v>
      </c>
      <c r="GQ572" s="52">
        <v>96</v>
      </c>
    </row>
    <row r="573" spans="72:199" x14ac:dyDescent="0.25">
      <c r="BT573">
        <v>740</v>
      </c>
      <c r="BU573" s="1">
        <v>389</v>
      </c>
      <c r="DH573" s="23">
        <v>129</v>
      </c>
      <c r="DI573" s="25">
        <v>647</v>
      </c>
      <c r="DL573" s="8">
        <v>-1</v>
      </c>
      <c r="EX573" s="8">
        <v>-627</v>
      </c>
      <c r="EY573" s="28">
        <v>119</v>
      </c>
      <c r="GP573" s="6">
        <v>2</v>
      </c>
      <c r="GQ573" s="52">
        <v>2</v>
      </c>
    </row>
    <row r="574" spans="72:199" x14ac:dyDescent="0.25">
      <c r="BT574">
        <v>-450</v>
      </c>
      <c r="BU574" s="1">
        <v>204</v>
      </c>
      <c r="DH574" s="23">
        <v>-26</v>
      </c>
      <c r="DI574" s="25">
        <v>24</v>
      </c>
      <c r="DL574" s="8">
        <v>4</v>
      </c>
      <c r="EX574" s="8">
        <v>-628</v>
      </c>
      <c r="EY574" s="28">
        <v>119</v>
      </c>
      <c r="GP574" s="6">
        <v>-61</v>
      </c>
      <c r="GQ574" s="52">
        <v>22</v>
      </c>
    </row>
    <row r="575" spans="72:199" x14ac:dyDescent="0.25">
      <c r="BT575">
        <v>55</v>
      </c>
      <c r="BU575" s="1">
        <v>643</v>
      </c>
      <c r="DH575" s="23">
        <v>419</v>
      </c>
      <c r="DI575" s="25">
        <v>67</v>
      </c>
      <c r="DL575" s="8">
        <v>12</v>
      </c>
      <c r="EX575" s="8">
        <v>-629</v>
      </c>
      <c r="EY575" s="28">
        <v>119</v>
      </c>
      <c r="GP575" s="6">
        <v>23</v>
      </c>
      <c r="GQ575" s="52">
        <v>26</v>
      </c>
    </row>
    <row r="576" spans="72:199" x14ac:dyDescent="0.25">
      <c r="BT576">
        <v>405</v>
      </c>
      <c r="BU576" s="1">
        <v>551</v>
      </c>
      <c r="DH576" s="23">
        <v>-234</v>
      </c>
      <c r="DI576" s="25">
        <v>166</v>
      </c>
      <c r="DL576" s="8">
        <v>407</v>
      </c>
      <c r="EX576" s="8">
        <v>-629</v>
      </c>
      <c r="EY576" s="28">
        <v>119</v>
      </c>
      <c r="GP576" s="6">
        <v>846</v>
      </c>
      <c r="GQ576" s="52">
        <v>104</v>
      </c>
    </row>
    <row r="577" spans="72:199" x14ac:dyDescent="0.25">
      <c r="BT577">
        <v>390</v>
      </c>
      <c r="BU577" s="1">
        <v>353</v>
      </c>
      <c r="DH577" s="23">
        <v>622</v>
      </c>
      <c r="DI577" s="25">
        <v>175</v>
      </c>
      <c r="DL577" s="8">
        <v>276</v>
      </c>
      <c r="EX577" s="8">
        <v>-741</v>
      </c>
      <c r="EY577" s="28">
        <v>140</v>
      </c>
      <c r="GP577" s="6">
        <v>-15</v>
      </c>
      <c r="GQ577" s="52">
        <v>15</v>
      </c>
    </row>
    <row r="578" spans="72:199" x14ac:dyDescent="0.25">
      <c r="BT578">
        <v>-184</v>
      </c>
      <c r="BU578" s="1">
        <v>183</v>
      </c>
      <c r="DH578" s="23">
        <v>-362</v>
      </c>
      <c r="DI578" s="25">
        <v>190</v>
      </c>
      <c r="DL578" s="8">
        <v>269</v>
      </c>
      <c r="EX578" s="8">
        <v>-742</v>
      </c>
      <c r="EY578" s="28">
        <v>140</v>
      </c>
      <c r="GP578" s="6">
        <v>651</v>
      </c>
      <c r="GQ578" s="52">
        <v>135</v>
      </c>
    </row>
    <row r="579" spans="72:199" x14ac:dyDescent="0.25">
      <c r="BT579">
        <v>-229</v>
      </c>
      <c r="BU579" s="1">
        <v>622</v>
      </c>
      <c r="DH579" s="23">
        <v>-102</v>
      </c>
      <c r="DI579" s="25">
        <v>195</v>
      </c>
      <c r="DL579" s="8">
        <v>302</v>
      </c>
      <c r="EX579" s="8">
        <v>-742</v>
      </c>
      <c r="EY579" s="28">
        <v>140</v>
      </c>
      <c r="GP579" s="6">
        <v>-79</v>
      </c>
      <c r="GQ579" s="52">
        <v>23</v>
      </c>
    </row>
    <row r="580" spans="72:199" x14ac:dyDescent="0.25">
      <c r="BT580">
        <v>-120</v>
      </c>
      <c r="BU580" s="1">
        <v>553</v>
      </c>
      <c r="DH580" s="23">
        <v>-129</v>
      </c>
      <c r="DI580" s="25">
        <v>216</v>
      </c>
      <c r="DL580" s="8">
        <v>274</v>
      </c>
      <c r="EX580" s="8">
        <v>-743</v>
      </c>
      <c r="EY580" s="28">
        <v>140</v>
      </c>
      <c r="GP580" s="6">
        <v>82</v>
      </c>
      <c r="GQ580" s="52">
        <v>74</v>
      </c>
    </row>
    <row r="581" spans="72:199" x14ac:dyDescent="0.25">
      <c r="BT581">
        <v>113</v>
      </c>
      <c r="BU581" s="1">
        <v>517</v>
      </c>
      <c r="DH581" s="23">
        <v>-269</v>
      </c>
      <c r="DI581" s="25">
        <v>233</v>
      </c>
      <c r="DL581" s="8">
        <v>397</v>
      </c>
      <c r="EX581" s="8">
        <v>-863</v>
      </c>
      <c r="EY581" s="28">
        <v>164</v>
      </c>
      <c r="GP581" s="6">
        <v>923</v>
      </c>
      <c r="GQ581" s="52">
        <v>152</v>
      </c>
    </row>
    <row r="582" spans="72:199" x14ac:dyDescent="0.25">
      <c r="BT582">
        <v>379</v>
      </c>
      <c r="BU582" s="1">
        <v>64</v>
      </c>
      <c r="DH582" s="23">
        <v>-330</v>
      </c>
      <c r="DI582" s="25">
        <v>259</v>
      </c>
      <c r="DL582" s="8">
        <v>-1</v>
      </c>
      <c r="EX582" s="8">
        <v>-864</v>
      </c>
      <c r="EY582" s="28">
        <v>164</v>
      </c>
      <c r="GP582" s="6">
        <v>41</v>
      </c>
      <c r="GQ582" s="52">
        <v>39</v>
      </c>
    </row>
    <row r="583" spans="72:199" x14ac:dyDescent="0.25">
      <c r="BT583">
        <v>533</v>
      </c>
      <c r="BU583" s="1">
        <v>647</v>
      </c>
      <c r="DH583" s="23">
        <v>-384</v>
      </c>
      <c r="DI583" s="25">
        <v>972</v>
      </c>
      <c r="DL583" s="8">
        <v>2</v>
      </c>
      <c r="EX583" s="8">
        <v>-864</v>
      </c>
      <c r="EY583" s="28">
        <v>164</v>
      </c>
      <c r="GP583" s="6">
        <v>-47</v>
      </c>
      <c r="GQ583" s="52">
        <v>71</v>
      </c>
    </row>
    <row r="584" spans="72:199" x14ac:dyDescent="0.25">
      <c r="BT584">
        <v>-895</v>
      </c>
      <c r="BU584" s="1">
        <v>327</v>
      </c>
      <c r="DI584" s="25"/>
      <c r="DL584" s="8">
        <v>-27</v>
      </c>
      <c r="EX584" s="8">
        <v>-867</v>
      </c>
      <c r="EY584" s="28">
        <v>164</v>
      </c>
      <c r="GP584" s="6">
        <v>151</v>
      </c>
      <c r="GQ584" s="52">
        <v>314</v>
      </c>
    </row>
    <row r="585" spans="72:199" x14ac:dyDescent="0.25">
      <c r="BT585">
        <v>-332</v>
      </c>
      <c r="BU585" s="1">
        <v>373</v>
      </c>
      <c r="DI585" s="25"/>
      <c r="DL585" s="8">
        <v>2</v>
      </c>
      <c r="EX585" s="8">
        <v>-100</v>
      </c>
      <c r="EY585" s="28">
        <v>189</v>
      </c>
      <c r="GP585" s="6">
        <v>-285</v>
      </c>
      <c r="GQ585" s="52">
        <v>283</v>
      </c>
    </row>
    <row r="586" spans="72:199" x14ac:dyDescent="0.25">
      <c r="BT586">
        <v>140</v>
      </c>
      <c r="BU586" s="1">
        <v>403</v>
      </c>
      <c r="DI586" s="25"/>
      <c r="DL586" s="8">
        <v>9</v>
      </c>
      <c r="EX586" s="8">
        <v>-999</v>
      </c>
      <c r="EY586" s="28">
        <v>189</v>
      </c>
      <c r="GP586" s="6">
        <v>276</v>
      </c>
      <c r="GQ586" s="52">
        <v>168</v>
      </c>
    </row>
    <row r="587" spans="72:199" x14ac:dyDescent="0.25">
      <c r="BT587">
        <v>151</v>
      </c>
      <c r="BU587" s="1">
        <v>132</v>
      </c>
      <c r="DI587" s="25"/>
      <c r="DL587" s="8">
        <v>-5</v>
      </c>
      <c r="EX587" s="8">
        <v>-998</v>
      </c>
      <c r="EY587" s="28">
        <v>189</v>
      </c>
      <c r="GP587" s="6">
        <v>-1</v>
      </c>
      <c r="GQ587" s="52">
        <v>2</v>
      </c>
    </row>
    <row r="588" spans="72:199" x14ac:dyDescent="0.25">
      <c r="BT588">
        <v>-140</v>
      </c>
      <c r="BU588" s="1">
        <v>229</v>
      </c>
      <c r="DI588" s="25"/>
      <c r="DL588" s="8">
        <v>10</v>
      </c>
      <c r="EX588" s="8">
        <v>-999</v>
      </c>
      <c r="EY588" s="28">
        <v>189</v>
      </c>
      <c r="GP588" s="6">
        <v>34</v>
      </c>
      <c r="GQ588" s="52">
        <v>32</v>
      </c>
    </row>
    <row r="589" spans="72:199" x14ac:dyDescent="0.25">
      <c r="BT589">
        <v>133</v>
      </c>
      <c r="BU589" s="1">
        <v>342</v>
      </c>
      <c r="DI589" s="25"/>
      <c r="DL589" s="8">
        <v>-9</v>
      </c>
      <c r="EX589" s="8">
        <v>-114</v>
      </c>
      <c r="EY589" s="28">
        <v>216</v>
      </c>
      <c r="GP589" s="6">
        <v>56</v>
      </c>
      <c r="GQ589" s="52">
        <v>43</v>
      </c>
    </row>
    <row r="590" spans="72:199" x14ac:dyDescent="0.25">
      <c r="BT590">
        <v>-363</v>
      </c>
      <c r="BU590" s="1">
        <v>144</v>
      </c>
      <c r="DI590" s="25"/>
      <c r="DL590" s="8">
        <v>-54</v>
      </c>
      <c r="EX590" s="8">
        <v>-114</v>
      </c>
      <c r="EY590" s="28">
        <v>216</v>
      </c>
      <c r="GP590" s="6">
        <v>-391</v>
      </c>
      <c r="GQ590" s="52">
        <v>1</v>
      </c>
    </row>
    <row r="591" spans="72:199" x14ac:dyDescent="0.25">
      <c r="BT591">
        <v>-112</v>
      </c>
      <c r="BU591" s="1">
        <v>560</v>
      </c>
      <c r="DI591" s="25"/>
      <c r="DL591" s="8">
        <v>-15</v>
      </c>
      <c r="EX591" s="8">
        <v>-114</v>
      </c>
      <c r="EY591" s="28">
        <v>216</v>
      </c>
      <c r="GP591" s="6">
        <v>611</v>
      </c>
      <c r="GQ591" s="52">
        <v>75</v>
      </c>
    </row>
    <row r="592" spans="72:199" x14ac:dyDescent="0.25">
      <c r="BT592">
        <v>787</v>
      </c>
      <c r="BU592" s="1">
        <v>305</v>
      </c>
      <c r="DI592" s="25"/>
      <c r="DL592" s="8">
        <v>-54</v>
      </c>
      <c r="EX592" s="8">
        <v>-114</v>
      </c>
      <c r="EY592" s="28">
        <v>216</v>
      </c>
      <c r="GP592" s="6">
        <v>564</v>
      </c>
      <c r="GQ592" s="52">
        <v>109</v>
      </c>
    </row>
    <row r="593" spans="72:199" x14ac:dyDescent="0.25">
      <c r="BT593">
        <v>193</v>
      </c>
      <c r="BU593" s="1">
        <v>116</v>
      </c>
      <c r="DI593" s="25"/>
      <c r="DL593" s="8">
        <v>-2</v>
      </c>
      <c r="EX593" s="8">
        <v>-123</v>
      </c>
      <c r="EY593" s="28">
        <v>246</v>
      </c>
      <c r="GP593" s="6">
        <v>-121</v>
      </c>
      <c r="GQ593" s="52">
        <v>65</v>
      </c>
    </row>
    <row r="594" spans="72:199" x14ac:dyDescent="0.25">
      <c r="BT594">
        <v>336</v>
      </c>
      <c r="BU594" s="1">
        <v>982</v>
      </c>
      <c r="DI594" s="25"/>
      <c r="DL594" s="8">
        <v>4</v>
      </c>
      <c r="EX594" s="8">
        <v>-123</v>
      </c>
      <c r="EY594" s="28">
        <v>246</v>
      </c>
      <c r="GP594" s="6">
        <v>-59</v>
      </c>
      <c r="GQ594" s="52">
        <v>68</v>
      </c>
    </row>
    <row r="595" spans="72:199" x14ac:dyDescent="0.25">
      <c r="BT595">
        <v>170</v>
      </c>
      <c r="BU595" s="1">
        <v>533</v>
      </c>
      <c r="DI595" s="25"/>
      <c r="DL595" s="8">
        <v>12</v>
      </c>
      <c r="EX595" s="8">
        <v>-123</v>
      </c>
      <c r="EY595" s="28">
        <v>246</v>
      </c>
      <c r="GP595" s="6">
        <v>728</v>
      </c>
      <c r="GQ595" s="52">
        <v>64</v>
      </c>
    </row>
    <row r="596" spans="72:199" x14ac:dyDescent="0.25">
      <c r="BT596">
        <v>-111</v>
      </c>
      <c r="BU596" s="1">
        <v>288</v>
      </c>
      <c r="DI596" s="25"/>
      <c r="DL596" s="8">
        <v>-290</v>
      </c>
      <c r="EX596" s="8">
        <v>-123</v>
      </c>
      <c r="EY596" s="28">
        <v>246</v>
      </c>
      <c r="GP596" s="6">
        <v>-143</v>
      </c>
      <c r="GQ596" s="52">
        <v>112</v>
      </c>
    </row>
    <row r="597" spans="72:199" x14ac:dyDescent="0.25">
      <c r="BT597">
        <v>-396</v>
      </c>
      <c r="BU597" s="1">
        <v>109</v>
      </c>
      <c r="DI597" s="25"/>
      <c r="DL597" s="8">
        <v>916</v>
      </c>
      <c r="EX597" s="8">
        <v>-138</v>
      </c>
      <c r="EY597" s="28">
        <v>277</v>
      </c>
      <c r="GP597" s="6">
        <v>-277</v>
      </c>
      <c r="GQ597" s="52">
        <v>99</v>
      </c>
    </row>
    <row r="598" spans="72:199" x14ac:dyDescent="0.25">
      <c r="BT598">
        <v>-147</v>
      </c>
      <c r="BU598" s="1">
        <v>932</v>
      </c>
      <c r="DI598" s="25"/>
      <c r="DL598" s="8">
        <v>851</v>
      </c>
      <c r="EX598" s="8">
        <v>-138</v>
      </c>
      <c r="EY598" s="28">
        <v>277</v>
      </c>
      <c r="GP598" s="6">
        <v>38</v>
      </c>
      <c r="GQ598" s="52">
        <v>104</v>
      </c>
    </row>
    <row r="599" spans="72:199" x14ac:dyDescent="0.25">
      <c r="BT599">
        <v>390</v>
      </c>
      <c r="BU599" s="1">
        <v>787</v>
      </c>
      <c r="DI599" s="25"/>
      <c r="DL599" s="8">
        <v>-4</v>
      </c>
      <c r="EX599" s="8">
        <v>-138</v>
      </c>
      <c r="EY599" s="28">
        <v>277</v>
      </c>
      <c r="GP599" s="6">
        <v>16</v>
      </c>
      <c r="GQ599" s="52">
        <v>45</v>
      </c>
    </row>
    <row r="600" spans="72:199" x14ac:dyDescent="0.25">
      <c r="BT600">
        <v>202</v>
      </c>
      <c r="BU600" s="1">
        <v>79</v>
      </c>
      <c r="DI600" s="25"/>
      <c r="DL600" s="8">
        <v>4</v>
      </c>
      <c r="EX600" s="8">
        <v>-138</v>
      </c>
      <c r="EY600" s="28">
        <v>277</v>
      </c>
      <c r="GP600" s="6">
        <v>-401</v>
      </c>
      <c r="GQ600" s="52">
        <v>56</v>
      </c>
    </row>
    <row r="601" spans="72:199" x14ac:dyDescent="0.25">
      <c r="BT601">
        <v>-231</v>
      </c>
      <c r="BU601" s="1">
        <v>103</v>
      </c>
      <c r="DI601" s="25"/>
      <c r="DL601" s="8">
        <v>7</v>
      </c>
      <c r="EX601" s="8">
        <v>-154</v>
      </c>
      <c r="EY601" s="28">
        <v>309</v>
      </c>
      <c r="GP601" s="6">
        <v>-169</v>
      </c>
      <c r="GQ601" s="52">
        <v>108</v>
      </c>
    </row>
    <row r="602" spans="72:199" x14ac:dyDescent="0.25">
      <c r="BT602">
        <v>628</v>
      </c>
      <c r="BU602" s="1">
        <v>649</v>
      </c>
      <c r="DI602" s="25"/>
      <c r="DL602" s="8">
        <v>-8</v>
      </c>
      <c r="EX602" s="8">
        <v>-155</v>
      </c>
      <c r="EY602" s="28">
        <v>309</v>
      </c>
      <c r="GP602" s="6">
        <v>-67</v>
      </c>
      <c r="GQ602" s="52">
        <v>78</v>
      </c>
    </row>
    <row r="603" spans="72:199" x14ac:dyDescent="0.25">
      <c r="BT603">
        <v>-524</v>
      </c>
      <c r="BU603" s="1">
        <v>586</v>
      </c>
      <c r="DI603" s="25"/>
      <c r="DL603" s="8">
        <v>21</v>
      </c>
      <c r="EX603" s="8">
        <v>-155</v>
      </c>
      <c r="EY603" s="28">
        <v>309</v>
      </c>
      <c r="GP603" s="6">
        <v>49</v>
      </c>
      <c r="GQ603" s="52">
        <v>157</v>
      </c>
    </row>
    <row r="604" spans="72:199" x14ac:dyDescent="0.25">
      <c r="BT604">
        <v>-239</v>
      </c>
      <c r="BU604" s="1">
        <v>961</v>
      </c>
      <c r="DI604" s="25"/>
      <c r="DL604" s="8">
        <v>3</v>
      </c>
      <c r="EX604" s="8">
        <v>-155</v>
      </c>
      <c r="EY604" s="28">
        <v>309</v>
      </c>
      <c r="GP604" s="6">
        <v>22</v>
      </c>
      <c r="GQ604" s="52">
        <v>60</v>
      </c>
    </row>
    <row r="605" spans="72:199" x14ac:dyDescent="0.25">
      <c r="BT605">
        <v>-298</v>
      </c>
      <c r="BU605" s="1">
        <v>545</v>
      </c>
      <c r="DI605" s="25"/>
      <c r="DL605" s="8">
        <v>1</v>
      </c>
      <c r="EX605" s="8">
        <v>-172</v>
      </c>
      <c r="EY605" s="28">
        <v>344</v>
      </c>
      <c r="GP605" s="6">
        <v>-35</v>
      </c>
      <c r="GQ605" s="52">
        <v>162</v>
      </c>
    </row>
    <row r="606" spans="72:199" x14ac:dyDescent="0.25">
      <c r="BT606">
        <v>-781</v>
      </c>
      <c r="BU606" s="1">
        <v>983</v>
      </c>
      <c r="DI606" s="25"/>
      <c r="DL606" s="8">
        <v>6</v>
      </c>
      <c r="EX606" s="8">
        <v>-172</v>
      </c>
      <c r="EY606" s="28">
        <v>344</v>
      </c>
      <c r="GP606" s="6">
        <v>-27</v>
      </c>
      <c r="GQ606" s="52">
        <v>58</v>
      </c>
    </row>
    <row r="607" spans="72:199" x14ac:dyDescent="0.25">
      <c r="BT607">
        <v>582</v>
      </c>
      <c r="BU607" s="1">
        <v>129</v>
      </c>
      <c r="DI607" s="25"/>
      <c r="DL607" s="8">
        <v>-52</v>
      </c>
      <c r="EX607" s="8">
        <v>-172</v>
      </c>
      <c r="EY607" s="28">
        <v>344</v>
      </c>
      <c r="GP607" s="6">
        <v>-54</v>
      </c>
      <c r="GQ607" s="52">
        <v>126</v>
      </c>
    </row>
    <row r="608" spans="72:199" x14ac:dyDescent="0.25">
      <c r="BT608">
        <v>191</v>
      </c>
      <c r="BU608" s="1">
        <v>621</v>
      </c>
      <c r="DI608" s="25"/>
      <c r="DL608" s="8">
        <v>-12</v>
      </c>
      <c r="EX608" s="8">
        <v>-172</v>
      </c>
      <c r="EY608" s="28">
        <v>344</v>
      </c>
      <c r="GP608" s="6">
        <v>-29</v>
      </c>
      <c r="GQ608" s="52">
        <v>55</v>
      </c>
    </row>
    <row r="609" spans="72:199" x14ac:dyDescent="0.25">
      <c r="BT609">
        <v>-225</v>
      </c>
      <c r="BU609" s="1">
        <v>211</v>
      </c>
      <c r="DI609" s="25"/>
      <c r="DL609" s="8">
        <v>60</v>
      </c>
      <c r="EX609" s="8">
        <v>-190</v>
      </c>
      <c r="EY609" s="28">
        <v>380</v>
      </c>
      <c r="GP609" s="6">
        <v>35</v>
      </c>
      <c r="GQ609" s="52">
        <v>44</v>
      </c>
    </row>
    <row r="610" spans="72:199" x14ac:dyDescent="0.25">
      <c r="BT610">
        <v>851</v>
      </c>
      <c r="BU610" s="1">
        <v>123</v>
      </c>
      <c r="DI610" s="25"/>
      <c r="DL610" s="8">
        <v>-9</v>
      </c>
      <c r="EX610" s="8">
        <v>-190</v>
      </c>
      <c r="EY610" s="28">
        <v>380</v>
      </c>
      <c r="GP610" s="6">
        <v>529</v>
      </c>
      <c r="GQ610" s="52">
        <v>1</v>
      </c>
    </row>
    <row r="611" spans="72:199" x14ac:dyDescent="0.25">
      <c r="BT611">
        <v>375</v>
      </c>
      <c r="BU611" s="1">
        <v>479</v>
      </c>
      <c r="DI611" s="25"/>
      <c r="DL611" s="8">
        <v>-88</v>
      </c>
      <c r="EX611" s="8">
        <v>-190</v>
      </c>
      <c r="EY611" s="28">
        <v>380</v>
      </c>
      <c r="GP611" s="6">
        <v>-166</v>
      </c>
      <c r="GQ611" s="52">
        <v>88</v>
      </c>
    </row>
    <row r="612" spans="72:199" x14ac:dyDescent="0.25">
      <c r="BT612">
        <v>447</v>
      </c>
      <c r="BU612" s="1">
        <v>397</v>
      </c>
      <c r="DI612" s="25"/>
      <c r="DL612" s="8">
        <v>-29</v>
      </c>
      <c r="EX612" s="8">
        <v>-190</v>
      </c>
      <c r="EY612" s="28">
        <v>380</v>
      </c>
      <c r="GP612" s="6">
        <v>-106</v>
      </c>
      <c r="GQ612" s="52">
        <v>96</v>
      </c>
    </row>
    <row r="613" spans="72:199" x14ac:dyDescent="0.25">
      <c r="BT613">
        <v>453</v>
      </c>
      <c r="BU613" s="1">
        <v>199</v>
      </c>
      <c r="DI613" s="25"/>
      <c r="DL613" s="8">
        <v>-505</v>
      </c>
      <c r="EX613" s="8">
        <v>-209</v>
      </c>
      <c r="EY613" s="28">
        <v>418</v>
      </c>
      <c r="GP613" s="6">
        <v>-30</v>
      </c>
      <c r="GQ613" s="52">
        <v>46</v>
      </c>
    </row>
    <row r="614" spans="72:199" x14ac:dyDescent="0.25">
      <c r="BT614">
        <v>-302</v>
      </c>
      <c r="BU614" s="1">
        <v>115</v>
      </c>
      <c r="DI614" s="25"/>
      <c r="DL614" s="8">
        <v>932</v>
      </c>
      <c r="EX614" s="8">
        <v>-209</v>
      </c>
      <c r="EY614" s="28">
        <v>418</v>
      </c>
      <c r="GP614" s="6">
        <v>-11</v>
      </c>
      <c r="GQ614" s="52">
        <v>26</v>
      </c>
    </row>
    <row r="615" spans="72:199" x14ac:dyDescent="0.25">
      <c r="BT615">
        <v>-367</v>
      </c>
      <c r="BU615" s="1">
        <v>459</v>
      </c>
      <c r="DI615" s="25"/>
      <c r="DL615" s="8">
        <v>750</v>
      </c>
      <c r="EX615" s="8">
        <v>-209</v>
      </c>
      <c r="EY615" s="28">
        <v>418</v>
      </c>
      <c r="GP615" s="6">
        <v>-409</v>
      </c>
      <c r="GQ615" s="52">
        <v>74</v>
      </c>
    </row>
    <row r="616" spans="72:199" x14ac:dyDescent="0.25">
      <c r="BT616">
        <v>-971</v>
      </c>
      <c r="BU616" s="1">
        <v>412</v>
      </c>
      <c r="DI616" s="25"/>
      <c r="DL616" s="8">
        <v>634</v>
      </c>
      <c r="EX616" s="8">
        <v>-209</v>
      </c>
      <c r="EY616" s="28">
        <v>418</v>
      </c>
      <c r="GP616" s="6">
        <v>-22</v>
      </c>
      <c r="GQ616" s="52">
        <v>44</v>
      </c>
    </row>
    <row r="617" spans="72:199" x14ac:dyDescent="0.25">
      <c r="BT617">
        <v>290</v>
      </c>
      <c r="BU617" s="1">
        <v>487</v>
      </c>
      <c r="DI617" s="25"/>
      <c r="DL617" s="8">
        <v>658</v>
      </c>
      <c r="EX617" s="8">
        <v>-129</v>
      </c>
      <c r="EY617" s="28">
        <v>245</v>
      </c>
      <c r="GP617" s="6">
        <v>9</v>
      </c>
      <c r="GQ617" s="52">
        <v>101</v>
      </c>
    </row>
    <row r="618" spans="72:199" x14ac:dyDescent="0.25">
      <c r="BT618">
        <v>-95</v>
      </c>
      <c r="BU618" s="1">
        <v>154</v>
      </c>
      <c r="DI618" s="25"/>
      <c r="DL618" s="8">
        <v>702</v>
      </c>
      <c r="EX618" s="8">
        <v>-129</v>
      </c>
      <c r="EY618" s="28">
        <v>245</v>
      </c>
      <c r="GP618" s="6">
        <v>12</v>
      </c>
      <c r="GQ618" s="52">
        <v>47</v>
      </c>
    </row>
    <row r="619" spans="72:199" x14ac:dyDescent="0.25">
      <c r="BT619">
        <v>-700</v>
      </c>
      <c r="BU619" s="1">
        <v>372</v>
      </c>
      <c r="DI619" s="25"/>
      <c r="DL619" s="8">
        <v>915</v>
      </c>
      <c r="EX619" s="8">
        <v>-129</v>
      </c>
      <c r="EY619" s="28">
        <v>245</v>
      </c>
      <c r="GP619" s="6">
        <v>-66</v>
      </c>
      <c r="GQ619" s="52">
        <v>1</v>
      </c>
    </row>
    <row r="620" spans="72:199" x14ac:dyDescent="0.25">
      <c r="BT620">
        <v>396</v>
      </c>
      <c r="BU620" s="1">
        <v>254</v>
      </c>
      <c r="DI620" s="25"/>
      <c r="DL620" s="8">
        <v>-3</v>
      </c>
      <c r="EX620" s="8">
        <v>-129</v>
      </c>
      <c r="EY620" s="28">
        <v>245</v>
      </c>
      <c r="GP620" s="6">
        <v>3</v>
      </c>
      <c r="GQ620" s="52">
        <v>14</v>
      </c>
    </row>
    <row r="621" spans="72:199" x14ac:dyDescent="0.25">
      <c r="BT621">
        <v>-217</v>
      </c>
      <c r="BU621" s="1">
        <v>258</v>
      </c>
      <c r="DI621" s="25"/>
      <c r="DL621" s="8">
        <v>5</v>
      </c>
      <c r="EX621" s="8">
        <v>-145</v>
      </c>
      <c r="EY621" s="28">
        <v>276</v>
      </c>
      <c r="GP621" s="6">
        <v>8</v>
      </c>
      <c r="GQ621" s="52">
        <v>77</v>
      </c>
    </row>
    <row r="622" spans="72:199" x14ac:dyDescent="0.25">
      <c r="BT622">
        <v>945</v>
      </c>
      <c r="BU622" s="1">
        <v>247</v>
      </c>
      <c r="DI622" s="25"/>
      <c r="DL622" s="8">
        <v>7</v>
      </c>
      <c r="EX622" s="8">
        <v>-145</v>
      </c>
      <c r="EY622" s="28">
        <v>276</v>
      </c>
      <c r="GP622" s="6">
        <v>19</v>
      </c>
      <c r="GQ622" s="52">
        <v>192</v>
      </c>
    </row>
    <row r="623" spans="72:199" x14ac:dyDescent="0.25">
      <c r="BT623">
        <v>-552</v>
      </c>
      <c r="BU623" s="1">
        <v>934</v>
      </c>
      <c r="DI623" s="25"/>
      <c r="DL623" s="8">
        <v>-7</v>
      </c>
      <c r="EX623" s="8">
        <v>-145</v>
      </c>
      <c r="EY623" s="28">
        <v>276</v>
      </c>
      <c r="GP623" s="6">
        <v>15</v>
      </c>
      <c r="GQ623" s="52">
        <v>252</v>
      </c>
    </row>
    <row r="624" spans="72:199" x14ac:dyDescent="0.25">
      <c r="BT624">
        <v>-193</v>
      </c>
      <c r="BU624" s="1">
        <v>170</v>
      </c>
      <c r="DI624" s="25"/>
      <c r="DL624" s="8">
        <v>21</v>
      </c>
      <c r="EX624" s="8">
        <v>-145</v>
      </c>
      <c r="EY624" s="28">
        <v>276</v>
      </c>
      <c r="GP624" s="6">
        <v>2</v>
      </c>
      <c r="GQ624" s="52">
        <v>32</v>
      </c>
    </row>
    <row r="625" spans="72:199" x14ac:dyDescent="0.25">
      <c r="BT625">
        <v>715</v>
      </c>
      <c r="BU625" s="1">
        <v>171</v>
      </c>
      <c r="DI625" s="25"/>
      <c r="DL625" s="8">
        <v>2</v>
      </c>
      <c r="EX625" s="8">
        <v>-162</v>
      </c>
      <c r="EY625" s="28">
        <v>308</v>
      </c>
      <c r="GP625" s="6">
        <v>13</v>
      </c>
      <c r="GQ625" s="52">
        <v>101</v>
      </c>
    </row>
    <row r="626" spans="72:199" x14ac:dyDescent="0.25">
      <c r="BT626">
        <v>371</v>
      </c>
      <c r="BU626" s="1">
        <v>118</v>
      </c>
      <c r="DI626" s="25"/>
      <c r="DL626" s="8">
        <v>1</v>
      </c>
      <c r="EX626" s="8">
        <v>-162</v>
      </c>
      <c r="EY626" s="28">
        <v>308</v>
      </c>
      <c r="GP626" s="6">
        <v>-3</v>
      </c>
      <c r="GQ626" s="52">
        <v>3</v>
      </c>
    </row>
    <row r="627" spans="72:199" x14ac:dyDescent="0.25">
      <c r="BT627">
        <v>-783</v>
      </c>
      <c r="BU627" s="1">
        <v>332</v>
      </c>
      <c r="DI627" s="25"/>
      <c r="DL627" s="8">
        <v>16</v>
      </c>
      <c r="EX627" s="8">
        <v>-162</v>
      </c>
      <c r="EY627" s="28">
        <v>308</v>
      </c>
      <c r="GP627" s="6">
        <v>39</v>
      </c>
      <c r="GQ627" s="52">
        <v>138</v>
      </c>
    </row>
    <row r="628" spans="72:199" x14ac:dyDescent="0.25">
      <c r="BT628">
        <v>355</v>
      </c>
      <c r="BU628" s="1">
        <v>210</v>
      </c>
      <c r="DI628" s="25"/>
      <c r="DL628" s="8">
        <v>-40</v>
      </c>
      <c r="EX628" s="8">
        <v>-163</v>
      </c>
      <c r="EY628" s="28">
        <v>308</v>
      </c>
      <c r="GP628" s="6">
        <v>-6</v>
      </c>
      <c r="GQ628" s="52">
        <v>31</v>
      </c>
    </row>
    <row r="629" spans="72:199" x14ac:dyDescent="0.25">
      <c r="BT629">
        <v>626</v>
      </c>
      <c r="BU629" s="1">
        <v>757</v>
      </c>
      <c r="DI629" s="25"/>
      <c r="DL629" s="8">
        <v>2</v>
      </c>
      <c r="EX629" s="8">
        <v>-180</v>
      </c>
      <c r="EY629" s="28">
        <v>342</v>
      </c>
      <c r="GP629" s="6">
        <v>24</v>
      </c>
      <c r="GQ629" s="52">
        <v>244</v>
      </c>
    </row>
    <row r="630" spans="72:199" x14ac:dyDescent="0.25">
      <c r="BT630">
        <v>603</v>
      </c>
      <c r="BU630" s="1">
        <v>708</v>
      </c>
      <c r="DI630" s="25"/>
      <c r="DL630" s="8">
        <v>70</v>
      </c>
      <c r="EX630" s="8">
        <v>-181</v>
      </c>
      <c r="EY630" s="28">
        <v>342</v>
      </c>
      <c r="GP630" s="6">
        <v>27</v>
      </c>
      <c r="GQ630" s="52">
        <v>222</v>
      </c>
    </row>
    <row r="631" spans="72:199" x14ac:dyDescent="0.25">
      <c r="BT631">
        <v>969</v>
      </c>
      <c r="BU631" s="1">
        <v>335</v>
      </c>
      <c r="DI631" s="25"/>
      <c r="DL631" s="8">
        <v>1</v>
      </c>
      <c r="EX631" s="8">
        <v>-180</v>
      </c>
      <c r="EY631" s="28">
        <v>342</v>
      </c>
      <c r="GP631" s="6">
        <v>5</v>
      </c>
      <c r="GQ631" s="52">
        <v>59</v>
      </c>
    </row>
    <row r="632" spans="72:199" x14ac:dyDescent="0.25">
      <c r="BT632">
        <v>-466</v>
      </c>
      <c r="BU632" s="1">
        <v>212</v>
      </c>
      <c r="DI632" s="25"/>
      <c r="DL632" s="8">
        <v>-65</v>
      </c>
      <c r="EX632" s="8">
        <v>-180</v>
      </c>
      <c r="EY632" s="28">
        <v>342</v>
      </c>
      <c r="GP632" s="6">
        <v>10</v>
      </c>
      <c r="GQ632" s="52">
        <v>9</v>
      </c>
    </row>
    <row r="633" spans="72:199" x14ac:dyDescent="0.25">
      <c r="BT633">
        <v>-182</v>
      </c>
      <c r="BU633" s="1">
        <v>782</v>
      </c>
      <c r="DI633" s="25"/>
      <c r="DL633" s="8">
        <v>-21</v>
      </c>
      <c r="EX633" s="8">
        <v>-199</v>
      </c>
      <c r="EY633" s="28">
        <v>379</v>
      </c>
      <c r="GP633" s="6">
        <v>8</v>
      </c>
      <c r="GQ633" s="52">
        <v>94</v>
      </c>
    </row>
    <row r="634" spans="72:199" x14ac:dyDescent="0.25">
      <c r="BT634">
        <v>-129</v>
      </c>
      <c r="BU634" s="1">
        <v>764</v>
      </c>
      <c r="DI634" s="25"/>
      <c r="DL634" s="8">
        <v>-440</v>
      </c>
      <c r="EX634" s="8">
        <v>-199</v>
      </c>
      <c r="EY634" s="28">
        <v>379</v>
      </c>
      <c r="GP634" s="6">
        <v>27</v>
      </c>
      <c r="GQ634" s="52">
        <v>171</v>
      </c>
    </row>
    <row r="635" spans="72:199" x14ac:dyDescent="0.25">
      <c r="BT635">
        <v>-745</v>
      </c>
      <c r="BU635" s="1">
        <v>325</v>
      </c>
      <c r="DI635" s="25"/>
      <c r="DL635" s="8">
        <v>592</v>
      </c>
      <c r="EX635" s="8">
        <v>-199</v>
      </c>
      <c r="EY635" s="28">
        <v>379</v>
      </c>
      <c r="GP635" s="6">
        <v>-7</v>
      </c>
      <c r="GQ635" s="52">
        <v>59</v>
      </c>
    </row>
    <row r="636" spans="72:199" x14ac:dyDescent="0.25">
      <c r="BT636">
        <v>112</v>
      </c>
      <c r="BU636" s="1">
        <v>427</v>
      </c>
      <c r="DI636" s="25"/>
      <c r="DL636" s="8">
        <v>347</v>
      </c>
      <c r="EX636" s="8">
        <v>-200</v>
      </c>
      <c r="EY636" s="28">
        <v>379</v>
      </c>
      <c r="GP636" s="6">
        <v>9</v>
      </c>
      <c r="GQ636" s="52">
        <v>63</v>
      </c>
    </row>
    <row r="637" spans="72:199" x14ac:dyDescent="0.25">
      <c r="BT637">
        <v>-510</v>
      </c>
      <c r="BU637" s="1">
        <v>674</v>
      </c>
      <c r="DI637" s="25"/>
      <c r="DL637" s="8">
        <v>357</v>
      </c>
      <c r="EX637" s="8">
        <v>-219</v>
      </c>
      <c r="EY637" s="28">
        <v>416</v>
      </c>
      <c r="GP637" s="6">
        <v>18</v>
      </c>
      <c r="GQ637" s="52">
        <v>18</v>
      </c>
    </row>
    <row r="638" spans="72:199" x14ac:dyDescent="0.25">
      <c r="BT638">
        <v>-430</v>
      </c>
      <c r="BU638" s="1">
        <v>498</v>
      </c>
      <c r="DI638" s="25"/>
      <c r="DL638" s="8">
        <v>324</v>
      </c>
      <c r="EX638" s="8">
        <v>-219</v>
      </c>
      <c r="EY638" s="28">
        <v>416</v>
      </c>
      <c r="GP638" s="6">
        <v>-9</v>
      </c>
      <c r="GQ638" s="52">
        <v>125</v>
      </c>
    </row>
    <row r="639" spans="72:199" x14ac:dyDescent="0.25">
      <c r="BT639">
        <v>-343</v>
      </c>
      <c r="BU639" s="1">
        <v>372</v>
      </c>
      <c r="DI639" s="25"/>
      <c r="DL639" s="8">
        <v>363</v>
      </c>
      <c r="EX639" s="8">
        <v>-219</v>
      </c>
      <c r="EY639" s="28">
        <v>416</v>
      </c>
      <c r="GP639" s="6">
        <v>20</v>
      </c>
      <c r="GQ639" s="52">
        <v>267</v>
      </c>
    </row>
    <row r="640" spans="72:199" x14ac:dyDescent="0.25">
      <c r="DI640" s="25"/>
      <c r="DL640" s="8">
        <v>578</v>
      </c>
      <c r="EX640" s="8">
        <v>-220</v>
      </c>
      <c r="EY640" s="28">
        <v>416</v>
      </c>
      <c r="GP640" s="6">
        <v>16</v>
      </c>
      <c r="GQ640" s="52">
        <v>190</v>
      </c>
    </row>
    <row r="641" spans="113:199" x14ac:dyDescent="0.25">
      <c r="DI641" s="25"/>
      <c r="DL641" s="8">
        <v>-3</v>
      </c>
      <c r="GP641" s="6">
        <v>20</v>
      </c>
      <c r="GQ641" s="52">
        <v>141</v>
      </c>
    </row>
    <row r="642" spans="113:199" x14ac:dyDescent="0.25">
      <c r="DI642" s="25"/>
      <c r="DL642" s="8">
        <v>5</v>
      </c>
      <c r="GP642" s="6">
        <v>-12</v>
      </c>
      <c r="GQ642" s="52">
        <v>135</v>
      </c>
    </row>
    <row r="643" spans="113:199" x14ac:dyDescent="0.25">
      <c r="DI643" s="25"/>
      <c r="DL643" s="8">
        <v>8</v>
      </c>
      <c r="GP643" s="6">
        <v>-21</v>
      </c>
      <c r="GQ643" s="52">
        <v>158</v>
      </c>
    </row>
    <row r="644" spans="113:199" x14ac:dyDescent="0.25">
      <c r="DI644" s="25"/>
      <c r="DL644" s="8">
        <v>-1</v>
      </c>
      <c r="GP644" s="6">
        <v>13</v>
      </c>
      <c r="GQ644" s="52">
        <v>147</v>
      </c>
    </row>
    <row r="645" spans="113:199" x14ac:dyDescent="0.25">
      <c r="DI645" s="25"/>
      <c r="DL645" s="8">
        <v>20</v>
      </c>
      <c r="GP645" s="6">
        <v>20</v>
      </c>
      <c r="GQ645" s="52">
        <v>253</v>
      </c>
    </row>
    <row r="646" spans="113:199" x14ac:dyDescent="0.25">
      <c r="DI646" s="25"/>
      <c r="DL646" s="8">
        <v>2</v>
      </c>
      <c r="GP646" s="6">
        <v>42</v>
      </c>
      <c r="GQ646" s="52">
        <v>379</v>
      </c>
    </row>
    <row r="647" spans="113:199" x14ac:dyDescent="0.25">
      <c r="DI647" s="25"/>
      <c r="DL647" s="8">
        <v>2</v>
      </c>
      <c r="GP647" s="6">
        <v>-28</v>
      </c>
      <c r="GQ647" s="52">
        <v>353</v>
      </c>
    </row>
    <row r="648" spans="113:199" x14ac:dyDescent="0.25">
      <c r="DI648" s="25"/>
      <c r="DL648" s="8">
        <v>15</v>
      </c>
      <c r="GP648" s="6">
        <v>-127</v>
      </c>
      <c r="GQ648" s="52">
        <v>286</v>
      </c>
    </row>
    <row r="649" spans="113:199" x14ac:dyDescent="0.25">
      <c r="DI649" s="25"/>
      <c r="DL649" s="8">
        <v>-39</v>
      </c>
      <c r="GP649" s="6">
        <v>-19</v>
      </c>
      <c r="GQ649" s="52">
        <v>1</v>
      </c>
    </row>
    <row r="650" spans="113:199" x14ac:dyDescent="0.25">
      <c r="DI650" s="25"/>
      <c r="DL650" s="8">
        <v>1</v>
      </c>
      <c r="GP650" s="6">
        <v>305</v>
      </c>
      <c r="GQ650" s="52">
        <v>135</v>
      </c>
    </row>
    <row r="651" spans="113:199" x14ac:dyDescent="0.25">
      <c r="DI651" s="25"/>
      <c r="DL651" s="8">
        <v>68</v>
      </c>
      <c r="GP651" s="6">
        <v>225</v>
      </c>
      <c r="GQ651" s="52">
        <v>156</v>
      </c>
    </row>
    <row r="652" spans="113:199" x14ac:dyDescent="0.25">
      <c r="DI652" s="25"/>
      <c r="DL652" s="8">
        <v>2</v>
      </c>
      <c r="GP652" s="6">
        <v>-157</v>
      </c>
      <c r="GQ652" s="52">
        <v>449</v>
      </c>
    </row>
    <row r="653" spans="113:199" x14ac:dyDescent="0.25">
      <c r="DI653" s="25"/>
      <c r="DL653" s="8">
        <v>-62</v>
      </c>
      <c r="GP653" s="6">
        <v>-171</v>
      </c>
      <c r="GQ653" s="52">
        <v>152</v>
      </c>
    </row>
    <row r="654" spans="113:199" x14ac:dyDescent="0.25">
      <c r="DI654" s="25"/>
      <c r="DL654" s="8">
        <v>-18</v>
      </c>
      <c r="GP654" s="6">
        <v>133</v>
      </c>
      <c r="GQ654" s="52">
        <v>165</v>
      </c>
    </row>
    <row r="655" spans="113:199" x14ac:dyDescent="0.25">
      <c r="DI655" s="25"/>
      <c r="DL655" s="8">
        <v>-209</v>
      </c>
      <c r="GP655" s="6">
        <v>-550</v>
      </c>
      <c r="GQ655" s="52">
        <v>219</v>
      </c>
    </row>
    <row r="656" spans="113:199" x14ac:dyDescent="0.25">
      <c r="DI656" s="25"/>
      <c r="DL656" s="8">
        <v>642</v>
      </c>
      <c r="GP656" s="6">
        <v>-164</v>
      </c>
      <c r="GQ656" s="52">
        <v>50</v>
      </c>
    </row>
    <row r="657" spans="113:199" x14ac:dyDescent="0.25">
      <c r="DI657" s="25"/>
      <c r="DL657" s="8">
        <v>591</v>
      </c>
      <c r="GP657" s="6">
        <v>-919</v>
      </c>
      <c r="GQ657" s="52">
        <v>247</v>
      </c>
    </row>
    <row r="658" spans="113:199" x14ac:dyDescent="0.25">
      <c r="DI658" s="25"/>
      <c r="DL658" s="8">
        <v>-2</v>
      </c>
      <c r="GP658" s="6">
        <v>-104</v>
      </c>
      <c r="GQ658" s="52">
        <v>79</v>
      </c>
    </row>
    <row r="659" spans="113:199" x14ac:dyDescent="0.25">
      <c r="DI659" s="25"/>
      <c r="DL659" s="8">
        <v>-3</v>
      </c>
      <c r="GP659" s="6">
        <v>-296</v>
      </c>
      <c r="GQ659" s="52">
        <v>48</v>
      </c>
    </row>
    <row r="660" spans="113:199" x14ac:dyDescent="0.25">
      <c r="DI660" s="25"/>
      <c r="DL660" s="8">
        <v>-1</v>
      </c>
      <c r="GP660" s="6">
        <v>-813</v>
      </c>
      <c r="GQ660" s="52">
        <v>68</v>
      </c>
    </row>
    <row r="661" spans="113:199" x14ac:dyDescent="0.25">
      <c r="DI661" s="25"/>
      <c r="DL661" s="8">
        <v>16</v>
      </c>
      <c r="GP661" s="6">
        <v>41</v>
      </c>
      <c r="GQ661" s="52">
        <v>93</v>
      </c>
    </row>
    <row r="662" spans="113:199" x14ac:dyDescent="0.25">
      <c r="DI662" s="25"/>
      <c r="DL662" s="8">
        <v>9</v>
      </c>
      <c r="GP662" s="6">
        <v>-232</v>
      </c>
      <c r="GQ662" s="52">
        <v>178</v>
      </c>
    </row>
    <row r="663" spans="113:199" x14ac:dyDescent="0.25">
      <c r="DI663" s="25"/>
      <c r="DL663" s="8">
        <v>-1</v>
      </c>
      <c r="GP663" s="6">
        <v>28</v>
      </c>
      <c r="GQ663" s="52">
        <v>133</v>
      </c>
    </row>
    <row r="664" spans="113:199" x14ac:dyDescent="0.25">
      <c r="DI664" s="25"/>
      <c r="DL664" s="8">
        <v>4</v>
      </c>
      <c r="GP664" s="6">
        <v>-27</v>
      </c>
      <c r="GQ664" s="52">
        <v>22</v>
      </c>
    </row>
    <row r="665" spans="113:199" x14ac:dyDescent="0.25">
      <c r="DI665" s="25"/>
      <c r="DL665" s="8">
        <v>8</v>
      </c>
      <c r="GP665" s="6">
        <v>59</v>
      </c>
      <c r="GQ665" s="52">
        <v>200</v>
      </c>
    </row>
    <row r="666" spans="113:199" x14ac:dyDescent="0.25">
      <c r="DI666" s="25"/>
      <c r="DL666" s="8">
        <v>-8</v>
      </c>
      <c r="GP666" s="6">
        <v>-26</v>
      </c>
      <c r="GQ666" s="52">
        <v>47</v>
      </c>
    </row>
    <row r="667" spans="113:199" x14ac:dyDescent="0.25">
      <c r="DI667" s="25"/>
      <c r="DL667" s="8">
        <v>34</v>
      </c>
      <c r="GP667" s="6">
        <v>64</v>
      </c>
      <c r="GQ667" s="52">
        <v>789</v>
      </c>
    </row>
    <row r="668" spans="113:199" x14ac:dyDescent="0.25">
      <c r="DI668" s="25"/>
      <c r="DL668" s="8">
        <v>-9</v>
      </c>
      <c r="GP668" s="6">
        <v>85</v>
      </c>
      <c r="GQ668" s="52">
        <v>393</v>
      </c>
    </row>
    <row r="669" spans="113:199" x14ac:dyDescent="0.25">
      <c r="DI669" s="25"/>
      <c r="DL669" s="8">
        <v>-7</v>
      </c>
      <c r="GP669" s="6">
        <v>-395</v>
      </c>
      <c r="GQ669" s="52">
        <v>49</v>
      </c>
    </row>
    <row r="670" spans="113:199" x14ac:dyDescent="0.25">
      <c r="DI670" s="25"/>
      <c r="DL670" s="8">
        <v>-46</v>
      </c>
      <c r="GP670" s="6">
        <v>64</v>
      </c>
      <c r="GQ670" s="52">
        <v>157</v>
      </c>
    </row>
    <row r="671" spans="113:199" x14ac:dyDescent="0.25">
      <c r="DI671" s="25"/>
      <c r="DL671" s="8">
        <v>409</v>
      </c>
      <c r="GP671" s="6">
        <v>-153</v>
      </c>
      <c r="GQ671" s="52">
        <v>84</v>
      </c>
    </row>
    <row r="672" spans="113:199" x14ac:dyDescent="0.25">
      <c r="DI672" s="25"/>
      <c r="DL672" s="8">
        <v>701</v>
      </c>
      <c r="GP672" s="6">
        <v>106</v>
      </c>
      <c r="GQ672" s="52">
        <v>194</v>
      </c>
    </row>
    <row r="673" spans="113:199" x14ac:dyDescent="0.25">
      <c r="DI673" s="25"/>
      <c r="DL673" s="8">
        <v>547</v>
      </c>
      <c r="GP673" s="6">
        <v>59</v>
      </c>
      <c r="GQ673" s="52">
        <v>69</v>
      </c>
    </row>
    <row r="674" spans="113:199" x14ac:dyDescent="0.25">
      <c r="DI674" s="25"/>
      <c r="DL674" s="8">
        <v>404</v>
      </c>
      <c r="GP674" s="6">
        <v>119</v>
      </c>
      <c r="GQ674" s="52">
        <v>174</v>
      </c>
    </row>
    <row r="675" spans="113:199" x14ac:dyDescent="0.25">
      <c r="DI675" s="25"/>
      <c r="DL675" s="8">
        <v>554</v>
      </c>
      <c r="GP675" s="6">
        <v>392</v>
      </c>
      <c r="GQ675" s="52">
        <v>203</v>
      </c>
    </row>
    <row r="676" spans="113:199" x14ac:dyDescent="0.25">
      <c r="DI676" s="25"/>
      <c r="DL676" s="8">
        <v>535</v>
      </c>
      <c r="GP676" s="6">
        <v>-54</v>
      </c>
      <c r="GQ676" s="52">
        <v>211</v>
      </c>
    </row>
    <row r="677" spans="113:199" x14ac:dyDescent="0.25">
      <c r="DI677" s="25"/>
      <c r="DL677" s="8">
        <v>692</v>
      </c>
      <c r="GP677" s="6">
        <v>-218</v>
      </c>
      <c r="GQ677" s="52">
        <v>152</v>
      </c>
    </row>
    <row r="678" spans="113:199" x14ac:dyDescent="0.25">
      <c r="DI678" s="25"/>
      <c r="DL678" s="8">
        <v>-2</v>
      </c>
      <c r="GP678" s="6">
        <v>81</v>
      </c>
      <c r="GQ678" s="52">
        <v>220</v>
      </c>
    </row>
    <row r="679" spans="113:199" x14ac:dyDescent="0.25">
      <c r="DI679" s="25"/>
      <c r="DL679" s="8">
        <v>-4</v>
      </c>
      <c r="GP679" s="6">
        <v>233</v>
      </c>
      <c r="GQ679" s="52">
        <v>155</v>
      </c>
    </row>
    <row r="680" spans="113:199" x14ac:dyDescent="0.25">
      <c r="DI680" s="25"/>
      <c r="DL680" s="8">
        <v>-1</v>
      </c>
      <c r="GP680" s="6">
        <v>-77</v>
      </c>
      <c r="GQ680" s="52">
        <v>653</v>
      </c>
    </row>
    <row r="681" spans="113:199" x14ac:dyDescent="0.25">
      <c r="DI681" s="25"/>
      <c r="DL681" s="8">
        <v>14</v>
      </c>
      <c r="GP681" s="6">
        <v>-34</v>
      </c>
      <c r="GQ681" s="52">
        <v>145</v>
      </c>
    </row>
    <row r="682" spans="113:199" x14ac:dyDescent="0.25">
      <c r="DI682" s="25"/>
      <c r="DL682" s="8">
        <v>9</v>
      </c>
      <c r="GP682" s="6">
        <v>871</v>
      </c>
      <c r="GQ682" s="52">
        <v>57</v>
      </c>
    </row>
    <row r="683" spans="113:199" x14ac:dyDescent="0.25">
      <c r="DI683" s="25"/>
      <c r="DL683" s="8">
        <v>4</v>
      </c>
      <c r="GP683" s="6">
        <v>28</v>
      </c>
      <c r="GQ683" s="52">
        <v>55</v>
      </c>
    </row>
    <row r="684" spans="113:199" x14ac:dyDescent="0.25">
      <c r="DI684" s="25"/>
      <c r="DL684" s="8">
        <v>6</v>
      </c>
      <c r="GP684" s="6">
        <v>355</v>
      </c>
      <c r="GQ684" s="52">
        <v>141</v>
      </c>
    </row>
    <row r="685" spans="113:199" x14ac:dyDescent="0.25">
      <c r="DI685" s="25"/>
      <c r="DL685" s="8">
        <v>-7</v>
      </c>
      <c r="GP685" s="6">
        <v>-79</v>
      </c>
      <c r="GQ685" s="52">
        <v>123</v>
      </c>
    </row>
    <row r="686" spans="113:199" x14ac:dyDescent="0.25">
      <c r="DI686" s="25"/>
      <c r="DL686" s="8">
        <v>33</v>
      </c>
      <c r="GP686" s="6">
        <v>-758</v>
      </c>
      <c r="GQ686" s="52">
        <v>65</v>
      </c>
    </row>
    <row r="687" spans="113:199" x14ac:dyDescent="0.25">
      <c r="DI687" s="25"/>
      <c r="DL687" s="8">
        <v>-11</v>
      </c>
      <c r="GP687" s="6">
        <v>-12</v>
      </c>
      <c r="GQ687" s="52">
        <v>51</v>
      </c>
    </row>
    <row r="688" spans="113:199" x14ac:dyDescent="0.25">
      <c r="DI688" s="25"/>
      <c r="DL688" s="8">
        <v>-1</v>
      </c>
      <c r="GP688" s="6">
        <v>43</v>
      </c>
      <c r="GQ688" s="52">
        <v>67</v>
      </c>
    </row>
    <row r="689" spans="113:199" x14ac:dyDescent="0.25">
      <c r="DI689" s="25"/>
      <c r="DL689" s="8">
        <v>-39</v>
      </c>
      <c r="GP689" s="6">
        <v>-2</v>
      </c>
      <c r="GQ689" s="52">
        <v>14</v>
      </c>
    </row>
    <row r="690" spans="113:199" x14ac:dyDescent="0.25">
      <c r="DI690" s="25"/>
      <c r="DL690" s="8">
        <v>340</v>
      </c>
      <c r="GP690" s="6">
        <v>6</v>
      </c>
      <c r="GQ690" s="52">
        <v>14</v>
      </c>
    </row>
    <row r="691" spans="113:199" x14ac:dyDescent="0.25">
      <c r="DI691" s="25"/>
      <c r="DL691" s="8">
        <v>711</v>
      </c>
      <c r="GP691" s="6">
        <v>8</v>
      </c>
      <c r="GQ691" s="52">
        <v>77</v>
      </c>
    </row>
    <row r="692" spans="113:199" x14ac:dyDescent="0.25">
      <c r="DI692" s="25"/>
      <c r="DL692" s="8">
        <v>501</v>
      </c>
      <c r="GP692" s="6">
        <v>69</v>
      </c>
      <c r="GQ692" s="52">
        <v>138</v>
      </c>
    </row>
    <row r="693" spans="113:199" x14ac:dyDescent="0.25">
      <c r="DL693" s="8">
        <v>464</v>
      </c>
      <c r="GP693" s="6">
        <v>4</v>
      </c>
      <c r="GQ693" s="52">
        <v>91</v>
      </c>
    </row>
    <row r="694" spans="113:199" x14ac:dyDescent="0.25">
      <c r="DL694" s="8">
        <v>569</v>
      </c>
      <c r="GP694" s="6">
        <v>2</v>
      </c>
      <c r="GQ694" s="52">
        <v>32</v>
      </c>
    </row>
    <row r="695" spans="113:199" x14ac:dyDescent="0.25">
      <c r="DL695" s="8">
        <v>547</v>
      </c>
      <c r="GP695" s="6">
        <v>-92</v>
      </c>
      <c r="GQ695" s="52">
        <v>50</v>
      </c>
    </row>
    <row r="696" spans="113:199" x14ac:dyDescent="0.25">
      <c r="DL696" s="8">
        <v>702</v>
      </c>
      <c r="GP696" s="6">
        <v>-15</v>
      </c>
      <c r="GQ696" s="52">
        <v>72</v>
      </c>
    </row>
    <row r="697" spans="113:199" x14ac:dyDescent="0.25">
      <c r="DL697" s="8">
        <v>-2</v>
      </c>
      <c r="GP697" s="6">
        <v>66</v>
      </c>
      <c r="GQ697" s="52">
        <v>112</v>
      </c>
    </row>
    <row r="698" spans="113:199" x14ac:dyDescent="0.25">
      <c r="DL698" s="8">
        <v>-4</v>
      </c>
      <c r="GP698" s="6">
        <v>-33</v>
      </c>
      <c r="GQ698" s="52">
        <v>104</v>
      </c>
    </row>
    <row r="699" spans="113:199" x14ac:dyDescent="0.25">
      <c r="DL699" s="8">
        <v>1</v>
      </c>
      <c r="GP699" s="6">
        <v>159</v>
      </c>
      <c r="GQ699" s="52">
        <v>63</v>
      </c>
    </row>
    <row r="700" spans="113:199" x14ac:dyDescent="0.25">
      <c r="DL700" s="8">
        <v>13</v>
      </c>
      <c r="GP700" s="6">
        <v>6</v>
      </c>
      <c r="GQ700" s="52">
        <v>92</v>
      </c>
    </row>
    <row r="701" spans="113:199" x14ac:dyDescent="0.25">
      <c r="DL701" s="8">
        <v>8</v>
      </c>
      <c r="GP701" s="6">
        <v>-1</v>
      </c>
      <c r="GQ701" s="52">
        <v>14</v>
      </c>
    </row>
    <row r="702" spans="113:199" x14ac:dyDescent="0.25">
      <c r="DL702" s="8">
        <v>3</v>
      </c>
      <c r="GP702" s="6">
        <v>10</v>
      </c>
      <c r="GQ702" s="52">
        <v>188</v>
      </c>
    </row>
    <row r="703" spans="113:199" x14ac:dyDescent="0.25">
      <c r="DL703" s="8">
        <v>7</v>
      </c>
      <c r="GP703" s="6">
        <v>18</v>
      </c>
      <c r="GQ703" s="52">
        <v>189</v>
      </c>
    </row>
    <row r="704" spans="113:199" x14ac:dyDescent="0.25">
      <c r="DL704" s="8">
        <v>-5</v>
      </c>
      <c r="GP704" s="6">
        <v>1</v>
      </c>
      <c r="GQ704" s="52">
        <v>12</v>
      </c>
    </row>
    <row r="705" spans="116:199" x14ac:dyDescent="0.25">
      <c r="DL705" s="8">
        <v>34</v>
      </c>
      <c r="GP705" s="6">
        <v>-14</v>
      </c>
      <c r="GQ705" s="52">
        <v>278</v>
      </c>
    </row>
    <row r="706" spans="116:199" x14ac:dyDescent="0.25">
      <c r="DL706" s="8">
        <v>-8</v>
      </c>
      <c r="GP706" s="6">
        <v>16</v>
      </c>
      <c r="GQ706" s="52">
        <v>307</v>
      </c>
    </row>
    <row r="707" spans="116:199" x14ac:dyDescent="0.25">
      <c r="DL707" s="8">
        <v>1</v>
      </c>
      <c r="GP707" s="6">
        <v>-6</v>
      </c>
      <c r="GQ707" s="52">
        <v>31</v>
      </c>
    </row>
    <row r="708" spans="116:199" x14ac:dyDescent="0.25">
      <c r="DL708" s="8">
        <v>-38</v>
      </c>
      <c r="GP708" s="6">
        <v>-37</v>
      </c>
      <c r="GQ708" s="52">
        <v>120</v>
      </c>
    </row>
    <row r="709" spans="116:199" x14ac:dyDescent="0.25">
      <c r="DL709" s="8">
        <v>295</v>
      </c>
      <c r="GP709" s="6">
        <v>14</v>
      </c>
      <c r="GQ709" s="52">
        <v>69</v>
      </c>
    </row>
    <row r="710" spans="116:199" x14ac:dyDescent="0.25">
      <c r="DL710" s="8">
        <v>566</v>
      </c>
      <c r="GP710" s="6">
        <v>-11</v>
      </c>
      <c r="GQ710" s="52">
        <v>213</v>
      </c>
    </row>
    <row r="711" spans="116:199" x14ac:dyDescent="0.25">
      <c r="DL711" s="8">
        <v>488</v>
      </c>
      <c r="GP711" s="6">
        <v>-5</v>
      </c>
      <c r="GQ711" s="52">
        <v>144</v>
      </c>
    </row>
    <row r="712" spans="116:199" x14ac:dyDescent="0.25">
      <c r="DL712" s="8">
        <v>2</v>
      </c>
      <c r="GP712" s="6">
        <v>15</v>
      </c>
      <c r="GQ712" s="52">
        <v>226</v>
      </c>
    </row>
    <row r="713" spans="116:199" x14ac:dyDescent="0.25">
      <c r="DL713" s="8">
        <v>17</v>
      </c>
      <c r="GP713" s="6">
        <v>11</v>
      </c>
      <c r="GQ713" s="52">
        <v>106</v>
      </c>
    </row>
    <row r="714" spans="116:199" x14ac:dyDescent="0.25">
      <c r="DL714" s="8">
        <v>-4</v>
      </c>
      <c r="GP714" s="6">
        <v>1</v>
      </c>
      <c r="GQ714" s="52">
        <v>27</v>
      </c>
    </row>
    <row r="715" spans="116:199" x14ac:dyDescent="0.25">
      <c r="DL715" s="8">
        <v>22</v>
      </c>
      <c r="GP715" s="6">
        <v>8</v>
      </c>
      <c r="GQ715" s="52">
        <v>139</v>
      </c>
    </row>
    <row r="716" spans="116:199" x14ac:dyDescent="0.25">
      <c r="DL716" s="8">
        <v>-8</v>
      </c>
      <c r="GP716" s="6">
        <v>-16</v>
      </c>
      <c r="GQ716" s="52">
        <v>164</v>
      </c>
    </row>
    <row r="717" spans="116:199" x14ac:dyDescent="0.25">
      <c r="DL717" s="8">
        <v>-15</v>
      </c>
      <c r="GP717" s="6">
        <v>-3</v>
      </c>
      <c r="GQ717" s="52">
        <v>39</v>
      </c>
    </row>
    <row r="718" spans="116:199" x14ac:dyDescent="0.25">
      <c r="DL718" s="8">
        <v>18</v>
      </c>
      <c r="GP718" s="6">
        <v>-19</v>
      </c>
      <c r="GQ718" s="52">
        <v>126</v>
      </c>
    </row>
    <row r="719" spans="116:199" x14ac:dyDescent="0.25">
      <c r="DL719" s="8">
        <v>33</v>
      </c>
      <c r="GP719" s="6">
        <v>-53</v>
      </c>
      <c r="GQ719" s="52">
        <v>322</v>
      </c>
    </row>
    <row r="720" spans="116:199" x14ac:dyDescent="0.25">
      <c r="DL720" s="8">
        <v>67</v>
      </c>
      <c r="GP720" s="6">
        <v>-20</v>
      </c>
      <c r="GQ720" s="52">
        <v>252</v>
      </c>
    </row>
    <row r="721" spans="116:199" x14ac:dyDescent="0.25">
      <c r="DL721" s="8">
        <v>49</v>
      </c>
      <c r="GP721" s="6">
        <v>-35</v>
      </c>
      <c r="GQ721" s="52">
        <v>318</v>
      </c>
    </row>
    <row r="722" spans="116:199" x14ac:dyDescent="0.25">
      <c r="DL722" s="8">
        <v>48</v>
      </c>
      <c r="GP722" s="6">
        <v>32</v>
      </c>
      <c r="GQ722" s="52">
        <v>621</v>
      </c>
    </row>
    <row r="723" spans="116:199" x14ac:dyDescent="0.25">
      <c r="DL723" s="8">
        <v>106</v>
      </c>
      <c r="GP723" s="6">
        <v>44</v>
      </c>
      <c r="GQ723" s="52">
        <v>228</v>
      </c>
    </row>
    <row r="724" spans="116:199" x14ac:dyDescent="0.25">
      <c r="DL724" s="8">
        <v>23</v>
      </c>
      <c r="GP724" s="6">
        <v>17</v>
      </c>
      <c r="GQ724" s="52">
        <v>75</v>
      </c>
    </row>
    <row r="725" spans="116:199" x14ac:dyDescent="0.25">
      <c r="DL725" s="8">
        <v>279</v>
      </c>
      <c r="GP725" s="6">
        <v>33</v>
      </c>
      <c r="GQ725" s="52">
        <v>94</v>
      </c>
    </row>
    <row r="726" spans="116:199" x14ac:dyDescent="0.25">
      <c r="DL726" s="8">
        <v>619</v>
      </c>
      <c r="GP726" s="6">
        <v>11</v>
      </c>
      <c r="GQ726" s="52">
        <v>303</v>
      </c>
    </row>
    <row r="727" spans="116:199" x14ac:dyDescent="0.25">
      <c r="DL727" s="8">
        <v>469</v>
      </c>
      <c r="GP727" s="6">
        <v>12</v>
      </c>
      <c r="GQ727" s="52">
        <v>197</v>
      </c>
    </row>
    <row r="728" spans="116:199" x14ac:dyDescent="0.25">
      <c r="DL728" s="8">
        <v>389</v>
      </c>
      <c r="GP728" s="6">
        <v>-38</v>
      </c>
      <c r="GQ728" s="52">
        <v>265</v>
      </c>
    </row>
    <row r="729" spans="116:199" x14ac:dyDescent="0.25">
      <c r="DL729" s="8">
        <v>390</v>
      </c>
      <c r="GP729" s="6">
        <v>-9</v>
      </c>
      <c r="GQ729" s="52">
        <v>167</v>
      </c>
    </row>
    <row r="730" spans="116:199" x14ac:dyDescent="0.25">
      <c r="DL730" s="8">
        <v>504</v>
      </c>
      <c r="GP730" s="6">
        <v>-18</v>
      </c>
      <c r="GQ730" s="52">
        <v>217</v>
      </c>
    </row>
    <row r="731" spans="116:199" x14ac:dyDescent="0.25">
      <c r="DL731" s="8">
        <v>598</v>
      </c>
      <c r="GP731" s="6">
        <v>21</v>
      </c>
      <c r="GQ731" s="52">
        <v>537</v>
      </c>
    </row>
    <row r="732" spans="116:199" x14ac:dyDescent="0.25">
      <c r="DL732" s="8">
        <v>2</v>
      </c>
      <c r="GP732" s="6">
        <v>48</v>
      </c>
      <c r="GQ732" s="52">
        <v>269</v>
      </c>
    </row>
    <row r="733" spans="116:199" x14ac:dyDescent="0.25">
      <c r="DL733" s="8">
        <v>1</v>
      </c>
      <c r="GP733" s="6">
        <v>36</v>
      </c>
      <c r="GQ733" s="52">
        <v>208</v>
      </c>
    </row>
    <row r="734" spans="116:199" x14ac:dyDescent="0.25">
      <c r="DL734" s="8">
        <v>16</v>
      </c>
      <c r="GP734" s="6">
        <v>6</v>
      </c>
      <c r="GQ734" s="52">
        <v>250</v>
      </c>
    </row>
    <row r="735" spans="116:199" x14ac:dyDescent="0.25">
      <c r="DL735" s="8">
        <v>-4</v>
      </c>
      <c r="GP735" s="6">
        <v>13</v>
      </c>
      <c r="GQ735" s="52">
        <v>272</v>
      </c>
    </row>
    <row r="736" spans="116:199" x14ac:dyDescent="0.25">
      <c r="DL736" s="8">
        <v>20</v>
      </c>
      <c r="GP736" s="6">
        <v>-25</v>
      </c>
      <c r="GQ736" s="52">
        <v>233</v>
      </c>
    </row>
    <row r="737" spans="116:199" x14ac:dyDescent="0.25">
      <c r="DL737" s="8">
        <v>-7</v>
      </c>
      <c r="GP737" s="6">
        <v>-17</v>
      </c>
      <c r="GQ737" s="52">
        <v>269</v>
      </c>
    </row>
    <row r="738" spans="116:199" x14ac:dyDescent="0.25">
      <c r="DL738" s="8">
        <v>-13</v>
      </c>
      <c r="GP738" s="6">
        <v>11</v>
      </c>
      <c r="GQ738" s="52">
        <v>369</v>
      </c>
    </row>
    <row r="739" spans="116:199" x14ac:dyDescent="0.25">
      <c r="DL739" s="8">
        <v>16</v>
      </c>
      <c r="GP739" s="6">
        <v>51</v>
      </c>
      <c r="GQ739" s="52">
        <v>342</v>
      </c>
    </row>
    <row r="740" spans="116:199" x14ac:dyDescent="0.25">
      <c r="DL740" s="8">
        <v>34</v>
      </c>
      <c r="GP740" s="6">
        <v>25</v>
      </c>
      <c r="GQ740" s="52">
        <v>154</v>
      </c>
    </row>
    <row r="741" spans="116:199" x14ac:dyDescent="0.25">
      <c r="DL741" s="8">
        <v>64</v>
      </c>
      <c r="GP741" s="6">
        <v>4</v>
      </c>
      <c r="GQ741" s="52">
        <v>185</v>
      </c>
    </row>
    <row r="742" spans="116:199" x14ac:dyDescent="0.25">
      <c r="DL742" s="8">
        <v>41</v>
      </c>
      <c r="GP742" s="6">
        <v>7</v>
      </c>
      <c r="GQ742" s="52">
        <v>188</v>
      </c>
    </row>
    <row r="743" spans="116:199" x14ac:dyDescent="0.25">
      <c r="DL743" s="8">
        <v>49</v>
      </c>
      <c r="GP743" s="6">
        <v>-417</v>
      </c>
      <c r="GQ743" s="52">
        <v>107</v>
      </c>
    </row>
    <row r="744" spans="116:199" x14ac:dyDescent="0.25">
      <c r="DL744" s="8">
        <v>100</v>
      </c>
      <c r="GP744" s="6">
        <v>347</v>
      </c>
      <c r="GQ744" s="52">
        <v>409</v>
      </c>
    </row>
    <row r="745" spans="116:199" x14ac:dyDescent="0.25">
      <c r="DL745" s="8">
        <v>24</v>
      </c>
      <c r="GP745" s="6">
        <v>121</v>
      </c>
      <c r="GQ745" s="52">
        <v>61</v>
      </c>
    </row>
    <row r="746" spans="116:199" x14ac:dyDescent="0.25">
      <c r="DL746" s="8">
        <v>233</v>
      </c>
      <c r="GP746" s="6">
        <v>-435</v>
      </c>
      <c r="GQ746" s="52">
        <v>381</v>
      </c>
    </row>
    <row r="747" spans="116:199" x14ac:dyDescent="0.25">
      <c r="DL747" s="8">
        <v>627</v>
      </c>
      <c r="GP747" s="6">
        <v>301</v>
      </c>
      <c r="GQ747" s="52">
        <v>83</v>
      </c>
    </row>
    <row r="748" spans="116:199" x14ac:dyDescent="0.25">
      <c r="DL748" s="8">
        <v>470</v>
      </c>
      <c r="GP748" s="6">
        <v>-938</v>
      </c>
      <c r="GQ748" s="52">
        <v>469</v>
      </c>
    </row>
    <row r="749" spans="116:199" x14ac:dyDescent="0.25">
      <c r="DL749" s="8">
        <v>398</v>
      </c>
      <c r="GP749" s="6">
        <v>234</v>
      </c>
      <c r="GQ749" s="52">
        <v>53</v>
      </c>
    </row>
    <row r="750" spans="116:199" x14ac:dyDescent="0.25">
      <c r="DL750" s="8">
        <v>383</v>
      </c>
      <c r="GP750" s="6">
        <v>-288</v>
      </c>
      <c r="GQ750" s="52">
        <v>217</v>
      </c>
    </row>
    <row r="751" spans="116:199" x14ac:dyDescent="0.25">
      <c r="DL751" s="8">
        <v>539</v>
      </c>
      <c r="GP751" s="6">
        <v>-823</v>
      </c>
      <c r="GQ751" s="52">
        <v>187</v>
      </c>
    </row>
    <row r="752" spans="116:199" x14ac:dyDescent="0.25">
      <c r="DL752" s="8">
        <v>604</v>
      </c>
      <c r="GP752" s="6">
        <v>-598</v>
      </c>
      <c r="GQ752" s="52">
        <v>151</v>
      </c>
    </row>
    <row r="753" spans="116:199" x14ac:dyDescent="0.25">
      <c r="DL753" s="8">
        <v>2</v>
      </c>
      <c r="GP753" s="6">
        <v>-631</v>
      </c>
      <c r="GQ753" s="52">
        <v>408</v>
      </c>
    </row>
    <row r="754" spans="116:199" x14ac:dyDescent="0.25">
      <c r="DL754" s="8">
        <v>1</v>
      </c>
      <c r="GP754" s="6">
        <v>-550</v>
      </c>
      <c r="GQ754" s="52">
        <v>590</v>
      </c>
    </row>
    <row r="755" spans="116:199" x14ac:dyDescent="0.25">
      <c r="DL755" s="8">
        <v>16</v>
      </c>
      <c r="GP755" s="6">
        <v>-839</v>
      </c>
      <c r="GQ755" s="52">
        <v>324</v>
      </c>
    </row>
    <row r="756" spans="116:199" x14ac:dyDescent="0.25">
      <c r="DL756" s="8">
        <v>-3</v>
      </c>
      <c r="GP756" s="6">
        <v>-769</v>
      </c>
      <c r="GQ756" s="52">
        <v>248</v>
      </c>
    </row>
    <row r="757" spans="116:199" x14ac:dyDescent="0.25">
      <c r="DL757" s="8">
        <v>20</v>
      </c>
      <c r="GP757" s="6">
        <v>154</v>
      </c>
      <c r="GQ757" s="52">
        <v>456</v>
      </c>
    </row>
    <row r="758" spans="116:199" x14ac:dyDescent="0.25">
      <c r="DL758" s="8">
        <v>-7</v>
      </c>
      <c r="GP758" s="6">
        <v>-145</v>
      </c>
      <c r="GQ758" s="52">
        <v>111</v>
      </c>
    </row>
    <row r="759" spans="116:199" x14ac:dyDescent="0.25">
      <c r="DL759" s="8">
        <v>-13</v>
      </c>
      <c r="GP759" s="6">
        <v>-137</v>
      </c>
      <c r="GQ759" s="52">
        <v>49</v>
      </c>
    </row>
    <row r="760" spans="116:199" x14ac:dyDescent="0.25">
      <c r="DL760" s="8">
        <v>16</v>
      </c>
      <c r="GP760" s="6">
        <v>-318</v>
      </c>
      <c r="GQ760" s="52">
        <v>636</v>
      </c>
    </row>
    <row r="761" spans="116:199" x14ac:dyDescent="0.25">
      <c r="DL761" s="8">
        <v>33</v>
      </c>
      <c r="GP761" s="6">
        <v>203</v>
      </c>
      <c r="GQ761" s="52">
        <v>197</v>
      </c>
    </row>
    <row r="762" spans="116:199" x14ac:dyDescent="0.25">
      <c r="DL762" s="8">
        <v>63</v>
      </c>
      <c r="GP762" s="6">
        <v>361</v>
      </c>
      <c r="GQ762" s="52">
        <v>628</v>
      </c>
    </row>
    <row r="763" spans="116:199" x14ac:dyDescent="0.25">
      <c r="DL763" s="8">
        <v>40</v>
      </c>
      <c r="GP763" s="6">
        <v>-71</v>
      </c>
      <c r="GQ763" s="52">
        <v>63</v>
      </c>
    </row>
    <row r="764" spans="116:199" x14ac:dyDescent="0.25">
      <c r="DL764" s="8">
        <v>48</v>
      </c>
      <c r="GP764" s="6">
        <v>88</v>
      </c>
      <c r="GQ764" s="52">
        <v>300</v>
      </c>
    </row>
    <row r="765" spans="116:199" x14ac:dyDescent="0.25">
      <c r="DL765" s="8">
        <v>98</v>
      </c>
      <c r="GP765" s="6">
        <v>499</v>
      </c>
      <c r="GQ765" s="52">
        <v>346</v>
      </c>
    </row>
    <row r="766" spans="116:199" x14ac:dyDescent="0.25">
      <c r="DL766" s="8">
        <v>24</v>
      </c>
      <c r="GP766" s="6">
        <v>-8</v>
      </c>
      <c r="GQ766" s="52">
        <v>17</v>
      </c>
    </row>
    <row r="767" spans="116:199" x14ac:dyDescent="0.25">
      <c r="DL767" s="8">
        <v>212</v>
      </c>
      <c r="GP767" s="6">
        <v>309</v>
      </c>
      <c r="GQ767" s="52">
        <v>111</v>
      </c>
    </row>
    <row r="768" spans="116:199" x14ac:dyDescent="0.25">
      <c r="DL768" s="8">
        <v>770</v>
      </c>
      <c r="GP768" s="6">
        <v>9</v>
      </c>
      <c r="GQ768" s="52">
        <v>14</v>
      </c>
    </row>
    <row r="769" spans="116:199" x14ac:dyDescent="0.25">
      <c r="DL769" s="8">
        <v>694</v>
      </c>
      <c r="GP769" s="6">
        <v>13</v>
      </c>
      <c r="GQ769" s="52">
        <v>7</v>
      </c>
    </row>
    <row r="770" spans="116:199" x14ac:dyDescent="0.25">
      <c r="DL770" s="8">
        <v>5</v>
      </c>
      <c r="GP770" s="6">
        <v>453</v>
      </c>
      <c r="GQ770" s="52">
        <v>79</v>
      </c>
    </row>
    <row r="771" spans="116:199" x14ac:dyDescent="0.25">
      <c r="DL771" s="8">
        <v>-29</v>
      </c>
      <c r="GP771" s="6">
        <v>201</v>
      </c>
      <c r="GQ771" s="52">
        <v>38</v>
      </c>
    </row>
    <row r="772" spans="116:199" x14ac:dyDescent="0.25">
      <c r="DL772" s="8">
        <v>-4</v>
      </c>
      <c r="GP772" s="6">
        <v>261</v>
      </c>
      <c r="GQ772" s="52">
        <v>128</v>
      </c>
    </row>
    <row r="773" spans="116:199" x14ac:dyDescent="0.25">
      <c r="DL773" s="8">
        <v>15</v>
      </c>
      <c r="GP773" s="6">
        <v>442</v>
      </c>
      <c r="GQ773" s="52">
        <v>363</v>
      </c>
    </row>
    <row r="774" spans="116:199" x14ac:dyDescent="0.25">
      <c r="DL774" s="8">
        <v>38</v>
      </c>
      <c r="GP774" s="6">
        <v>100</v>
      </c>
      <c r="GQ774" s="52">
        <v>323</v>
      </c>
    </row>
    <row r="775" spans="116:199" x14ac:dyDescent="0.25">
      <c r="DL775" s="8">
        <v>-36</v>
      </c>
      <c r="GP775" s="6">
        <v>571</v>
      </c>
      <c r="GQ775" s="52">
        <v>140</v>
      </c>
    </row>
    <row r="776" spans="116:199" x14ac:dyDescent="0.25">
      <c r="DL776" s="8">
        <v>120</v>
      </c>
      <c r="GP776" s="6">
        <v>-51</v>
      </c>
      <c r="GQ776" s="52">
        <v>107</v>
      </c>
    </row>
    <row r="777" spans="116:199" x14ac:dyDescent="0.25">
      <c r="DL777" s="8">
        <v>84</v>
      </c>
      <c r="GP777" s="6">
        <v>235</v>
      </c>
      <c r="GQ777" s="52">
        <v>132</v>
      </c>
    </row>
    <row r="778" spans="116:199" x14ac:dyDescent="0.25">
      <c r="DL778" s="8">
        <v>-131</v>
      </c>
      <c r="GP778" s="6">
        <v>844</v>
      </c>
      <c r="GQ778" s="52">
        <v>42</v>
      </c>
    </row>
    <row r="779" spans="116:199" x14ac:dyDescent="0.25">
      <c r="DL779" s="8">
        <v>-21</v>
      </c>
      <c r="GP779" s="6">
        <v>262</v>
      </c>
      <c r="GQ779" s="52">
        <v>395</v>
      </c>
    </row>
    <row r="780" spans="116:199" x14ac:dyDescent="0.25">
      <c r="DL780" s="8">
        <v>-172</v>
      </c>
      <c r="GP780" s="6">
        <v>-48</v>
      </c>
      <c r="GQ780" s="52">
        <v>33</v>
      </c>
    </row>
    <row r="781" spans="116:199" x14ac:dyDescent="0.25">
      <c r="DL781" s="8">
        <v>-587</v>
      </c>
      <c r="GP781" s="6">
        <v>-268</v>
      </c>
      <c r="GQ781" s="52">
        <v>122</v>
      </c>
    </row>
    <row r="782" spans="116:199" x14ac:dyDescent="0.25">
      <c r="DL782" s="8">
        <v>-384</v>
      </c>
      <c r="GP782" s="6">
        <v>-245</v>
      </c>
      <c r="GQ782" s="52">
        <v>639</v>
      </c>
    </row>
    <row r="783" spans="116:199" x14ac:dyDescent="0.25">
      <c r="DL783" s="8">
        <v>-807</v>
      </c>
      <c r="GP783" s="6">
        <v>-59</v>
      </c>
      <c r="GQ783" s="52">
        <v>547</v>
      </c>
    </row>
    <row r="784" spans="116:199" x14ac:dyDescent="0.25">
      <c r="DL784" s="8">
        <v>794</v>
      </c>
      <c r="GP784" s="6">
        <v>24</v>
      </c>
      <c r="GQ784" s="52">
        <v>55</v>
      </c>
    </row>
    <row r="785" spans="116:199" x14ac:dyDescent="0.25">
      <c r="DL785" s="8">
        <v>540</v>
      </c>
      <c r="GP785" s="6">
        <v>49</v>
      </c>
      <c r="GQ785" s="52">
        <v>302</v>
      </c>
    </row>
    <row r="786" spans="116:199" x14ac:dyDescent="0.25">
      <c r="DL786" s="8">
        <v>547</v>
      </c>
      <c r="GP786" s="6">
        <v>-106</v>
      </c>
      <c r="GQ786" s="52">
        <v>116</v>
      </c>
    </row>
    <row r="787" spans="116:199" x14ac:dyDescent="0.25">
      <c r="DL787" s="8">
        <v>552</v>
      </c>
      <c r="GP787" s="6">
        <v>15</v>
      </c>
      <c r="GQ787" s="52">
        <v>75</v>
      </c>
    </row>
    <row r="788" spans="116:199" x14ac:dyDescent="0.25">
      <c r="DL788" s="8">
        <v>432</v>
      </c>
      <c r="GP788" s="6">
        <v>388</v>
      </c>
      <c r="GQ788" s="52">
        <v>523</v>
      </c>
    </row>
    <row r="789" spans="116:199" x14ac:dyDescent="0.25">
      <c r="DL789" s="8">
        <v>797</v>
      </c>
      <c r="GP789" s="6">
        <v>634</v>
      </c>
      <c r="GQ789" s="52">
        <v>335</v>
      </c>
    </row>
    <row r="790" spans="116:199" x14ac:dyDescent="0.25">
      <c r="DL790" s="8">
        <v>-1</v>
      </c>
      <c r="GP790" s="6">
        <v>610</v>
      </c>
      <c r="GQ790" s="52">
        <v>347</v>
      </c>
    </row>
    <row r="791" spans="116:199" x14ac:dyDescent="0.25">
      <c r="DL791" s="8">
        <v>5</v>
      </c>
      <c r="GP791" s="6">
        <v>595</v>
      </c>
      <c r="GQ791" s="52">
        <v>103</v>
      </c>
    </row>
    <row r="792" spans="116:199" x14ac:dyDescent="0.25">
      <c r="DL792" s="8">
        <v>-31</v>
      </c>
      <c r="GP792" s="6">
        <v>269</v>
      </c>
      <c r="GQ792" s="52">
        <v>709</v>
      </c>
    </row>
    <row r="793" spans="116:199" x14ac:dyDescent="0.25">
      <c r="DL793" s="8">
        <v>-3</v>
      </c>
      <c r="GP793" s="6">
        <v>-29</v>
      </c>
      <c r="GQ793" s="52">
        <v>35</v>
      </c>
    </row>
    <row r="794" spans="116:199" x14ac:dyDescent="0.25">
      <c r="DL794" s="8">
        <v>12</v>
      </c>
      <c r="GP794" s="6">
        <v>344</v>
      </c>
      <c r="GQ794" s="52">
        <v>175</v>
      </c>
    </row>
    <row r="795" spans="116:199" x14ac:dyDescent="0.25">
      <c r="DL795" s="8">
        <v>28</v>
      </c>
      <c r="GP795" s="6">
        <v>-65</v>
      </c>
      <c r="GQ795" s="52">
        <v>404</v>
      </c>
    </row>
    <row r="796" spans="116:199" x14ac:dyDescent="0.25">
      <c r="DL796" s="8">
        <v>-27</v>
      </c>
      <c r="GP796" s="6">
        <v>-6</v>
      </c>
      <c r="GQ796" s="52">
        <v>11</v>
      </c>
    </row>
    <row r="797" spans="116:199" x14ac:dyDescent="0.25">
      <c r="DL797" s="8">
        <v>72</v>
      </c>
      <c r="GP797" s="6">
        <v>679</v>
      </c>
      <c r="GQ797" s="52">
        <v>58</v>
      </c>
    </row>
    <row r="798" spans="116:199" x14ac:dyDescent="0.25">
      <c r="DL798" s="8">
        <v>89</v>
      </c>
      <c r="GP798" s="6">
        <v>124</v>
      </c>
      <c r="GQ798" s="52">
        <v>570</v>
      </c>
    </row>
    <row r="799" spans="116:199" x14ac:dyDescent="0.25">
      <c r="DL799" s="8">
        <v>-133</v>
      </c>
      <c r="GP799" s="6">
        <v>-89</v>
      </c>
      <c r="GQ799" s="52">
        <v>172</v>
      </c>
    </row>
    <row r="800" spans="116:199" x14ac:dyDescent="0.25">
      <c r="DL800" s="8">
        <v>-35</v>
      </c>
      <c r="GP800" s="6">
        <v>34</v>
      </c>
      <c r="GQ800" s="52">
        <v>464</v>
      </c>
    </row>
    <row r="801" spans="116:199" x14ac:dyDescent="0.25">
      <c r="DL801" s="8">
        <v>-177</v>
      </c>
      <c r="GP801" s="6">
        <v>47</v>
      </c>
      <c r="GQ801" s="52">
        <v>276</v>
      </c>
    </row>
    <row r="802" spans="116:199" x14ac:dyDescent="0.25">
      <c r="DL802" s="8">
        <v>-562</v>
      </c>
      <c r="GP802" s="6">
        <v>20</v>
      </c>
      <c r="GQ802" s="52">
        <v>498</v>
      </c>
    </row>
    <row r="803" spans="116:199" x14ac:dyDescent="0.25">
      <c r="DL803" s="8">
        <v>-400</v>
      </c>
      <c r="GP803" s="6">
        <v>30</v>
      </c>
      <c r="GQ803" s="52">
        <v>177</v>
      </c>
    </row>
    <row r="804" spans="116:199" x14ac:dyDescent="0.25">
      <c r="DL804" s="8">
        <v>-654</v>
      </c>
      <c r="GP804" s="6">
        <v>-35</v>
      </c>
      <c r="GQ804" s="52">
        <v>471</v>
      </c>
    </row>
    <row r="805" spans="116:199" x14ac:dyDescent="0.25">
      <c r="DL805" s="8">
        <v>679</v>
      </c>
      <c r="GP805" s="6">
        <v>-18</v>
      </c>
      <c r="GQ805" s="52">
        <v>472</v>
      </c>
    </row>
    <row r="806" spans="116:199" x14ac:dyDescent="0.25">
      <c r="DL806" s="8">
        <v>365</v>
      </c>
      <c r="GP806" s="6">
        <v>-22</v>
      </c>
      <c r="GQ806" s="52">
        <v>257</v>
      </c>
    </row>
    <row r="807" spans="116:199" x14ac:dyDescent="0.25">
      <c r="DL807" s="8">
        <v>454</v>
      </c>
      <c r="GP807" s="6">
        <v>-47</v>
      </c>
      <c r="GQ807" s="52">
        <v>189</v>
      </c>
    </row>
    <row r="808" spans="116:199" x14ac:dyDescent="0.25">
      <c r="DL808" s="8">
        <v>437</v>
      </c>
      <c r="GP808" s="6">
        <v>-235</v>
      </c>
      <c r="GQ808" s="52">
        <v>237</v>
      </c>
    </row>
    <row r="809" spans="116:199" x14ac:dyDescent="0.25">
      <c r="DL809" s="8">
        <v>295</v>
      </c>
      <c r="GP809" s="6">
        <v>-214</v>
      </c>
      <c r="GQ809" s="52">
        <v>263</v>
      </c>
    </row>
    <row r="810" spans="116:199" x14ac:dyDescent="0.25">
      <c r="DL810" s="8">
        <v>663</v>
      </c>
      <c r="GP810" s="6">
        <v>-111</v>
      </c>
      <c r="GQ810" s="52">
        <v>430</v>
      </c>
    </row>
    <row r="811" spans="116:199" x14ac:dyDescent="0.25">
      <c r="DL811" s="8">
        <v>-1</v>
      </c>
      <c r="GP811" s="6">
        <v>-73</v>
      </c>
      <c r="GQ811" s="52">
        <v>356</v>
      </c>
    </row>
    <row r="812" spans="116:199" x14ac:dyDescent="0.25">
      <c r="DL812" s="8">
        <v>6</v>
      </c>
      <c r="GP812" s="6">
        <v>61</v>
      </c>
      <c r="GQ812" s="52">
        <v>154</v>
      </c>
    </row>
    <row r="813" spans="116:199" x14ac:dyDescent="0.25">
      <c r="DL813" s="8">
        <v>-31</v>
      </c>
      <c r="GP813" s="6">
        <v>42</v>
      </c>
      <c r="GQ813" s="52">
        <v>89</v>
      </c>
    </row>
    <row r="814" spans="116:199" x14ac:dyDescent="0.25">
      <c r="DL814" s="8">
        <v>3</v>
      </c>
      <c r="GP814" s="6">
        <v>1</v>
      </c>
      <c r="GQ814" s="52">
        <v>27</v>
      </c>
    </row>
    <row r="815" spans="116:199" x14ac:dyDescent="0.25">
      <c r="DL815" s="8">
        <v>8</v>
      </c>
      <c r="GP815" s="6">
        <v>21</v>
      </c>
      <c r="GQ815" s="52">
        <v>82</v>
      </c>
    </row>
    <row r="816" spans="116:199" x14ac:dyDescent="0.25">
      <c r="DL816" s="8">
        <v>28</v>
      </c>
      <c r="GP816" s="6">
        <v>200</v>
      </c>
      <c r="GQ816" s="52">
        <v>39</v>
      </c>
    </row>
    <row r="817" spans="116:199" x14ac:dyDescent="0.25">
      <c r="DL817" s="8">
        <v>-21</v>
      </c>
      <c r="GP817" s="6">
        <v>-3</v>
      </c>
      <c r="GQ817" s="52">
        <v>39</v>
      </c>
    </row>
    <row r="818" spans="116:199" x14ac:dyDescent="0.25">
      <c r="DL818" s="8">
        <v>89</v>
      </c>
      <c r="GP818" s="6">
        <v>-19</v>
      </c>
      <c r="GQ818" s="52">
        <v>126</v>
      </c>
    </row>
    <row r="819" spans="116:199" x14ac:dyDescent="0.25">
      <c r="DL819" s="8">
        <v>100</v>
      </c>
      <c r="GP819" s="6">
        <v>-3</v>
      </c>
      <c r="GQ819" s="52">
        <v>17</v>
      </c>
    </row>
    <row r="820" spans="116:199" x14ac:dyDescent="0.25">
      <c r="DL820" s="8">
        <v>-137</v>
      </c>
      <c r="GP820" s="6">
        <v>2</v>
      </c>
      <c r="GQ820" s="52">
        <v>25</v>
      </c>
    </row>
    <row r="821" spans="116:199" x14ac:dyDescent="0.25">
      <c r="DL821" s="8">
        <v>-29</v>
      </c>
      <c r="GP821" s="6">
        <v>2</v>
      </c>
      <c r="GQ821" s="52">
        <v>50</v>
      </c>
    </row>
    <row r="822" spans="116:199" x14ac:dyDescent="0.25">
      <c r="DL822" s="8">
        <v>-174</v>
      </c>
      <c r="GP822" s="6">
        <v>6</v>
      </c>
      <c r="GQ822" s="52">
        <v>62</v>
      </c>
    </row>
    <row r="823" spans="116:199" x14ac:dyDescent="0.25">
      <c r="DL823" s="8">
        <v>-557</v>
      </c>
      <c r="GP823" s="6">
        <v>-4</v>
      </c>
      <c r="GQ823" s="52">
        <v>18</v>
      </c>
    </row>
    <row r="824" spans="116:199" x14ac:dyDescent="0.25">
      <c r="DL824" s="8">
        <v>-404</v>
      </c>
      <c r="GP824" s="6">
        <v>3</v>
      </c>
      <c r="GQ824" s="52">
        <v>26</v>
      </c>
    </row>
    <row r="825" spans="116:199" x14ac:dyDescent="0.25">
      <c r="DL825" s="8">
        <v>-681</v>
      </c>
      <c r="GP825" s="6">
        <v>-9</v>
      </c>
      <c r="GQ825" s="52">
        <v>107</v>
      </c>
    </row>
    <row r="826" spans="116:199" x14ac:dyDescent="0.25">
      <c r="DL826" s="8">
        <v>783</v>
      </c>
      <c r="GP826" s="6">
        <v>-2</v>
      </c>
      <c r="GQ826" s="52">
        <v>12</v>
      </c>
    </row>
    <row r="827" spans="116:199" x14ac:dyDescent="0.25">
      <c r="DL827" s="8">
        <v>669</v>
      </c>
      <c r="GP827" s="6">
        <v>19</v>
      </c>
      <c r="GQ827" s="52">
        <v>385</v>
      </c>
    </row>
    <row r="828" spans="116:199" x14ac:dyDescent="0.25">
      <c r="DL828" s="8">
        <v>-1</v>
      </c>
      <c r="GP828" s="6">
        <v>12</v>
      </c>
      <c r="GQ828" s="52">
        <v>50</v>
      </c>
    </row>
    <row r="829" spans="116:199" x14ac:dyDescent="0.25">
      <c r="DL829" s="8">
        <v>4</v>
      </c>
      <c r="GP829" s="6">
        <v>-4</v>
      </c>
      <c r="GQ829" s="52">
        <v>22</v>
      </c>
    </row>
    <row r="830" spans="116:199" x14ac:dyDescent="0.25">
      <c r="DL830" s="8">
        <v>19</v>
      </c>
      <c r="GP830" s="6">
        <v>-6</v>
      </c>
      <c r="GQ830" s="52">
        <v>56</v>
      </c>
    </row>
    <row r="831" spans="116:199" x14ac:dyDescent="0.25">
      <c r="DL831" s="8">
        <v>-10</v>
      </c>
      <c r="GP831" s="6">
        <v>2</v>
      </c>
      <c r="GQ831" s="52">
        <v>3</v>
      </c>
    </row>
    <row r="832" spans="116:199" x14ac:dyDescent="0.25">
      <c r="DL832" s="8">
        <v>16</v>
      </c>
      <c r="GP832" s="6">
        <v>31</v>
      </c>
      <c r="GQ832" s="52">
        <v>229</v>
      </c>
    </row>
    <row r="833" spans="116:199" x14ac:dyDescent="0.25">
      <c r="DL833" s="8">
        <v>15</v>
      </c>
      <c r="GP833" s="6">
        <v>24</v>
      </c>
      <c r="GQ833" s="52">
        <v>178</v>
      </c>
    </row>
    <row r="834" spans="116:199" x14ac:dyDescent="0.25">
      <c r="DL834" s="8">
        <v>5</v>
      </c>
      <c r="GP834" s="6">
        <v>-7</v>
      </c>
      <c r="GQ834" s="52">
        <v>81</v>
      </c>
    </row>
    <row r="835" spans="116:199" x14ac:dyDescent="0.25">
      <c r="DL835" s="8">
        <v>-69</v>
      </c>
      <c r="GP835" s="6">
        <v>23</v>
      </c>
      <c r="GQ835" s="52">
        <v>209</v>
      </c>
    </row>
    <row r="836" spans="116:199" x14ac:dyDescent="0.25">
      <c r="DL836" s="8">
        <v>-46</v>
      </c>
      <c r="GP836" s="6">
        <v>2</v>
      </c>
      <c r="GQ836" s="52">
        <v>36</v>
      </c>
    </row>
    <row r="837" spans="116:199" x14ac:dyDescent="0.25">
      <c r="DL837" s="8">
        <v>-21</v>
      </c>
      <c r="GP837" s="6">
        <v>2</v>
      </c>
      <c r="GQ837" s="52">
        <v>13</v>
      </c>
    </row>
    <row r="838" spans="116:199" x14ac:dyDescent="0.25">
      <c r="DL838" s="8">
        <v>-68</v>
      </c>
      <c r="GP838" s="6">
        <v>-3</v>
      </c>
      <c r="GQ838" s="52">
        <v>25</v>
      </c>
    </row>
    <row r="839" spans="116:199" x14ac:dyDescent="0.25">
      <c r="DL839" s="8">
        <v>-36</v>
      </c>
      <c r="GP839" s="6">
        <v>38</v>
      </c>
      <c r="GQ839" s="52">
        <v>346</v>
      </c>
    </row>
    <row r="840" spans="116:199" x14ac:dyDescent="0.25">
      <c r="DL840" s="8">
        <v>11</v>
      </c>
      <c r="GP840" s="6">
        <v>4</v>
      </c>
      <c r="GQ840" s="52">
        <v>67</v>
      </c>
    </row>
    <row r="841" spans="116:199" x14ac:dyDescent="0.25">
      <c r="DL841" s="8">
        <v>-37</v>
      </c>
      <c r="GP841" s="6">
        <v>-8</v>
      </c>
      <c r="GQ841" s="52">
        <v>173</v>
      </c>
    </row>
    <row r="842" spans="116:199" x14ac:dyDescent="0.25">
      <c r="DL842" s="8">
        <v>-386</v>
      </c>
      <c r="GP842" s="6">
        <v>29</v>
      </c>
      <c r="GQ842" s="52">
        <v>192</v>
      </c>
    </row>
    <row r="843" spans="116:199" x14ac:dyDescent="0.25">
      <c r="DL843" s="8">
        <v>798</v>
      </c>
      <c r="GP843" s="6">
        <v>22</v>
      </c>
      <c r="GQ843" s="52">
        <v>195</v>
      </c>
    </row>
    <row r="844" spans="116:199" x14ac:dyDescent="0.25">
      <c r="DL844" s="8">
        <v>624</v>
      </c>
      <c r="GP844" s="6">
        <v>13</v>
      </c>
      <c r="GQ844" s="52">
        <v>129</v>
      </c>
    </row>
    <row r="845" spans="116:199" x14ac:dyDescent="0.25">
      <c r="DL845" s="8">
        <v>524</v>
      </c>
      <c r="GP845" s="6">
        <v>15</v>
      </c>
      <c r="GQ845" s="52">
        <v>295</v>
      </c>
    </row>
    <row r="846" spans="116:199" x14ac:dyDescent="0.25">
      <c r="DL846" s="8">
        <v>569</v>
      </c>
      <c r="GP846" s="6">
        <v>-5</v>
      </c>
      <c r="GQ846" s="52">
        <v>109</v>
      </c>
    </row>
    <row r="847" spans="116:199" x14ac:dyDescent="0.25">
      <c r="DL847" s="8">
        <v>567</v>
      </c>
      <c r="GP847" s="6">
        <v>-320</v>
      </c>
      <c r="GQ847" s="52">
        <v>260</v>
      </c>
    </row>
    <row r="848" spans="116:199" x14ac:dyDescent="0.25">
      <c r="DL848" s="8">
        <v>788</v>
      </c>
      <c r="GP848" s="6">
        <v>351</v>
      </c>
      <c r="GQ848" s="52">
        <v>50</v>
      </c>
    </row>
    <row r="849" spans="116:199" x14ac:dyDescent="0.25">
      <c r="DL849" s="8">
        <v>-1</v>
      </c>
      <c r="GP849" s="6">
        <v>-630</v>
      </c>
      <c r="GQ849" s="52">
        <v>253</v>
      </c>
    </row>
    <row r="850" spans="116:199" x14ac:dyDescent="0.25">
      <c r="DL850" s="8">
        <v>4</v>
      </c>
      <c r="GP850" s="6">
        <v>729</v>
      </c>
      <c r="GQ850" s="52">
        <v>8</v>
      </c>
    </row>
    <row r="851" spans="116:199" x14ac:dyDescent="0.25">
      <c r="DL851" s="8">
        <v>20</v>
      </c>
      <c r="GP851" s="6">
        <v>-962</v>
      </c>
      <c r="GQ851" s="52">
        <v>301</v>
      </c>
    </row>
    <row r="852" spans="116:199" x14ac:dyDescent="0.25">
      <c r="DL852" s="8">
        <v>-10</v>
      </c>
      <c r="GP852" s="6">
        <v>-475</v>
      </c>
      <c r="GQ852" s="52">
        <v>463</v>
      </c>
    </row>
    <row r="853" spans="116:199" x14ac:dyDescent="0.25">
      <c r="DL853" s="8">
        <v>21</v>
      </c>
      <c r="GP853" s="6">
        <v>234</v>
      </c>
      <c r="GQ853" s="52">
        <v>457</v>
      </c>
    </row>
    <row r="854" spans="116:199" x14ac:dyDescent="0.25">
      <c r="DL854" s="8">
        <v>14</v>
      </c>
      <c r="GP854" s="6">
        <v>293</v>
      </c>
      <c r="GQ854" s="52">
        <v>94</v>
      </c>
    </row>
    <row r="855" spans="116:199" x14ac:dyDescent="0.25">
      <c r="DL855" s="8">
        <v>4</v>
      </c>
      <c r="GP855" s="6">
        <v>-720</v>
      </c>
      <c r="GQ855" s="52">
        <v>682</v>
      </c>
    </row>
    <row r="856" spans="116:199" x14ac:dyDescent="0.25">
      <c r="DL856" s="8">
        <v>-65</v>
      </c>
      <c r="GP856" s="6">
        <v>639</v>
      </c>
      <c r="GQ856" s="52">
        <v>13</v>
      </c>
    </row>
    <row r="857" spans="116:199" x14ac:dyDescent="0.25">
      <c r="DL857" s="8">
        <v>-42</v>
      </c>
      <c r="GP857" s="6">
        <v>-116</v>
      </c>
      <c r="GQ857" s="52">
        <v>285</v>
      </c>
    </row>
    <row r="858" spans="116:199" x14ac:dyDescent="0.25">
      <c r="DL858" s="8">
        <v>-24</v>
      </c>
      <c r="GP858" s="6">
        <v>-172</v>
      </c>
      <c r="GQ858" s="52">
        <v>195</v>
      </c>
    </row>
    <row r="859" spans="116:199" x14ac:dyDescent="0.25">
      <c r="DL859" s="8">
        <v>-67</v>
      </c>
      <c r="GP859" s="6">
        <v>338</v>
      </c>
      <c r="GQ859" s="52">
        <v>11</v>
      </c>
    </row>
    <row r="860" spans="116:199" x14ac:dyDescent="0.25">
      <c r="DL860" s="8">
        <v>-31</v>
      </c>
      <c r="GP860" s="6">
        <v>455</v>
      </c>
      <c r="GQ860" s="52">
        <v>286</v>
      </c>
    </row>
    <row r="861" spans="116:199" x14ac:dyDescent="0.25">
      <c r="DL861" s="8">
        <v>16</v>
      </c>
      <c r="GP861" s="6">
        <v>-27</v>
      </c>
      <c r="GQ861" s="52">
        <v>30</v>
      </c>
    </row>
    <row r="862" spans="116:199" x14ac:dyDescent="0.25">
      <c r="DL862" s="8">
        <v>-32</v>
      </c>
      <c r="GP862" s="6">
        <v>503</v>
      </c>
      <c r="GQ862" s="52">
        <v>168</v>
      </c>
    </row>
    <row r="863" spans="116:199" x14ac:dyDescent="0.25">
      <c r="DL863" s="8">
        <v>-352</v>
      </c>
      <c r="GP863" s="6">
        <v>-281</v>
      </c>
      <c r="GQ863" s="52">
        <v>27</v>
      </c>
    </row>
    <row r="864" spans="116:199" x14ac:dyDescent="0.25">
      <c r="DL864" s="8">
        <v>562</v>
      </c>
      <c r="GP864" s="6">
        <v>697</v>
      </c>
      <c r="GQ864" s="52">
        <v>172</v>
      </c>
    </row>
    <row r="865" spans="116:199" x14ac:dyDescent="0.25">
      <c r="DL865" s="8">
        <v>348</v>
      </c>
      <c r="GP865" s="6">
        <v>681</v>
      </c>
      <c r="GQ865" s="52">
        <v>508</v>
      </c>
    </row>
    <row r="866" spans="116:199" x14ac:dyDescent="0.25">
      <c r="DL866" s="8">
        <v>317</v>
      </c>
      <c r="GP866" s="6">
        <v>-115</v>
      </c>
      <c r="GQ866" s="52">
        <v>163</v>
      </c>
    </row>
    <row r="867" spans="116:199" x14ac:dyDescent="0.25">
      <c r="DL867" s="8">
        <v>333</v>
      </c>
      <c r="GP867" s="6">
        <v>-332</v>
      </c>
      <c r="GQ867" s="52">
        <v>79</v>
      </c>
    </row>
    <row r="868" spans="116:199" x14ac:dyDescent="0.25">
      <c r="DL868" s="8">
        <v>341</v>
      </c>
      <c r="GP868" s="6">
        <v>847</v>
      </c>
      <c r="GQ868" s="52">
        <v>570</v>
      </c>
    </row>
    <row r="869" spans="116:199" x14ac:dyDescent="0.25">
      <c r="DL869" s="8">
        <v>561</v>
      </c>
      <c r="GP869" s="6">
        <v>-118</v>
      </c>
      <c r="GQ869" s="52">
        <v>18</v>
      </c>
    </row>
    <row r="870" spans="116:199" x14ac:dyDescent="0.25">
      <c r="DL870" s="8">
        <v>-1</v>
      </c>
      <c r="GP870" s="6">
        <v>780</v>
      </c>
      <c r="GQ870" s="52">
        <v>138</v>
      </c>
    </row>
    <row r="871" spans="116:199" x14ac:dyDescent="0.25">
      <c r="DL871" s="8">
        <v>4</v>
      </c>
      <c r="GP871" s="6">
        <v>312</v>
      </c>
      <c r="GQ871" s="52">
        <v>262</v>
      </c>
    </row>
    <row r="872" spans="116:199" x14ac:dyDescent="0.25">
      <c r="DL872" s="8">
        <v>2</v>
      </c>
      <c r="GP872" s="6">
        <v>-596</v>
      </c>
      <c r="GQ872" s="52">
        <v>16</v>
      </c>
    </row>
    <row r="873" spans="116:199" x14ac:dyDescent="0.25">
      <c r="DL873" s="8">
        <v>-4</v>
      </c>
      <c r="GP873" s="6">
        <v>-21</v>
      </c>
      <c r="GQ873" s="52">
        <v>41</v>
      </c>
    </row>
    <row r="874" spans="116:199" x14ac:dyDescent="0.25">
      <c r="DL874" s="8">
        <v>19</v>
      </c>
      <c r="GP874" s="6">
        <v>23</v>
      </c>
      <c r="GQ874" s="52">
        <v>80</v>
      </c>
    </row>
    <row r="875" spans="116:199" x14ac:dyDescent="0.25">
      <c r="DL875" s="8">
        <v>15</v>
      </c>
      <c r="GP875" s="6">
        <v>263</v>
      </c>
      <c r="GQ875" s="52">
        <v>237</v>
      </c>
    </row>
    <row r="876" spans="116:199" x14ac:dyDescent="0.25">
      <c r="DL876" s="8">
        <v>4</v>
      </c>
      <c r="GP876" s="6">
        <v>272</v>
      </c>
      <c r="GQ876" s="52">
        <v>107</v>
      </c>
    </row>
    <row r="877" spans="116:199" x14ac:dyDescent="0.25">
      <c r="DL877" s="8">
        <v>-62</v>
      </c>
      <c r="GP877" s="6">
        <v>449</v>
      </c>
      <c r="GQ877" s="52">
        <v>325</v>
      </c>
    </row>
    <row r="878" spans="116:199" x14ac:dyDescent="0.25">
      <c r="DL878" s="8">
        <v>-38</v>
      </c>
      <c r="GP878" s="6">
        <v>-155</v>
      </c>
      <c r="GQ878" s="52">
        <v>354</v>
      </c>
    </row>
    <row r="879" spans="116:199" x14ac:dyDescent="0.25">
      <c r="DL879" s="8">
        <v>-24</v>
      </c>
      <c r="GP879" s="6">
        <v>-76</v>
      </c>
      <c r="GQ879" s="52">
        <v>315</v>
      </c>
    </row>
    <row r="880" spans="116:199" x14ac:dyDescent="0.25">
      <c r="DL880" s="8">
        <v>-65</v>
      </c>
      <c r="GP880" s="6">
        <v>109</v>
      </c>
      <c r="GQ880" s="52">
        <v>83</v>
      </c>
    </row>
    <row r="881" spans="116:199" x14ac:dyDescent="0.25">
      <c r="DL881" s="8">
        <v>-29</v>
      </c>
      <c r="GP881" s="6">
        <v>39</v>
      </c>
      <c r="GQ881" s="52">
        <v>47</v>
      </c>
    </row>
    <row r="882" spans="116:199" x14ac:dyDescent="0.25">
      <c r="DL882" s="8">
        <v>18</v>
      </c>
      <c r="GP882" s="6">
        <v>130</v>
      </c>
      <c r="GQ882" s="52">
        <v>58</v>
      </c>
    </row>
    <row r="883" spans="116:199" x14ac:dyDescent="0.25">
      <c r="DL883" s="8">
        <v>-29</v>
      </c>
      <c r="GP883" s="6">
        <v>665</v>
      </c>
      <c r="GQ883" s="52">
        <v>339</v>
      </c>
    </row>
    <row r="884" spans="116:199" x14ac:dyDescent="0.25">
      <c r="DL884" s="8">
        <v>-141</v>
      </c>
      <c r="GP884" s="6">
        <v>-115</v>
      </c>
      <c r="GQ884" s="52">
        <v>292</v>
      </c>
    </row>
    <row r="885" spans="116:199" x14ac:dyDescent="0.25">
      <c r="DL885" s="8">
        <v>290</v>
      </c>
      <c r="GP885" s="6">
        <v>313</v>
      </c>
      <c r="GQ885" s="52">
        <v>72</v>
      </c>
    </row>
    <row r="886" spans="116:199" x14ac:dyDescent="0.25">
      <c r="DL886" s="8">
        <v>140</v>
      </c>
      <c r="GP886" s="6">
        <v>-35</v>
      </c>
      <c r="GQ886" s="52">
        <v>130</v>
      </c>
    </row>
    <row r="887" spans="116:199" x14ac:dyDescent="0.25">
      <c r="DL887" s="8">
        <v>-4</v>
      </c>
      <c r="GP887" s="6">
        <v>2</v>
      </c>
      <c r="GQ887" s="52">
        <v>25</v>
      </c>
    </row>
    <row r="888" spans="116:199" x14ac:dyDescent="0.25">
      <c r="DL888" s="8">
        <v>5</v>
      </c>
      <c r="GP888" s="6">
        <v>16</v>
      </c>
      <c r="GQ888" s="52">
        <v>46</v>
      </c>
    </row>
    <row r="889" spans="116:199" x14ac:dyDescent="0.25">
      <c r="DL889" s="8">
        <v>-22</v>
      </c>
      <c r="GP889" s="6">
        <v>49</v>
      </c>
      <c r="GQ889" s="52">
        <v>51</v>
      </c>
    </row>
    <row r="890" spans="116:199" x14ac:dyDescent="0.25">
      <c r="DL890" s="8">
        <v>-6</v>
      </c>
      <c r="GP890" s="6">
        <v>-32</v>
      </c>
      <c r="GQ890" s="52">
        <v>53</v>
      </c>
    </row>
    <row r="891" spans="116:199" x14ac:dyDescent="0.25">
      <c r="DL891" s="8">
        <v>17</v>
      </c>
      <c r="GP891" s="6">
        <v>3</v>
      </c>
      <c r="GQ891" s="52">
        <v>26</v>
      </c>
    </row>
    <row r="892" spans="116:199" x14ac:dyDescent="0.25">
      <c r="DL892" s="8">
        <v>-9</v>
      </c>
      <c r="GP892" s="6">
        <v>-4</v>
      </c>
      <c r="GQ892" s="52">
        <v>39</v>
      </c>
    </row>
    <row r="893" spans="116:199" x14ac:dyDescent="0.25">
      <c r="DL893" s="8">
        <v>-2</v>
      </c>
      <c r="GP893" s="6">
        <v>-57</v>
      </c>
      <c r="GQ893" s="52">
        <v>89</v>
      </c>
    </row>
    <row r="894" spans="116:199" x14ac:dyDescent="0.25">
      <c r="DL894" s="8">
        <v>-57</v>
      </c>
      <c r="GP894" s="6">
        <v>24</v>
      </c>
      <c r="GQ894" s="52">
        <v>88</v>
      </c>
    </row>
    <row r="895" spans="116:199" x14ac:dyDescent="0.25">
      <c r="DL895" s="8">
        <v>-50</v>
      </c>
      <c r="GP895" s="6">
        <v>-134</v>
      </c>
      <c r="GQ895" s="52">
        <v>124</v>
      </c>
    </row>
    <row r="896" spans="116:199" x14ac:dyDescent="0.25">
      <c r="DL896" s="8">
        <v>46</v>
      </c>
      <c r="GP896" s="6">
        <v>-93</v>
      </c>
      <c r="GQ896" s="52">
        <v>101</v>
      </c>
    </row>
    <row r="897" spans="116:201" x14ac:dyDescent="0.25">
      <c r="DL897" s="8">
        <v>18</v>
      </c>
      <c r="GP897" s="6">
        <v>20</v>
      </c>
      <c r="GQ897" s="52">
        <v>133</v>
      </c>
    </row>
    <row r="898" spans="116:201" x14ac:dyDescent="0.25">
      <c r="DL898" s="8">
        <v>24</v>
      </c>
      <c r="GP898" s="6">
        <v>2</v>
      </c>
      <c r="GQ898" s="52">
        <v>3</v>
      </c>
    </row>
    <row r="899" spans="116:201" x14ac:dyDescent="0.25">
      <c r="DL899" s="8">
        <v>-145</v>
      </c>
      <c r="GP899" s="77">
        <v>-45</v>
      </c>
      <c r="GQ899" s="78">
        <v>213</v>
      </c>
      <c r="GR899" s="28" t="s">
        <v>399</v>
      </c>
      <c r="GS899" s="28"/>
    </row>
    <row r="900" spans="116:201" x14ac:dyDescent="0.25">
      <c r="DL900" s="8">
        <v>-82</v>
      </c>
      <c r="GP900" s="77">
        <v>-55</v>
      </c>
      <c r="GQ900" s="78">
        <v>325</v>
      </c>
    </row>
    <row r="901" spans="116:201" x14ac:dyDescent="0.25">
      <c r="DL901" s="8">
        <v>-530</v>
      </c>
      <c r="GP901" s="77">
        <v>-100</v>
      </c>
      <c r="GQ901" s="78">
        <v>350</v>
      </c>
    </row>
    <row r="902" spans="116:201" x14ac:dyDescent="0.25">
      <c r="DL902" s="8">
        <v>322</v>
      </c>
      <c r="GP902" s="77">
        <v>-69</v>
      </c>
      <c r="GQ902" s="78">
        <v>519</v>
      </c>
    </row>
    <row r="903" spans="116:201" x14ac:dyDescent="0.25">
      <c r="DL903" s="8">
        <v>137</v>
      </c>
      <c r="GP903" s="77">
        <v>-102</v>
      </c>
      <c r="GQ903" s="78">
        <v>473</v>
      </c>
    </row>
    <row r="904" spans="116:201" x14ac:dyDescent="0.25">
      <c r="DL904" s="8">
        <v>-7</v>
      </c>
      <c r="GP904" s="77">
        <v>-204</v>
      </c>
      <c r="GQ904" s="78">
        <v>681</v>
      </c>
    </row>
    <row r="905" spans="116:201" x14ac:dyDescent="0.25">
      <c r="DL905" s="8">
        <v>53</v>
      </c>
      <c r="GP905" s="77">
        <v>-76</v>
      </c>
      <c r="GQ905" s="78">
        <v>436</v>
      </c>
    </row>
    <row r="906" spans="116:201" x14ac:dyDescent="0.25">
      <c r="DL906" s="8">
        <v>50</v>
      </c>
      <c r="GP906" s="77">
        <v>-92</v>
      </c>
      <c r="GQ906" s="78">
        <v>605</v>
      </c>
    </row>
    <row r="907" spans="116:201" x14ac:dyDescent="0.25">
      <c r="DL907" s="8">
        <v>275</v>
      </c>
      <c r="GP907" s="77">
        <v>-87</v>
      </c>
      <c r="GQ907" s="78">
        <v>462</v>
      </c>
    </row>
    <row r="908" spans="116:201" x14ac:dyDescent="0.25">
      <c r="DL908" s="8">
        <v>-4</v>
      </c>
      <c r="GP908" s="77">
        <v>-22</v>
      </c>
      <c r="GQ908" s="78">
        <v>191</v>
      </c>
    </row>
    <row r="909" spans="116:201" x14ac:dyDescent="0.25">
      <c r="DL909" s="8">
        <v>5</v>
      </c>
      <c r="GP909" s="77">
        <v>-37</v>
      </c>
      <c r="GQ909" s="78">
        <v>253</v>
      </c>
    </row>
    <row r="910" spans="116:201" x14ac:dyDescent="0.25">
      <c r="DL910" s="8">
        <v>-22</v>
      </c>
      <c r="GP910" s="77">
        <v>-58</v>
      </c>
      <c r="GQ910" s="78">
        <v>327</v>
      </c>
    </row>
    <row r="911" spans="116:201" x14ac:dyDescent="0.25">
      <c r="DL911" s="8">
        <v>-6</v>
      </c>
      <c r="GP911" s="77">
        <v>-19</v>
      </c>
      <c r="GQ911" s="78">
        <v>77</v>
      </c>
    </row>
    <row r="912" spans="116:201" x14ac:dyDescent="0.25">
      <c r="DL912" s="8">
        <v>18</v>
      </c>
      <c r="GP912" s="77">
        <v>-40</v>
      </c>
      <c r="GQ912" s="78">
        <v>383</v>
      </c>
    </row>
    <row r="913" spans="116:199" x14ac:dyDescent="0.25">
      <c r="DL913" s="8">
        <v>-9</v>
      </c>
      <c r="GP913" s="77">
        <v>-33</v>
      </c>
      <c r="GQ913" s="78">
        <v>141</v>
      </c>
    </row>
    <row r="914" spans="116:199" x14ac:dyDescent="0.25">
      <c r="DL914" s="8">
        <v>-2</v>
      </c>
      <c r="GP914" s="77">
        <v>-88</v>
      </c>
      <c r="GQ914" s="78">
        <v>396</v>
      </c>
    </row>
    <row r="915" spans="116:199" x14ac:dyDescent="0.25">
      <c r="DL915" s="8">
        <v>-56</v>
      </c>
      <c r="GP915" s="77">
        <v>-96</v>
      </c>
      <c r="GQ915" s="78">
        <v>519</v>
      </c>
    </row>
    <row r="916" spans="116:199" x14ac:dyDescent="0.25">
      <c r="DL916" s="8">
        <v>-43</v>
      </c>
      <c r="GP916" s="77">
        <v>-68</v>
      </c>
      <c r="GQ916" s="78">
        <v>417</v>
      </c>
    </row>
    <row r="917" spans="116:199" x14ac:dyDescent="0.25">
      <c r="DL917" s="8">
        <v>53</v>
      </c>
      <c r="GP917" s="77">
        <v>-85</v>
      </c>
      <c r="GQ917" s="78">
        <v>612</v>
      </c>
    </row>
    <row r="918" spans="116:199" x14ac:dyDescent="0.25">
      <c r="DL918" s="8">
        <v>36</v>
      </c>
      <c r="GP918" s="77">
        <v>-51</v>
      </c>
      <c r="GQ918" s="78">
        <v>469</v>
      </c>
    </row>
    <row r="919" spans="116:199" x14ac:dyDescent="0.25">
      <c r="DL919" s="8">
        <v>30</v>
      </c>
      <c r="GP919" s="77">
        <v>-93</v>
      </c>
      <c r="GQ919" s="78">
        <v>438</v>
      </c>
    </row>
    <row r="920" spans="116:199" x14ac:dyDescent="0.25">
      <c r="DL920" s="8">
        <v>-139</v>
      </c>
      <c r="GP920" s="77">
        <v>-59</v>
      </c>
      <c r="GQ920" s="78">
        <v>425</v>
      </c>
    </row>
    <row r="921" spans="116:199" x14ac:dyDescent="0.25">
      <c r="DL921" s="8">
        <v>-501</v>
      </c>
      <c r="GP921" s="77">
        <v>-79</v>
      </c>
      <c r="GQ921" s="78">
        <v>289</v>
      </c>
    </row>
    <row r="922" spans="116:199" x14ac:dyDescent="0.25">
      <c r="DL922" s="8">
        <v>284</v>
      </c>
      <c r="GP922" s="77">
        <v>-202</v>
      </c>
      <c r="GQ922" s="78">
        <v>412</v>
      </c>
    </row>
    <row r="923" spans="116:199" x14ac:dyDescent="0.25">
      <c r="DL923" s="8">
        <v>80</v>
      </c>
      <c r="GP923" s="77">
        <v>-64</v>
      </c>
      <c r="GQ923" s="78">
        <v>587</v>
      </c>
    </row>
    <row r="924" spans="116:199" x14ac:dyDescent="0.25">
      <c r="DL924" s="8">
        <f>9</f>
        <v>9</v>
      </c>
      <c r="GP924" s="77">
        <v>-48</v>
      </c>
      <c r="GQ924" s="78">
        <v>309</v>
      </c>
    </row>
    <row r="925" spans="116:199" x14ac:dyDescent="0.25">
      <c r="DL925" s="8">
        <v>3</v>
      </c>
      <c r="GP925" s="77">
        <v>-63</v>
      </c>
      <c r="GQ925" s="78">
        <v>342</v>
      </c>
    </row>
    <row r="926" spans="116:199" x14ac:dyDescent="0.25">
      <c r="DL926" s="8">
        <v>57</v>
      </c>
      <c r="GP926" s="77">
        <v>-106</v>
      </c>
      <c r="GQ926" s="78">
        <v>434</v>
      </c>
    </row>
    <row r="927" spans="116:199" x14ac:dyDescent="0.25">
      <c r="DL927" s="8">
        <v>244</v>
      </c>
      <c r="GP927" s="77">
        <v>-73</v>
      </c>
      <c r="GQ927" s="78">
        <v>442</v>
      </c>
    </row>
    <row r="928" spans="116:199" x14ac:dyDescent="0.25">
      <c r="DL928" s="8">
        <v>-4</v>
      </c>
      <c r="GP928" s="77">
        <v>-16</v>
      </c>
      <c r="GQ928" s="11">
        <v>93</v>
      </c>
    </row>
    <row r="929" spans="116:199" x14ac:dyDescent="0.25">
      <c r="DL929" s="8">
        <v>5</v>
      </c>
      <c r="GP929" s="77">
        <v>-43</v>
      </c>
      <c r="GQ929" s="11">
        <v>240</v>
      </c>
    </row>
    <row r="930" spans="116:199" x14ac:dyDescent="0.25">
      <c r="DL930" s="8">
        <v>-21</v>
      </c>
      <c r="GP930" s="77">
        <v>-67</v>
      </c>
      <c r="GQ930" s="11">
        <v>454</v>
      </c>
    </row>
    <row r="931" spans="116:199" x14ac:dyDescent="0.25">
      <c r="DL931" s="8">
        <v>-6</v>
      </c>
      <c r="GP931" s="77">
        <v>-131</v>
      </c>
      <c r="GQ931" s="11">
        <v>614</v>
      </c>
    </row>
    <row r="932" spans="116:199" x14ac:dyDescent="0.25">
      <c r="DL932" s="8">
        <v>18</v>
      </c>
      <c r="GP932" s="77">
        <v>-52</v>
      </c>
      <c r="GQ932" s="11">
        <v>355</v>
      </c>
    </row>
    <row r="933" spans="116:199" x14ac:dyDescent="0.25">
      <c r="DL933" s="8">
        <v>-8</v>
      </c>
      <c r="GP933" s="77">
        <v>-52</v>
      </c>
      <c r="GQ933" s="11">
        <v>318</v>
      </c>
    </row>
    <row r="934" spans="116:199" x14ac:dyDescent="0.25">
      <c r="DL934" s="8">
        <v>-2</v>
      </c>
      <c r="GP934" s="77">
        <v>-75</v>
      </c>
      <c r="GQ934" s="11">
        <v>457</v>
      </c>
    </row>
    <row r="935" spans="116:199" x14ac:dyDescent="0.25">
      <c r="DL935" s="8">
        <v>-56</v>
      </c>
      <c r="GP935" s="77">
        <v>-53</v>
      </c>
      <c r="GQ935" s="11">
        <v>206</v>
      </c>
    </row>
    <row r="936" spans="116:199" x14ac:dyDescent="0.25">
      <c r="DL936" s="8">
        <v>-42</v>
      </c>
      <c r="GP936" s="77">
        <v>-52</v>
      </c>
      <c r="GQ936" s="11">
        <v>429</v>
      </c>
    </row>
    <row r="937" spans="116:199" x14ac:dyDescent="0.25">
      <c r="DL937" s="8">
        <v>52</v>
      </c>
      <c r="GP937" s="77">
        <v>-54</v>
      </c>
      <c r="GQ937" s="11">
        <v>400</v>
      </c>
    </row>
    <row r="938" spans="116:199" x14ac:dyDescent="0.25">
      <c r="DL938" s="8">
        <v>34</v>
      </c>
      <c r="GP938" s="77">
        <v>-68</v>
      </c>
      <c r="GQ938" s="11">
        <v>232</v>
      </c>
    </row>
    <row r="939" spans="116:199" x14ac:dyDescent="0.25">
      <c r="DL939" s="8">
        <v>31</v>
      </c>
      <c r="GP939" s="77">
        <v>-101</v>
      </c>
      <c r="GQ939" s="11">
        <v>447</v>
      </c>
    </row>
    <row r="940" spans="116:199" x14ac:dyDescent="0.25">
      <c r="DL940" s="8">
        <v>-138</v>
      </c>
      <c r="GP940" s="77">
        <v>-97</v>
      </c>
      <c r="GQ940" s="11">
        <v>567</v>
      </c>
    </row>
    <row r="941" spans="116:199" x14ac:dyDescent="0.25">
      <c r="DL941" s="8">
        <v>-87</v>
      </c>
      <c r="GP941" s="77">
        <v>-57</v>
      </c>
      <c r="GQ941" s="11">
        <v>392</v>
      </c>
    </row>
    <row r="942" spans="116:199" x14ac:dyDescent="0.25">
      <c r="DL942" s="8">
        <v>-507</v>
      </c>
      <c r="GP942" s="77">
        <v>-110</v>
      </c>
      <c r="GQ942" s="11">
        <v>548</v>
      </c>
    </row>
    <row r="943" spans="116:199" x14ac:dyDescent="0.25">
      <c r="GP943" s="77">
        <v>-28</v>
      </c>
      <c r="GQ943" s="11">
        <v>168</v>
      </c>
    </row>
    <row r="944" spans="116:199" x14ac:dyDescent="0.25">
      <c r="GP944" s="77">
        <v>-59</v>
      </c>
      <c r="GQ944" s="11">
        <v>252</v>
      </c>
    </row>
    <row r="945" spans="198:199" x14ac:dyDescent="0.25">
      <c r="GP945" s="77">
        <v>-5</v>
      </c>
      <c r="GQ945" s="11">
        <v>61</v>
      </c>
    </row>
    <row r="946" spans="198:199" x14ac:dyDescent="0.25">
      <c r="GP946" s="77">
        <v>-112</v>
      </c>
      <c r="GQ946" s="11">
        <v>394</v>
      </c>
    </row>
    <row r="947" spans="198:199" x14ac:dyDescent="0.25">
      <c r="GP947" s="77">
        <v>-22</v>
      </c>
      <c r="GQ947" s="11">
        <v>113</v>
      </c>
    </row>
    <row r="948" spans="198:199" x14ac:dyDescent="0.25">
      <c r="GP948" s="77">
        <v>-71</v>
      </c>
      <c r="GQ948" s="11">
        <v>470</v>
      </c>
    </row>
    <row r="949" spans="198:199" x14ac:dyDescent="0.25">
      <c r="GP949" s="77">
        <v>-164</v>
      </c>
      <c r="GQ949" s="11">
        <v>631</v>
      </c>
    </row>
    <row r="950" spans="198:199" x14ac:dyDescent="0.25">
      <c r="GP950" s="77">
        <v>-119</v>
      </c>
      <c r="GQ950" s="11">
        <v>525</v>
      </c>
    </row>
    <row r="951" spans="198:199" x14ac:dyDescent="0.25">
      <c r="GP951" s="77">
        <v>-71</v>
      </c>
      <c r="GQ951" s="11">
        <v>311</v>
      </c>
    </row>
    <row r="952" spans="198:199" x14ac:dyDescent="0.25">
      <c r="GP952" s="77">
        <v>-52</v>
      </c>
      <c r="GQ952" s="11">
        <v>348</v>
      </c>
    </row>
    <row r="953" spans="198:199" x14ac:dyDescent="0.25">
      <c r="GP953" s="77">
        <v>-21</v>
      </c>
      <c r="GQ953" s="11">
        <v>162</v>
      </c>
    </row>
    <row r="954" spans="198:199" x14ac:dyDescent="0.25">
      <c r="GP954" s="77">
        <v>-19</v>
      </c>
      <c r="GQ954" s="11">
        <v>65</v>
      </c>
    </row>
    <row r="955" spans="198:199" x14ac:dyDescent="0.25">
      <c r="GP955" s="77">
        <v>-37</v>
      </c>
      <c r="GQ955" s="11">
        <v>144</v>
      </c>
    </row>
    <row r="956" spans="198:199" x14ac:dyDescent="0.25">
      <c r="GP956" s="77">
        <v>-96</v>
      </c>
      <c r="GQ956" s="11">
        <v>379</v>
      </c>
    </row>
    <row r="957" spans="198:199" x14ac:dyDescent="0.25">
      <c r="GP957" s="77">
        <v>-36</v>
      </c>
      <c r="GQ957" s="11">
        <v>216</v>
      </c>
    </row>
    <row r="958" spans="198:199" x14ac:dyDescent="0.25">
      <c r="GP958" s="77">
        <v>-152</v>
      </c>
      <c r="GQ958" s="11">
        <v>561</v>
      </c>
    </row>
    <row r="959" spans="198:199" x14ac:dyDescent="0.25">
      <c r="GP959" s="77">
        <v>-112</v>
      </c>
      <c r="GQ959" s="11">
        <v>597</v>
      </c>
    </row>
    <row r="960" spans="198:199" x14ac:dyDescent="0.25">
      <c r="GP960" s="77">
        <v>-43</v>
      </c>
      <c r="GQ960" s="11">
        <v>218</v>
      </c>
    </row>
    <row r="961" spans="198:199" x14ac:dyDescent="0.25">
      <c r="GP961" s="77">
        <v>-61</v>
      </c>
      <c r="GQ961" s="11">
        <v>431</v>
      </c>
    </row>
    <row r="962" spans="198:199" x14ac:dyDescent="0.25">
      <c r="GP962" s="77">
        <v>-69</v>
      </c>
      <c r="GQ962" s="11">
        <v>381</v>
      </c>
    </row>
    <row r="963" spans="198:199" x14ac:dyDescent="0.25">
      <c r="GP963" s="77">
        <v>-96</v>
      </c>
      <c r="GQ963" s="11">
        <v>457</v>
      </c>
    </row>
    <row r="964" spans="198:199" x14ac:dyDescent="0.25">
      <c r="GP964" s="77">
        <v>-95</v>
      </c>
      <c r="GQ964" s="11">
        <v>326</v>
      </c>
    </row>
    <row r="965" spans="198:199" x14ac:dyDescent="0.25">
      <c r="GP965" s="77">
        <v>-58</v>
      </c>
      <c r="GQ965" s="11">
        <v>211</v>
      </c>
    </row>
    <row r="966" spans="198:199" x14ac:dyDescent="0.25">
      <c r="GP966" s="77">
        <v>-111</v>
      </c>
      <c r="GQ966" s="11">
        <v>566</v>
      </c>
    </row>
    <row r="967" spans="198:199" x14ac:dyDescent="0.25">
      <c r="GP967" s="77">
        <v>-71</v>
      </c>
      <c r="GQ967" s="11">
        <v>441</v>
      </c>
    </row>
    <row r="968" spans="198:199" x14ac:dyDescent="0.25">
      <c r="GP968" s="77">
        <v>-51</v>
      </c>
      <c r="GQ968" s="11">
        <v>347</v>
      </c>
    </row>
    <row r="969" spans="198:199" x14ac:dyDescent="0.25">
      <c r="GP969" s="77">
        <v>-30</v>
      </c>
      <c r="GQ969" s="11">
        <v>193</v>
      </c>
    </row>
    <row r="970" spans="198:199" x14ac:dyDescent="0.25">
      <c r="GP970" s="77">
        <v>-44</v>
      </c>
      <c r="GQ970" s="11">
        <v>306</v>
      </c>
    </row>
    <row r="971" spans="198:199" x14ac:dyDescent="0.25">
      <c r="GP971" s="77">
        <v>-71</v>
      </c>
      <c r="GQ971" s="11">
        <v>461</v>
      </c>
    </row>
    <row r="972" spans="198:199" x14ac:dyDescent="0.25">
      <c r="GP972" s="77">
        <v>-6</v>
      </c>
      <c r="GQ972" s="11">
        <v>501</v>
      </c>
    </row>
    <row r="973" spans="198:199" x14ac:dyDescent="0.25">
      <c r="GP973" s="77">
        <v>-71</v>
      </c>
      <c r="GQ973" s="11">
        <v>346</v>
      </c>
    </row>
    <row r="974" spans="198:199" x14ac:dyDescent="0.25">
      <c r="GP974" s="77">
        <v>-20</v>
      </c>
      <c r="GQ974" s="11">
        <v>77</v>
      </c>
    </row>
    <row r="975" spans="198:199" x14ac:dyDescent="0.25">
      <c r="GP975" s="77">
        <v>-104</v>
      </c>
      <c r="GQ975" s="11">
        <v>491</v>
      </c>
    </row>
    <row r="976" spans="198:199" x14ac:dyDescent="0.25">
      <c r="GP976" s="77">
        <v>-118</v>
      </c>
      <c r="GQ976" s="11">
        <v>509</v>
      </c>
    </row>
    <row r="977" spans="198:199" x14ac:dyDescent="0.25">
      <c r="GP977" s="77">
        <v>2</v>
      </c>
      <c r="GQ977" s="11">
        <v>1</v>
      </c>
    </row>
    <row r="978" spans="198:199" x14ac:dyDescent="0.25">
      <c r="GP978" s="77">
        <v>-37</v>
      </c>
      <c r="GQ978" s="11">
        <v>325</v>
      </c>
    </row>
    <row r="979" spans="198:199" x14ac:dyDescent="0.25">
      <c r="GP979" s="77">
        <v>-88</v>
      </c>
      <c r="GQ979" s="11">
        <v>377</v>
      </c>
    </row>
    <row r="980" spans="198:199" x14ac:dyDescent="0.25">
      <c r="GP980" s="77">
        <v>-16</v>
      </c>
      <c r="GQ980" s="11">
        <v>88</v>
      </c>
    </row>
    <row r="981" spans="198:199" x14ac:dyDescent="0.25">
      <c r="GP981" s="77">
        <v>-18</v>
      </c>
      <c r="GQ981" s="11">
        <v>107</v>
      </c>
    </row>
    <row r="982" spans="198:199" x14ac:dyDescent="0.25">
      <c r="GP982" s="77">
        <v>-112</v>
      </c>
      <c r="GQ982" s="11">
        <v>427</v>
      </c>
    </row>
    <row r="983" spans="198:199" x14ac:dyDescent="0.25">
      <c r="GP983" s="77">
        <v>-53</v>
      </c>
      <c r="GQ983" s="11">
        <v>371</v>
      </c>
    </row>
    <row r="984" spans="198:199" x14ac:dyDescent="0.25">
      <c r="GP984" s="77">
        <v>-13</v>
      </c>
      <c r="GQ984" s="11">
        <v>114</v>
      </c>
    </row>
    <row r="985" spans="198:199" x14ac:dyDescent="0.25">
      <c r="GP985" s="77">
        <v>-136</v>
      </c>
      <c r="GQ985" s="11">
        <v>557</v>
      </c>
    </row>
    <row r="986" spans="198:199" x14ac:dyDescent="0.25">
      <c r="GP986" s="77">
        <v>-14</v>
      </c>
      <c r="GQ986" s="11">
        <v>76</v>
      </c>
    </row>
    <row r="987" spans="198:199" x14ac:dyDescent="0.25">
      <c r="GP987" s="77">
        <v>-72</v>
      </c>
      <c r="GQ987" s="11">
        <v>386</v>
      </c>
    </row>
    <row r="988" spans="198:199" x14ac:dyDescent="0.25">
      <c r="GP988" s="77">
        <v>-79</v>
      </c>
      <c r="GQ988" s="11">
        <v>498</v>
      </c>
    </row>
    <row r="989" spans="198:199" x14ac:dyDescent="0.25">
      <c r="GP989" s="77">
        <v>-116</v>
      </c>
      <c r="GQ989" s="11">
        <v>433</v>
      </c>
    </row>
    <row r="990" spans="198:199" x14ac:dyDescent="0.25">
      <c r="GP990" s="77">
        <v>-104</v>
      </c>
      <c r="GQ990" s="11">
        <v>502</v>
      </c>
    </row>
    <row r="991" spans="198:199" x14ac:dyDescent="0.25">
      <c r="GP991" s="77">
        <v>-65</v>
      </c>
      <c r="GQ991" s="11">
        <v>346</v>
      </c>
    </row>
    <row r="992" spans="198:199" x14ac:dyDescent="0.25">
      <c r="GP992" s="77">
        <v>-55</v>
      </c>
      <c r="GQ992" s="11">
        <v>443</v>
      </c>
    </row>
    <row r="993" spans="198:199" x14ac:dyDescent="0.25">
      <c r="GP993" s="77">
        <v>-59</v>
      </c>
      <c r="GQ993" s="11">
        <v>375</v>
      </c>
    </row>
    <row r="994" spans="198:199" x14ac:dyDescent="0.25">
      <c r="GP994" s="77">
        <v>-115</v>
      </c>
      <c r="GQ994" s="11">
        <v>536</v>
      </c>
    </row>
    <row r="995" spans="198:199" x14ac:dyDescent="0.25">
      <c r="GP995" s="77">
        <v>-105</v>
      </c>
      <c r="GQ995" s="11">
        <v>666</v>
      </c>
    </row>
    <row r="996" spans="198:199" x14ac:dyDescent="0.25">
      <c r="GP996" s="77">
        <v>-52</v>
      </c>
      <c r="GQ996" s="11">
        <v>320</v>
      </c>
    </row>
    <row r="997" spans="198:199" x14ac:dyDescent="0.25">
      <c r="GP997" s="77">
        <v>-85</v>
      </c>
      <c r="GQ997" s="11">
        <v>451</v>
      </c>
    </row>
    <row r="998" spans="198:199" x14ac:dyDescent="0.25">
      <c r="GP998" s="77">
        <v>-56</v>
      </c>
      <c r="GQ998" s="11">
        <v>227</v>
      </c>
    </row>
    <row r="999" spans="198:199" x14ac:dyDescent="0.25">
      <c r="GP999" s="77">
        <v>-208</v>
      </c>
      <c r="GQ999" s="11">
        <v>525</v>
      </c>
    </row>
    <row r="1000" spans="198:199" x14ac:dyDescent="0.25">
      <c r="GP1000" s="77">
        <v>-90</v>
      </c>
      <c r="GQ1000" s="11">
        <v>445</v>
      </c>
    </row>
    <row r="1001" spans="198:199" x14ac:dyDescent="0.25">
      <c r="GP1001" s="77">
        <v>-15</v>
      </c>
      <c r="GQ1001" s="11">
        <v>74</v>
      </c>
    </row>
    <row r="1002" spans="198:199" x14ac:dyDescent="0.25">
      <c r="GP1002" s="77">
        <v>-91</v>
      </c>
      <c r="GQ1002" s="11">
        <v>292</v>
      </c>
    </row>
    <row r="1003" spans="198:199" x14ac:dyDescent="0.25">
      <c r="GP1003" s="77">
        <v>-59</v>
      </c>
      <c r="GQ1003" s="11">
        <v>229</v>
      </c>
    </row>
    <row r="1004" spans="198:199" x14ac:dyDescent="0.25">
      <c r="GP1004" s="77">
        <v>-49</v>
      </c>
      <c r="GQ1004" s="11">
        <v>351</v>
      </c>
    </row>
    <row r="1005" spans="198:199" x14ac:dyDescent="0.25">
      <c r="GP1005" s="77">
        <v>-97</v>
      </c>
      <c r="GQ1005" s="11">
        <v>498</v>
      </c>
    </row>
    <row r="1006" spans="198:199" x14ac:dyDescent="0.25">
      <c r="GP1006" s="77">
        <v>-15</v>
      </c>
      <c r="GQ1006" s="11">
        <v>66</v>
      </c>
    </row>
    <row r="1007" spans="198:199" x14ac:dyDescent="0.25">
      <c r="GP1007" s="79">
        <v>-25</v>
      </c>
      <c r="GQ1007" s="79">
        <v>257</v>
      </c>
    </row>
    <row r="1008" spans="198:199" x14ac:dyDescent="0.25">
      <c r="GP1008" s="77">
        <v>-26</v>
      </c>
      <c r="GQ1008" s="11">
        <v>225</v>
      </c>
    </row>
    <row r="1009" spans="198:199" x14ac:dyDescent="0.25">
      <c r="GP1009" s="77">
        <v>-148</v>
      </c>
      <c r="GQ1009" s="11">
        <v>399</v>
      </c>
    </row>
    <row r="1010" spans="198:199" x14ac:dyDescent="0.25">
      <c r="GP1010" s="77">
        <v>-97</v>
      </c>
      <c r="GQ1010" s="11">
        <v>474</v>
      </c>
    </row>
    <row r="1011" spans="198:199" x14ac:dyDescent="0.25">
      <c r="GP1011" s="77">
        <v>-38</v>
      </c>
      <c r="GQ1011" s="11">
        <v>262</v>
      </c>
    </row>
    <row r="1012" spans="198:199" x14ac:dyDescent="0.25">
      <c r="GP1012" s="77">
        <v>-118</v>
      </c>
      <c r="GQ1012" s="11">
        <v>436</v>
      </c>
    </row>
    <row r="1013" spans="198:199" x14ac:dyDescent="0.25">
      <c r="GP1013" s="77">
        <v>-177</v>
      </c>
      <c r="GQ1013" s="11">
        <v>584</v>
      </c>
    </row>
    <row r="1014" spans="198:199" x14ac:dyDescent="0.25">
      <c r="GP1014" s="77">
        <v>8</v>
      </c>
      <c r="GQ1014" s="11">
        <v>38</v>
      </c>
    </row>
    <row r="1015" spans="198:199" x14ac:dyDescent="0.25">
      <c r="GP1015" s="77">
        <v>-92</v>
      </c>
      <c r="GQ1015" s="11">
        <v>546</v>
      </c>
    </row>
    <row r="1016" spans="198:199" x14ac:dyDescent="0.25">
      <c r="GP1016" s="77">
        <v>-116</v>
      </c>
      <c r="GQ1016" s="11">
        <v>732</v>
      </c>
    </row>
    <row r="1017" spans="198:199" x14ac:dyDescent="0.25">
      <c r="GP1017" s="77">
        <v>-55</v>
      </c>
      <c r="GQ1017" s="11">
        <v>371</v>
      </c>
    </row>
    <row r="1018" spans="198:199" x14ac:dyDescent="0.25">
      <c r="GP1018" s="77">
        <v>-93</v>
      </c>
      <c r="GQ1018" s="11">
        <v>421</v>
      </c>
    </row>
    <row r="1019" spans="198:199" x14ac:dyDescent="0.25">
      <c r="GP1019" s="77">
        <v>-123</v>
      </c>
      <c r="GQ1019" s="11">
        <v>618</v>
      </c>
    </row>
    <row r="1020" spans="198:199" x14ac:dyDescent="0.25">
      <c r="GP1020" s="77">
        <v>-68</v>
      </c>
      <c r="GQ1020" s="11">
        <v>396</v>
      </c>
    </row>
    <row r="1021" spans="198:199" x14ac:dyDescent="0.25">
      <c r="GP1021" s="77">
        <v>-199</v>
      </c>
      <c r="GQ1021" s="11">
        <v>469</v>
      </c>
    </row>
    <row r="1022" spans="198:199" x14ac:dyDescent="0.25">
      <c r="GP1022" s="77">
        <v>-15</v>
      </c>
      <c r="GQ1022" s="11">
        <v>199</v>
      </c>
    </row>
    <row r="1023" spans="198:199" x14ac:dyDescent="0.25">
      <c r="GP1023" s="77">
        <v>-13</v>
      </c>
      <c r="GQ1023" s="11">
        <v>99</v>
      </c>
    </row>
    <row r="1024" spans="198:199" x14ac:dyDescent="0.25">
      <c r="GP1024" s="77">
        <v>-53</v>
      </c>
      <c r="GQ1024" s="11">
        <v>272</v>
      </c>
    </row>
    <row r="1025" spans="198:199" x14ac:dyDescent="0.25">
      <c r="GP1025" s="77">
        <v>-112</v>
      </c>
      <c r="GQ1025" s="11">
        <v>491</v>
      </c>
    </row>
    <row r="1026" spans="198:199" x14ac:dyDescent="0.25">
      <c r="GP1026" s="77">
        <v>-101</v>
      </c>
      <c r="GQ1026" s="11">
        <v>602</v>
      </c>
    </row>
    <row r="1027" spans="198:199" x14ac:dyDescent="0.25">
      <c r="GP1027" s="77">
        <v>-43</v>
      </c>
      <c r="GQ1027" s="11">
        <v>321</v>
      </c>
    </row>
    <row r="1028" spans="198:199" x14ac:dyDescent="0.25">
      <c r="GP1028" s="77">
        <v>-120</v>
      </c>
      <c r="GQ1028" s="11">
        <v>574</v>
      </c>
    </row>
    <row r="1029" spans="198:199" x14ac:dyDescent="0.25">
      <c r="GP1029" s="77">
        <v>-41</v>
      </c>
      <c r="GQ1029" s="11">
        <v>284</v>
      </c>
    </row>
    <row r="1030" spans="198:199" x14ac:dyDescent="0.25">
      <c r="GP1030" s="77">
        <v>-52</v>
      </c>
      <c r="GQ1030" s="11">
        <v>376</v>
      </c>
    </row>
    <row r="1031" spans="198:199" x14ac:dyDescent="0.25">
      <c r="GP1031" s="77">
        <v>-33</v>
      </c>
      <c r="GQ1031" s="11">
        <v>519</v>
      </c>
    </row>
    <row r="1032" spans="198:199" x14ac:dyDescent="0.25">
      <c r="GP1032" s="77">
        <v>-37</v>
      </c>
      <c r="GQ1032" s="11">
        <v>353</v>
      </c>
    </row>
    <row r="1033" spans="198:199" x14ac:dyDescent="0.25">
      <c r="GP1033" s="77">
        <v>-36</v>
      </c>
      <c r="GQ1033" s="11">
        <v>263</v>
      </c>
    </row>
    <row r="1034" spans="198:199" x14ac:dyDescent="0.25">
      <c r="GP1034" s="77">
        <v>-29</v>
      </c>
      <c r="GQ1034" s="11">
        <v>252</v>
      </c>
    </row>
    <row r="1035" spans="198:199" x14ac:dyDescent="0.25">
      <c r="GP1035" s="77">
        <v>-77</v>
      </c>
      <c r="GQ1035" s="11">
        <v>468</v>
      </c>
    </row>
    <row r="1036" spans="198:199" x14ac:dyDescent="0.25">
      <c r="GP1036" s="77">
        <v>-7</v>
      </c>
      <c r="GQ1036" s="11">
        <v>45</v>
      </c>
    </row>
    <row r="1037" spans="198:199" x14ac:dyDescent="0.25">
      <c r="GP1037" s="77">
        <v>-29</v>
      </c>
      <c r="GQ1037" s="11">
        <v>446</v>
      </c>
    </row>
    <row r="1038" spans="198:199" x14ac:dyDescent="0.25">
      <c r="GP1038" s="77">
        <v>-61</v>
      </c>
      <c r="GQ1038" s="11">
        <v>320</v>
      </c>
    </row>
    <row r="1039" spans="198:199" x14ac:dyDescent="0.25">
      <c r="GP1039" s="77">
        <v>-45</v>
      </c>
      <c r="GQ1039" s="11">
        <v>213</v>
      </c>
    </row>
    <row r="1040" spans="198:199" x14ac:dyDescent="0.25">
      <c r="GP1040" s="77">
        <v>-55</v>
      </c>
      <c r="GQ1040" s="11">
        <v>325</v>
      </c>
    </row>
    <row r="1041" spans="198:199" x14ac:dyDescent="0.25">
      <c r="GP1041" s="77">
        <v>-100</v>
      </c>
      <c r="GQ1041" s="11">
        <v>350</v>
      </c>
    </row>
    <row r="1042" spans="198:199" x14ac:dyDescent="0.25">
      <c r="GP1042" s="77">
        <v>-69</v>
      </c>
      <c r="GQ1042" s="11">
        <v>519</v>
      </c>
    </row>
    <row r="1043" spans="198:199" x14ac:dyDescent="0.25">
      <c r="GP1043" s="77">
        <v>-102</v>
      </c>
      <c r="GQ1043" s="11">
        <v>473</v>
      </c>
    </row>
    <row r="1044" spans="198:199" x14ac:dyDescent="0.25">
      <c r="GP1044" s="77">
        <v>-204</v>
      </c>
      <c r="GQ1044" s="11">
        <v>681</v>
      </c>
    </row>
    <row r="1045" spans="198:199" x14ac:dyDescent="0.25">
      <c r="GP1045" s="77">
        <v>-76</v>
      </c>
      <c r="GQ1045" s="11">
        <v>436</v>
      </c>
    </row>
    <row r="1046" spans="198:199" x14ac:dyDescent="0.25">
      <c r="GP1046" s="77">
        <v>-92</v>
      </c>
      <c r="GQ1046" s="11">
        <v>605</v>
      </c>
    </row>
    <row r="1047" spans="198:199" x14ac:dyDescent="0.25">
      <c r="GP1047" s="77">
        <v>-87</v>
      </c>
      <c r="GQ1047" s="11">
        <v>462</v>
      </c>
    </row>
    <row r="1048" spans="198:199" x14ac:dyDescent="0.25">
      <c r="GP1048" s="77">
        <v>-22</v>
      </c>
      <c r="GQ1048" s="11">
        <v>191</v>
      </c>
    </row>
    <row r="1049" spans="198:199" x14ac:dyDescent="0.25">
      <c r="GP1049" s="77">
        <v>-37</v>
      </c>
      <c r="GQ1049" s="11">
        <v>253</v>
      </c>
    </row>
    <row r="1050" spans="198:199" x14ac:dyDescent="0.25">
      <c r="GP1050" s="77">
        <v>-58</v>
      </c>
      <c r="GQ1050" s="11">
        <v>327</v>
      </c>
    </row>
    <row r="1051" spans="198:199" x14ac:dyDescent="0.25">
      <c r="GP1051" s="77">
        <v>-19</v>
      </c>
      <c r="GQ1051" s="11">
        <v>77</v>
      </c>
    </row>
    <row r="1052" spans="198:199" x14ac:dyDescent="0.25">
      <c r="GP1052" s="77">
        <v>-40</v>
      </c>
      <c r="GQ1052" s="11">
        <v>383</v>
      </c>
    </row>
    <row r="1053" spans="198:199" x14ac:dyDescent="0.25">
      <c r="GP1053" s="77">
        <v>-33</v>
      </c>
      <c r="GQ1053" s="11">
        <v>141</v>
      </c>
    </row>
    <row r="1054" spans="198:199" x14ac:dyDescent="0.25">
      <c r="GP1054" s="77">
        <v>-88</v>
      </c>
      <c r="GQ1054" s="11">
        <v>396</v>
      </c>
    </row>
    <row r="1055" spans="198:199" x14ac:dyDescent="0.25">
      <c r="GP1055" s="77">
        <v>-96</v>
      </c>
      <c r="GQ1055" s="11">
        <v>519</v>
      </c>
    </row>
    <row r="1056" spans="198:199" x14ac:dyDescent="0.25">
      <c r="GP1056" s="77">
        <v>-68</v>
      </c>
      <c r="GQ1056" s="11">
        <v>417</v>
      </c>
    </row>
    <row r="1057" spans="198:199" x14ac:dyDescent="0.25">
      <c r="GP1057" s="77">
        <v>-85</v>
      </c>
      <c r="GQ1057" s="11">
        <v>612</v>
      </c>
    </row>
    <row r="1058" spans="198:199" x14ac:dyDescent="0.25">
      <c r="GP1058" s="77">
        <v>-51</v>
      </c>
      <c r="GQ1058" s="11">
        <v>469</v>
      </c>
    </row>
    <row r="1059" spans="198:199" x14ac:dyDescent="0.25">
      <c r="GP1059" s="77">
        <v>-93</v>
      </c>
      <c r="GQ1059" s="11">
        <v>438</v>
      </c>
    </row>
    <row r="1060" spans="198:199" x14ac:dyDescent="0.25">
      <c r="GP1060" s="77">
        <v>-59</v>
      </c>
      <c r="GQ1060" s="11">
        <v>425</v>
      </c>
    </row>
    <row r="1061" spans="198:199" x14ac:dyDescent="0.25">
      <c r="GP1061" s="77">
        <v>-79</v>
      </c>
      <c r="GQ1061" s="11">
        <v>289</v>
      </c>
    </row>
    <row r="1062" spans="198:199" x14ac:dyDescent="0.25">
      <c r="GP1062" s="77">
        <v>-202</v>
      </c>
      <c r="GQ1062" s="11">
        <v>412</v>
      </c>
    </row>
    <row r="1063" spans="198:199" x14ac:dyDescent="0.25">
      <c r="GP1063" s="77">
        <v>-64</v>
      </c>
      <c r="GQ1063" s="11">
        <v>587</v>
      </c>
    </row>
    <row r="1064" spans="198:199" x14ac:dyDescent="0.25">
      <c r="GP1064" s="77">
        <v>-48</v>
      </c>
      <c r="GQ1064" s="11">
        <v>309</v>
      </c>
    </row>
    <row r="1065" spans="198:199" x14ac:dyDescent="0.25">
      <c r="GP1065" s="77">
        <v>-63</v>
      </c>
      <c r="GQ1065" s="11">
        <v>342</v>
      </c>
    </row>
    <row r="1066" spans="198:199" x14ac:dyDescent="0.25">
      <c r="GP1066" s="77">
        <v>-106</v>
      </c>
      <c r="GQ1066" s="11">
        <v>434</v>
      </c>
    </row>
    <row r="1067" spans="198:199" x14ac:dyDescent="0.25">
      <c r="GP1067" s="77">
        <v>-73</v>
      </c>
      <c r="GQ1067" s="11">
        <v>442</v>
      </c>
    </row>
    <row r="1068" spans="198:199" x14ac:dyDescent="0.25">
      <c r="GP1068" s="77">
        <v>-16</v>
      </c>
      <c r="GQ1068" s="11">
        <v>93</v>
      </c>
    </row>
    <row r="1069" spans="198:199" x14ac:dyDescent="0.25">
      <c r="GP1069" s="77">
        <v>-43</v>
      </c>
      <c r="GQ1069" s="11">
        <v>240</v>
      </c>
    </row>
    <row r="1070" spans="198:199" x14ac:dyDescent="0.25">
      <c r="GP1070" s="77">
        <v>-67</v>
      </c>
      <c r="GQ1070" s="11">
        <v>454</v>
      </c>
    </row>
    <row r="1071" spans="198:199" x14ac:dyDescent="0.25">
      <c r="GP1071" s="77">
        <v>-131</v>
      </c>
      <c r="GQ1071" s="11">
        <v>614</v>
      </c>
    </row>
    <row r="1072" spans="198:199" x14ac:dyDescent="0.25">
      <c r="GP1072" s="77">
        <v>-52</v>
      </c>
      <c r="GQ1072" s="11">
        <v>355</v>
      </c>
    </row>
    <row r="1073" spans="198:199" x14ac:dyDescent="0.25">
      <c r="GP1073" s="77">
        <v>-52</v>
      </c>
      <c r="GQ1073" s="11">
        <v>318</v>
      </c>
    </row>
    <row r="1074" spans="198:199" x14ac:dyDescent="0.25">
      <c r="GP1074" s="77">
        <v>-75</v>
      </c>
      <c r="GQ1074" s="11">
        <v>457</v>
      </c>
    </row>
    <row r="1075" spans="198:199" x14ac:dyDescent="0.25">
      <c r="GP1075" s="77">
        <v>-53</v>
      </c>
      <c r="GQ1075" s="11">
        <v>206</v>
      </c>
    </row>
    <row r="1076" spans="198:199" x14ac:dyDescent="0.25">
      <c r="GP1076" s="77">
        <v>-52</v>
      </c>
      <c r="GQ1076" s="11">
        <v>429</v>
      </c>
    </row>
    <row r="1077" spans="198:199" x14ac:dyDescent="0.25">
      <c r="GP1077" s="77">
        <v>-54</v>
      </c>
      <c r="GQ1077" s="11">
        <v>400</v>
      </c>
    </row>
    <row r="1078" spans="198:199" x14ac:dyDescent="0.25">
      <c r="GP1078" s="77">
        <v>-68</v>
      </c>
      <c r="GQ1078" s="11">
        <v>232</v>
      </c>
    </row>
    <row r="1079" spans="198:199" x14ac:dyDescent="0.25">
      <c r="GP1079" s="77">
        <v>-101</v>
      </c>
      <c r="GQ1079" s="11">
        <v>447</v>
      </c>
    </row>
    <row r="1080" spans="198:199" x14ac:dyDescent="0.25">
      <c r="GP1080" s="77">
        <v>-97</v>
      </c>
      <c r="GQ1080" s="11">
        <v>567</v>
      </c>
    </row>
    <row r="1081" spans="198:199" x14ac:dyDescent="0.25">
      <c r="GP1081" s="77">
        <v>-57</v>
      </c>
      <c r="GQ1081" s="11">
        <v>392</v>
      </c>
    </row>
    <row r="1082" spans="198:199" x14ac:dyDescent="0.25">
      <c r="GP1082" s="77">
        <v>-110</v>
      </c>
      <c r="GQ1082" s="11">
        <v>548</v>
      </c>
    </row>
    <row r="1083" spans="198:199" x14ac:dyDescent="0.25">
      <c r="GP1083" s="77">
        <v>-28</v>
      </c>
      <c r="GQ1083" s="11">
        <v>168</v>
      </c>
    </row>
    <row r="1084" spans="198:199" x14ac:dyDescent="0.25">
      <c r="GP1084" s="77">
        <v>-59</v>
      </c>
      <c r="GQ1084" s="11">
        <v>252</v>
      </c>
    </row>
    <row r="1085" spans="198:199" x14ac:dyDescent="0.25">
      <c r="GP1085" s="77">
        <v>-5</v>
      </c>
      <c r="GQ1085" s="11">
        <v>61</v>
      </c>
    </row>
    <row r="1086" spans="198:199" x14ac:dyDescent="0.25">
      <c r="GP1086" s="77">
        <v>-112</v>
      </c>
      <c r="GQ1086" s="11">
        <v>394</v>
      </c>
    </row>
    <row r="1087" spans="198:199" x14ac:dyDescent="0.25">
      <c r="GP1087" s="77">
        <v>-22</v>
      </c>
      <c r="GQ1087" s="11">
        <v>113</v>
      </c>
    </row>
    <row r="1088" spans="198:199" x14ac:dyDescent="0.25">
      <c r="GP1088" s="77">
        <v>-71</v>
      </c>
      <c r="GQ1088" s="11">
        <v>470</v>
      </c>
    </row>
    <row r="1089" spans="198:199" x14ac:dyDescent="0.25">
      <c r="GP1089" s="77">
        <v>-164</v>
      </c>
      <c r="GQ1089" s="11">
        <v>631</v>
      </c>
    </row>
    <row r="1090" spans="198:199" x14ac:dyDescent="0.25">
      <c r="GP1090" s="77">
        <v>-119</v>
      </c>
      <c r="GQ1090" s="11">
        <v>525</v>
      </c>
    </row>
    <row r="1091" spans="198:199" x14ac:dyDescent="0.25">
      <c r="GP1091" s="77">
        <v>-71</v>
      </c>
      <c r="GQ1091" s="11">
        <v>311</v>
      </c>
    </row>
    <row r="1092" spans="198:199" x14ac:dyDescent="0.25">
      <c r="GP1092" s="77">
        <v>-52</v>
      </c>
      <c r="GQ1092" s="11">
        <v>348</v>
      </c>
    </row>
    <row r="1093" spans="198:199" x14ac:dyDescent="0.25">
      <c r="GP1093" s="77">
        <v>-21</v>
      </c>
      <c r="GQ1093" s="11">
        <v>162</v>
      </c>
    </row>
    <row r="1094" spans="198:199" x14ac:dyDescent="0.25">
      <c r="GP1094" s="77">
        <v>-19</v>
      </c>
      <c r="GQ1094" s="11">
        <v>65</v>
      </c>
    </row>
    <row r="1095" spans="198:199" x14ac:dyDescent="0.25">
      <c r="GP1095" s="77">
        <v>-37</v>
      </c>
      <c r="GQ1095" s="11">
        <v>144</v>
      </c>
    </row>
    <row r="1096" spans="198:199" x14ac:dyDescent="0.25">
      <c r="GP1096" s="77">
        <v>-96</v>
      </c>
      <c r="GQ1096" s="11">
        <v>379</v>
      </c>
    </row>
    <row r="1097" spans="198:199" x14ac:dyDescent="0.25">
      <c r="GP1097" s="77">
        <v>-36</v>
      </c>
      <c r="GQ1097" s="11">
        <v>216</v>
      </c>
    </row>
    <row r="1098" spans="198:199" x14ac:dyDescent="0.25">
      <c r="GP1098" s="77">
        <v>-152</v>
      </c>
      <c r="GQ1098" s="11">
        <v>561</v>
      </c>
    </row>
    <row r="1099" spans="198:199" x14ac:dyDescent="0.25">
      <c r="GP1099" s="77">
        <v>-112</v>
      </c>
      <c r="GQ1099" s="11">
        <v>597</v>
      </c>
    </row>
    <row r="1100" spans="198:199" x14ac:dyDescent="0.25">
      <c r="GP1100" s="77">
        <v>-43</v>
      </c>
      <c r="GQ1100" s="11">
        <v>218</v>
      </c>
    </row>
    <row r="1101" spans="198:199" x14ac:dyDescent="0.25">
      <c r="GP1101" s="77">
        <v>-61</v>
      </c>
      <c r="GQ1101" s="11">
        <v>431</v>
      </c>
    </row>
    <row r="1102" spans="198:199" x14ac:dyDescent="0.25">
      <c r="GP1102" s="77">
        <v>-69</v>
      </c>
      <c r="GQ1102" s="11">
        <v>381</v>
      </c>
    </row>
    <row r="1103" spans="198:199" x14ac:dyDescent="0.25">
      <c r="GP1103" s="77">
        <v>-96</v>
      </c>
      <c r="GQ1103" s="11">
        <v>457</v>
      </c>
    </row>
    <row r="1104" spans="198:199" x14ac:dyDescent="0.25">
      <c r="GP1104" s="77">
        <v>-95</v>
      </c>
      <c r="GQ1104" s="11">
        <v>326</v>
      </c>
    </row>
    <row r="1105" spans="198:199" x14ac:dyDescent="0.25">
      <c r="GP1105" s="77">
        <v>-58</v>
      </c>
      <c r="GQ1105" s="11">
        <v>211</v>
      </c>
    </row>
    <row r="1106" spans="198:199" x14ac:dyDescent="0.25">
      <c r="GP1106" s="77">
        <v>-111</v>
      </c>
      <c r="GQ1106" s="11">
        <v>566</v>
      </c>
    </row>
    <row r="1107" spans="198:199" x14ac:dyDescent="0.25">
      <c r="GP1107" s="77">
        <v>-71</v>
      </c>
      <c r="GQ1107" s="11">
        <v>441</v>
      </c>
    </row>
    <row r="1108" spans="198:199" x14ac:dyDescent="0.25">
      <c r="GP1108" s="77">
        <v>-51</v>
      </c>
      <c r="GQ1108" s="11">
        <v>347</v>
      </c>
    </row>
    <row r="1109" spans="198:199" x14ac:dyDescent="0.25">
      <c r="GP1109" s="77">
        <v>-30</v>
      </c>
      <c r="GQ1109" s="11">
        <v>193</v>
      </c>
    </row>
    <row r="1110" spans="198:199" x14ac:dyDescent="0.25">
      <c r="GP1110" s="77">
        <v>-44</v>
      </c>
      <c r="GQ1110" s="11">
        <v>306</v>
      </c>
    </row>
    <row r="1111" spans="198:199" x14ac:dyDescent="0.25">
      <c r="GP1111" s="77">
        <v>-71</v>
      </c>
      <c r="GQ1111" s="11">
        <v>461</v>
      </c>
    </row>
    <row r="1112" spans="198:199" x14ac:dyDescent="0.25">
      <c r="GP1112" s="77">
        <v>-6</v>
      </c>
      <c r="GQ1112" s="11">
        <v>501</v>
      </c>
    </row>
    <row r="1113" spans="198:199" x14ac:dyDescent="0.25">
      <c r="GP1113" s="77">
        <v>-71</v>
      </c>
      <c r="GQ1113" s="11">
        <v>346</v>
      </c>
    </row>
    <row r="1114" spans="198:199" x14ac:dyDescent="0.25">
      <c r="GP1114" s="77">
        <v>-20</v>
      </c>
      <c r="GQ1114" s="11">
        <v>77</v>
      </c>
    </row>
    <row r="1115" spans="198:199" x14ac:dyDescent="0.25">
      <c r="GP1115" s="77">
        <v>-104</v>
      </c>
      <c r="GQ1115" s="11">
        <v>491</v>
      </c>
    </row>
    <row r="1116" spans="198:199" x14ac:dyDescent="0.25">
      <c r="GP1116" s="77">
        <v>-118</v>
      </c>
      <c r="GQ1116" s="11">
        <v>509</v>
      </c>
    </row>
    <row r="1117" spans="198:199" x14ac:dyDescent="0.25">
      <c r="GP1117" s="77">
        <v>2</v>
      </c>
      <c r="GQ1117" s="11">
        <v>1</v>
      </c>
    </row>
    <row r="1118" spans="198:199" x14ac:dyDescent="0.25">
      <c r="GP1118" s="77">
        <v>-37</v>
      </c>
      <c r="GQ1118" s="11">
        <v>325</v>
      </c>
    </row>
    <row r="1119" spans="198:199" x14ac:dyDescent="0.25">
      <c r="GP1119" s="77">
        <v>-88</v>
      </c>
      <c r="GQ1119" s="11">
        <v>377</v>
      </c>
    </row>
    <row r="1120" spans="198:199" x14ac:dyDescent="0.25">
      <c r="GP1120" s="77">
        <v>-16</v>
      </c>
      <c r="GQ1120" s="11">
        <v>88</v>
      </c>
    </row>
    <row r="1121" spans="198:199" x14ac:dyDescent="0.25">
      <c r="GP1121" s="77">
        <v>-18</v>
      </c>
      <c r="GQ1121" s="11">
        <v>107</v>
      </c>
    </row>
    <row r="1122" spans="198:199" x14ac:dyDescent="0.25">
      <c r="GP1122" s="77">
        <v>-112</v>
      </c>
      <c r="GQ1122" s="11">
        <v>427</v>
      </c>
    </row>
    <row r="1123" spans="198:199" x14ac:dyDescent="0.25">
      <c r="GP1123" s="77">
        <v>-53</v>
      </c>
      <c r="GQ1123" s="11">
        <v>371</v>
      </c>
    </row>
  </sheetData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79D6-5125-4AA0-808F-5A76B0A2C9D7}">
  <dimension ref="A1:BE2268"/>
  <sheetViews>
    <sheetView topLeftCell="AD1" workbookViewId="0">
      <selection activeCell="AH37" sqref="AH37"/>
    </sheetView>
  </sheetViews>
  <sheetFormatPr defaultRowHeight="15" x14ac:dyDescent="0.25"/>
  <cols>
    <col min="1" max="16384" width="9.140625" style="14"/>
  </cols>
  <sheetData>
    <row r="1" spans="1:57" x14ac:dyDescent="0.25">
      <c r="A1" s="88" t="s">
        <v>487</v>
      </c>
      <c r="B1" s="87" t="s">
        <v>486</v>
      </c>
      <c r="C1" s="87" t="s">
        <v>485</v>
      </c>
      <c r="D1" s="87" t="s">
        <v>484</v>
      </c>
      <c r="E1" s="87" t="s">
        <v>483</v>
      </c>
      <c r="F1" s="87" t="s">
        <v>482</v>
      </c>
      <c r="G1" s="87" t="s">
        <v>481</v>
      </c>
      <c r="H1" s="87" t="s">
        <v>480</v>
      </c>
      <c r="I1" s="87" t="s">
        <v>479</v>
      </c>
      <c r="J1" s="87" t="s">
        <v>478</v>
      </c>
      <c r="K1" s="87" t="s">
        <v>477</v>
      </c>
      <c r="L1" s="87" t="s">
        <v>476</v>
      </c>
      <c r="M1" s="87" t="s">
        <v>475</v>
      </c>
      <c r="N1" s="87" t="s">
        <v>474</v>
      </c>
      <c r="O1" s="87" t="s">
        <v>473</v>
      </c>
      <c r="P1" s="87" t="s">
        <v>472</v>
      </c>
      <c r="Q1" s="87" t="s">
        <v>471</v>
      </c>
      <c r="R1" s="87" t="s">
        <v>470</v>
      </c>
      <c r="S1" s="87" t="s">
        <v>469</v>
      </c>
      <c r="T1" s="87" t="s">
        <v>468</v>
      </c>
      <c r="U1" s="87" t="s">
        <v>467</v>
      </c>
      <c r="V1" s="87" t="s">
        <v>466</v>
      </c>
      <c r="W1" s="87" t="s">
        <v>465</v>
      </c>
      <c r="X1" s="87" t="s">
        <v>464</v>
      </c>
      <c r="Y1" s="87" t="s">
        <v>463</v>
      </c>
      <c r="Z1" s="87" t="s">
        <v>462</v>
      </c>
      <c r="AA1" s="87" t="s">
        <v>461</v>
      </c>
      <c r="AB1" s="87" t="s">
        <v>460</v>
      </c>
      <c r="AC1" s="87" t="s">
        <v>459</v>
      </c>
      <c r="AD1" s="87" t="s">
        <v>458</v>
      </c>
      <c r="AE1" s="87" t="s">
        <v>457</v>
      </c>
      <c r="AF1" s="87" t="s">
        <v>456</v>
      </c>
      <c r="AG1" s="87" t="s">
        <v>455</v>
      </c>
      <c r="AH1" s="87" t="s">
        <v>454</v>
      </c>
      <c r="AI1" s="87" t="s">
        <v>453</v>
      </c>
      <c r="AJ1" s="87" t="s">
        <v>452</v>
      </c>
      <c r="AK1" s="87" t="s">
        <v>451</v>
      </c>
      <c r="AL1" s="87" t="s">
        <v>450</v>
      </c>
      <c r="AM1" s="87" t="s">
        <v>449</v>
      </c>
      <c r="AN1" s="87" t="s">
        <v>448</v>
      </c>
      <c r="AO1" s="87" t="s">
        <v>447</v>
      </c>
      <c r="AP1" s="87" t="s">
        <v>446</v>
      </c>
      <c r="AQ1" s="87" t="s">
        <v>445</v>
      </c>
      <c r="AR1" s="87" t="s">
        <v>444</v>
      </c>
      <c r="AS1" s="87" t="s">
        <v>443</v>
      </c>
      <c r="AT1" s="87" t="s">
        <v>596</v>
      </c>
      <c r="AU1" s="87" t="s">
        <v>442</v>
      </c>
      <c r="AV1" s="87" t="s">
        <v>441</v>
      </c>
      <c r="AW1" s="87" t="s">
        <v>595</v>
      </c>
      <c r="AX1" s="87" t="s">
        <v>440</v>
      </c>
      <c r="AY1" s="87" t="s">
        <v>587</v>
      </c>
      <c r="AZ1" s="87" t="s">
        <v>584</v>
      </c>
      <c r="BA1" s="87" t="s">
        <v>439</v>
      </c>
      <c r="BB1" s="87" t="s">
        <v>438</v>
      </c>
      <c r="BC1" s="87" t="s">
        <v>437</v>
      </c>
      <c r="BD1" s="87" t="s">
        <v>436</v>
      </c>
      <c r="BE1" s="87" t="s">
        <v>435</v>
      </c>
    </row>
    <row r="2" spans="1:57" x14ac:dyDescent="0.25">
      <c r="A2" s="14">
        <v>5</v>
      </c>
      <c r="B2" s="14">
        <v>1985</v>
      </c>
      <c r="C2" s="14">
        <v>2</v>
      </c>
      <c r="D2" s="14">
        <v>-39754</v>
      </c>
      <c r="E2" s="14">
        <v>-17</v>
      </c>
      <c r="F2" s="14">
        <v>17</v>
      </c>
      <c r="G2" s="14">
        <v>8566</v>
      </c>
      <c r="H2" s="14">
        <v>6559</v>
      </c>
      <c r="I2" s="14">
        <v>34</v>
      </c>
      <c r="J2" s="14">
        <v>41</v>
      </c>
      <c r="K2" s="14">
        <v>967</v>
      </c>
      <c r="L2" s="14">
        <v>163</v>
      </c>
      <c r="M2" s="14">
        <v>320</v>
      </c>
      <c r="N2" s="14">
        <v>107</v>
      </c>
      <c r="O2" s="14">
        <v>-277</v>
      </c>
      <c r="P2" s="14">
        <v>678</v>
      </c>
      <c r="Q2" s="14">
        <v>60</v>
      </c>
      <c r="R2" s="14">
        <v>217</v>
      </c>
      <c r="S2" s="14">
        <v>442</v>
      </c>
      <c r="T2" s="14">
        <v>579</v>
      </c>
      <c r="U2" s="14">
        <v>811</v>
      </c>
      <c r="V2" s="14">
        <v>109</v>
      </c>
      <c r="W2" s="14">
        <v>-4</v>
      </c>
      <c r="X2" s="14">
        <v>1237</v>
      </c>
      <c r="Y2" s="14">
        <v>179</v>
      </c>
      <c r="Z2" s="14">
        <v>-53</v>
      </c>
      <c r="AA2" s="14">
        <v>-766</v>
      </c>
      <c r="AB2" s="14">
        <v>410</v>
      </c>
      <c r="AC2" s="14">
        <v>701</v>
      </c>
      <c r="AD2" s="14">
        <v>112</v>
      </c>
      <c r="AE2" s="14">
        <v>318</v>
      </c>
      <c r="AF2" s="14">
        <v>144</v>
      </c>
      <c r="AG2" s="14">
        <v>-65</v>
      </c>
      <c r="AH2" s="14">
        <v>-147</v>
      </c>
      <c r="AI2" s="14">
        <v>-865</v>
      </c>
      <c r="AJ2" s="14">
        <v>510</v>
      </c>
      <c r="AK2" s="14">
        <v>781</v>
      </c>
      <c r="AL2" s="14">
        <v>90</v>
      </c>
      <c r="AM2" s="14">
        <v>181</v>
      </c>
      <c r="AN2" s="14">
        <v>-1</v>
      </c>
      <c r="AO2" s="14">
        <v>55</v>
      </c>
      <c r="AP2" s="14">
        <v>-282</v>
      </c>
      <c r="AQ2" s="14">
        <v>-710</v>
      </c>
      <c r="AR2" s="14">
        <v>5577</v>
      </c>
      <c r="AS2" s="14">
        <v>-164</v>
      </c>
      <c r="AT2" s="14">
        <v>-144</v>
      </c>
      <c r="AU2" s="14">
        <v>275</v>
      </c>
      <c r="AV2" s="14">
        <v>83</v>
      </c>
      <c r="AW2" s="14">
        <v>128</v>
      </c>
      <c r="AX2" s="14">
        <v>-100</v>
      </c>
      <c r="AY2" s="14">
        <v>32</v>
      </c>
      <c r="AZ2" s="14">
        <v>119</v>
      </c>
      <c r="BA2" s="14">
        <v>101</v>
      </c>
      <c r="BB2" s="14">
        <v>350</v>
      </c>
      <c r="BC2" s="14">
        <v>84</v>
      </c>
      <c r="BD2" s="14">
        <v>-351</v>
      </c>
      <c r="BE2" s="14">
        <v>95</v>
      </c>
    </row>
    <row r="3" spans="1:57" x14ac:dyDescent="0.25">
      <c r="A3" s="14">
        <v>8</v>
      </c>
      <c r="B3" s="14">
        <v>2035</v>
      </c>
      <c r="C3" s="14">
        <v>3</v>
      </c>
      <c r="D3" s="14">
        <v>-30263</v>
      </c>
      <c r="E3" s="14">
        <v>-382</v>
      </c>
      <c r="F3" s="14">
        <v>-1133</v>
      </c>
      <c r="G3" s="14">
        <v>10356</v>
      </c>
      <c r="H3" s="14">
        <v>-2335</v>
      </c>
      <c r="I3" s="14">
        <v>-104</v>
      </c>
      <c r="J3" s="14">
        <v>43</v>
      </c>
      <c r="K3" s="14">
        <v>852</v>
      </c>
      <c r="L3" s="14">
        <v>173</v>
      </c>
      <c r="M3" s="14">
        <v>607</v>
      </c>
      <c r="N3" s="14">
        <v>111</v>
      </c>
      <c r="O3" s="14">
        <v>-159</v>
      </c>
      <c r="P3" s="14">
        <v>159</v>
      </c>
      <c r="Q3" s="14">
        <v>-18</v>
      </c>
      <c r="R3" s="14">
        <v>203</v>
      </c>
      <c r="S3" s="14">
        <v>132</v>
      </c>
      <c r="T3" s="14">
        <v>-478</v>
      </c>
      <c r="U3" s="14">
        <v>-43</v>
      </c>
      <c r="V3" s="14">
        <v>-32</v>
      </c>
      <c r="W3" s="14">
        <v>-79</v>
      </c>
      <c r="X3" s="14">
        <v>1347</v>
      </c>
      <c r="Y3" s="14">
        <v>-4</v>
      </c>
      <c r="Z3" s="14">
        <v>361</v>
      </c>
      <c r="AA3" s="14">
        <v>64</v>
      </c>
      <c r="AB3" s="14">
        <v>-103</v>
      </c>
      <c r="AC3" s="14">
        <v>918</v>
      </c>
      <c r="AD3" s="14">
        <v>-85</v>
      </c>
      <c r="AE3" s="14">
        <v>-726</v>
      </c>
      <c r="AF3" s="14">
        <v>364</v>
      </c>
      <c r="AG3" s="14">
        <v>8</v>
      </c>
      <c r="AH3" s="14">
        <v>403</v>
      </c>
      <c r="AI3" s="14">
        <v>121</v>
      </c>
      <c r="AJ3" s="14">
        <v>-591</v>
      </c>
      <c r="AK3" s="14">
        <v>730</v>
      </c>
      <c r="AL3" s="14">
        <v>82</v>
      </c>
      <c r="AM3" s="14">
        <v>505</v>
      </c>
      <c r="AN3" s="14">
        <v>193</v>
      </c>
      <c r="AO3" s="14">
        <v>275</v>
      </c>
      <c r="AP3" s="14">
        <v>498</v>
      </c>
      <c r="AQ3" s="14">
        <v>126</v>
      </c>
      <c r="AR3" s="14">
        <v>1079</v>
      </c>
      <c r="AS3" s="14">
        <v>907</v>
      </c>
      <c r="AT3" s="14">
        <v>170</v>
      </c>
      <c r="AU3" s="14">
        <v>915</v>
      </c>
      <c r="AV3" s="14">
        <v>250</v>
      </c>
      <c r="AW3" s="14">
        <v>418</v>
      </c>
      <c r="AX3" s="14">
        <v>-46</v>
      </c>
      <c r="AY3" s="14">
        <v>-274</v>
      </c>
      <c r="AZ3" s="14">
        <v>-429</v>
      </c>
      <c r="BA3" s="14">
        <v>19</v>
      </c>
      <c r="BB3" s="14">
        <v>146</v>
      </c>
      <c r="BC3" s="14">
        <v>41</v>
      </c>
      <c r="BD3" s="14">
        <v>175</v>
      </c>
      <c r="BE3" s="14">
        <v>23</v>
      </c>
    </row>
    <row r="4" spans="1:57" x14ac:dyDescent="0.25">
      <c r="A4" s="14">
        <v>4</v>
      </c>
      <c r="B4" s="14">
        <v>-45548</v>
      </c>
      <c r="C4" s="14">
        <v>4</v>
      </c>
      <c r="D4" s="14">
        <v>-76375</v>
      </c>
      <c r="E4" s="14">
        <v>-384</v>
      </c>
      <c r="F4" s="14">
        <v>-533</v>
      </c>
      <c r="G4" s="14">
        <v>10365</v>
      </c>
      <c r="H4" s="14">
        <v>-6672</v>
      </c>
      <c r="I4" s="14">
        <v>54</v>
      </c>
      <c r="J4" s="14">
        <v>20</v>
      </c>
      <c r="K4" s="14">
        <v>538</v>
      </c>
      <c r="L4" s="14">
        <v>8</v>
      </c>
      <c r="M4" s="14">
        <v>568</v>
      </c>
      <c r="N4" s="14">
        <v>77</v>
      </c>
      <c r="O4" s="14">
        <v>-300</v>
      </c>
      <c r="P4" s="14">
        <v>72</v>
      </c>
      <c r="Q4" s="14">
        <v>5</v>
      </c>
      <c r="R4" s="14">
        <v>-254</v>
      </c>
      <c r="S4" s="14">
        <v>739</v>
      </c>
      <c r="T4" s="14">
        <v>98</v>
      </c>
      <c r="U4" s="14">
        <v>24</v>
      </c>
      <c r="V4" s="14">
        <v>39</v>
      </c>
      <c r="W4" s="14">
        <v>-80</v>
      </c>
      <c r="X4" s="14">
        <v>1100</v>
      </c>
      <c r="Y4" s="14">
        <v>33</v>
      </c>
      <c r="Z4" s="14">
        <v>-68</v>
      </c>
      <c r="AA4" s="14">
        <v>150</v>
      </c>
      <c r="AB4" s="14">
        <v>189</v>
      </c>
      <c r="AC4" s="14">
        <v>88</v>
      </c>
      <c r="AD4" s="14">
        <v>-3</v>
      </c>
      <c r="AE4" s="14">
        <v>986</v>
      </c>
      <c r="AF4" s="14">
        <v>264</v>
      </c>
      <c r="AG4" s="14">
        <v>-137</v>
      </c>
      <c r="AH4" s="14">
        <v>408</v>
      </c>
      <c r="AI4" s="14">
        <v>-849</v>
      </c>
      <c r="AJ4" s="14">
        <v>880</v>
      </c>
      <c r="AK4" s="14">
        <v>737</v>
      </c>
      <c r="AL4" s="14">
        <v>87</v>
      </c>
      <c r="AM4" s="14">
        <v>315</v>
      </c>
      <c r="AN4" s="14">
        <v>7</v>
      </c>
      <c r="AO4" s="14">
        <v>163</v>
      </c>
      <c r="AP4" s="14">
        <v>-756</v>
      </c>
      <c r="AQ4" s="14">
        <v>913</v>
      </c>
      <c r="AR4" s="14">
        <v>23</v>
      </c>
      <c r="AS4" s="14">
        <v>-826</v>
      </c>
      <c r="AT4" s="14">
        <v>-189</v>
      </c>
      <c r="AU4" s="14">
        <v>-613</v>
      </c>
      <c r="AV4" s="14">
        <v>-125</v>
      </c>
      <c r="AW4" s="14">
        <v>189</v>
      </c>
      <c r="AX4" s="14">
        <v>27</v>
      </c>
      <c r="AY4" s="14">
        <v>53</v>
      </c>
      <c r="AZ4" s="14">
        <v>219</v>
      </c>
      <c r="BA4" s="14">
        <v>-213</v>
      </c>
      <c r="BB4" s="14">
        <v>58</v>
      </c>
      <c r="BC4" s="14">
        <v>31</v>
      </c>
      <c r="BD4" s="14">
        <v>-381</v>
      </c>
      <c r="BE4" s="14">
        <v>-22</v>
      </c>
    </row>
    <row r="5" spans="1:57" x14ac:dyDescent="0.25">
      <c r="A5" s="14">
        <v>81</v>
      </c>
      <c r="B5" s="14">
        <v>-34691</v>
      </c>
      <c r="C5" s="14">
        <v>1</v>
      </c>
      <c r="D5" s="14">
        <v>-38036</v>
      </c>
      <c r="E5" s="14">
        <v>705</v>
      </c>
      <c r="F5" s="14">
        <v>-919</v>
      </c>
      <c r="G5" s="14">
        <v>7587</v>
      </c>
      <c r="H5" s="14">
        <v>-7277</v>
      </c>
      <c r="I5" s="14">
        <v>14</v>
      </c>
      <c r="J5" s="14">
        <v>17</v>
      </c>
      <c r="K5" s="14">
        <v>124</v>
      </c>
      <c r="L5" s="14">
        <v>5</v>
      </c>
      <c r="M5" s="14">
        <v>466</v>
      </c>
      <c r="N5" s="14">
        <v>23</v>
      </c>
      <c r="O5" s="14">
        <v>-377</v>
      </c>
      <c r="P5" s="14">
        <v>677</v>
      </c>
      <c r="Q5" s="14">
        <v>2</v>
      </c>
      <c r="R5" s="14">
        <v>-164</v>
      </c>
      <c r="S5" s="14">
        <v>847</v>
      </c>
      <c r="T5" s="14">
        <v>453</v>
      </c>
      <c r="U5" s="14">
        <v>104</v>
      </c>
      <c r="V5" s="14">
        <v>299</v>
      </c>
      <c r="W5" s="14">
        <v>25</v>
      </c>
      <c r="X5" s="14">
        <v>128</v>
      </c>
      <c r="Y5" s="14">
        <v>23</v>
      </c>
      <c r="Z5" s="14">
        <v>177</v>
      </c>
      <c r="AA5" s="14">
        <v>274</v>
      </c>
      <c r="AB5" s="14">
        <v>-483</v>
      </c>
      <c r="AC5" s="14">
        <v>538</v>
      </c>
      <c r="AD5" s="14">
        <v>372</v>
      </c>
      <c r="AE5" s="14">
        <v>22</v>
      </c>
      <c r="AF5" s="14">
        <v>58</v>
      </c>
      <c r="AG5" s="14">
        <v>-43</v>
      </c>
      <c r="AH5" s="14">
        <v>208</v>
      </c>
      <c r="AI5" s="14">
        <v>123</v>
      </c>
      <c r="AJ5" s="14">
        <v>154</v>
      </c>
      <c r="AK5" s="14">
        <v>621</v>
      </c>
      <c r="AL5" s="14">
        <v>93</v>
      </c>
      <c r="AM5" s="14">
        <v>344</v>
      </c>
      <c r="AN5" s="14">
        <v>-3</v>
      </c>
      <c r="AO5" s="14">
        <v>111</v>
      </c>
      <c r="AP5" s="14">
        <v>-189</v>
      </c>
      <c r="AQ5" s="14">
        <v>-210</v>
      </c>
      <c r="AR5" s="14">
        <v>665</v>
      </c>
      <c r="AS5" s="14">
        <v>641</v>
      </c>
      <c r="AT5" s="14">
        <v>-140</v>
      </c>
      <c r="AU5" s="14">
        <v>438</v>
      </c>
      <c r="AV5" s="14">
        <v>-79</v>
      </c>
      <c r="AW5" s="14">
        <v>248</v>
      </c>
      <c r="AX5" s="14">
        <v>652</v>
      </c>
      <c r="AY5" s="14">
        <v>457</v>
      </c>
      <c r="AZ5" s="14">
        <v>-601</v>
      </c>
      <c r="BA5" s="14">
        <v>-11</v>
      </c>
      <c r="BB5" s="14">
        <v>44</v>
      </c>
      <c r="BC5" s="14">
        <v>-118</v>
      </c>
      <c r="BD5" s="14">
        <v>115</v>
      </c>
      <c r="BE5" s="14">
        <v>-4</v>
      </c>
    </row>
    <row r="6" spans="1:57" x14ac:dyDescent="0.25">
      <c r="A6" s="14">
        <v>94</v>
      </c>
      <c r="B6" s="14">
        <v>-44002</v>
      </c>
      <c r="C6" s="14">
        <v>4</v>
      </c>
      <c r="D6" s="14">
        <v>-28933</v>
      </c>
      <c r="E6" s="14">
        <v>252</v>
      </c>
      <c r="F6" s="14">
        <v>1326</v>
      </c>
      <c r="G6" s="14">
        <v>10742</v>
      </c>
      <c r="H6" s="14">
        <v>-3352</v>
      </c>
      <c r="I6" s="14">
        <v>-10</v>
      </c>
      <c r="J6" s="14">
        <v>879</v>
      </c>
      <c r="K6" s="14">
        <v>970</v>
      </c>
      <c r="L6" s="14">
        <v>-3</v>
      </c>
      <c r="M6" s="14">
        <v>226</v>
      </c>
      <c r="N6" s="14">
        <v>3</v>
      </c>
      <c r="O6" s="14">
        <v>-322</v>
      </c>
      <c r="P6" s="14">
        <v>156</v>
      </c>
      <c r="Q6" s="14">
        <v>-2</v>
      </c>
      <c r="R6" s="14">
        <v>336</v>
      </c>
      <c r="S6" s="14">
        <v>183</v>
      </c>
      <c r="T6" s="14">
        <v>-103</v>
      </c>
      <c r="U6" s="14">
        <v>213</v>
      </c>
      <c r="V6" s="14">
        <v>404</v>
      </c>
      <c r="W6" s="14">
        <v>2</v>
      </c>
      <c r="X6" s="14">
        <v>119</v>
      </c>
      <c r="Y6" s="14">
        <v>-184</v>
      </c>
      <c r="Z6" s="14">
        <v>-538</v>
      </c>
      <c r="AA6" s="14">
        <v>45</v>
      </c>
      <c r="AB6" s="14">
        <v>427</v>
      </c>
      <c r="AC6" s="14">
        <v>417</v>
      </c>
      <c r="AD6" s="14">
        <v>-189</v>
      </c>
      <c r="AE6" s="14">
        <v>-116</v>
      </c>
      <c r="AF6" s="14">
        <v>96</v>
      </c>
      <c r="AG6" s="14">
        <v>-116</v>
      </c>
      <c r="AH6" s="14">
        <v>-213</v>
      </c>
      <c r="AI6" s="14">
        <v>-769</v>
      </c>
      <c r="AJ6" s="14">
        <v>103</v>
      </c>
      <c r="AK6" s="14">
        <v>490</v>
      </c>
      <c r="AL6" s="14">
        <v>196</v>
      </c>
      <c r="AM6" s="14">
        <v>960</v>
      </c>
      <c r="AN6" s="14">
        <v>7</v>
      </c>
      <c r="AO6" s="14">
        <v>26</v>
      </c>
      <c r="AP6" s="14">
        <v>-724</v>
      </c>
      <c r="AQ6" s="14">
        <v>-838</v>
      </c>
      <c r="AR6" s="14">
        <v>-1046</v>
      </c>
      <c r="AS6" s="14">
        <v>671</v>
      </c>
      <c r="AT6" s="14">
        <v>-87</v>
      </c>
      <c r="AU6" s="14">
        <v>281</v>
      </c>
      <c r="AV6" s="14">
        <v>160</v>
      </c>
      <c r="AW6" s="14">
        <v>349</v>
      </c>
      <c r="AX6" s="14">
        <v>724</v>
      </c>
      <c r="AY6" s="14">
        <v>370</v>
      </c>
      <c r="AZ6" s="14">
        <v>291</v>
      </c>
      <c r="BA6" s="14">
        <v>-71</v>
      </c>
      <c r="BB6" s="14">
        <v>35</v>
      </c>
      <c r="BC6" s="14">
        <v>32</v>
      </c>
      <c r="BD6" s="14">
        <v>-397</v>
      </c>
      <c r="BE6" s="14">
        <v>116</v>
      </c>
    </row>
    <row r="7" spans="1:57" x14ac:dyDescent="0.25">
      <c r="A7" s="14">
        <v>69</v>
      </c>
      <c r="B7" s="14">
        <v>-50964</v>
      </c>
      <c r="C7" s="14">
        <v>-4</v>
      </c>
      <c r="D7" s="14">
        <v>-72896</v>
      </c>
      <c r="E7" s="14">
        <v>-116</v>
      </c>
      <c r="F7" s="14">
        <v>-2571</v>
      </c>
      <c r="G7" s="14">
        <v>10344</v>
      </c>
      <c r="H7" s="14">
        <v>6661</v>
      </c>
      <c r="I7" s="14">
        <v>25</v>
      </c>
      <c r="J7" s="14">
        <v>108</v>
      </c>
      <c r="K7" s="14">
        <v>815</v>
      </c>
      <c r="L7" s="14">
        <v>-1</v>
      </c>
      <c r="M7" s="14">
        <v>171</v>
      </c>
      <c r="N7" s="14">
        <v>-2</v>
      </c>
      <c r="O7" s="14">
        <v>-313</v>
      </c>
      <c r="P7" s="14">
        <v>8</v>
      </c>
      <c r="Q7" s="14">
        <v>119</v>
      </c>
      <c r="R7" s="14">
        <v>256</v>
      </c>
      <c r="S7" s="14">
        <v>306</v>
      </c>
      <c r="T7" s="14">
        <v>918</v>
      </c>
      <c r="U7" s="14">
        <v>381</v>
      </c>
      <c r="V7" s="14">
        <v>209</v>
      </c>
      <c r="W7" s="14">
        <v>-57</v>
      </c>
      <c r="X7" s="14">
        <v>138</v>
      </c>
      <c r="Y7" s="14">
        <v>-77</v>
      </c>
      <c r="Z7" s="14">
        <v>-29</v>
      </c>
      <c r="AA7" s="14">
        <v>114</v>
      </c>
      <c r="AB7" s="14">
        <v>323</v>
      </c>
      <c r="AC7" s="14">
        <v>867</v>
      </c>
      <c r="AD7" s="14">
        <v>-42</v>
      </c>
      <c r="AE7" s="14">
        <v>-289</v>
      </c>
      <c r="AF7" s="14">
        <v>212</v>
      </c>
      <c r="AG7" s="14">
        <v>508</v>
      </c>
      <c r="AH7" s="14">
        <v>51</v>
      </c>
      <c r="AI7" s="14">
        <v>222</v>
      </c>
      <c r="AJ7" s="14">
        <v>137</v>
      </c>
      <c r="AK7" s="14">
        <v>711</v>
      </c>
      <c r="AL7" s="14">
        <v>32</v>
      </c>
      <c r="AM7" s="14">
        <v>400</v>
      </c>
      <c r="AN7" s="14">
        <v>114</v>
      </c>
      <c r="AO7" s="14">
        <v>152</v>
      </c>
      <c r="AP7" s="14">
        <v>680</v>
      </c>
      <c r="AQ7" s="14">
        <v>127</v>
      </c>
      <c r="AR7" s="14">
        <v>-670</v>
      </c>
      <c r="AS7" s="14">
        <v>375</v>
      </c>
      <c r="AT7" s="14">
        <v>580</v>
      </c>
      <c r="AU7" s="14">
        <v>-103</v>
      </c>
      <c r="AV7" s="14">
        <v>-158</v>
      </c>
      <c r="AW7" s="14">
        <v>160</v>
      </c>
      <c r="AX7" s="14">
        <v>-402</v>
      </c>
      <c r="AY7" s="14">
        <v>205</v>
      </c>
      <c r="AZ7" s="14">
        <v>325</v>
      </c>
      <c r="BA7" s="14">
        <v>-23</v>
      </c>
      <c r="BB7" s="14">
        <v>-308</v>
      </c>
      <c r="BC7" s="14">
        <v>-17</v>
      </c>
      <c r="BD7" s="14">
        <v>105</v>
      </c>
      <c r="BE7" s="14">
        <v>-329</v>
      </c>
    </row>
    <row r="8" spans="1:57" x14ac:dyDescent="0.25">
      <c r="A8" s="14">
        <v>25</v>
      </c>
      <c r="B8" s="14">
        <v>-50334</v>
      </c>
      <c r="C8" s="14">
        <v>-7</v>
      </c>
      <c r="D8" s="14">
        <v>3612</v>
      </c>
      <c r="E8" s="14">
        <v>-405</v>
      </c>
      <c r="F8" s="14">
        <v>-2272</v>
      </c>
      <c r="G8" s="14">
        <v>10177</v>
      </c>
      <c r="H8" s="14">
        <v>-1739</v>
      </c>
      <c r="I8" s="14">
        <v>80</v>
      </c>
      <c r="J8" s="14">
        <v>812</v>
      </c>
      <c r="K8" s="14">
        <v>578</v>
      </c>
      <c r="L8" s="14">
        <v>1</v>
      </c>
      <c r="M8" s="14">
        <v>136</v>
      </c>
      <c r="N8" s="14">
        <v>106</v>
      </c>
      <c r="O8" s="14">
        <v>-374</v>
      </c>
      <c r="P8" s="14">
        <v>681</v>
      </c>
      <c r="Q8" s="14">
        <v>-1</v>
      </c>
      <c r="R8" s="14">
        <v>165</v>
      </c>
      <c r="S8" s="14">
        <v>11</v>
      </c>
      <c r="T8" s="14">
        <v>-103</v>
      </c>
      <c r="U8" s="14">
        <v>618</v>
      </c>
      <c r="V8" s="14">
        <v>-122</v>
      </c>
      <c r="W8" s="14">
        <v>-49</v>
      </c>
      <c r="X8" s="14">
        <v>130</v>
      </c>
      <c r="Y8" s="14">
        <v>322</v>
      </c>
      <c r="Z8" s="14">
        <v>87</v>
      </c>
      <c r="AA8" s="14">
        <v>38</v>
      </c>
      <c r="AB8" s="14">
        <v>30</v>
      </c>
      <c r="AC8" s="14">
        <v>355</v>
      </c>
      <c r="AD8" s="14">
        <v>819</v>
      </c>
      <c r="AE8" s="14">
        <v>354</v>
      </c>
      <c r="AF8" s="14">
        <v>410</v>
      </c>
      <c r="AG8" s="14">
        <v>998</v>
      </c>
      <c r="AH8" s="14">
        <v>-105</v>
      </c>
      <c r="AI8" s="14">
        <v>-845</v>
      </c>
      <c r="AJ8" s="14">
        <v>-115</v>
      </c>
      <c r="AK8" s="14">
        <v>620</v>
      </c>
      <c r="AL8" s="14">
        <v>30</v>
      </c>
      <c r="AM8" s="14">
        <v>919</v>
      </c>
      <c r="AN8" s="14">
        <v>3</v>
      </c>
      <c r="AO8" s="14">
        <v>96</v>
      </c>
      <c r="AP8" s="14">
        <v>-332</v>
      </c>
      <c r="AQ8" s="14">
        <v>283</v>
      </c>
      <c r="AR8" s="14">
        <v>-331</v>
      </c>
      <c r="AS8" s="14">
        <v>-626</v>
      </c>
      <c r="AT8" s="14">
        <v>-5</v>
      </c>
      <c r="AU8" s="14">
        <v>-905</v>
      </c>
      <c r="AV8" s="14">
        <v>137</v>
      </c>
      <c r="AW8" s="14">
        <v>-116</v>
      </c>
      <c r="AX8" s="14">
        <v>-990</v>
      </c>
      <c r="AY8" s="14">
        <v>737</v>
      </c>
      <c r="AZ8" s="14">
        <v>-117</v>
      </c>
      <c r="BA8" s="14">
        <v>400</v>
      </c>
      <c r="BB8" s="14">
        <v>-2144</v>
      </c>
      <c r="BC8" s="14">
        <v>40</v>
      </c>
      <c r="BD8" s="14">
        <v>-117</v>
      </c>
      <c r="BE8" s="14">
        <v>13</v>
      </c>
    </row>
    <row r="9" spans="1:57" x14ac:dyDescent="0.25">
      <c r="A9" s="14">
        <v>30</v>
      </c>
      <c r="B9" s="14">
        <v>-34066</v>
      </c>
      <c r="C9" s="14">
        <v>3</v>
      </c>
      <c r="D9" s="14">
        <v>-1427</v>
      </c>
      <c r="E9" s="14">
        <v>223</v>
      </c>
      <c r="F9" s="14">
        <v>-919</v>
      </c>
      <c r="G9" s="14">
        <v>9816</v>
      </c>
      <c r="H9" s="14">
        <v>10745</v>
      </c>
      <c r="I9" s="14">
        <v>238</v>
      </c>
      <c r="J9" s="14">
        <v>173</v>
      </c>
      <c r="K9" s="14">
        <v>114</v>
      </c>
      <c r="L9" s="14">
        <v>17</v>
      </c>
      <c r="M9" s="14">
        <v>433</v>
      </c>
      <c r="N9" s="14">
        <v>106</v>
      </c>
      <c r="O9" s="14">
        <v>-321</v>
      </c>
      <c r="P9" s="14">
        <v>131</v>
      </c>
      <c r="Q9" s="14">
        <v>-136</v>
      </c>
      <c r="R9" s="14">
        <v>-491</v>
      </c>
      <c r="S9" s="14">
        <v>176</v>
      </c>
      <c r="T9" s="14">
        <v>84</v>
      </c>
      <c r="U9" s="14">
        <v>133</v>
      </c>
      <c r="V9" s="14">
        <v>24</v>
      </c>
      <c r="W9" s="14">
        <v>-163</v>
      </c>
      <c r="X9" s="14">
        <v>54</v>
      </c>
      <c r="Y9" s="14">
        <v>176</v>
      </c>
      <c r="Z9" s="14">
        <v>51</v>
      </c>
      <c r="AA9" s="14">
        <v>-6</v>
      </c>
      <c r="AB9" s="14">
        <v>-418</v>
      </c>
      <c r="AC9" s="14">
        <v>644</v>
      </c>
      <c r="AD9" s="14">
        <v>740</v>
      </c>
      <c r="AE9" s="14">
        <v>-805</v>
      </c>
      <c r="AF9" s="14">
        <v>805</v>
      </c>
      <c r="AG9" s="14">
        <v>548</v>
      </c>
      <c r="AH9" s="14">
        <v>-14</v>
      </c>
      <c r="AI9" s="14">
        <v>364</v>
      </c>
      <c r="AJ9" s="14">
        <v>105</v>
      </c>
      <c r="AK9" s="14">
        <v>949</v>
      </c>
      <c r="AL9" s="14">
        <v>153</v>
      </c>
      <c r="AM9" s="14">
        <v>718</v>
      </c>
      <c r="AN9" s="14">
        <v>2</v>
      </c>
      <c r="AO9" s="14">
        <v>124</v>
      </c>
      <c r="AP9" s="14">
        <v>776</v>
      </c>
      <c r="AQ9" s="14">
        <v>121</v>
      </c>
      <c r="AR9" s="14">
        <v>46</v>
      </c>
      <c r="AS9" s="14">
        <v>-164</v>
      </c>
      <c r="AT9" s="14">
        <v>60</v>
      </c>
      <c r="AU9" s="14">
        <v>439</v>
      </c>
      <c r="AV9" s="14">
        <v>964</v>
      </c>
      <c r="AW9" s="14">
        <v>-81</v>
      </c>
      <c r="AX9" s="14">
        <v>583</v>
      </c>
      <c r="AY9" s="14">
        <v>301</v>
      </c>
      <c r="AZ9" s="14">
        <v>263</v>
      </c>
      <c r="BA9" s="14">
        <v>6</v>
      </c>
      <c r="BB9" s="14">
        <v>476</v>
      </c>
      <c r="BC9" s="14">
        <v>-595</v>
      </c>
      <c r="BD9" s="14">
        <v>51</v>
      </c>
      <c r="BE9" s="14">
        <v>36</v>
      </c>
    </row>
    <row r="10" spans="1:57" x14ac:dyDescent="0.25">
      <c r="A10" s="14">
        <v>10</v>
      </c>
      <c r="B10" s="14">
        <v>-45779</v>
      </c>
      <c r="C10" s="14">
        <v>-1</v>
      </c>
      <c r="D10" s="14">
        <v>2792</v>
      </c>
      <c r="E10" s="14">
        <v>96</v>
      </c>
      <c r="F10" s="14">
        <v>-392</v>
      </c>
      <c r="G10" s="14">
        <v>10927</v>
      </c>
      <c r="H10" s="14">
        <v>1388</v>
      </c>
      <c r="I10" s="14">
        <v>139</v>
      </c>
      <c r="J10" s="14">
        <v>214</v>
      </c>
      <c r="K10" s="14">
        <v>-224</v>
      </c>
      <c r="L10" s="14">
        <v>4</v>
      </c>
      <c r="M10" s="14">
        <v>334</v>
      </c>
      <c r="N10" s="14">
        <v>65</v>
      </c>
      <c r="O10" s="14">
        <v>-259</v>
      </c>
      <c r="P10" s="14">
        <v>77</v>
      </c>
      <c r="Q10" s="14">
        <v>17</v>
      </c>
      <c r="R10" s="14">
        <v>-308</v>
      </c>
      <c r="S10" s="14">
        <v>-321</v>
      </c>
      <c r="T10" s="14">
        <v>-601</v>
      </c>
      <c r="U10" s="14">
        <v>5</v>
      </c>
      <c r="V10" s="14">
        <v>200</v>
      </c>
      <c r="W10" s="14">
        <v>-52</v>
      </c>
      <c r="X10" s="14">
        <v>82</v>
      </c>
      <c r="Y10" s="14">
        <v>-4</v>
      </c>
      <c r="Z10" s="14">
        <v>-321</v>
      </c>
      <c r="AA10" s="14">
        <v>-125</v>
      </c>
      <c r="AB10" s="14">
        <v>-340</v>
      </c>
      <c r="AC10" s="14">
        <v>479</v>
      </c>
      <c r="AD10" s="14">
        <v>5</v>
      </c>
      <c r="AE10" s="14">
        <v>100</v>
      </c>
      <c r="AF10" s="14">
        <v>38</v>
      </c>
      <c r="AG10" s="14">
        <v>-355</v>
      </c>
      <c r="AH10" s="14">
        <v>151</v>
      </c>
      <c r="AI10" s="14">
        <v>-969</v>
      </c>
      <c r="AJ10" s="14">
        <v>121</v>
      </c>
      <c r="AK10" s="14">
        <v>650</v>
      </c>
      <c r="AL10" s="14">
        <v>141</v>
      </c>
      <c r="AM10" s="14">
        <v>405</v>
      </c>
      <c r="AN10" s="14">
        <v>25</v>
      </c>
      <c r="AO10" s="14">
        <v>-2</v>
      </c>
      <c r="AP10" s="14">
        <v>-567</v>
      </c>
      <c r="AQ10" s="14">
        <v>436</v>
      </c>
      <c r="AR10" s="14">
        <v>56</v>
      </c>
      <c r="AS10" s="14">
        <v>-132</v>
      </c>
      <c r="AT10" s="14">
        <v>45</v>
      </c>
      <c r="AU10" s="14">
        <v>355</v>
      </c>
      <c r="AV10" s="14">
        <v>226</v>
      </c>
      <c r="AW10" s="14">
        <v>-54</v>
      </c>
      <c r="AX10" s="14">
        <v>-329</v>
      </c>
      <c r="AY10" s="14">
        <v>654</v>
      </c>
      <c r="AZ10" s="14">
        <v>190</v>
      </c>
      <c r="BA10" s="14">
        <v>179</v>
      </c>
      <c r="BB10" s="14">
        <v>1050</v>
      </c>
      <c r="BC10" s="14">
        <v>-1</v>
      </c>
      <c r="BD10" s="14">
        <v>168</v>
      </c>
      <c r="BE10" s="14">
        <v>-3</v>
      </c>
    </row>
    <row r="11" spans="1:57" x14ac:dyDescent="0.25">
      <c r="A11" s="14">
        <v>73</v>
      </c>
      <c r="B11" s="14">
        <v>-29961</v>
      </c>
      <c r="C11" s="14">
        <v>59</v>
      </c>
      <c r="D11" s="14">
        <v>-1883</v>
      </c>
      <c r="E11" s="14">
        <v>-819</v>
      </c>
      <c r="F11" s="14">
        <v>-1304</v>
      </c>
      <c r="G11" s="14">
        <v>10810</v>
      </c>
      <c r="H11" s="14">
        <v>1581</v>
      </c>
      <c r="I11" s="14">
        <v>130</v>
      </c>
      <c r="J11" s="14">
        <v>108</v>
      </c>
      <c r="K11" s="14">
        <v>879</v>
      </c>
      <c r="L11" s="14">
        <v>991</v>
      </c>
      <c r="M11" s="14">
        <v>297</v>
      </c>
      <c r="N11" s="14">
        <v>35</v>
      </c>
      <c r="O11" s="14">
        <v>-301</v>
      </c>
      <c r="P11" s="14">
        <v>676</v>
      </c>
      <c r="Q11" s="14">
        <v>-388</v>
      </c>
      <c r="R11" s="14">
        <v>-386</v>
      </c>
      <c r="S11" s="14">
        <v>692</v>
      </c>
      <c r="T11" s="14">
        <v>279</v>
      </c>
      <c r="U11" s="14">
        <v>148</v>
      </c>
      <c r="V11" s="14">
        <v>145</v>
      </c>
      <c r="W11" s="14">
        <v>-3</v>
      </c>
      <c r="X11" s="14">
        <v>-13</v>
      </c>
      <c r="Y11" s="14">
        <v>32</v>
      </c>
      <c r="Z11" s="14">
        <v>-329</v>
      </c>
      <c r="AA11" s="14">
        <v>501</v>
      </c>
      <c r="AB11" s="14">
        <v>48</v>
      </c>
      <c r="AC11" s="14">
        <v>123</v>
      </c>
      <c r="AD11" s="14">
        <v>-109</v>
      </c>
      <c r="AE11" s="14">
        <v>23</v>
      </c>
      <c r="AF11" s="14">
        <v>65</v>
      </c>
      <c r="AG11" s="14">
        <v>201</v>
      </c>
      <c r="AH11" s="14">
        <v>13</v>
      </c>
      <c r="AI11" s="14">
        <v>127</v>
      </c>
      <c r="AJ11" s="14">
        <v>300</v>
      </c>
      <c r="AK11" s="14">
        <v>896</v>
      </c>
      <c r="AL11" s="14">
        <v>10</v>
      </c>
      <c r="AM11" s="14">
        <v>380</v>
      </c>
      <c r="AN11" s="14">
        <v>-49</v>
      </c>
      <c r="AO11" s="14">
        <v>420</v>
      </c>
      <c r="AP11" s="14">
        <v>181</v>
      </c>
      <c r="AQ11" s="14">
        <v>-132</v>
      </c>
      <c r="AR11" s="14">
        <v>141</v>
      </c>
      <c r="AS11" s="14">
        <v>233</v>
      </c>
      <c r="AT11" s="14">
        <v>173</v>
      </c>
      <c r="AU11" s="14">
        <v>119</v>
      </c>
      <c r="AV11" s="14">
        <v>108</v>
      </c>
      <c r="AW11" s="14">
        <v>6</v>
      </c>
      <c r="AX11" s="14">
        <v>371</v>
      </c>
      <c r="AY11" s="14">
        <v>789</v>
      </c>
      <c r="AZ11" s="14">
        <v>215</v>
      </c>
      <c r="BA11" s="14">
        <v>-32</v>
      </c>
      <c r="BB11" s="14">
        <v>299</v>
      </c>
      <c r="BC11" s="14">
        <v>353</v>
      </c>
      <c r="BD11" s="14">
        <v>151</v>
      </c>
      <c r="BE11" s="14">
        <v>-462</v>
      </c>
    </row>
    <row r="12" spans="1:57" x14ac:dyDescent="0.25">
      <c r="A12" s="14">
        <v>112</v>
      </c>
      <c r="B12" s="14">
        <v>-72</v>
      </c>
      <c r="C12" s="14">
        <v>47</v>
      </c>
      <c r="D12" s="14">
        <v>7310</v>
      </c>
      <c r="E12" s="14">
        <v>67</v>
      </c>
      <c r="F12" s="14">
        <v>-1024</v>
      </c>
      <c r="G12" s="14">
        <v>931</v>
      </c>
      <c r="H12" s="14">
        <v>-4372</v>
      </c>
      <c r="I12" s="14">
        <v>-836</v>
      </c>
      <c r="J12" s="14">
        <v>-358</v>
      </c>
      <c r="K12" s="14">
        <v>-234</v>
      </c>
      <c r="L12" s="14">
        <v>-578</v>
      </c>
      <c r="M12" s="14">
        <v>447</v>
      </c>
      <c r="N12" s="14">
        <v>3</v>
      </c>
      <c r="O12" s="14">
        <v>-362</v>
      </c>
      <c r="P12" s="14">
        <v>147</v>
      </c>
      <c r="Q12" s="14">
        <v>-232</v>
      </c>
      <c r="R12" s="14">
        <v>69</v>
      </c>
      <c r="S12" s="14">
        <v>128</v>
      </c>
      <c r="T12" s="14">
        <v>585</v>
      </c>
      <c r="U12" s="14">
        <v>10</v>
      </c>
      <c r="V12" s="14">
        <v>-104</v>
      </c>
      <c r="W12" s="14">
        <v>-212</v>
      </c>
      <c r="X12" s="14">
        <v>26</v>
      </c>
      <c r="Y12" s="14">
        <v>23</v>
      </c>
      <c r="Z12" s="14">
        <v>7</v>
      </c>
      <c r="AA12" s="14">
        <v>425</v>
      </c>
      <c r="AB12" s="14">
        <v>5</v>
      </c>
      <c r="AC12" s="14">
        <v>185</v>
      </c>
      <c r="AD12" s="14">
        <v>138</v>
      </c>
      <c r="AE12" s="14">
        <v>-117</v>
      </c>
      <c r="AF12" s="14">
        <v>-126</v>
      </c>
      <c r="AG12" s="14">
        <v>272</v>
      </c>
      <c r="AH12" s="14">
        <v>274</v>
      </c>
      <c r="AI12" s="14">
        <v>-100</v>
      </c>
      <c r="AJ12" s="14">
        <v>16</v>
      </c>
      <c r="AK12" s="14">
        <v>720</v>
      </c>
      <c r="AL12" s="14">
        <v>6</v>
      </c>
      <c r="AM12" s="14">
        <v>-786</v>
      </c>
      <c r="AN12" s="14">
        <v>-42</v>
      </c>
      <c r="AO12" s="14">
        <v>-759</v>
      </c>
      <c r="AP12" s="14">
        <v>-221</v>
      </c>
      <c r="AQ12" s="14">
        <v>808</v>
      </c>
      <c r="AR12" s="14">
        <v>381</v>
      </c>
      <c r="AS12" s="14">
        <v>902</v>
      </c>
      <c r="AT12" s="14">
        <v>-60</v>
      </c>
      <c r="AU12" s="14">
        <v>331</v>
      </c>
      <c r="AV12" s="14">
        <v>104</v>
      </c>
      <c r="AW12" s="14">
        <v>564</v>
      </c>
      <c r="AX12" s="14">
        <v>-350</v>
      </c>
      <c r="AY12" s="14">
        <v>-367</v>
      </c>
      <c r="AZ12" s="14">
        <v>-625</v>
      </c>
      <c r="BA12" s="14">
        <v>51</v>
      </c>
      <c r="BB12" s="14">
        <v>11</v>
      </c>
      <c r="BC12" s="14">
        <v>-28</v>
      </c>
      <c r="BD12" s="14">
        <v>105</v>
      </c>
      <c r="BE12" s="14">
        <v>-112</v>
      </c>
    </row>
    <row r="13" spans="1:57" x14ac:dyDescent="0.25">
      <c r="A13" s="14">
        <v>107</v>
      </c>
      <c r="B13" s="14">
        <v>418</v>
      </c>
      <c r="C13" s="14">
        <v>10</v>
      </c>
      <c r="D13" s="14">
        <v>-3836</v>
      </c>
      <c r="E13" s="14">
        <v>-383</v>
      </c>
      <c r="F13" s="14">
        <v>868</v>
      </c>
      <c r="G13" s="14">
        <v>933</v>
      </c>
      <c r="H13" s="14">
        <v>-6891</v>
      </c>
      <c r="I13" s="14">
        <v>-175</v>
      </c>
      <c r="J13" s="14">
        <v>111</v>
      </c>
      <c r="K13" s="14">
        <v>919</v>
      </c>
      <c r="L13" s="14">
        <v>239</v>
      </c>
      <c r="M13" s="14">
        <v>384</v>
      </c>
      <c r="N13" s="14">
        <v>11</v>
      </c>
      <c r="O13" s="14">
        <v>-459</v>
      </c>
      <c r="P13" s="14">
        <v>56</v>
      </c>
      <c r="Q13" s="14">
        <v>106</v>
      </c>
      <c r="R13" s="14">
        <v>670</v>
      </c>
      <c r="S13" s="14">
        <v>58</v>
      </c>
      <c r="T13" s="14">
        <v>-183</v>
      </c>
      <c r="U13" s="14">
        <v>499</v>
      </c>
      <c r="V13" s="14">
        <v>-1</v>
      </c>
      <c r="W13" s="14">
        <v>-37</v>
      </c>
      <c r="X13" s="14">
        <v>-38</v>
      </c>
      <c r="Y13" s="14">
        <v>-177</v>
      </c>
      <c r="Z13" s="14">
        <v>467</v>
      </c>
      <c r="AA13" s="14">
        <v>-12</v>
      </c>
      <c r="AB13" s="14">
        <v>17</v>
      </c>
      <c r="AC13" s="14">
        <v>421</v>
      </c>
      <c r="AD13" s="14">
        <v>-109</v>
      </c>
      <c r="AE13" s="14">
        <v>-336</v>
      </c>
      <c r="AF13" s="14">
        <v>350</v>
      </c>
      <c r="AG13" s="14">
        <v>168</v>
      </c>
      <c r="AH13" s="14">
        <v>-717</v>
      </c>
      <c r="AI13" s="14">
        <v>-110</v>
      </c>
      <c r="AJ13" s="14">
        <v>256</v>
      </c>
      <c r="AK13" s="14">
        <v>622</v>
      </c>
      <c r="AL13" s="14">
        <v>130</v>
      </c>
      <c r="AM13" s="14">
        <v>838</v>
      </c>
      <c r="AN13" s="14">
        <v>16</v>
      </c>
      <c r="AO13" s="14">
        <v>427</v>
      </c>
      <c r="AP13" s="14">
        <v>353</v>
      </c>
      <c r="AQ13" s="14">
        <v>-929</v>
      </c>
      <c r="AR13" s="14">
        <v>9</v>
      </c>
      <c r="AS13" s="14">
        <v>663</v>
      </c>
      <c r="AT13" s="14">
        <v>209</v>
      </c>
      <c r="AU13" s="14">
        <v>-251</v>
      </c>
      <c r="AV13" s="14">
        <v>238</v>
      </c>
      <c r="AW13" s="14">
        <v>17</v>
      </c>
      <c r="AX13" s="14">
        <v>-506</v>
      </c>
      <c r="AY13" s="14">
        <v>-811</v>
      </c>
      <c r="AZ13" s="14">
        <v>288</v>
      </c>
      <c r="BA13" s="14">
        <v>-6</v>
      </c>
      <c r="BB13" s="14">
        <v>63</v>
      </c>
      <c r="BC13" s="14">
        <v>305</v>
      </c>
      <c r="BD13" s="14">
        <v>43</v>
      </c>
      <c r="BE13" s="14">
        <v>106</v>
      </c>
    </row>
    <row r="14" spans="1:57" x14ac:dyDescent="0.25">
      <c r="A14" s="14">
        <v>32</v>
      </c>
      <c r="B14" s="14">
        <v>-73</v>
      </c>
      <c r="C14" s="14">
        <v>2</v>
      </c>
      <c r="D14" s="14">
        <v>2588</v>
      </c>
      <c r="E14" s="14">
        <v>184</v>
      </c>
      <c r="F14" s="14">
        <v>1647</v>
      </c>
      <c r="G14" s="14">
        <v>947</v>
      </c>
      <c r="H14" s="14">
        <v>-1665</v>
      </c>
      <c r="I14" s="14">
        <v>-179</v>
      </c>
      <c r="J14" s="14">
        <v>857</v>
      </c>
      <c r="K14" s="14">
        <v>325</v>
      </c>
      <c r="L14" s="14">
        <v>794</v>
      </c>
      <c r="M14" s="14">
        <v>-153</v>
      </c>
      <c r="N14" s="14">
        <v>-6</v>
      </c>
      <c r="O14" s="14">
        <v>-685</v>
      </c>
      <c r="P14" s="14">
        <v>247</v>
      </c>
      <c r="Q14" s="14">
        <v>507</v>
      </c>
      <c r="R14" s="14">
        <v>178</v>
      </c>
      <c r="S14" s="14">
        <v>116</v>
      </c>
      <c r="T14" s="14">
        <v>-183</v>
      </c>
      <c r="U14" s="14">
        <v>16</v>
      </c>
      <c r="V14" s="14">
        <v>-169</v>
      </c>
      <c r="W14" s="14">
        <v>316</v>
      </c>
      <c r="X14" s="14">
        <v>-12</v>
      </c>
      <c r="Y14" s="14">
        <v>-77</v>
      </c>
      <c r="Z14" s="14">
        <v>-71</v>
      </c>
      <c r="AA14" s="14">
        <v>-67</v>
      </c>
      <c r="AB14" s="14">
        <v>40</v>
      </c>
      <c r="AC14" s="14">
        <v>-973</v>
      </c>
      <c r="AD14" s="14">
        <v>-6</v>
      </c>
      <c r="AE14" s="14">
        <v>297</v>
      </c>
      <c r="AF14" s="14">
        <v>-44</v>
      </c>
      <c r="AG14" s="14">
        <v>158</v>
      </c>
      <c r="AH14" s="14">
        <v>704</v>
      </c>
      <c r="AI14" s="14">
        <v>-99</v>
      </c>
      <c r="AJ14" s="14">
        <v>-297</v>
      </c>
      <c r="AK14" s="14">
        <v>670</v>
      </c>
      <c r="AL14" s="14">
        <v>74</v>
      </c>
      <c r="AM14" s="14">
        <v>154</v>
      </c>
      <c r="AN14" s="14">
        <v>-81</v>
      </c>
      <c r="AO14" s="14">
        <v>680</v>
      </c>
      <c r="AP14" s="14">
        <v>-125</v>
      </c>
      <c r="AQ14" s="14">
        <v>-238</v>
      </c>
      <c r="AR14" s="14">
        <v>11</v>
      </c>
      <c r="AS14" s="14">
        <v>163</v>
      </c>
      <c r="AT14" s="14">
        <v>12</v>
      </c>
      <c r="AU14" s="14">
        <v>131</v>
      </c>
      <c r="AV14" s="14">
        <v>137</v>
      </c>
      <c r="AW14" s="14">
        <v>224</v>
      </c>
      <c r="AX14" s="14">
        <v>-269</v>
      </c>
      <c r="AY14" s="14">
        <v>-143</v>
      </c>
      <c r="AZ14" s="14">
        <v>263</v>
      </c>
      <c r="BA14" s="14">
        <v>740</v>
      </c>
      <c r="BB14" s="14">
        <v>44</v>
      </c>
      <c r="BC14" s="14">
        <v>70</v>
      </c>
      <c r="BD14" s="14">
        <v>248</v>
      </c>
      <c r="BE14" s="14">
        <v>-11</v>
      </c>
    </row>
    <row r="15" spans="1:57" x14ac:dyDescent="0.25">
      <c r="A15" s="14">
        <v>72</v>
      </c>
      <c r="B15" s="14">
        <v>-176</v>
      </c>
      <c r="C15" s="14">
        <v>6</v>
      </c>
      <c r="D15" s="14">
        <v>-1285</v>
      </c>
      <c r="E15" s="14">
        <v>262</v>
      </c>
      <c r="F15" s="14">
        <v>628</v>
      </c>
      <c r="G15" s="14">
        <v>958</v>
      </c>
      <c r="H15" s="14">
        <v>-5034</v>
      </c>
      <c r="I15" s="14">
        <v>-719</v>
      </c>
      <c r="J15" s="14">
        <v>-54</v>
      </c>
      <c r="K15" s="14">
        <v>337</v>
      </c>
      <c r="L15" s="14">
        <v>117</v>
      </c>
      <c r="M15" s="14">
        <v>-169</v>
      </c>
      <c r="N15" s="14">
        <v>22</v>
      </c>
      <c r="O15" s="14">
        <v>-558</v>
      </c>
      <c r="P15" s="14">
        <v>11</v>
      </c>
      <c r="Q15" s="14">
        <v>-617</v>
      </c>
      <c r="R15" s="14">
        <v>261</v>
      </c>
      <c r="S15" s="14">
        <v>331</v>
      </c>
      <c r="T15" s="14">
        <v>-102</v>
      </c>
      <c r="U15" s="14">
        <v>25</v>
      </c>
      <c r="V15" s="14">
        <v>660</v>
      </c>
      <c r="W15" s="14">
        <v>88</v>
      </c>
      <c r="X15" s="14">
        <v>26</v>
      </c>
      <c r="Y15" s="14">
        <v>307</v>
      </c>
      <c r="Z15" s="14">
        <v>12</v>
      </c>
      <c r="AA15" s="14">
        <v>-494</v>
      </c>
      <c r="AB15" s="14">
        <v>252</v>
      </c>
      <c r="AC15" s="14">
        <v>196</v>
      </c>
      <c r="AD15" s="14">
        <v>237</v>
      </c>
      <c r="AE15" s="14">
        <v>-770</v>
      </c>
      <c r="AF15" s="14">
        <v>-25</v>
      </c>
      <c r="AG15" s="14">
        <v>71</v>
      </c>
      <c r="AH15" s="14">
        <v>218</v>
      </c>
      <c r="AI15" s="14">
        <v>-159</v>
      </c>
      <c r="AJ15" s="14">
        <v>668</v>
      </c>
      <c r="AK15" s="14">
        <v>782</v>
      </c>
      <c r="AL15" s="14">
        <v>9</v>
      </c>
      <c r="AM15" s="14">
        <v>-702</v>
      </c>
      <c r="AN15" s="14">
        <v>-25</v>
      </c>
      <c r="AO15" s="14">
        <v>158</v>
      </c>
      <c r="AP15" s="14">
        <v>-545</v>
      </c>
      <c r="AQ15" s="14">
        <v>448</v>
      </c>
      <c r="AR15" s="14">
        <v>28</v>
      </c>
      <c r="AS15" s="14">
        <v>344</v>
      </c>
      <c r="AT15" s="14">
        <v>33</v>
      </c>
      <c r="AU15" s="14">
        <v>438</v>
      </c>
      <c r="AV15" s="14">
        <v>106</v>
      </c>
      <c r="AW15" s="14">
        <v>227</v>
      </c>
      <c r="AX15" s="14">
        <v>-496</v>
      </c>
      <c r="AY15" s="14">
        <v>-580</v>
      </c>
      <c r="AZ15" s="14">
        <v>-109</v>
      </c>
      <c r="BA15" s="14">
        <v>33</v>
      </c>
      <c r="BB15" s="14">
        <v>36</v>
      </c>
      <c r="BC15" s="14">
        <v>-12</v>
      </c>
      <c r="BD15" s="14">
        <v>299</v>
      </c>
      <c r="BE15" s="14">
        <v>-615</v>
      </c>
    </row>
    <row r="16" spans="1:57" x14ac:dyDescent="0.25">
      <c r="A16" s="14">
        <v>77</v>
      </c>
      <c r="B16" s="14">
        <v>403</v>
      </c>
      <c r="C16" s="14">
        <v>2</v>
      </c>
      <c r="D16" s="14">
        <v>200</v>
      </c>
      <c r="E16" s="14">
        <v>-676</v>
      </c>
      <c r="F16" s="14">
        <v>755</v>
      </c>
      <c r="G16" s="14">
        <v>848</v>
      </c>
      <c r="H16" s="14">
        <v>-9826</v>
      </c>
      <c r="I16" s="14">
        <v>112</v>
      </c>
      <c r="J16" s="14">
        <v>822</v>
      </c>
      <c r="K16" s="14">
        <v>165</v>
      </c>
      <c r="L16" s="14">
        <v>213</v>
      </c>
      <c r="M16" s="14">
        <v>114</v>
      </c>
      <c r="N16" s="14">
        <v>17</v>
      </c>
      <c r="O16" s="14">
        <v>-543</v>
      </c>
      <c r="P16" s="14">
        <v>-314</v>
      </c>
      <c r="Q16" s="14">
        <v>-880</v>
      </c>
      <c r="R16" s="14">
        <v>560</v>
      </c>
      <c r="S16" s="14">
        <v>457</v>
      </c>
      <c r="T16" s="14">
        <v>12</v>
      </c>
      <c r="U16" s="14">
        <v>107</v>
      </c>
      <c r="V16" s="14">
        <v>3</v>
      </c>
      <c r="W16" s="14">
        <v>-2</v>
      </c>
      <c r="X16" s="14">
        <v>38</v>
      </c>
      <c r="Y16" s="14">
        <v>4</v>
      </c>
      <c r="Z16" s="14">
        <v>-647</v>
      </c>
      <c r="AA16" s="14">
        <v>136</v>
      </c>
      <c r="AB16" s="14">
        <v>220</v>
      </c>
      <c r="AC16" s="14">
        <v>-401</v>
      </c>
      <c r="AD16" s="14">
        <v>-118</v>
      </c>
      <c r="AE16" s="14">
        <v>100</v>
      </c>
      <c r="AF16" s="14">
        <v>185</v>
      </c>
      <c r="AG16" s="14">
        <v>-675</v>
      </c>
      <c r="AH16" s="14">
        <v>-368</v>
      </c>
      <c r="AI16" s="14">
        <v>-46</v>
      </c>
      <c r="AJ16" s="14">
        <v>196</v>
      </c>
      <c r="AK16" s="14">
        <v>670</v>
      </c>
      <c r="AL16" s="14">
        <v>85</v>
      </c>
      <c r="AM16" s="14">
        <v>107</v>
      </c>
      <c r="AN16" s="14">
        <v>-5</v>
      </c>
      <c r="AO16" s="14">
        <v>293</v>
      </c>
      <c r="AP16" s="14">
        <v>-676</v>
      </c>
      <c r="AQ16" s="14">
        <v>228</v>
      </c>
      <c r="AR16" s="14">
        <v>73</v>
      </c>
      <c r="AS16" s="14">
        <v>-670</v>
      </c>
      <c r="AT16" s="14">
        <v>-37</v>
      </c>
      <c r="AU16" s="14">
        <v>-293</v>
      </c>
      <c r="AV16" s="14">
        <v>343</v>
      </c>
      <c r="AW16" s="14">
        <v>-419</v>
      </c>
      <c r="AX16" s="14">
        <v>778</v>
      </c>
      <c r="AY16" s="14">
        <v>-249</v>
      </c>
      <c r="AZ16" s="14">
        <v>275</v>
      </c>
      <c r="BA16" s="14">
        <v>383</v>
      </c>
      <c r="BB16" s="14">
        <v>-281</v>
      </c>
      <c r="BC16" s="14">
        <v>123</v>
      </c>
      <c r="BD16" s="14">
        <v>266</v>
      </c>
      <c r="BE16" s="14">
        <v>-664</v>
      </c>
    </row>
    <row r="17" spans="1:57" x14ac:dyDescent="0.25">
      <c r="A17" s="14">
        <v>77</v>
      </c>
      <c r="B17" s="14">
        <v>51630</v>
      </c>
      <c r="C17" s="14">
        <v>-5</v>
      </c>
      <c r="D17" s="14">
        <v>-1797</v>
      </c>
      <c r="E17" s="14">
        <v>6</v>
      </c>
      <c r="F17" s="14">
        <v>559</v>
      </c>
      <c r="G17" s="14">
        <v>949</v>
      </c>
      <c r="H17" s="14">
        <v>5136</v>
      </c>
      <c r="I17" s="14">
        <v>690</v>
      </c>
      <c r="J17" s="14">
        <v>-263</v>
      </c>
      <c r="K17" s="14">
        <v>133</v>
      </c>
      <c r="L17" s="14">
        <v>8</v>
      </c>
      <c r="M17" s="14">
        <v>-734</v>
      </c>
      <c r="N17" s="14">
        <v>870</v>
      </c>
      <c r="O17" s="14">
        <v>-614</v>
      </c>
      <c r="P17" s="14">
        <v>471</v>
      </c>
      <c r="Q17" s="14">
        <v>321</v>
      </c>
      <c r="R17" s="14">
        <v>593</v>
      </c>
      <c r="S17" s="14">
        <v>299</v>
      </c>
      <c r="T17" s="14">
        <v>-5</v>
      </c>
      <c r="U17" s="14">
        <v>196</v>
      </c>
      <c r="V17" s="14">
        <v>164</v>
      </c>
      <c r="W17" s="14">
        <v>-130</v>
      </c>
      <c r="X17" s="14">
        <v>91</v>
      </c>
      <c r="Y17" s="14">
        <v>171</v>
      </c>
      <c r="Z17" s="14">
        <v>-49</v>
      </c>
      <c r="AA17" s="14">
        <v>-62</v>
      </c>
      <c r="AB17" s="14">
        <v>50</v>
      </c>
      <c r="AC17" s="14">
        <v>-208</v>
      </c>
      <c r="AD17" s="14">
        <v>19</v>
      </c>
      <c r="AE17" s="14">
        <v>22</v>
      </c>
      <c r="AF17" s="14">
        <v>393</v>
      </c>
      <c r="AG17" s="14">
        <v>48</v>
      </c>
      <c r="AH17" s="14">
        <v>704</v>
      </c>
      <c r="AI17" s="14">
        <v>-55</v>
      </c>
      <c r="AJ17" s="14">
        <v>245</v>
      </c>
      <c r="AK17" s="14">
        <v>775</v>
      </c>
      <c r="AL17" s="14">
        <v>84</v>
      </c>
      <c r="AM17" s="14">
        <v>-718</v>
      </c>
      <c r="AN17" s="14">
        <v>3</v>
      </c>
      <c r="AO17" s="14">
        <v>839</v>
      </c>
      <c r="AP17" s="14">
        <v>-334</v>
      </c>
      <c r="AQ17" s="14">
        <v>-58</v>
      </c>
      <c r="AR17" s="14">
        <v>67</v>
      </c>
      <c r="AS17" s="14">
        <v>-215</v>
      </c>
      <c r="AT17" s="14">
        <v>-88</v>
      </c>
      <c r="AU17" s="14">
        <v>209</v>
      </c>
      <c r="AV17" s="14">
        <v>-196</v>
      </c>
      <c r="AW17" s="14">
        <v>-125</v>
      </c>
      <c r="AX17" s="14">
        <v>-582</v>
      </c>
      <c r="AY17" s="14">
        <v>740</v>
      </c>
      <c r="AZ17" s="14">
        <v>242</v>
      </c>
      <c r="BA17" s="14">
        <v>-95</v>
      </c>
      <c r="BB17" s="14">
        <v>2012</v>
      </c>
      <c r="BC17" s="14">
        <v>144</v>
      </c>
      <c r="BD17" s="14">
        <v>86</v>
      </c>
      <c r="BE17" s="14">
        <v>-526</v>
      </c>
    </row>
    <row r="18" spans="1:57" x14ac:dyDescent="0.25">
      <c r="A18" s="14">
        <v>137</v>
      </c>
      <c r="B18" s="14">
        <v>380</v>
      </c>
      <c r="C18" s="14">
        <v>61</v>
      </c>
      <c r="D18" s="14">
        <v>5238</v>
      </c>
      <c r="E18" s="14">
        <v>-19483</v>
      </c>
      <c r="F18" s="14">
        <v>1261</v>
      </c>
      <c r="G18" s="14">
        <v>965</v>
      </c>
      <c r="H18" s="14">
        <v>-3131</v>
      </c>
      <c r="I18" s="14">
        <v>128</v>
      </c>
      <c r="J18" s="14">
        <v>228</v>
      </c>
      <c r="K18" s="14">
        <v>-115</v>
      </c>
      <c r="L18" s="14">
        <v>3</v>
      </c>
      <c r="M18" s="14">
        <v>-560</v>
      </c>
      <c r="N18" s="14">
        <v>49</v>
      </c>
      <c r="O18" s="14">
        <v>-302</v>
      </c>
      <c r="P18" s="14">
        <v>820</v>
      </c>
      <c r="Q18" s="14">
        <v>9</v>
      </c>
      <c r="R18" s="14">
        <v>299</v>
      </c>
      <c r="S18" s="14">
        <v>-140</v>
      </c>
      <c r="T18" s="14">
        <v>-9</v>
      </c>
      <c r="U18" s="14">
        <v>377</v>
      </c>
      <c r="V18" s="14">
        <v>789</v>
      </c>
      <c r="W18" s="14">
        <v>21</v>
      </c>
      <c r="X18" s="14">
        <v>162</v>
      </c>
      <c r="Y18" s="14">
        <v>-4</v>
      </c>
      <c r="Z18" s="14">
        <v>56</v>
      </c>
      <c r="AA18" s="14">
        <v>-271</v>
      </c>
      <c r="AB18" s="14">
        <v>33</v>
      </c>
      <c r="AC18" s="14">
        <v>-435</v>
      </c>
      <c r="AD18" s="14">
        <v>754</v>
      </c>
      <c r="AE18" s="14">
        <v>-106</v>
      </c>
      <c r="AF18" s="14">
        <v>163</v>
      </c>
      <c r="AG18" s="14">
        <v>48</v>
      </c>
      <c r="AH18" s="14">
        <v>-205</v>
      </c>
      <c r="AI18" s="14">
        <v>87</v>
      </c>
      <c r="AJ18" s="14">
        <v>261</v>
      </c>
      <c r="AK18" s="14">
        <v>580</v>
      </c>
      <c r="AL18" s="14">
        <v>76</v>
      </c>
      <c r="AM18" s="14">
        <v>78</v>
      </c>
      <c r="AN18" s="14">
        <v>-294</v>
      </c>
      <c r="AO18" s="14">
        <v>-963</v>
      </c>
      <c r="AP18" s="14">
        <v>950</v>
      </c>
      <c r="AQ18" s="14">
        <v>313</v>
      </c>
      <c r="AR18" s="14">
        <v>73</v>
      </c>
      <c r="AS18" s="14">
        <v>976</v>
      </c>
      <c r="AT18" s="14">
        <v>-196</v>
      </c>
      <c r="AU18" s="14">
        <v>-478</v>
      </c>
      <c r="AV18" s="14">
        <v>-119</v>
      </c>
      <c r="AW18" s="14">
        <v>-15</v>
      </c>
      <c r="AX18" s="14">
        <v>-291</v>
      </c>
      <c r="AY18" s="14">
        <v>-189</v>
      </c>
      <c r="AZ18" s="14">
        <v>-95</v>
      </c>
      <c r="BA18" s="14">
        <v>118</v>
      </c>
      <c r="BB18" s="14">
        <v>-3561</v>
      </c>
      <c r="BC18" s="14">
        <v>146</v>
      </c>
      <c r="BD18" s="14">
        <v>147</v>
      </c>
      <c r="BE18" s="14">
        <v>-298</v>
      </c>
    </row>
    <row r="19" spans="1:57" x14ac:dyDescent="0.25">
      <c r="A19" s="14">
        <v>205</v>
      </c>
      <c r="B19" s="14">
        <v>46359</v>
      </c>
      <c r="C19" s="14">
        <v>51</v>
      </c>
      <c r="D19" s="14">
        <v>-3574</v>
      </c>
      <c r="E19" s="14">
        <v>15176</v>
      </c>
      <c r="F19" s="14">
        <v>75</v>
      </c>
      <c r="G19" s="14">
        <v>883</v>
      </c>
      <c r="H19" s="14">
        <v>14501</v>
      </c>
      <c r="I19" s="14">
        <v>159</v>
      </c>
      <c r="J19" s="14">
        <v>988</v>
      </c>
      <c r="K19" s="14">
        <v>579</v>
      </c>
      <c r="L19" s="14">
        <v>-22</v>
      </c>
      <c r="M19" s="14">
        <v>-396</v>
      </c>
      <c r="N19" s="14">
        <v>51</v>
      </c>
      <c r="O19" s="14">
        <v>112</v>
      </c>
      <c r="P19" s="14">
        <v>140</v>
      </c>
      <c r="Q19" s="14">
        <v>528</v>
      </c>
      <c r="R19" s="14">
        <v>-435</v>
      </c>
      <c r="S19" s="14">
        <v>-367</v>
      </c>
      <c r="T19" s="14">
        <v>4</v>
      </c>
      <c r="U19" s="14">
        <v>764</v>
      </c>
      <c r="V19" s="14">
        <v>-954</v>
      </c>
      <c r="W19" s="14">
        <v>-85</v>
      </c>
      <c r="X19" s="14">
        <v>-39</v>
      </c>
      <c r="Y19" s="14">
        <v>30</v>
      </c>
      <c r="Z19" s="14">
        <v>-130</v>
      </c>
      <c r="AA19" s="14">
        <v>75</v>
      </c>
      <c r="AB19" s="14">
        <v>-89</v>
      </c>
      <c r="AC19" s="14">
        <v>-176</v>
      </c>
      <c r="AD19" s="14">
        <v>490</v>
      </c>
      <c r="AE19" s="14">
        <v>-267</v>
      </c>
      <c r="AF19" s="14">
        <v>414</v>
      </c>
      <c r="AG19" s="14">
        <v>-64</v>
      </c>
      <c r="AH19" s="14">
        <v>-315</v>
      </c>
      <c r="AI19" s="14">
        <v>-117</v>
      </c>
      <c r="AJ19" s="14">
        <v>418</v>
      </c>
      <c r="AK19" s="14">
        <v>799</v>
      </c>
      <c r="AL19" s="14">
        <v>83</v>
      </c>
      <c r="AM19" s="14">
        <v>-650</v>
      </c>
      <c r="AN19" s="14">
        <v>25</v>
      </c>
      <c r="AO19" s="14">
        <v>-122</v>
      </c>
      <c r="AP19" s="14">
        <v>204</v>
      </c>
      <c r="AQ19" s="14">
        <v>117</v>
      </c>
      <c r="AR19" s="14">
        <v>116</v>
      </c>
      <c r="AS19" s="14">
        <v>-143</v>
      </c>
      <c r="AT19" s="14">
        <v>-75</v>
      </c>
      <c r="AU19" s="14">
        <v>-112</v>
      </c>
      <c r="AV19" s="14">
        <v>218</v>
      </c>
      <c r="AW19" s="14">
        <v>140</v>
      </c>
      <c r="AX19" s="14">
        <v>-231</v>
      </c>
      <c r="AY19" s="14">
        <v>-158</v>
      </c>
      <c r="AZ19" s="14">
        <v>90</v>
      </c>
      <c r="BA19" s="14">
        <v>-14</v>
      </c>
      <c r="BB19" s="14">
        <v>-482</v>
      </c>
      <c r="BC19" s="14">
        <v>139</v>
      </c>
      <c r="BD19" s="14">
        <v>129</v>
      </c>
      <c r="BE19" s="14">
        <v>-491</v>
      </c>
    </row>
    <row r="20" spans="1:57" x14ac:dyDescent="0.25">
      <c r="A20" s="14">
        <v>89</v>
      </c>
      <c r="B20" s="14">
        <v>34447</v>
      </c>
      <c r="C20" s="14">
        <v>39</v>
      </c>
      <c r="E20" s="14">
        <v>4067</v>
      </c>
      <c r="F20" s="14">
        <v>629</v>
      </c>
      <c r="G20" s="14">
        <v>818</v>
      </c>
      <c r="H20" s="14">
        <v>44678</v>
      </c>
      <c r="I20" s="14">
        <v>-885</v>
      </c>
      <c r="J20" s="14">
        <v>-455</v>
      </c>
      <c r="K20" s="14">
        <v>365</v>
      </c>
      <c r="L20" s="14">
        <v>-1</v>
      </c>
      <c r="M20" s="14">
        <v>-992</v>
      </c>
      <c r="N20" s="14">
        <v>107</v>
      </c>
      <c r="O20" s="14">
        <v>534</v>
      </c>
      <c r="P20" s="14">
        <v>-719</v>
      </c>
      <c r="Q20" s="14">
        <v>-505</v>
      </c>
      <c r="R20" s="14">
        <v>472</v>
      </c>
      <c r="S20" s="14">
        <v>660</v>
      </c>
      <c r="T20" s="14">
        <v>4</v>
      </c>
      <c r="U20" s="14">
        <v>128</v>
      </c>
      <c r="V20" s="14">
        <v>424</v>
      </c>
      <c r="W20" s="14">
        <v>11</v>
      </c>
      <c r="X20" s="14">
        <v>-92</v>
      </c>
      <c r="Y20" s="14">
        <v>22</v>
      </c>
      <c r="Z20" s="14">
        <v>-345</v>
      </c>
      <c r="AA20" s="14">
        <v>-81</v>
      </c>
      <c r="AB20" s="14">
        <v>410</v>
      </c>
      <c r="AC20" s="14">
        <v>-319</v>
      </c>
      <c r="AD20" s="14">
        <v>290</v>
      </c>
      <c r="AE20" s="14">
        <v>41</v>
      </c>
      <c r="AF20" s="14">
        <v>331</v>
      </c>
      <c r="AG20" s="14">
        <v>8</v>
      </c>
      <c r="AH20" s="14">
        <v>485</v>
      </c>
      <c r="AI20" s="14">
        <v>-77</v>
      </c>
      <c r="AJ20" s="14">
        <v>276</v>
      </c>
      <c r="AK20" s="14">
        <v>630</v>
      </c>
      <c r="AL20" s="14">
        <v>91</v>
      </c>
      <c r="AM20" s="14">
        <v>-73</v>
      </c>
      <c r="AN20" s="14">
        <v>-7</v>
      </c>
      <c r="AO20" s="14">
        <v>293</v>
      </c>
      <c r="AP20" s="14">
        <v>-60</v>
      </c>
      <c r="AQ20" s="14">
        <v>516</v>
      </c>
      <c r="AR20" s="14">
        <v>454</v>
      </c>
      <c r="AS20" s="14">
        <v>404</v>
      </c>
      <c r="AT20" s="14">
        <v>100</v>
      </c>
      <c r="AU20" s="14">
        <v>-410</v>
      </c>
      <c r="AV20" s="14">
        <v>46</v>
      </c>
      <c r="AW20" s="14">
        <v>93</v>
      </c>
      <c r="AX20" s="14">
        <v>111</v>
      </c>
      <c r="AY20" s="14">
        <v>343</v>
      </c>
      <c r="AZ20" s="14">
        <v>145</v>
      </c>
      <c r="BA20" s="14">
        <v>-253</v>
      </c>
      <c r="BB20" s="14">
        <v>391</v>
      </c>
      <c r="BC20" s="14">
        <v>254</v>
      </c>
      <c r="BD20" s="14">
        <v>79</v>
      </c>
      <c r="BE20" s="14">
        <v>-367</v>
      </c>
    </row>
    <row r="21" spans="1:57" x14ac:dyDescent="0.25">
      <c r="A21" s="14">
        <v>6</v>
      </c>
      <c r="B21" s="14">
        <v>405</v>
      </c>
      <c r="C21" s="14">
        <v>60</v>
      </c>
      <c r="E21" s="14">
        <v>17751</v>
      </c>
      <c r="F21" s="14">
        <v>209</v>
      </c>
      <c r="G21" s="14">
        <v>892</v>
      </c>
      <c r="H21" s="14">
        <v>-2535</v>
      </c>
      <c r="I21" s="14">
        <v>-907</v>
      </c>
      <c r="J21" s="14">
        <v>181</v>
      </c>
      <c r="K21" s="14">
        <v>438</v>
      </c>
      <c r="L21" s="14">
        <v>1</v>
      </c>
      <c r="M21" s="14">
        <v>-618</v>
      </c>
      <c r="N21" s="14">
        <v>-278</v>
      </c>
      <c r="O21" s="14">
        <v>830</v>
      </c>
      <c r="P21" s="14">
        <v>625</v>
      </c>
      <c r="Q21" s="14">
        <v>266</v>
      </c>
      <c r="R21" s="14">
        <v>904</v>
      </c>
      <c r="S21" s="14">
        <v>608</v>
      </c>
      <c r="T21" s="14">
        <v>6</v>
      </c>
      <c r="U21" s="14">
        <v>2</v>
      </c>
      <c r="V21" s="14">
        <v>189</v>
      </c>
      <c r="W21" s="14">
        <v>1</v>
      </c>
      <c r="X21" s="14">
        <v>127</v>
      </c>
      <c r="Y21" s="14">
        <v>-188</v>
      </c>
      <c r="Z21" s="14">
        <v>-277</v>
      </c>
      <c r="AA21" s="14">
        <v>-19</v>
      </c>
      <c r="AB21" s="14">
        <v>-103</v>
      </c>
      <c r="AC21" s="14">
        <v>-238</v>
      </c>
      <c r="AD21" s="14">
        <v>-161</v>
      </c>
      <c r="AE21" s="14">
        <v>401</v>
      </c>
      <c r="AF21" s="14">
        <v>3</v>
      </c>
      <c r="AG21" s="14">
        <v>-135</v>
      </c>
      <c r="AH21" s="14">
        <v>147</v>
      </c>
      <c r="AI21" s="14">
        <v>807</v>
      </c>
      <c r="AJ21" s="14">
        <v>-169</v>
      </c>
      <c r="AK21" s="14">
        <v>797</v>
      </c>
      <c r="AL21" s="14">
        <v>197</v>
      </c>
      <c r="AM21" s="14">
        <v>-478</v>
      </c>
      <c r="AN21" s="14">
        <v>23</v>
      </c>
      <c r="AO21" s="14">
        <v>839</v>
      </c>
      <c r="AP21" s="14">
        <v>494</v>
      </c>
      <c r="AQ21" s="14">
        <v>38</v>
      </c>
      <c r="AR21" s="14">
        <v>13</v>
      </c>
      <c r="AS21" s="14">
        <v>-510</v>
      </c>
      <c r="AT21" s="14">
        <v>256</v>
      </c>
      <c r="AU21" s="14">
        <v>-360</v>
      </c>
      <c r="AV21" s="14">
        <v>193</v>
      </c>
      <c r="AW21" s="14">
        <v>26</v>
      </c>
      <c r="AX21" s="14">
        <v>-505</v>
      </c>
      <c r="AY21" s="14">
        <v>525</v>
      </c>
      <c r="AZ21" s="14">
        <v>-462</v>
      </c>
      <c r="BA21" s="14">
        <v>-336</v>
      </c>
      <c r="BB21" s="14">
        <v>79</v>
      </c>
      <c r="BC21" s="14">
        <v>-15</v>
      </c>
      <c r="BD21" s="14">
        <v>45</v>
      </c>
      <c r="BE21" s="14">
        <v>-400</v>
      </c>
    </row>
    <row r="22" spans="1:57" x14ac:dyDescent="0.25">
      <c r="A22" s="14">
        <v>188</v>
      </c>
      <c r="B22" s="14">
        <v>48429</v>
      </c>
      <c r="C22" s="14">
        <v>48</v>
      </c>
      <c r="E22" s="14">
        <v>78</v>
      </c>
      <c r="F22" s="14">
        <v>356</v>
      </c>
      <c r="G22" s="14">
        <v>-145</v>
      </c>
      <c r="H22" s="14">
        <v>5954</v>
      </c>
      <c r="I22" s="14">
        <v>-124</v>
      </c>
      <c r="J22" s="14">
        <v>24</v>
      </c>
      <c r="K22" s="14">
        <v>311</v>
      </c>
      <c r="L22" s="14">
        <v>16</v>
      </c>
      <c r="M22" s="14">
        <v>-454</v>
      </c>
      <c r="N22" s="14">
        <v>502</v>
      </c>
      <c r="O22" s="14">
        <v>115</v>
      </c>
      <c r="P22" s="14">
        <v>113</v>
      </c>
      <c r="Q22" s="14">
        <v>4</v>
      </c>
      <c r="R22" s="14">
        <v>741</v>
      </c>
      <c r="S22" s="14">
        <v>704</v>
      </c>
      <c r="T22" s="14">
        <v>-28</v>
      </c>
      <c r="U22" s="14">
        <v>346</v>
      </c>
      <c r="V22" s="14">
        <v>387</v>
      </c>
      <c r="W22" s="14">
        <v>-41</v>
      </c>
      <c r="X22" s="14">
        <v>82</v>
      </c>
      <c r="Y22" s="14">
        <v>-75</v>
      </c>
      <c r="Z22" s="14">
        <v>-31</v>
      </c>
      <c r="AA22" s="14">
        <v>8</v>
      </c>
      <c r="AB22" s="14">
        <v>189</v>
      </c>
      <c r="AC22" s="14">
        <v>-59</v>
      </c>
      <c r="AD22" s="14">
        <v>-142</v>
      </c>
      <c r="AE22" s="14">
        <v>-119</v>
      </c>
      <c r="AF22" s="14">
        <v>122</v>
      </c>
      <c r="AG22" s="14">
        <v>-425</v>
      </c>
      <c r="AH22" s="14">
        <v>-403</v>
      </c>
      <c r="AI22" s="14">
        <v>-103</v>
      </c>
      <c r="AJ22" s="14">
        <v>3</v>
      </c>
      <c r="AK22" s="14">
        <v>890</v>
      </c>
      <c r="AL22" s="14">
        <v>35</v>
      </c>
      <c r="AM22" s="14">
        <v>364</v>
      </c>
      <c r="AN22" s="14">
        <v>-357</v>
      </c>
      <c r="AO22" s="14">
        <v>-933</v>
      </c>
      <c r="AP22" s="14">
        <v>-498</v>
      </c>
      <c r="AQ22" s="14">
        <v>-661</v>
      </c>
      <c r="AR22" s="14">
        <v>15</v>
      </c>
      <c r="AS22" s="14">
        <v>153</v>
      </c>
      <c r="AT22" s="14">
        <v>257</v>
      </c>
      <c r="AU22" s="14">
        <v>175</v>
      </c>
      <c r="AV22" s="14">
        <v>115</v>
      </c>
      <c r="AW22" s="14">
        <v>490</v>
      </c>
      <c r="AX22" s="14">
        <v>-141</v>
      </c>
      <c r="AY22" s="14">
        <v>-77</v>
      </c>
      <c r="AZ22" s="14">
        <v>309</v>
      </c>
      <c r="BA22" s="14">
        <v>-463</v>
      </c>
      <c r="BB22" s="14">
        <v>47</v>
      </c>
      <c r="BC22" s="14">
        <v>374</v>
      </c>
      <c r="BD22" s="14">
        <v>42</v>
      </c>
      <c r="BE22" s="14">
        <v>-644</v>
      </c>
    </row>
    <row r="23" spans="1:57" x14ac:dyDescent="0.25">
      <c r="A23" s="14">
        <v>53</v>
      </c>
      <c r="B23" s="14">
        <v>22536</v>
      </c>
      <c r="C23" s="14">
        <v>58</v>
      </c>
      <c r="E23" s="14">
        <v>341</v>
      </c>
      <c r="F23" s="14">
        <v>596</v>
      </c>
      <c r="G23" s="14">
        <v>-1504</v>
      </c>
      <c r="H23" s="14">
        <v>-6787</v>
      </c>
      <c r="I23" s="14">
        <v>483</v>
      </c>
      <c r="J23" s="14">
        <v>872</v>
      </c>
      <c r="K23" s="14">
        <v>240</v>
      </c>
      <c r="L23" s="14">
        <v>4</v>
      </c>
      <c r="M23" s="14">
        <v>-995</v>
      </c>
      <c r="N23" s="14">
        <v>932</v>
      </c>
      <c r="O23" s="14">
        <v>951</v>
      </c>
      <c r="P23" s="14">
        <v>-385</v>
      </c>
      <c r="Q23" s="14">
        <v>526</v>
      </c>
      <c r="R23" s="14">
        <v>155</v>
      </c>
      <c r="S23" s="14">
        <v>134</v>
      </c>
      <c r="T23" s="14">
        <v>34</v>
      </c>
      <c r="U23" s="14">
        <v>12</v>
      </c>
      <c r="V23" s="14">
        <v>-152</v>
      </c>
      <c r="W23" s="14">
        <v>-47</v>
      </c>
      <c r="X23" s="14">
        <v>42</v>
      </c>
      <c r="Y23" s="14">
        <v>326</v>
      </c>
      <c r="Z23" s="14">
        <v>-116</v>
      </c>
      <c r="AA23" s="14">
        <v>1</v>
      </c>
      <c r="AB23" s="14">
        <v>-483</v>
      </c>
      <c r="AC23" s="14">
        <v>-89</v>
      </c>
      <c r="AD23" s="14">
        <v>-755</v>
      </c>
      <c r="AE23" s="14">
        <v>911</v>
      </c>
      <c r="AF23" s="14">
        <v>254</v>
      </c>
      <c r="AG23" s="14">
        <v>-119</v>
      </c>
      <c r="AH23" s="14">
        <v>-308</v>
      </c>
      <c r="AI23" s="14">
        <v>-74</v>
      </c>
      <c r="AJ23" s="14">
        <v>-267</v>
      </c>
      <c r="AK23" s="14">
        <v>904</v>
      </c>
      <c r="AL23" s="14">
        <v>29</v>
      </c>
      <c r="AM23" s="14">
        <v>49</v>
      </c>
      <c r="AN23" s="14">
        <v>14</v>
      </c>
      <c r="AO23" s="14">
        <v>-595</v>
      </c>
      <c r="AP23" s="14">
        <v>109</v>
      </c>
      <c r="AQ23" s="14">
        <v>-379</v>
      </c>
      <c r="AR23" s="14">
        <v>23</v>
      </c>
      <c r="AS23" s="14">
        <v>400</v>
      </c>
      <c r="AT23" s="14">
        <v>194</v>
      </c>
      <c r="AU23" s="14">
        <v>-397</v>
      </c>
      <c r="AV23" s="14">
        <v>293</v>
      </c>
      <c r="AW23" s="14">
        <v>239</v>
      </c>
      <c r="AX23" s="14">
        <v>-319</v>
      </c>
      <c r="AY23" s="14">
        <v>21</v>
      </c>
      <c r="AZ23" s="14">
        <v>-48</v>
      </c>
      <c r="BA23" s="14">
        <v>-293</v>
      </c>
      <c r="BB23" s="14">
        <v>25</v>
      </c>
      <c r="BC23" s="14">
        <v>-1</v>
      </c>
      <c r="BD23" s="14">
        <v>37</v>
      </c>
      <c r="BE23" s="14">
        <v>-469</v>
      </c>
    </row>
    <row r="24" spans="1:57" x14ac:dyDescent="0.25">
      <c r="A24" s="14">
        <v>86</v>
      </c>
      <c r="B24" s="14">
        <v>369</v>
      </c>
      <c r="C24" s="14">
        <v>40</v>
      </c>
      <c r="E24" s="14">
        <v>-44</v>
      </c>
      <c r="F24" s="14">
        <v>347</v>
      </c>
      <c r="G24" s="14">
        <v>-1905</v>
      </c>
      <c r="H24" s="14">
        <v>-3856</v>
      </c>
      <c r="I24" s="14">
        <v>344</v>
      </c>
      <c r="J24" s="14">
        <v>859</v>
      </c>
      <c r="K24" s="14">
        <v>-839</v>
      </c>
      <c r="L24" s="14">
        <v>-134</v>
      </c>
      <c r="M24" s="14">
        <v>-989</v>
      </c>
      <c r="N24" s="14">
        <v>67</v>
      </c>
      <c r="O24" s="14">
        <v>784</v>
      </c>
      <c r="P24" s="14">
        <v>-33</v>
      </c>
      <c r="Q24" s="14">
        <v>-188</v>
      </c>
      <c r="R24" s="14">
        <v>144</v>
      </c>
      <c r="S24" s="14">
        <v>108</v>
      </c>
      <c r="T24" s="14">
        <v>-5</v>
      </c>
      <c r="U24" s="14">
        <v>457</v>
      </c>
      <c r="V24" s="14">
        <v>80</v>
      </c>
      <c r="W24" s="14">
        <v>-141</v>
      </c>
      <c r="X24" s="14">
        <v>27</v>
      </c>
      <c r="Y24" s="14">
        <v>4</v>
      </c>
      <c r="Z24" s="14">
        <v>-41</v>
      </c>
      <c r="AA24" s="14">
        <v>15</v>
      </c>
      <c r="AB24" s="14">
        <v>427</v>
      </c>
      <c r="AC24" s="14">
        <v>-208</v>
      </c>
      <c r="AD24" s="14">
        <v>258</v>
      </c>
      <c r="AE24" s="14">
        <v>24</v>
      </c>
      <c r="AF24" s="14">
        <v>453</v>
      </c>
      <c r="AG24" s="14">
        <v>526</v>
      </c>
      <c r="AH24" s="14">
        <v>-21</v>
      </c>
      <c r="AI24" s="14">
        <v>-338</v>
      </c>
      <c r="AJ24" s="14">
        <v>127</v>
      </c>
      <c r="AK24" s="14">
        <v>890</v>
      </c>
      <c r="AL24" s="14">
        <v>124</v>
      </c>
      <c r="AM24" s="14">
        <v>158</v>
      </c>
      <c r="AN24" s="14">
        <v>5</v>
      </c>
      <c r="AO24" s="14">
        <v>-122</v>
      </c>
      <c r="AP24" s="14">
        <v>214</v>
      </c>
      <c r="AQ24" s="14">
        <v>263</v>
      </c>
      <c r="AR24" s="14">
        <v>87</v>
      </c>
      <c r="AS24" s="14">
        <v>244</v>
      </c>
      <c r="AT24" s="14">
        <v>127</v>
      </c>
      <c r="AU24" s="14">
        <v>140</v>
      </c>
      <c r="AV24" s="14">
        <v>132</v>
      </c>
      <c r="AW24" s="14">
        <v>-91</v>
      </c>
      <c r="AX24" s="14">
        <v>-433</v>
      </c>
      <c r="AY24" s="14">
        <v>55</v>
      </c>
      <c r="AZ24" s="14">
        <v>106</v>
      </c>
      <c r="BA24" s="14">
        <v>-241</v>
      </c>
      <c r="BB24" s="14">
        <v>33</v>
      </c>
      <c r="BC24" s="14">
        <v>-348</v>
      </c>
      <c r="BD24" s="14">
        <v>9</v>
      </c>
      <c r="BE24" s="14">
        <v>-395</v>
      </c>
    </row>
    <row r="25" spans="1:57" x14ac:dyDescent="0.25">
      <c r="A25" s="14">
        <v>120</v>
      </c>
      <c r="B25" s="14">
        <v>44783</v>
      </c>
      <c r="C25" s="14">
        <v>68</v>
      </c>
      <c r="E25" s="14">
        <v>48</v>
      </c>
      <c r="F25" s="14">
        <v>27</v>
      </c>
      <c r="G25" s="14">
        <v>-2388</v>
      </c>
      <c r="H25" s="14">
        <v>-3085</v>
      </c>
      <c r="I25" s="14">
        <v>463</v>
      </c>
      <c r="J25" s="14">
        <v>116</v>
      </c>
      <c r="K25" s="14">
        <v>435</v>
      </c>
      <c r="L25" s="14">
        <v>-850</v>
      </c>
      <c r="M25" s="14">
        <v>-466</v>
      </c>
      <c r="N25" s="14">
        <v>33</v>
      </c>
      <c r="O25" s="14">
        <v>999</v>
      </c>
      <c r="P25" s="14">
        <v>1</v>
      </c>
      <c r="Q25" s="14">
        <v>391</v>
      </c>
      <c r="R25" s="14">
        <v>663</v>
      </c>
      <c r="S25" s="14">
        <v>-445</v>
      </c>
      <c r="T25" s="14">
        <v>-15</v>
      </c>
      <c r="U25" s="14">
        <v>58</v>
      </c>
      <c r="V25" s="14">
        <v>72</v>
      </c>
      <c r="W25" s="14">
        <v>-42</v>
      </c>
      <c r="X25" s="14">
        <v>48</v>
      </c>
      <c r="Y25" s="14">
        <v>-2</v>
      </c>
      <c r="Z25" s="14">
        <v>-15</v>
      </c>
      <c r="AA25" s="14">
        <v>19</v>
      </c>
      <c r="AB25" s="14">
        <v>323</v>
      </c>
      <c r="AC25" s="14">
        <v>53</v>
      </c>
      <c r="AD25" s="14">
        <v>120</v>
      </c>
      <c r="AE25" s="14">
        <v>-899</v>
      </c>
      <c r="AF25" s="14">
        <v>881</v>
      </c>
      <c r="AG25" s="14">
        <v>983</v>
      </c>
      <c r="AH25" s="14">
        <v>-49</v>
      </c>
      <c r="AI25" s="14">
        <v>993</v>
      </c>
      <c r="AJ25" s="14">
        <v>-170</v>
      </c>
      <c r="AK25" s="14">
        <v>825</v>
      </c>
      <c r="AL25" s="14">
        <v>167</v>
      </c>
      <c r="AM25" s="14">
        <v>28</v>
      </c>
      <c r="AN25" s="14">
        <v>-5</v>
      </c>
      <c r="AO25" s="14">
        <v>576</v>
      </c>
      <c r="AP25" s="14">
        <v>963</v>
      </c>
      <c r="AQ25" s="14">
        <v>100</v>
      </c>
      <c r="AR25" s="14">
        <v>508</v>
      </c>
      <c r="AS25" s="14">
        <v>-125</v>
      </c>
      <c r="AT25" s="14">
        <v>382</v>
      </c>
      <c r="AU25" s="14">
        <v>474</v>
      </c>
      <c r="AV25" s="14">
        <v>131</v>
      </c>
      <c r="AW25" s="14">
        <v>-40</v>
      </c>
      <c r="AX25" s="14">
        <v>-665</v>
      </c>
      <c r="AY25" s="14">
        <v>476</v>
      </c>
      <c r="AZ25" s="14">
        <v>317</v>
      </c>
      <c r="BA25" s="14">
        <v>-237</v>
      </c>
      <c r="BB25" s="14">
        <v>-298</v>
      </c>
      <c r="BC25" s="14">
        <v>-5</v>
      </c>
      <c r="BD25" s="14">
        <v>31</v>
      </c>
      <c r="BE25" s="14">
        <v>-388</v>
      </c>
    </row>
    <row r="26" spans="1:57" x14ac:dyDescent="0.25">
      <c r="A26" s="14">
        <v>142</v>
      </c>
      <c r="B26" s="14">
        <v>46638</v>
      </c>
      <c r="C26" s="14">
        <v>101</v>
      </c>
      <c r="E26" s="14">
        <v>-19</v>
      </c>
      <c r="F26" s="14">
        <v>615</v>
      </c>
      <c r="G26" s="14">
        <v>-650</v>
      </c>
      <c r="H26" s="14">
        <v>-4679</v>
      </c>
      <c r="I26" s="14">
        <v>951</v>
      </c>
      <c r="J26" s="14">
        <v>857</v>
      </c>
      <c r="K26" s="14">
        <v>728</v>
      </c>
      <c r="L26" s="14">
        <v>274</v>
      </c>
      <c r="M26" s="14">
        <v>-470</v>
      </c>
      <c r="N26" s="14">
        <v>84</v>
      </c>
      <c r="O26" s="14">
        <v>857</v>
      </c>
      <c r="P26" s="14">
        <v>471</v>
      </c>
      <c r="Q26" s="14">
        <v>30</v>
      </c>
      <c r="R26" s="14">
        <v>-594</v>
      </c>
      <c r="S26" s="14">
        <v>312</v>
      </c>
      <c r="T26" s="14">
        <v>4</v>
      </c>
      <c r="U26" s="14">
        <v>25</v>
      </c>
      <c r="V26" s="14">
        <v>17</v>
      </c>
      <c r="W26" s="14">
        <v>7</v>
      </c>
      <c r="X26" s="14">
        <v>52</v>
      </c>
      <c r="Y26" s="14">
        <v>45</v>
      </c>
      <c r="Z26" s="14">
        <v>55</v>
      </c>
      <c r="AA26" s="14">
        <v>-13</v>
      </c>
      <c r="AB26" s="14">
        <v>30</v>
      </c>
      <c r="AC26" s="14">
        <v>-92</v>
      </c>
      <c r="AD26" s="14">
        <v>-153</v>
      </c>
      <c r="AE26" s="14">
        <v>-470</v>
      </c>
      <c r="AF26" s="14">
        <v>80</v>
      </c>
      <c r="AG26" s="14">
        <v>235</v>
      </c>
      <c r="AI26" s="14">
        <v>-52</v>
      </c>
      <c r="AJ26" s="14">
        <v>340</v>
      </c>
      <c r="AK26" s="14">
        <v>670</v>
      </c>
      <c r="AL26" s="14">
        <v>4</v>
      </c>
      <c r="AM26" s="14">
        <v>-44</v>
      </c>
      <c r="AN26" s="14">
        <v>-186</v>
      </c>
      <c r="AO26" s="14">
        <v>234</v>
      </c>
      <c r="AP26" s="14">
        <v>-284</v>
      </c>
      <c r="AQ26" s="14">
        <v>30</v>
      </c>
      <c r="AR26" s="14">
        <v>402</v>
      </c>
      <c r="AS26" s="14">
        <v>194</v>
      </c>
      <c r="AT26" s="14">
        <v>54</v>
      </c>
      <c r="AU26" s="14">
        <v>131</v>
      </c>
      <c r="AV26" s="14">
        <v>304</v>
      </c>
      <c r="AW26" s="14">
        <v>240</v>
      </c>
      <c r="AX26" s="14">
        <v>-897</v>
      </c>
      <c r="AY26" s="14">
        <v>398</v>
      </c>
      <c r="AZ26" s="14">
        <v>-118</v>
      </c>
      <c r="BA26" s="14">
        <v>-86</v>
      </c>
      <c r="BB26" s="14">
        <v>-2175</v>
      </c>
      <c r="BC26" s="14">
        <v>2</v>
      </c>
      <c r="BD26" s="14">
        <v>-304</v>
      </c>
      <c r="BE26" s="14">
        <v>-416</v>
      </c>
    </row>
    <row r="27" spans="1:57" x14ac:dyDescent="0.25">
      <c r="A27" s="14">
        <v>52</v>
      </c>
      <c r="B27" s="14">
        <v>423</v>
      </c>
      <c r="C27" s="14">
        <v>24</v>
      </c>
      <c r="E27" s="14">
        <v>59</v>
      </c>
      <c r="F27" s="14">
        <v>330</v>
      </c>
      <c r="G27" s="14">
        <v>-1987</v>
      </c>
      <c r="H27" s="14">
        <v>-2542</v>
      </c>
      <c r="I27" s="14">
        <v>121</v>
      </c>
      <c r="J27" s="14">
        <v>108</v>
      </c>
      <c r="K27" s="14">
        <v>-827</v>
      </c>
      <c r="L27" s="14">
        <v>900</v>
      </c>
      <c r="M27" s="14">
        <v>-462</v>
      </c>
      <c r="N27" s="14">
        <v>-285</v>
      </c>
      <c r="O27" s="14">
        <v>659</v>
      </c>
      <c r="P27" s="14">
        <v>820</v>
      </c>
      <c r="Q27" s="14">
        <v>7</v>
      </c>
      <c r="R27" s="14">
        <v>-844</v>
      </c>
      <c r="S27" s="14">
        <v>-126</v>
      </c>
      <c r="T27" s="14">
        <v>11</v>
      </c>
      <c r="U27" s="14">
        <v>105</v>
      </c>
      <c r="V27" s="14">
        <v>-122</v>
      </c>
      <c r="W27" s="14">
        <v>-6</v>
      </c>
      <c r="X27" s="14">
        <v>54</v>
      </c>
      <c r="Y27" s="14">
        <v>-28</v>
      </c>
      <c r="Z27" s="14">
        <v>64</v>
      </c>
      <c r="AA27" s="14">
        <v>-16</v>
      </c>
      <c r="AB27" s="14">
        <v>-418</v>
      </c>
      <c r="AC27" s="14">
        <v>208</v>
      </c>
      <c r="AD27" s="14">
        <v>-152</v>
      </c>
      <c r="AE27" s="14">
        <v>-231</v>
      </c>
      <c r="AF27" s="14">
        <v>109</v>
      </c>
      <c r="AG27" s="14">
        <v>-193</v>
      </c>
      <c r="AI27" s="14">
        <v>-97</v>
      </c>
      <c r="AJ27" s="14">
        <v>852</v>
      </c>
      <c r="AK27" s="14">
        <v>101</v>
      </c>
      <c r="AL27" s="14">
        <v>130</v>
      </c>
      <c r="AM27" s="14">
        <v>48</v>
      </c>
      <c r="AN27" s="14">
        <v>20</v>
      </c>
      <c r="AO27" s="14">
        <v>755</v>
      </c>
      <c r="AP27" s="14">
        <v>-311</v>
      </c>
      <c r="AQ27" s="14">
        <v>-105</v>
      </c>
      <c r="AR27" s="14">
        <v>431</v>
      </c>
      <c r="AS27" s="14">
        <v>-956</v>
      </c>
      <c r="AT27" s="14">
        <v>819</v>
      </c>
      <c r="AU27" s="14">
        <v>-994</v>
      </c>
      <c r="AV27" s="14">
        <v>128</v>
      </c>
      <c r="AW27" s="14">
        <v>98</v>
      </c>
      <c r="AX27" s="14">
        <v>600</v>
      </c>
      <c r="AY27" s="14">
        <v>2</v>
      </c>
      <c r="AZ27" s="14">
        <v>272</v>
      </c>
      <c r="BA27" s="14">
        <v>-27</v>
      </c>
      <c r="BB27" s="14">
        <v>2497</v>
      </c>
      <c r="BC27" s="14">
        <v>-819</v>
      </c>
      <c r="BD27" s="14">
        <v>-271</v>
      </c>
      <c r="BE27" s="14">
        <v>-199</v>
      </c>
    </row>
    <row r="28" spans="1:57" x14ac:dyDescent="0.25">
      <c r="A28" s="14">
        <v>45</v>
      </c>
      <c r="B28" s="14">
        <v>43903</v>
      </c>
      <c r="C28" s="14">
        <v>62</v>
      </c>
      <c r="E28" s="14">
        <v>33</v>
      </c>
      <c r="F28" s="14">
        <v>95</v>
      </c>
      <c r="G28" s="14">
        <v>-2917</v>
      </c>
      <c r="H28" s="14">
        <v>4140</v>
      </c>
      <c r="I28" s="14">
        <v>798</v>
      </c>
      <c r="J28" s="14">
        <v>841</v>
      </c>
      <c r="K28" s="14">
        <v>-991</v>
      </c>
      <c r="L28" s="14">
        <v>792</v>
      </c>
      <c r="M28" s="14">
        <v>-445</v>
      </c>
      <c r="N28" s="14">
        <v>441</v>
      </c>
      <c r="O28" s="14">
        <v>829</v>
      </c>
      <c r="P28" s="14">
        <v>140</v>
      </c>
      <c r="Q28" s="14">
        <v>149</v>
      </c>
      <c r="R28" s="14">
        <v>880</v>
      </c>
      <c r="S28" s="14">
        <v>105</v>
      </c>
      <c r="T28" s="14">
        <v>6</v>
      </c>
      <c r="U28" s="14">
        <v>189</v>
      </c>
      <c r="V28" s="14">
        <v>105</v>
      </c>
      <c r="W28" s="14">
        <v>-32</v>
      </c>
      <c r="X28" s="14">
        <v>38</v>
      </c>
      <c r="Y28" s="14">
        <v>-3</v>
      </c>
      <c r="Z28" s="14">
        <v>22</v>
      </c>
      <c r="AA28" s="14">
        <v>61</v>
      </c>
      <c r="AB28" s="14">
        <v>-340</v>
      </c>
      <c r="AC28" s="14">
        <v>91</v>
      </c>
      <c r="AD28" s="14">
        <v>634</v>
      </c>
      <c r="AE28" s="14">
        <v>652</v>
      </c>
      <c r="AF28" s="14">
        <v>-43</v>
      </c>
      <c r="AG28" s="14">
        <v>201</v>
      </c>
      <c r="AI28" s="14">
        <v>-309</v>
      </c>
      <c r="AJ28" s="14">
        <v>856</v>
      </c>
      <c r="AK28" s="14">
        <v>890</v>
      </c>
      <c r="AL28" s="14">
        <v>68</v>
      </c>
      <c r="AM28" s="14">
        <v>-60</v>
      </c>
      <c r="AN28" s="14">
        <v>-2</v>
      </c>
      <c r="AO28" s="14">
        <v>223</v>
      </c>
      <c r="AP28" s="14">
        <v>-272</v>
      </c>
      <c r="AQ28" s="14">
        <v>153</v>
      </c>
      <c r="AR28" s="14">
        <v>216</v>
      </c>
      <c r="AS28" s="14">
        <v>648</v>
      </c>
      <c r="AT28" s="14">
        <v>456</v>
      </c>
      <c r="AU28" s="14">
        <v>-395</v>
      </c>
      <c r="AV28" s="14">
        <v>26</v>
      </c>
      <c r="AW28" s="14">
        <v>249</v>
      </c>
      <c r="AX28" s="14">
        <v>-185</v>
      </c>
      <c r="AY28" s="14">
        <v>-48</v>
      </c>
      <c r="AZ28" s="14">
        <v>211</v>
      </c>
      <c r="BA28" s="14">
        <v>-36</v>
      </c>
      <c r="BB28" s="14">
        <v>1540</v>
      </c>
      <c r="BC28" s="14">
        <v>76</v>
      </c>
      <c r="BD28" s="14">
        <v>-1054</v>
      </c>
      <c r="BE28" s="14">
        <v>311</v>
      </c>
    </row>
    <row r="29" spans="1:57" x14ac:dyDescent="0.25">
      <c r="A29" s="14">
        <v>11</v>
      </c>
      <c r="B29" s="14">
        <v>49024</v>
      </c>
      <c r="C29" s="14">
        <v>-21</v>
      </c>
      <c r="E29" s="14">
        <v>20</v>
      </c>
      <c r="F29" s="14">
        <v>466</v>
      </c>
      <c r="G29" s="14">
        <v>-1000</v>
      </c>
      <c r="H29" s="14">
        <v>4823</v>
      </c>
      <c r="I29" s="14">
        <v>131</v>
      </c>
      <c r="J29" s="14">
        <v>116</v>
      </c>
      <c r="K29" s="14">
        <v>-102</v>
      </c>
      <c r="L29" s="14">
        <v>440</v>
      </c>
      <c r="M29" s="14">
        <v>-488</v>
      </c>
      <c r="N29" s="14">
        <v>-20</v>
      </c>
      <c r="O29" s="14">
        <v>112</v>
      </c>
      <c r="P29" s="14">
        <v>-719</v>
      </c>
      <c r="Q29" s="14">
        <v>-100</v>
      </c>
      <c r="R29" s="14">
        <v>198</v>
      </c>
      <c r="S29" s="14">
        <v>474</v>
      </c>
      <c r="T29" s="14">
        <v>-43</v>
      </c>
      <c r="U29" s="14">
        <v>364</v>
      </c>
      <c r="V29" s="14">
        <v>97</v>
      </c>
      <c r="W29" s="14">
        <v>-50</v>
      </c>
      <c r="X29" s="14">
        <v>42</v>
      </c>
      <c r="Y29" s="14">
        <v>16</v>
      </c>
      <c r="Z29" s="14">
        <v>26</v>
      </c>
      <c r="AA29" s="14">
        <v>-34</v>
      </c>
      <c r="AB29" s="14">
        <v>48</v>
      </c>
      <c r="AC29" s="14">
        <v>274</v>
      </c>
      <c r="AD29" s="14">
        <v>-819</v>
      </c>
      <c r="AE29" s="14">
        <v>-157</v>
      </c>
      <c r="AF29" s="14">
        <v>188</v>
      </c>
      <c r="AG29" s="14">
        <v>274</v>
      </c>
      <c r="AI29" s="14">
        <v>-994</v>
      </c>
      <c r="AJ29" s="14">
        <v>106</v>
      </c>
      <c r="AK29" s="14">
        <v>395</v>
      </c>
      <c r="AL29" s="14">
        <v>73</v>
      </c>
      <c r="AM29" s="14">
        <v>353</v>
      </c>
      <c r="AN29" s="14">
        <v>2</v>
      </c>
      <c r="AO29" s="14">
        <v>-88</v>
      </c>
      <c r="AP29" s="14">
        <v>-199</v>
      </c>
      <c r="AQ29" s="14">
        <v>-520</v>
      </c>
      <c r="AR29" s="14">
        <v>966</v>
      </c>
      <c r="AS29" s="14">
        <v>655</v>
      </c>
      <c r="AT29" s="14">
        <v>3</v>
      </c>
      <c r="AU29" s="14">
        <v>277</v>
      </c>
      <c r="AV29" s="14">
        <v>77</v>
      </c>
      <c r="AW29" s="14">
        <v>-93</v>
      </c>
      <c r="AX29" s="14">
        <v>-390</v>
      </c>
      <c r="AY29" s="14">
        <v>8</v>
      </c>
      <c r="AZ29" s="14">
        <v>6</v>
      </c>
      <c r="BA29" s="14">
        <v>270</v>
      </c>
      <c r="BB29" s="14">
        <v>273</v>
      </c>
      <c r="BC29" s="14">
        <v>-43285</v>
      </c>
      <c r="BD29" s="14">
        <v>77</v>
      </c>
      <c r="BE29" s="14">
        <v>392</v>
      </c>
    </row>
    <row r="30" spans="1:57" x14ac:dyDescent="0.25">
      <c r="A30" s="14">
        <v>63</v>
      </c>
      <c r="B30" s="14">
        <v>395</v>
      </c>
      <c r="C30" s="14">
        <v>80</v>
      </c>
      <c r="E30" s="14">
        <v>34</v>
      </c>
      <c r="F30" s="14">
        <v>519</v>
      </c>
      <c r="G30" s="14">
        <v>-551</v>
      </c>
      <c r="H30" s="14">
        <v>3648</v>
      </c>
      <c r="I30" s="14">
        <v>-728</v>
      </c>
      <c r="J30" s="14">
        <v>111</v>
      </c>
      <c r="K30" s="14">
        <v>-105</v>
      </c>
      <c r="L30" s="14">
        <v>785</v>
      </c>
      <c r="M30" s="14">
        <v>-430</v>
      </c>
      <c r="N30" s="14">
        <v>2</v>
      </c>
      <c r="O30" s="14">
        <v>127</v>
      </c>
      <c r="P30" s="14">
        <v>20</v>
      </c>
      <c r="Q30" s="14">
        <v>-385</v>
      </c>
      <c r="R30" s="14">
        <v>-307</v>
      </c>
      <c r="S30" s="14">
        <v>307</v>
      </c>
      <c r="T30" s="14">
        <v>32</v>
      </c>
      <c r="U30" s="14">
        <v>730</v>
      </c>
      <c r="V30" s="14">
        <v>32</v>
      </c>
      <c r="W30" s="14">
        <v>-122</v>
      </c>
      <c r="X30" s="14">
        <v>232</v>
      </c>
      <c r="Y30" s="14">
        <v>9</v>
      </c>
      <c r="Z30" s="14">
        <v>-18</v>
      </c>
      <c r="AA30" s="14">
        <v>-706</v>
      </c>
      <c r="AB30" s="14">
        <v>5</v>
      </c>
      <c r="AC30" s="14">
        <v>73</v>
      </c>
      <c r="AD30" s="14">
        <v>-209</v>
      </c>
      <c r="AE30" s="14">
        <v>101</v>
      </c>
      <c r="AF30" s="14">
        <v>31</v>
      </c>
      <c r="AG30" s="14">
        <v>171</v>
      </c>
      <c r="AI30" s="14">
        <v>-180</v>
      </c>
      <c r="AJ30" s="14">
        <v>354</v>
      </c>
      <c r="AK30" s="14">
        <v>916</v>
      </c>
      <c r="AL30" s="14">
        <v>89</v>
      </c>
      <c r="AM30" s="14">
        <v>-105</v>
      </c>
      <c r="AN30" s="14">
        <v>-83</v>
      </c>
      <c r="AO30" s="14">
        <v>441</v>
      </c>
      <c r="AP30" s="14">
        <v>-245</v>
      </c>
      <c r="AQ30" s="14">
        <v>-850</v>
      </c>
      <c r="AR30" s="14">
        <v>773</v>
      </c>
      <c r="AS30" s="14">
        <v>318</v>
      </c>
      <c r="AT30" s="14">
        <v>-16</v>
      </c>
      <c r="AU30" s="14">
        <v>308</v>
      </c>
      <c r="AV30" s="14">
        <v>-12</v>
      </c>
      <c r="AW30" s="14">
        <v>197</v>
      </c>
      <c r="AX30" s="14">
        <v>-126</v>
      </c>
      <c r="AY30" s="14">
        <v>46</v>
      </c>
      <c r="AZ30" s="14">
        <v>321</v>
      </c>
      <c r="BA30" s="14">
        <v>181</v>
      </c>
      <c r="BB30" s="14">
        <v>97</v>
      </c>
      <c r="BC30" s="14">
        <v>-5773</v>
      </c>
      <c r="BD30" s="14">
        <v>-522</v>
      </c>
      <c r="BE30" s="14">
        <v>184</v>
      </c>
    </row>
    <row r="31" spans="1:57" x14ac:dyDescent="0.25">
      <c r="A31" s="14">
        <v>84</v>
      </c>
      <c r="B31" s="14">
        <v>44865</v>
      </c>
      <c r="C31" s="14">
        <v>-93</v>
      </c>
      <c r="E31" s="14">
        <v>82</v>
      </c>
      <c r="F31" s="14">
        <v>539</v>
      </c>
      <c r="G31" s="14">
        <v>-929</v>
      </c>
      <c r="H31" s="14">
        <v>3028</v>
      </c>
      <c r="I31" s="14">
        <v>-461</v>
      </c>
      <c r="J31" s="14">
        <v>824</v>
      </c>
      <c r="K31" s="14">
        <v>-116</v>
      </c>
      <c r="L31" s="14">
        <v>254</v>
      </c>
      <c r="M31" s="14">
        <v>-506</v>
      </c>
      <c r="N31" s="14">
        <v>83</v>
      </c>
      <c r="O31" s="14">
        <v>196</v>
      </c>
      <c r="P31" s="14">
        <v>7</v>
      </c>
      <c r="Q31" s="14">
        <v>-721</v>
      </c>
      <c r="R31" s="14">
        <v>-37</v>
      </c>
      <c r="S31" s="14">
        <v>-847</v>
      </c>
      <c r="T31" s="14">
        <v>12</v>
      </c>
      <c r="U31" s="14">
        <v>584</v>
      </c>
      <c r="V31" s="14">
        <v>-128</v>
      </c>
      <c r="W31" s="14">
        <v>-106</v>
      </c>
      <c r="X31" s="14">
        <v>216</v>
      </c>
      <c r="Y31" s="14">
        <v>59</v>
      </c>
      <c r="Z31" s="14">
        <v>-188</v>
      </c>
      <c r="AA31" s="14">
        <v>69</v>
      </c>
      <c r="AB31" s="14">
        <v>17</v>
      </c>
      <c r="AC31" s="14">
        <v>134</v>
      </c>
      <c r="AD31" s="14">
        <v>701</v>
      </c>
      <c r="AE31" s="14">
        <v>27</v>
      </c>
      <c r="AF31" s="14">
        <v>64</v>
      </c>
      <c r="AG31" s="14">
        <v>158</v>
      </c>
      <c r="AI31" s="14">
        <v>-251</v>
      </c>
      <c r="AJ31" s="14">
        <v>629</v>
      </c>
      <c r="AK31" s="14">
        <v>606</v>
      </c>
      <c r="AL31" s="14">
        <v>79</v>
      </c>
      <c r="AM31" s="14">
        <v>367</v>
      </c>
      <c r="AN31" s="14">
        <v>16</v>
      </c>
      <c r="AO31" s="14">
        <v>-25</v>
      </c>
      <c r="AP31" s="14">
        <v>-222</v>
      </c>
      <c r="AQ31" s="14">
        <v>-902</v>
      </c>
      <c r="AR31" s="14">
        <v>355</v>
      </c>
      <c r="AS31" s="14">
        <v>-218</v>
      </c>
      <c r="AT31" s="14">
        <v>-76</v>
      </c>
      <c r="AU31" s="14">
        <v>913</v>
      </c>
      <c r="AV31" s="14">
        <v>129</v>
      </c>
      <c r="AW31" s="14">
        <v>3</v>
      </c>
      <c r="AX31" s="14">
        <v>4</v>
      </c>
      <c r="AY31" s="14">
        <v>-87</v>
      </c>
      <c r="AZ31" s="14">
        <v>622</v>
      </c>
      <c r="BA31" s="14">
        <v>210</v>
      </c>
      <c r="BB31" s="14">
        <v>67</v>
      </c>
      <c r="BC31" s="14">
        <v>-51090</v>
      </c>
      <c r="BD31" s="14">
        <v>-495</v>
      </c>
      <c r="BE31" s="14">
        <v>-136</v>
      </c>
    </row>
    <row r="32" spans="1:57" x14ac:dyDescent="0.25">
      <c r="A32" s="14">
        <v>72</v>
      </c>
      <c r="B32" s="14">
        <v>52999</v>
      </c>
      <c r="C32" s="14">
        <v>37</v>
      </c>
      <c r="E32" s="14">
        <v>207</v>
      </c>
      <c r="F32" s="14">
        <v>503</v>
      </c>
      <c r="G32" s="14">
        <v>7253</v>
      </c>
      <c r="H32" s="14">
        <v>4097</v>
      </c>
      <c r="I32" s="14">
        <v>225</v>
      </c>
      <c r="J32" s="14">
        <v>116</v>
      </c>
      <c r="K32" s="14">
        <v>-156</v>
      </c>
      <c r="L32" s="14">
        <v>120</v>
      </c>
      <c r="M32" s="14">
        <v>-474</v>
      </c>
      <c r="N32" s="14">
        <v>101</v>
      </c>
      <c r="O32" s="14">
        <v>192</v>
      </c>
      <c r="P32" s="14">
        <v>-170</v>
      </c>
      <c r="Q32" s="14">
        <v>-198</v>
      </c>
      <c r="R32" s="14">
        <v>372</v>
      </c>
      <c r="S32" s="14">
        <v>-100</v>
      </c>
      <c r="T32" s="14">
        <v>24</v>
      </c>
      <c r="U32" s="14">
        <v>5</v>
      </c>
      <c r="V32" s="14">
        <v>32</v>
      </c>
      <c r="W32" s="14">
        <v>-43</v>
      </c>
      <c r="X32" s="14">
        <v>235</v>
      </c>
      <c r="Y32" s="14">
        <v>-20</v>
      </c>
      <c r="Z32" s="14">
        <v>30</v>
      </c>
      <c r="AA32" s="14">
        <v>154</v>
      </c>
      <c r="AB32" s="14">
        <v>40</v>
      </c>
      <c r="AC32" s="14">
        <v>91</v>
      </c>
      <c r="AD32" s="14">
        <v>620</v>
      </c>
      <c r="AE32" s="14">
        <v>-463</v>
      </c>
      <c r="AF32" s="14">
        <v>300</v>
      </c>
      <c r="AG32" s="14">
        <v>71</v>
      </c>
      <c r="AI32" s="14">
        <v>926</v>
      </c>
      <c r="AJ32" s="14">
        <v>981</v>
      </c>
      <c r="AK32" s="14">
        <v>713</v>
      </c>
      <c r="AL32" s="14">
        <v>83</v>
      </c>
      <c r="AM32" s="14">
        <v>178</v>
      </c>
      <c r="AN32" s="14">
        <v>6</v>
      </c>
      <c r="AO32" s="14">
        <v>-33</v>
      </c>
      <c r="AP32" s="14">
        <v>-125</v>
      </c>
      <c r="AQ32" s="14">
        <v>-344</v>
      </c>
      <c r="AR32" s="14">
        <v>717</v>
      </c>
      <c r="AS32" s="14">
        <v>-655</v>
      </c>
      <c r="AT32" s="14">
        <v>-7</v>
      </c>
      <c r="AU32" s="14">
        <v>200</v>
      </c>
      <c r="AV32" s="14">
        <v>-722</v>
      </c>
      <c r="AW32" s="14">
        <v>303</v>
      </c>
      <c r="AX32" s="14">
        <v>702</v>
      </c>
      <c r="AY32" s="14">
        <v>-1</v>
      </c>
      <c r="AZ32" s="14">
        <v>-162</v>
      </c>
      <c r="BA32" s="14">
        <v>-477</v>
      </c>
      <c r="BB32" s="14">
        <v>42</v>
      </c>
      <c r="BC32" s="14">
        <v>-35</v>
      </c>
      <c r="BD32" s="14">
        <v>-2039</v>
      </c>
      <c r="BE32" s="14">
        <v>276</v>
      </c>
    </row>
    <row r="33" spans="1:57" x14ac:dyDescent="0.25">
      <c r="A33" s="14">
        <v>76</v>
      </c>
      <c r="B33" s="14">
        <v>-1251</v>
      </c>
      <c r="C33" s="14">
        <v>-7</v>
      </c>
      <c r="E33" s="14">
        <v>11</v>
      </c>
      <c r="F33" s="14">
        <v>1405</v>
      </c>
      <c r="G33" s="14">
        <v>-2697</v>
      </c>
      <c r="H33" s="14">
        <v>2487</v>
      </c>
      <c r="I33" s="14">
        <v>395</v>
      </c>
      <c r="J33" s="14">
        <v>111</v>
      </c>
      <c r="K33" s="14">
        <v>772</v>
      </c>
      <c r="L33" s="14">
        <v>117</v>
      </c>
      <c r="M33" s="14">
        <v>-478</v>
      </c>
      <c r="N33" s="14">
        <v>64</v>
      </c>
      <c r="O33" s="14">
        <v>216</v>
      </c>
      <c r="P33" s="14">
        <v>481</v>
      </c>
      <c r="Q33" s="14">
        <v>14</v>
      </c>
      <c r="R33" s="14">
        <v>114</v>
      </c>
      <c r="S33" s="14">
        <v>105</v>
      </c>
      <c r="T33" s="14">
        <v>16</v>
      </c>
      <c r="U33" s="14">
        <v>403</v>
      </c>
      <c r="V33" s="14">
        <v>-618</v>
      </c>
      <c r="W33" s="14">
        <v>247</v>
      </c>
      <c r="X33" s="14">
        <v>230</v>
      </c>
      <c r="Y33" s="14">
        <v>1</v>
      </c>
      <c r="Z33" s="14">
        <v>169</v>
      </c>
      <c r="AA33" s="14">
        <v>276</v>
      </c>
      <c r="AB33" s="14">
        <v>252</v>
      </c>
      <c r="AC33" s="14">
        <v>6</v>
      </c>
      <c r="AD33" s="14">
        <v>-415</v>
      </c>
      <c r="AE33" s="14">
        <v>-482</v>
      </c>
      <c r="AF33" s="14">
        <v>569</v>
      </c>
      <c r="AG33" s="14">
        <v>-669</v>
      </c>
      <c r="AI33" s="14">
        <v>-41</v>
      </c>
      <c r="AJ33" s="14">
        <v>-103</v>
      </c>
      <c r="AK33" s="14">
        <v>972</v>
      </c>
      <c r="AL33" s="14">
        <v>93</v>
      </c>
      <c r="AM33" s="14">
        <v>746</v>
      </c>
      <c r="AN33" s="14">
        <v>-19</v>
      </c>
      <c r="AO33" s="14">
        <v>358</v>
      </c>
      <c r="AP33" s="14">
        <v>-178</v>
      </c>
      <c r="AQ33" s="14">
        <v>158</v>
      </c>
      <c r="AR33" s="14">
        <v>339</v>
      </c>
      <c r="AS33" s="14">
        <v>995</v>
      </c>
      <c r="AT33" s="14">
        <v>-33</v>
      </c>
      <c r="AU33" s="14">
        <v>-650</v>
      </c>
      <c r="AV33" s="14">
        <v>452</v>
      </c>
      <c r="AW33" s="14">
        <v>-226</v>
      </c>
      <c r="AX33" s="14">
        <v>-253</v>
      </c>
      <c r="AY33" s="14">
        <v>-4</v>
      </c>
      <c r="AZ33" s="14">
        <v>192</v>
      </c>
      <c r="BA33" s="14">
        <v>147</v>
      </c>
      <c r="BB33" s="14">
        <v>36</v>
      </c>
      <c r="BC33" s="14">
        <v>159</v>
      </c>
      <c r="BD33" s="14">
        <v>-359</v>
      </c>
      <c r="BE33" s="14">
        <v>392</v>
      </c>
    </row>
    <row r="34" spans="1:57" x14ac:dyDescent="0.25">
      <c r="A34" s="14">
        <v>83</v>
      </c>
      <c r="B34" s="14">
        <v>364</v>
      </c>
      <c r="C34" s="14">
        <v>63</v>
      </c>
      <c r="E34" s="14">
        <v>10</v>
      </c>
      <c r="F34" s="14">
        <v>83</v>
      </c>
      <c r="G34" s="14">
        <v>-371</v>
      </c>
      <c r="H34" s="14">
        <v>3985</v>
      </c>
      <c r="I34" s="14">
        <v>125</v>
      </c>
      <c r="J34" s="14">
        <v>-329</v>
      </c>
      <c r="K34" s="14">
        <v>116</v>
      </c>
      <c r="L34" s="14">
        <v>8</v>
      </c>
      <c r="M34" s="14">
        <v>178</v>
      </c>
      <c r="N34" s="14">
        <v>36</v>
      </c>
      <c r="O34" s="14">
        <v>244</v>
      </c>
      <c r="P34" s="14">
        <v>364</v>
      </c>
      <c r="Q34" s="14">
        <v>199</v>
      </c>
      <c r="R34" s="14">
        <v>-452</v>
      </c>
      <c r="S34" s="14">
        <v>-547</v>
      </c>
      <c r="T34" s="14">
        <v>2</v>
      </c>
      <c r="U34" s="14">
        <v>13</v>
      </c>
      <c r="V34" s="14">
        <v>586</v>
      </c>
      <c r="W34" s="14">
        <v>46</v>
      </c>
      <c r="X34" s="14">
        <v>-126</v>
      </c>
      <c r="Y34" s="14">
        <v>22</v>
      </c>
      <c r="Z34" s="14">
        <v>1</v>
      </c>
      <c r="AA34" s="14">
        <v>46</v>
      </c>
      <c r="AB34" s="14">
        <v>220</v>
      </c>
      <c r="AC34" s="14">
        <v>11</v>
      </c>
      <c r="AD34" s="14">
        <v>812</v>
      </c>
      <c r="AE34" s="14">
        <v>-28</v>
      </c>
      <c r="AF34" s="14">
        <v>88</v>
      </c>
      <c r="AG34" s="14">
        <v>55</v>
      </c>
      <c r="AI34" s="14">
        <v>-312</v>
      </c>
      <c r="AJ34" s="14">
        <v>-943</v>
      </c>
      <c r="AK34" s="14">
        <v>890</v>
      </c>
      <c r="AL34" s="14">
        <v>195</v>
      </c>
      <c r="AM34" s="14">
        <v>293</v>
      </c>
      <c r="AN34" s="14">
        <v>-154</v>
      </c>
      <c r="AO34" s="14">
        <v>-26</v>
      </c>
      <c r="AP34" s="14">
        <v>-773</v>
      </c>
      <c r="AQ34" s="14">
        <v>-765</v>
      </c>
      <c r="AR34" s="14">
        <v>338</v>
      </c>
      <c r="AS34" s="14">
        <v>21</v>
      </c>
      <c r="AT34" s="14">
        <v>-39</v>
      </c>
      <c r="AU34" s="14">
        <v>268</v>
      </c>
      <c r="AV34" s="14">
        <v>653</v>
      </c>
      <c r="AW34" s="14">
        <v>267</v>
      </c>
      <c r="AX34" s="14">
        <v>413</v>
      </c>
      <c r="AY34" s="14">
        <v>178</v>
      </c>
      <c r="AZ34" s="14">
        <v>-532</v>
      </c>
      <c r="BA34" s="14">
        <v>243</v>
      </c>
      <c r="BB34" s="14">
        <v>-252</v>
      </c>
      <c r="BC34" s="14">
        <v>-7</v>
      </c>
      <c r="BD34" s="14">
        <v>-319</v>
      </c>
      <c r="BE34" s="14">
        <v>525</v>
      </c>
    </row>
    <row r="35" spans="1:57" x14ac:dyDescent="0.25">
      <c r="A35" s="14">
        <v>95</v>
      </c>
      <c r="B35" s="14">
        <v>44792</v>
      </c>
      <c r="C35" s="14">
        <v>88</v>
      </c>
      <c r="E35" s="14">
        <v>56</v>
      </c>
      <c r="F35" s="14">
        <v>584</v>
      </c>
      <c r="G35" s="14">
        <v>338</v>
      </c>
      <c r="H35" s="14">
        <v>4541</v>
      </c>
      <c r="I35" s="14">
        <v>442</v>
      </c>
      <c r="J35" s="14">
        <v>920</v>
      </c>
      <c r="K35" s="14">
        <v>239</v>
      </c>
      <c r="L35" s="14">
        <v>117</v>
      </c>
      <c r="M35" s="14">
        <v>178</v>
      </c>
      <c r="N35" s="14">
        <v>1</v>
      </c>
      <c r="O35" s="14">
        <v>186</v>
      </c>
      <c r="P35" s="14">
        <v>-344</v>
      </c>
      <c r="Q35" s="14">
        <v>-253</v>
      </c>
      <c r="R35" s="14">
        <v>252</v>
      </c>
      <c r="S35" s="14">
        <v>-56</v>
      </c>
      <c r="T35" s="14">
        <v>66</v>
      </c>
      <c r="V35" s="14">
        <v>-682</v>
      </c>
      <c r="W35" s="14">
        <v>66</v>
      </c>
      <c r="X35" s="14">
        <v>-82</v>
      </c>
      <c r="Y35" s="14">
        <v>11</v>
      </c>
      <c r="Z35" s="14">
        <v>-23</v>
      </c>
      <c r="AA35" s="14">
        <v>114</v>
      </c>
      <c r="AB35" s="14">
        <v>50</v>
      </c>
      <c r="AC35" s="14">
        <v>91</v>
      </c>
      <c r="AD35" s="14">
        <v>-340</v>
      </c>
      <c r="AE35" s="14">
        <v>485</v>
      </c>
      <c r="AF35" s="14">
        <v>75</v>
      </c>
      <c r="AG35" s="14">
        <v>56</v>
      </c>
      <c r="AI35" s="14">
        <v>-130</v>
      </c>
      <c r="AJ35" s="14">
        <v>-190</v>
      </c>
      <c r="AK35" s="14">
        <v>551</v>
      </c>
      <c r="AL35" s="14">
        <v>32</v>
      </c>
      <c r="AM35" s="14">
        <v>510</v>
      </c>
      <c r="AN35" s="14">
        <v>36</v>
      </c>
      <c r="AO35" s="14">
        <v>216</v>
      </c>
      <c r="AP35" s="14">
        <v>-768</v>
      </c>
      <c r="AQ35" s="14">
        <v>-380</v>
      </c>
      <c r="AR35" s="14">
        <v>228</v>
      </c>
      <c r="AS35" s="14">
        <v>4</v>
      </c>
      <c r="AT35" s="14">
        <v>372</v>
      </c>
      <c r="AU35" s="14">
        <v>402</v>
      </c>
      <c r="AV35" s="14">
        <v>131</v>
      </c>
      <c r="AW35" s="14">
        <v>970</v>
      </c>
      <c r="AX35" s="14">
        <v>-122</v>
      </c>
      <c r="AY35" s="14">
        <v>368</v>
      </c>
      <c r="AZ35" s="14">
        <v>297</v>
      </c>
      <c r="BA35" s="14">
        <v>751</v>
      </c>
      <c r="BB35" s="14">
        <v>-1840</v>
      </c>
      <c r="BC35" s="14">
        <v>-22</v>
      </c>
      <c r="BD35" s="14">
        <v>-1021</v>
      </c>
      <c r="BE35" s="14">
        <v>-176</v>
      </c>
    </row>
    <row r="36" spans="1:57" x14ac:dyDescent="0.25">
      <c r="A36" s="14">
        <v>110</v>
      </c>
      <c r="B36" s="14">
        <v>44917</v>
      </c>
      <c r="C36" s="14">
        <v>-17</v>
      </c>
      <c r="E36" s="14">
        <v>489</v>
      </c>
      <c r="F36" s="14">
        <v>216</v>
      </c>
      <c r="G36" s="14">
        <v>-115</v>
      </c>
      <c r="H36" s="14">
        <v>816</v>
      </c>
      <c r="I36" s="14">
        <v>-113</v>
      </c>
      <c r="J36" s="14">
        <v>178</v>
      </c>
      <c r="K36" s="14">
        <v>180</v>
      </c>
      <c r="L36" s="14">
        <v>849</v>
      </c>
      <c r="M36" s="14">
        <v>177</v>
      </c>
      <c r="N36" s="14">
        <v>-135</v>
      </c>
      <c r="O36" s="14">
        <v>119</v>
      </c>
      <c r="P36" s="14">
        <v>55</v>
      </c>
      <c r="Q36" s="14">
        <v>880</v>
      </c>
      <c r="R36" s="14">
        <v>901</v>
      </c>
      <c r="S36" s="14">
        <v>-278</v>
      </c>
      <c r="T36" s="14">
        <v>106</v>
      </c>
      <c r="V36" s="14">
        <v>128</v>
      </c>
      <c r="W36" s="14">
        <v>-1</v>
      </c>
      <c r="X36" s="14">
        <v>-54</v>
      </c>
      <c r="Y36" s="14">
        <v>60</v>
      </c>
      <c r="Z36" s="14">
        <v>-2</v>
      </c>
      <c r="AA36" s="14">
        <v>40</v>
      </c>
      <c r="AB36" s="14">
        <v>33</v>
      </c>
      <c r="AC36" s="14">
        <v>4</v>
      </c>
      <c r="AD36" s="14">
        <v>323</v>
      </c>
      <c r="AE36" s="14">
        <v>-123</v>
      </c>
      <c r="AF36" s="14">
        <v>-37</v>
      </c>
      <c r="AG36" s="14">
        <v>-59</v>
      </c>
      <c r="AI36" s="14">
        <v>-172</v>
      </c>
      <c r="AJ36" s="14">
        <v>-924</v>
      </c>
      <c r="AK36" s="14">
        <v>650</v>
      </c>
      <c r="AL36" s="14">
        <v>27</v>
      </c>
      <c r="AM36" s="14">
        <v>793</v>
      </c>
      <c r="AN36" s="14">
        <v>-1</v>
      </c>
      <c r="AO36" s="14">
        <v>-19</v>
      </c>
      <c r="AP36" s="14">
        <v>-757</v>
      </c>
      <c r="AQ36" s="14">
        <v>525</v>
      </c>
      <c r="AR36" s="14">
        <v>135</v>
      </c>
      <c r="AS36" s="14">
        <v>7</v>
      </c>
      <c r="AT36" s="14">
        <v>261</v>
      </c>
      <c r="AU36" s="14">
        <v>134</v>
      </c>
      <c r="AV36" s="14">
        <v>790</v>
      </c>
      <c r="AW36" s="14">
        <v>134</v>
      </c>
      <c r="AX36" s="14">
        <v>-111</v>
      </c>
      <c r="AY36" s="14">
        <v>105</v>
      </c>
      <c r="AZ36" s="14">
        <v>-3</v>
      </c>
      <c r="BA36" s="14">
        <v>-575</v>
      </c>
      <c r="BB36" s="14">
        <v>-5851</v>
      </c>
      <c r="BC36" s="14">
        <v>-532</v>
      </c>
      <c r="BD36" s="14">
        <v>-210</v>
      </c>
      <c r="BE36" s="14">
        <v>231</v>
      </c>
    </row>
    <row r="37" spans="1:57" x14ac:dyDescent="0.25">
      <c r="A37" s="14">
        <v>96</v>
      </c>
      <c r="B37" s="14">
        <v>360</v>
      </c>
      <c r="C37" s="14">
        <v>90</v>
      </c>
      <c r="E37" s="14">
        <v>381</v>
      </c>
      <c r="F37" s="14">
        <v>392</v>
      </c>
      <c r="G37" s="14">
        <v>-3007</v>
      </c>
      <c r="H37" s="14">
        <v>911</v>
      </c>
      <c r="I37" s="14">
        <v>221</v>
      </c>
      <c r="J37" s="14">
        <v>148</v>
      </c>
      <c r="K37" s="14">
        <v>428</v>
      </c>
      <c r="L37" s="14">
        <v>369</v>
      </c>
      <c r="M37" s="14">
        <v>264</v>
      </c>
      <c r="N37" s="14">
        <v>414</v>
      </c>
      <c r="O37" s="14">
        <v>144</v>
      </c>
      <c r="P37" s="14">
        <v>3</v>
      </c>
      <c r="Q37" s="14">
        <v>121</v>
      </c>
      <c r="S37" s="14">
        <v>490</v>
      </c>
      <c r="T37" s="14">
        <v>90</v>
      </c>
      <c r="V37" s="14">
        <v>-603</v>
      </c>
      <c r="W37" s="14">
        <v>-79</v>
      </c>
      <c r="X37" s="14">
        <v>-87</v>
      </c>
      <c r="Y37" s="14">
        <v>-1</v>
      </c>
      <c r="Z37" s="14">
        <v>-1</v>
      </c>
      <c r="AA37" s="14">
        <v>-7</v>
      </c>
      <c r="AB37" s="14">
        <v>-89</v>
      </c>
      <c r="AC37" s="14">
        <v>37</v>
      </c>
      <c r="AD37" s="14">
        <v>-333</v>
      </c>
      <c r="AE37" s="14">
        <v>924</v>
      </c>
      <c r="AF37" s="14">
        <v>156</v>
      </c>
      <c r="AG37" s="14">
        <v>7</v>
      </c>
      <c r="AI37" s="14">
        <v>-224</v>
      </c>
      <c r="AJ37" s="14">
        <v>-110</v>
      </c>
      <c r="AK37" s="14">
        <v>658</v>
      </c>
      <c r="AL37" s="14">
        <v>137</v>
      </c>
      <c r="AM37" s="14">
        <v>429</v>
      </c>
      <c r="AN37" s="14">
        <v>-7</v>
      </c>
      <c r="AO37" s="14">
        <v>145</v>
      </c>
      <c r="AP37" s="14">
        <v>-391</v>
      </c>
      <c r="AQ37" s="14">
        <v>-710</v>
      </c>
      <c r="AR37" s="14">
        <v>655</v>
      </c>
      <c r="AS37" s="14">
        <v>-9</v>
      </c>
      <c r="AT37" s="14">
        <v>102</v>
      </c>
      <c r="AU37" s="14">
        <v>179</v>
      </c>
      <c r="AV37" s="14">
        <v>765</v>
      </c>
      <c r="AW37" s="14">
        <v>-27</v>
      </c>
      <c r="AX37" s="14">
        <v>644</v>
      </c>
      <c r="AY37" s="14">
        <v>135</v>
      </c>
      <c r="AZ37" s="14">
        <v>-132</v>
      </c>
      <c r="BA37" s="14">
        <v>-502</v>
      </c>
      <c r="BB37" s="14">
        <v>1786</v>
      </c>
      <c r="BC37" s="14">
        <v>-4</v>
      </c>
      <c r="BD37" s="14">
        <v>-185</v>
      </c>
      <c r="BE37" s="14">
        <v>-204</v>
      </c>
    </row>
    <row r="38" spans="1:57" x14ac:dyDescent="0.25">
      <c r="A38" s="14">
        <v>151</v>
      </c>
      <c r="B38" s="14">
        <v>45676</v>
      </c>
      <c r="C38" s="14">
        <v>-3</v>
      </c>
      <c r="E38" s="14">
        <v>-2086</v>
      </c>
      <c r="F38" s="14">
        <v>7771</v>
      </c>
      <c r="G38" s="14">
        <v>-575</v>
      </c>
      <c r="H38" s="14">
        <v>892</v>
      </c>
      <c r="I38" s="14">
        <v>411</v>
      </c>
      <c r="J38" s="14">
        <v>-108</v>
      </c>
      <c r="K38" s="14">
        <v>114</v>
      </c>
      <c r="L38" s="14">
        <v>114</v>
      </c>
      <c r="M38" s="14">
        <v>342</v>
      </c>
      <c r="N38" s="14">
        <v>99</v>
      </c>
      <c r="O38" s="14">
        <v>190</v>
      </c>
      <c r="P38" s="14">
        <v>332</v>
      </c>
      <c r="Q38" s="14">
        <v>17</v>
      </c>
      <c r="S38" s="14">
        <v>620</v>
      </c>
      <c r="T38" s="14">
        <v>95</v>
      </c>
      <c r="V38" s="14">
        <v>-51</v>
      </c>
      <c r="W38" s="14">
        <v>98</v>
      </c>
      <c r="X38" s="14">
        <v>-145</v>
      </c>
      <c r="Y38" s="14">
        <v>-21</v>
      </c>
      <c r="Z38" s="14">
        <v>6</v>
      </c>
      <c r="AA38" s="14">
        <v>-131</v>
      </c>
      <c r="AB38" s="14">
        <v>412</v>
      </c>
      <c r="AC38" s="14">
        <v>91</v>
      </c>
      <c r="AD38" s="14">
        <v>206</v>
      </c>
      <c r="AE38" s="14">
        <v>26</v>
      </c>
      <c r="AF38" s="14">
        <v>37</v>
      </c>
      <c r="AG38" s="14">
        <v>-124</v>
      </c>
      <c r="AI38" s="14">
        <v>838</v>
      </c>
      <c r="AJ38" s="14">
        <v>-149</v>
      </c>
      <c r="AK38" s="14">
        <v>470</v>
      </c>
      <c r="AL38" s="14">
        <v>151</v>
      </c>
      <c r="AM38" s="14">
        <v>-307</v>
      </c>
      <c r="AN38" s="14">
        <v>-191</v>
      </c>
      <c r="AO38" s="14">
        <v>256</v>
      </c>
      <c r="AP38" s="14">
        <v>-305</v>
      </c>
      <c r="AQ38" s="14">
        <v>-348</v>
      </c>
      <c r="AR38" s="14">
        <v>654</v>
      </c>
      <c r="AS38" s="14">
        <v>17</v>
      </c>
      <c r="AT38" s="14">
        <v>254</v>
      </c>
      <c r="AU38" s="14">
        <v>342</v>
      </c>
      <c r="AV38" s="14">
        <v>140</v>
      </c>
      <c r="AW38" s="14">
        <v>290</v>
      </c>
      <c r="AX38" s="14">
        <v>-565</v>
      </c>
      <c r="AY38" s="14">
        <v>195</v>
      </c>
      <c r="AZ38" s="14">
        <v>322</v>
      </c>
      <c r="BA38" s="14">
        <v>128</v>
      </c>
      <c r="BB38" s="14">
        <v>263</v>
      </c>
      <c r="BC38" s="14">
        <v>-2</v>
      </c>
      <c r="BD38" s="14">
        <v>337</v>
      </c>
      <c r="BE38" s="14">
        <v>419</v>
      </c>
    </row>
    <row r="39" spans="1:57" x14ac:dyDescent="0.25">
      <c r="A39" s="14">
        <v>178</v>
      </c>
      <c r="B39" s="14">
        <v>48554</v>
      </c>
      <c r="C39" s="14">
        <v>79</v>
      </c>
      <c r="E39" s="14">
        <v>-776</v>
      </c>
      <c r="F39" s="14">
        <v>7789</v>
      </c>
      <c r="G39" s="14">
        <v>533</v>
      </c>
      <c r="H39" s="14">
        <v>808</v>
      </c>
      <c r="I39" s="14">
        <v>151</v>
      </c>
      <c r="J39" s="14">
        <v>841</v>
      </c>
      <c r="K39" s="14">
        <v>896</v>
      </c>
      <c r="L39" s="14">
        <v>313</v>
      </c>
      <c r="M39" s="14">
        <v>313</v>
      </c>
      <c r="N39" s="14">
        <v>61</v>
      </c>
      <c r="O39" s="14">
        <v>167</v>
      </c>
      <c r="P39" s="14">
        <v>472</v>
      </c>
      <c r="Q39" s="14">
        <v>227</v>
      </c>
      <c r="S39" s="14">
        <v>687</v>
      </c>
      <c r="T39" s="14">
        <v>113</v>
      </c>
      <c r="V39" s="14">
        <v>-343</v>
      </c>
      <c r="W39" s="14">
        <v>197</v>
      </c>
      <c r="X39" s="14">
        <v>24</v>
      </c>
      <c r="Y39" s="14">
        <v>6</v>
      </c>
      <c r="Z39" s="14">
        <v>-63</v>
      </c>
      <c r="AA39" s="14">
        <v>484</v>
      </c>
      <c r="AB39" s="14">
        <v>-916</v>
      </c>
      <c r="AC39" s="14">
        <v>53</v>
      </c>
      <c r="AD39" s="14">
        <v>-331</v>
      </c>
      <c r="AE39" s="14">
        <v>-895</v>
      </c>
      <c r="AF39" s="14">
        <v>93</v>
      </c>
      <c r="AG39" s="14">
        <v>-401</v>
      </c>
      <c r="AI39" s="14">
        <v>-103</v>
      </c>
      <c r="AJ39" s="14">
        <v>-147</v>
      </c>
      <c r="AK39" s="14">
        <v>928</v>
      </c>
      <c r="AL39" s="14">
        <v>9</v>
      </c>
      <c r="AM39" s="14">
        <v>754</v>
      </c>
      <c r="AN39" s="14">
        <v>41</v>
      </c>
      <c r="AO39" s="14">
        <v>230</v>
      </c>
      <c r="AP39" s="14">
        <v>-438</v>
      </c>
      <c r="AQ39" s="14">
        <v>255</v>
      </c>
      <c r="AR39" s="14">
        <v>372</v>
      </c>
      <c r="AS39" s="14">
        <v>-1</v>
      </c>
      <c r="AT39" s="14">
        <v>-28</v>
      </c>
      <c r="AU39" s="14">
        <v>-238</v>
      </c>
      <c r="AV39" s="14">
        <v>150</v>
      </c>
      <c r="AW39" s="14">
        <v>-164</v>
      </c>
      <c r="AX39" s="14">
        <v>-664</v>
      </c>
      <c r="AY39" s="14">
        <v>494</v>
      </c>
      <c r="AZ39" s="14">
        <v>146</v>
      </c>
      <c r="BA39" s="14">
        <v>198</v>
      </c>
      <c r="BB39" s="14">
        <v>85</v>
      </c>
      <c r="BC39" s="14">
        <v>-642</v>
      </c>
      <c r="BD39" s="14">
        <v>-339</v>
      </c>
      <c r="BE39" s="14">
        <v>778</v>
      </c>
    </row>
    <row r="40" spans="1:57" x14ac:dyDescent="0.25">
      <c r="A40" s="14">
        <v>239</v>
      </c>
      <c r="B40" s="14">
        <v>329</v>
      </c>
      <c r="C40" s="14">
        <v>59</v>
      </c>
      <c r="E40" s="14">
        <v>-1401</v>
      </c>
      <c r="F40" s="14">
        <v>7863</v>
      </c>
      <c r="G40" s="14">
        <v>-1176</v>
      </c>
      <c r="H40" s="14">
        <v>798</v>
      </c>
      <c r="I40" s="14">
        <v>468</v>
      </c>
      <c r="J40" s="14">
        <v>920</v>
      </c>
      <c r="K40" s="14">
        <v>-107</v>
      </c>
      <c r="L40" s="14">
        <v>-419</v>
      </c>
      <c r="M40" s="14">
        <v>347</v>
      </c>
      <c r="N40" s="14">
        <v>39</v>
      </c>
      <c r="O40" s="14">
        <v>147</v>
      </c>
      <c r="P40" s="14">
        <v>343</v>
      </c>
      <c r="Q40" s="14">
        <v>-139</v>
      </c>
      <c r="S40" s="14">
        <v>390</v>
      </c>
      <c r="T40" s="14">
        <v>85</v>
      </c>
      <c r="V40" s="14">
        <v>348</v>
      </c>
      <c r="W40" s="14">
        <v>-9</v>
      </c>
      <c r="X40" s="14">
        <v>-112</v>
      </c>
      <c r="Y40" s="14">
        <v>-2</v>
      </c>
      <c r="Z40" s="14">
        <v>4</v>
      </c>
      <c r="AA40" s="14">
        <v>412</v>
      </c>
      <c r="AB40" s="14">
        <v>119</v>
      </c>
      <c r="AC40" s="14">
        <v>-219</v>
      </c>
      <c r="AD40" s="14">
        <v>-770</v>
      </c>
      <c r="AE40" s="14">
        <v>-501</v>
      </c>
      <c r="AF40" s="14">
        <v>326</v>
      </c>
      <c r="AG40" s="14">
        <v>-111</v>
      </c>
      <c r="AI40" s="14">
        <v>-65</v>
      </c>
      <c r="AJ40" s="14">
        <v>-165</v>
      </c>
      <c r="AK40" s="14">
        <v>370</v>
      </c>
      <c r="AL40" s="14">
        <v>130</v>
      </c>
      <c r="AM40" s="14">
        <v>499</v>
      </c>
      <c r="AN40" s="14">
        <v>4</v>
      </c>
      <c r="AO40" s="14">
        <v>278</v>
      </c>
      <c r="AP40" s="14">
        <v>-341</v>
      </c>
      <c r="AQ40" s="14">
        <v>679</v>
      </c>
      <c r="AR40" s="14">
        <v>182</v>
      </c>
      <c r="AS40" s="14">
        <v>52</v>
      </c>
      <c r="AT40" s="14">
        <v>185</v>
      </c>
      <c r="AU40" s="14">
        <v>721</v>
      </c>
      <c r="AV40" s="14">
        <v>232</v>
      </c>
      <c r="AW40" s="14">
        <v>-379</v>
      </c>
      <c r="AX40" s="14">
        <v>-659</v>
      </c>
      <c r="AY40" s="14">
        <v>546</v>
      </c>
      <c r="AZ40" s="14">
        <v>280</v>
      </c>
      <c r="BA40" s="14">
        <v>-133</v>
      </c>
      <c r="BB40" s="14">
        <v>66</v>
      </c>
      <c r="BC40" s="14">
        <v>42</v>
      </c>
      <c r="BD40" s="14">
        <v>-304</v>
      </c>
      <c r="BE40" s="14">
        <v>159</v>
      </c>
    </row>
    <row r="41" spans="1:57" x14ac:dyDescent="0.25">
      <c r="A41" s="14">
        <v>192</v>
      </c>
      <c r="B41" s="14">
        <v>-1197</v>
      </c>
      <c r="C41" s="14">
        <v>17</v>
      </c>
      <c r="E41" s="14">
        <v>-1342</v>
      </c>
      <c r="F41" s="14">
        <v>7868</v>
      </c>
      <c r="G41" s="14">
        <v>-1335</v>
      </c>
      <c r="H41" s="14">
        <v>870</v>
      </c>
      <c r="I41" s="14">
        <v>583</v>
      </c>
      <c r="J41" s="14">
        <v>114</v>
      </c>
      <c r="K41" s="14">
        <v>-659</v>
      </c>
      <c r="L41" s="14">
        <v>-722</v>
      </c>
      <c r="M41" s="14">
        <v>153</v>
      </c>
      <c r="N41" s="14">
        <v>86</v>
      </c>
      <c r="O41" s="14">
        <v>162</v>
      </c>
      <c r="P41" s="14">
        <v>634</v>
      </c>
      <c r="Q41" s="14">
        <v>-135</v>
      </c>
      <c r="S41" s="14">
        <v>-148</v>
      </c>
      <c r="T41" s="14">
        <v>85</v>
      </c>
      <c r="V41" s="14">
        <v>748</v>
      </c>
      <c r="W41" s="14">
        <v>2</v>
      </c>
      <c r="X41" s="14">
        <v>-92</v>
      </c>
      <c r="Y41" s="14">
        <v>27</v>
      </c>
      <c r="Z41" s="14">
        <v>2</v>
      </c>
      <c r="AA41" s="14">
        <v>-13</v>
      </c>
      <c r="AB41" s="14">
        <v>155</v>
      </c>
      <c r="AC41" s="14">
        <v>159</v>
      </c>
      <c r="AD41" s="14">
        <v>226</v>
      </c>
      <c r="AE41" s="14">
        <v>-361</v>
      </c>
      <c r="AF41" s="14">
        <v>576</v>
      </c>
      <c r="AG41" s="14">
        <v>484</v>
      </c>
      <c r="AI41" s="14">
        <v>680</v>
      </c>
      <c r="AJ41" s="14">
        <v>114</v>
      </c>
      <c r="AK41" s="14">
        <v>876</v>
      </c>
      <c r="AL41" s="14">
        <v>75</v>
      </c>
      <c r="AM41" s="14">
        <v>764</v>
      </c>
      <c r="AN41" s="14">
        <v>24</v>
      </c>
      <c r="AO41" s="14">
        <v>248</v>
      </c>
      <c r="AP41" s="14">
        <v>-119</v>
      </c>
      <c r="AQ41" s="14">
        <v>-326</v>
      </c>
      <c r="AR41" s="14">
        <v>109</v>
      </c>
      <c r="AS41" s="14">
        <v>159</v>
      </c>
      <c r="AT41" s="14">
        <v>200</v>
      </c>
      <c r="AU41" s="14">
        <v>98</v>
      </c>
      <c r="AV41" s="14">
        <v>-482</v>
      </c>
      <c r="AW41" s="14">
        <v>149</v>
      </c>
      <c r="AX41" s="14">
        <v>-149</v>
      </c>
      <c r="AY41" s="14">
        <v>-270</v>
      </c>
      <c r="AZ41" s="14">
        <v>-123</v>
      </c>
      <c r="BA41" s="14">
        <v>-35</v>
      </c>
      <c r="BB41" s="14">
        <v>45</v>
      </c>
      <c r="BC41" s="14">
        <v>-344</v>
      </c>
      <c r="BD41" s="14">
        <v>2045</v>
      </c>
      <c r="BE41" s="14">
        <v>857</v>
      </c>
    </row>
    <row r="42" spans="1:57" x14ac:dyDescent="0.25">
      <c r="A42" s="14">
        <v>123</v>
      </c>
      <c r="B42" s="14">
        <v>43494</v>
      </c>
      <c r="C42" s="14">
        <v>69</v>
      </c>
      <c r="E42" s="14">
        <v>389</v>
      </c>
      <c r="F42" s="14">
        <v>2229</v>
      </c>
      <c r="G42" s="14">
        <v>316</v>
      </c>
      <c r="H42" s="14">
        <v>765</v>
      </c>
      <c r="I42" s="14">
        <v>526</v>
      </c>
      <c r="J42" s="14">
        <v>115</v>
      </c>
      <c r="K42" s="14">
        <v>253</v>
      </c>
      <c r="L42" s="14">
        <v>229</v>
      </c>
      <c r="M42" s="14">
        <v>172</v>
      </c>
      <c r="N42" s="14">
        <v>-274</v>
      </c>
      <c r="O42" s="14">
        <v>155</v>
      </c>
      <c r="P42" s="14">
        <v>-19</v>
      </c>
      <c r="Q42" s="14">
        <v>-180</v>
      </c>
      <c r="S42" s="14">
        <v>140</v>
      </c>
      <c r="T42" s="14">
        <v>81</v>
      </c>
      <c r="V42" s="14">
        <v>-748</v>
      </c>
      <c r="W42" s="14">
        <v>-169</v>
      </c>
      <c r="X42" s="14">
        <v>82</v>
      </c>
      <c r="Y42" s="14">
        <v>61</v>
      </c>
      <c r="Z42" s="14">
        <v>-3</v>
      </c>
      <c r="AA42" s="14">
        <v>-98</v>
      </c>
      <c r="AB42" s="14">
        <v>326</v>
      </c>
      <c r="AC42" s="14">
        <v>212</v>
      </c>
      <c r="AD42" s="14">
        <v>-16</v>
      </c>
      <c r="AE42" s="14">
        <v>-883</v>
      </c>
      <c r="AF42" s="14">
        <v>-19</v>
      </c>
      <c r="AG42" s="14">
        <v>935</v>
      </c>
      <c r="AI42" s="14">
        <v>-84</v>
      </c>
      <c r="AJ42" s="14">
        <v>-166</v>
      </c>
      <c r="AK42" s="14">
        <v>630</v>
      </c>
      <c r="AL42" s="14">
        <v>9</v>
      </c>
      <c r="AM42" s="14">
        <v>-257</v>
      </c>
      <c r="AN42" s="14">
        <v>-44</v>
      </c>
      <c r="AO42" s="14">
        <v>437</v>
      </c>
      <c r="AP42" s="14">
        <v>-860</v>
      </c>
      <c r="AQ42" s="14">
        <v>494</v>
      </c>
      <c r="AR42" s="14">
        <v>-281</v>
      </c>
      <c r="AS42" s="14">
        <v>-10</v>
      </c>
      <c r="AT42" s="14">
        <v>949</v>
      </c>
      <c r="AU42" s="14">
        <v>-19</v>
      </c>
      <c r="AV42" s="14">
        <v>-114</v>
      </c>
      <c r="AW42" s="14">
        <v>140</v>
      </c>
      <c r="AX42" s="14">
        <v>-664</v>
      </c>
      <c r="AY42" s="14">
        <v>336</v>
      </c>
      <c r="AZ42" s="14">
        <v>222</v>
      </c>
      <c r="BA42" s="14">
        <v>-333</v>
      </c>
      <c r="BB42" s="14">
        <v>37</v>
      </c>
      <c r="BC42" s="14">
        <v>-3545</v>
      </c>
      <c r="BD42" s="14">
        <v>154</v>
      </c>
      <c r="BE42" s="14">
        <v>146</v>
      </c>
    </row>
    <row r="43" spans="1:57" x14ac:dyDescent="0.25">
      <c r="A43" s="14">
        <v>114</v>
      </c>
      <c r="B43" s="14">
        <v>43654</v>
      </c>
      <c r="C43" s="14">
        <v>106</v>
      </c>
      <c r="E43" s="14">
        <v>83</v>
      </c>
      <c r="F43" s="14">
        <v>638</v>
      </c>
      <c r="G43" s="14">
        <v>102</v>
      </c>
      <c r="H43" s="14">
        <v>841</v>
      </c>
      <c r="I43" s="14">
        <v>636</v>
      </c>
      <c r="J43" s="14">
        <v>116</v>
      </c>
      <c r="K43" s="14">
        <v>-103</v>
      </c>
      <c r="L43" s="14">
        <v>197</v>
      </c>
      <c r="M43" s="14">
        <v>100</v>
      </c>
      <c r="N43" s="14">
        <v>413</v>
      </c>
      <c r="O43" s="14">
        <v>159</v>
      </c>
      <c r="P43" s="14">
        <v>12</v>
      </c>
      <c r="Q43" s="14">
        <v>4</v>
      </c>
      <c r="S43" s="14">
        <v>-515</v>
      </c>
      <c r="T43" s="14">
        <v>86</v>
      </c>
      <c r="V43" s="14">
        <v>436</v>
      </c>
      <c r="W43" s="14">
        <v>-55</v>
      </c>
      <c r="X43" s="14">
        <v>126</v>
      </c>
      <c r="Y43" s="14">
        <v>-9</v>
      </c>
      <c r="Z43" s="14">
        <v>-7</v>
      </c>
      <c r="AA43" s="14">
        <v>-489</v>
      </c>
      <c r="AB43" s="14">
        <v>310</v>
      </c>
      <c r="AC43" s="14">
        <v>251</v>
      </c>
      <c r="AD43" s="14">
        <v>-3</v>
      </c>
      <c r="AE43" s="14">
        <v>-513</v>
      </c>
      <c r="AF43" s="14">
        <v>584</v>
      </c>
      <c r="AG43" s="14">
        <v>498</v>
      </c>
      <c r="AI43" s="14">
        <v>-62</v>
      </c>
      <c r="AJ43" s="14">
        <v>318</v>
      </c>
      <c r="AK43" s="14">
        <v>576</v>
      </c>
      <c r="AL43" s="14">
        <v>80</v>
      </c>
      <c r="AM43" s="14">
        <v>757</v>
      </c>
      <c r="AN43" s="14">
        <v>-26</v>
      </c>
      <c r="AO43" s="14">
        <v>591</v>
      </c>
      <c r="AP43" s="14">
        <v>-404</v>
      </c>
      <c r="AQ43" s="14">
        <v>380</v>
      </c>
      <c r="AR43" s="14">
        <v>355</v>
      </c>
      <c r="AS43" s="14">
        <v>-99</v>
      </c>
      <c r="AT43" s="14">
        <v>-59</v>
      </c>
      <c r="AU43" s="14">
        <v>-13</v>
      </c>
      <c r="AV43" s="14">
        <v>-198</v>
      </c>
      <c r="AW43" s="14">
        <v>-422</v>
      </c>
      <c r="AX43" s="14">
        <v>124</v>
      </c>
      <c r="AY43" s="14">
        <v>137</v>
      </c>
      <c r="AZ43" s="14">
        <v>277</v>
      </c>
      <c r="BA43" s="14">
        <v>191</v>
      </c>
      <c r="BB43" s="14">
        <v>-262</v>
      </c>
      <c r="BC43" s="14">
        <v>-49303</v>
      </c>
      <c r="BD43" s="14">
        <v>71</v>
      </c>
      <c r="BE43" s="14">
        <v>-5</v>
      </c>
    </row>
    <row r="44" spans="1:57" x14ac:dyDescent="0.25">
      <c r="A44" s="14">
        <v>94</v>
      </c>
      <c r="B44" s="14">
        <v>44609</v>
      </c>
      <c r="C44" s="14">
        <v>-51</v>
      </c>
      <c r="E44" s="14">
        <v>1295</v>
      </c>
      <c r="F44" s="14">
        <v>1039</v>
      </c>
      <c r="G44" s="14">
        <v>103</v>
      </c>
      <c r="H44" s="14">
        <v>4179</v>
      </c>
      <c r="I44" s="14">
        <v>412</v>
      </c>
      <c r="J44" s="14">
        <v>178</v>
      </c>
      <c r="K44" s="14">
        <v>753</v>
      </c>
      <c r="L44" s="14">
        <v>-446</v>
      </c>
      <c r="M44" s="14">
        <v>138</v>
      </c>
      <c r="N44" s="14">
        <v>-29</v>
      </c>
      <c r="O44" s="14">
        <v>159</v>
      </c>
      <c r="P44" s="14">
        <v>-7</v>
      </c>
      <c r="Q44" s="14">
        <v>708</v>
      </c>
      <c r="S44" s="14">
        <v>-53</v>
      </c>
      <c r="T44" s="14">
        <v>55</v>
      </c>
      <c r="V44" s="14">
        <v>192</v>
      </c>
      <c r="W44" s="14">
        <v>-158</v>
      </c>
      <c r="X44" s="14">
        <v>82</v>
      </c>
      <c r="Y44" s="14">
        <v>-21</v>
      </c>
      <c r="Z44" s="14">
        <v>12</v>
      </c>
      <c r="AA44" s="14">
        <v>313</v>
      </c>
      <c r="AB44" s="14">
        <v>-559</v>
      </c>
      <c r="AC44" s="14">
        <v>-638</v>
      </c>
      <c r="AD44" s="14">
        <v>49</v>
      </c>
      <c r="AE44" s="14">
        <v>-832</v>
      </c>
      <c r="AF44" s="14">
        <v>286</v>
      </c>
      <c r="AG44" s="14">
        <v>-112</v>
      </c>
      <c r="AI44" s="14">
        <v>-456</v>
      </c>
      <c r="AJ44" s="14">
        <v>496</v>
      </c>
      <c r="AK44" s="14">
        <v>640</v>
      </c>
      <c r="AL44" s="14">
        <v>66</v>
      </c>
      <c r="AM44" s="14">
        <v>176</v>
      </c>
      <c r="AN44" s="14">
        <v>-4</v>
      </c>
      <c r="AO44" s="14">
        <v>703</v>
      </c>
      <c r="AP44" s="14">
        <v>-567</v>
      </c>
      <c r="AQ44" s="14">
        <v>-284</v>
      </c>
      <c r="AR44" s="14">
        <v>169</v>
      </c>
      <c r="AS44" s="14">
        <v>27</v>
      </c>
      <c r="AT44" s="14">
        <v>310</v>
      </c>
      <c r="AU44" s="14">
        <v>19</v>
      </c>
      <c r="AV44" s="14">
        <v>-533</v>
      </c>
      <c r="AW44" s="14">
        <v>-415</v>
      </c>
      <c r="AX44" s="14">
        <v>-458</v>
      </c>
      <c r="AY44" s="14">
        <v>-191</v>
      </c>
      <c r="AZ44" s="14">
        <v>-107</v>
      </c>
      <c r="BA44" s="14">
        <v>-272</v>
      </c>
      <c r="BB44" s="14">
        <v>-1920</v>
      </c>
      <c r="BC44" s="14">
        <v>-27</v>
      </c>
      <c r="BD44" s="14">
        <v>-51</v>
      </c>
      <c r="BE44" s="14">
        <v>4</v>
      </c>
    </row>
    <row r="45" spans="1:57" x14ac:dyDescent="0.25">
      <c r="A45" s="14">
        <v>125</v>
      </c>
      <c r="B45" s="14">
        <v>46193</v>
      </c>
      <c r="E45" s="14">
        <v>-3807</v>
      </c>
      <c r="F45" s="14">
        <v>-1106</v>
      </c>
      <c r="G45" s="14">
        <v>64</v>
      </c>
      <c r="H45" s="14">
        <v>1452</v>
      </c>
      <c r="I45" s="14">
        <v>-141</v>
      </c>
      <c r="J45" s="14">
        <v>719</v>
      </c>
      <c r="K45" s="14">
        <v>665</v>
      </c>
      <c r="L45" s="14">
        <v>-142</v>
      </c>
      <c r="M45" s="14">
        <v>179</v>
      </c>
      <c r="N45" s="14">
        <v>-14</v>
      </c>
      <c r="O45" s="14">
        <v>177</v>
      </c>
      <c r="P45" s="14">
        <v>-362</v>
      </c>
      <c r="Q45" s="14">
        <v>-17</v>
      </c>
      <c r="S45" s="14">
        <v>102</v>
      </c>
      <c r="T45" s="14">
        <v>-19</v>
      </c>
      <c r="V45" s="14">
        <v>327</v>
      </c>
      <c r="W45" s="14">
        <v>-43</v>
      </c>
      <c r="X45" s="14">
        <v>92</v>
      </c>
      <c r="Y45" s="14">
        <v>15</v>
      </c>
      <c r="Z45" s="14">
        <v>898</v>
      </c>
      <c r="AA45" s="14">
        <v>-293</v>
      </c>
      <c r="AB45" s="14">
        <v>-242</v>
      </c>
      <c r="AC45" s="14">
        <v>-385</v>
      </c>
      <c r="AD45" s="14">
        <v>-89</v>
      </c>
      <c r="AE45" s="14">
        <v>-129</v>
      </c>
      <c r="AF45" s="14">
        <v>701</v>
      </c>
      <c r="AG45" s="14">
        <v>208</v>
      </c>
      <c r="AI45" s="14">
        <v>932</v>
      </c>
      <c r="AJ45" s="14">
        <v>649</v>
      </c>
      <c r="AK45" s="14">
        <v>501</v>
      </c>
      <c r="AL45" s="14">
        <v>82</v>
      </c>
      <c r="AM45" s="14">
        <v>-128</v>
      </c>
      <c r="AN45" s="14">
        <v>12</v>
      </c>
      <c r="AO45" s="14">
        <v>23</v>
      </c>
      <c r="AP45" s="14">
        <v>-123</v>
      </c>
      <c r="AQ45" s="14">
        <v>-283</v>
      </c>
      <c r="AR45" s="14">
        <v>-700</v>
      </c>
      <c r="AS45" s="14">
        <v>-136</v>
      </c>
      <c r="AT45" s="14">
        <v>-84</v>
      </c>
      <c r="AU45" s="14">
        <v>7</v>
      </c>
      <c r="AV45" s="14">
        <v>1</v>
      </c>
      <c r="AW45" s="14">
        <v>-427</v>
      </c>
      <c r="AX45" s="14">
        <v>-192</v>
      </c>
      <c r="AY45" s="14">
        <v>126</v>
      </c>
      <c r="AZ45" s="14">
        <v>97</v>
      </c>
      <c r="BA45" s="14">
        <v>-1</v>
      </c>
      <c r="BB45" s="14">
        <v>-6390</v>
      </c>
      <c r="BC45" s="14">
        <v>92</v>
      </c>
      <c r="BD45" s="14">
        <v>-228</v>
      </c>
      <c r="BE45" s="14">
        <v>3</v>
      </c>
    </row>
    <row r="46" spans="1:57" x14ac:dyDescent="0.25">
      <c r="A46" s="14">
        <v>88</v>
      </c>
      <c r="B46" s="14">
        <v>44865</v>
      </c>
      <c r="E46" s="14">
        <v>-3605</v>
      </c>
      <c r="F46" s="14">
        <v>-1048</v>
      </c>
      <c r="G46" s="14">
        <v>68</v>
      </c>
      <c r="H46" s="14">
        <v>4359</v>
      </c>
      <c r="I46" s="14">
        <v>499</v>
      </c>
      <c r="J46" s="14">
        <v>160</v>
      </c>
      <c r="K46" s="14">
        <v>155</v>
      </c>
      <c r="L46" s="14">
        <v>215</v>
      </c>
      <c r="M46" s="14">
        <v>135</v>
      </c>
      <c r="N46" s="14">
        <v>3</v>
      </c>
      <c r="O46" s="14">
        <v>117</v>
      </c>
      <c r="P46" s="14">
        <v>-258</v>
      </c>
      <c r="Q46" s="14">
        <v>-582</v>
      </c>
      <c r="S46" s="14">
        <v>-502</v>
      </c>
      <c r="T46" s="14">
        <v>101</v>
      </c>
      <c r="V46" s="14">
        <v>126</v>
      </c>
      <c r="W46" s="14">
        <v>98</v>
      </c>
      <c r="X46" s="14">
        <v>142</v>
      </c>
      <c r="Y46" s="14">
        <v>-4</v>
      </c>
      <c r="Z46" s="14">
        <v>57</v>
      </c>
      <c r="AA46" s="14">
        <v>-254</v>
      </c>
      <c r="AB46" s="14">
        <v>77</v>
      </c>
      <c r="AC46" s="14">
        <v>224</v>
      </c>
      <c r="AD46" s="14">
        <v>2</v>
      </c>
      <c r="AE46" s="14">
        <v>-960</v>
      </c>
      <c r="AF46" s="14">
        <v>-162</v>
      </c>
      <c r="AG46" s="14">
        <v>271</v>
      </c>
      <c r="AI46" s="14">
        <v>-37</v>
      </c>
      <c r="AJ46" s="14">
        <v>429</v>
      </c>
      <c r="AK46" s="14">
        <v>810</v>
      </c>
      <c r="AL46" s="14">
        <v>97</v>
      </c>
      <c r="AM46" s="14">
        <v>123</v>
      </c>
      <c r="AN46" s="14">
        <v>-3</v>
      </c>
      <c r="AO46" s="14">
        <v>126</v>
      </c>
      <c r="AP46" s="14">
        <v>-820</v>
      </c>
      <c r="AQ46" s="14">
        <v>240</v>
      </c>
      <c r="AR46" s="14">
        <v>-134</v>
      </c>
      <c r="AS46" s="14">
        <v>-9</v>
      </c>
      <c r="AT46" s="14">
        <v>-40</v>
      </c>
      <c r="AU46" s="14">
        <v>12</v>
      </c>
      <c r="AV46" s="14">
        <v>510</v>
      </c>
      <c r="AW46" s="14">
        <v>-134</v>
      </c>
      <c r="AX46" s="14">
        <v>-621</v>
      </c>
      <c r="AY46" s="14">
        <v>125</v>
      </c>
      <c r="AZ46" s="14">
        <v>27</v>
      </c>
      <c r="BA46" s="14">
        <v>412</v>
      </c>
      <c r="BB46" s="14">
        <v>-930</v>
      </c>
      <c r="BC46" s="14">
        <v>-3</v>
      </c>
      <c r="BD46" s="14">
        <v>20</v>
      </c>
      <c r="BE46" s="14">
        <v>-4</v>
      </c>
    </row>
    <row r="47" spans="1:57" x14ac:dyDescent="0.25">
      <c r="A47" s="14">
        <v>102</v>
      </c>
      <c r="B47" s="14">
        <v>45707</v>
      </c>
      <c r="E47" s="14">
        <v>-3593</v>
      </c>
      <c r="F47" s="14">
        <v>-1369</v>
      </c>
      <c r="G47" s="14">
        <v>68</v>
      </c>
      <c r="H47" s="14">
        <v>4890</v>
      </c>
      <c r="I47" s="14">
        <v>-669</v>
      </c>
      <c r="J47" s="14">
        <v>111</v>
      </c>
      <c r="K47" s="14">
        <v>186</v>
      </c>
      <c r="L47" s="14">
        <v>184</v>
      </c>
      <c r="M47" s="14">
        <v>131</v>
      </c>
      <c r="N47" s="14">
        <v>10</v>
      </c>
      <c r="O47" s="14">
        <v>186</v>
      </c>
      <c r="P47" s="14">
        <v>406</v>
      </c>
      <c r="Q47" s="14">
        <v>876</v>
      </c>
      <c r="S47" s="14">
        <v>-102</v>
      </c>
      <c r="T47" s="14">
        <v>100</v>
      </c>
      <c r="V47" s="14">
        <v>87</v>
      </c>
      <c r="W47" s="14">
        <v>-3</v>
      </c>
      <c r="X47" s="14">
        <v>139</v>
      </c>
      <c r="Y47" s="14">
        <v>-38</v>
      </c>
      <c r="Z47" s="14">
        <v>-151</v>
      </c>
      <c r="AA47" s="14">
        <v>23</v>
      </c>
      <c r="AB47" s="14">
        <v>8</v>
      </c>
      <c r="AC47" s="14">
        <v>117</v>
      </c>
      <c r="AD47" s="14">
        <v>55</v>
      </c>
      <c r="AE47" s="14">
        <v>-212</v>
      </c>
      <c r="AF47" s="14">
        <v>-404</v>
      </c>
      <c r="AG47" s="14">
        <v>165</v>
      </c>
      <c r="AI47" s="14">
        <v>-94</v>
      </c>
      <c r="AJ47" s="14">
        <v>111</v>
      </c>
      <c r="AK47" s="14">
        <v>562</v>
      </c>
      <c r="AL47" s="14">
        <v>93</v>
      </c>
      <c r="AM47" s="14">
        <v>-876</v>
      </c>
      <c r="AN47" s="14">
        <v>25</v>
      </c>
      <c r="AO47" s="14">
        <v>152</v>
      </c>
      <c r="AP47" s="14">
        <v>-619</v>
      </c>
      <c r="AQ47" s="14">
        <v>-672</v>
      </c>
      <c r="AR47" s="14">
        <v>-227</v>
      </c>
      <c r="AS47" s="14">
        <v>-1</v>
      </c>
      <c r="AT47" s="14">
        <v>-181</v>
      </c>
      <c r="AU47" s="14">
        <v>3</v>
      </c>
      <c r="AV47" s="14">
        <v>24</v>
      </c>
      <c r="AW47" s="14">
        <v>359</v>
      </c>
      <c r="AX47" s="14">
        <v>103</v>
      </c>
      <c r="AY47" s="14">
        <v>629</v>
      </c>
      <c r="AZ47" s="14">
        <v>23</v>
      </c>
      <c r="BA47" s="14">
        <v>-420</v>
      </c>
      <c r="BB47" s="14">
        <v>428</v>
      </c>
      <c r="BC47" s="14">
        <v>-15</v>
      </c>
      <c r="BD47" s="14">
        <v>19</v>
      </c>
      <c r="BE47" s="14">
        <v>-2</v>
      </c>
    </row>
    <row r="48" spans="1:57" x14ac:dyDescent="0.25">
      <c r="A48" s="14">
        <v>106</v>
      </c>
      <c r="B48" s="14">
        <v>43326</v>
      </c>
      <c r="E48" s="14">
        <v>-3038</v>
      </c>
      <c r="F48" s="14">
        <v>1382</v>
      </c>
      <c r="G48" s="14">
        <v>17</v>
      </c>
      <c r="H48" s="14">
        <v>3010</v>
      </c>
      <c r="I48" s="14">
        <v>401</v>
      </c>
      <c r="J48" s="14">
        <v>148</v>
      </c>
      <c r="K48" s="14">
        <v>-565</v>
      </c>
      <c r="L48" s="14">
        <v>915</v>
      </c>
      <c r="M48" s="14">
        <v>133</v>
      </c>
      <c r="N48" s="14">
        <v>21</v>
      </c>
      <c r="O48" s="14">
        <v>154</v>
      </c>
      <c r="P48" s="14">
        <v>-15</v>
      </c>
      <c r="Q48" s="14">
        <v>10</v>
      </c>
      <c r="S48" s="14">
        <v>-319</v>
      </c>
      <c r="T48" s="14">
        <v>8</v>
      </c>
      <c r="V48" s="14">
        <v>39</v>
      </c>
      <c r="W48" s="14">
        <v>9</v>
      </c>
      <c r="X48" s="14">
        <v>45</v>
      </c>
      <c r="Y48" s="14">
        <v>57</v>
      </c>
      <c r="Z48" s="14">
        <v>-52</v>
      </c>
      <c r="AA48" s="14">
        <v>-100</v>
      </c>
      <c r="AB48" s="14">
        <v>15</v>
      </c>
      <c r="AC48" s="14">
        <v>65</v>
      </c>
      <c r="AD48" s="14">
        <v>8</v>
      </c>
      <c r="AE48" s="14">
        <v>225</v>
      </c>
      <c r="AF48" s="14">
        <v>-586</v>
      </c>
      <c r="AG48" s="14">
        <v>148</v>
      </c>
      <c r="AI48" s="14">
        <v>-436</v>
      </c>
      <c r="AJ48" s="14">
        <v>751</v>
      </c>
      <c r="AK48" s="14">
        <v>530</v>
      </c>
      <c r="AL48" s="14">
        <v>75</v>
      </c>
      <c r="AM48" s="14">
        <v>-79</v>
      </c>
      <c r="AN48" s="14">
        <v>7</v>
      </c>
      <c r="AO48" s="14">
        <v>136</v>
      </c>
      <c r="AP48" s="14">
        <v>-661</v>
      </c>
      <c r="AQ48" s="14">
        <v>-163</v>
      </c>
      <c r="AR48" s="14">
        <v>43</v>
      </c>
      <c r="AS48" s="14">
        <v>16</v>
      </c>
      <c r="AT48" s="14">
        <v>129</v>
      </c>
      <c r="AU48" s="14">
        <v>-8</v>
      </c>
      <c r="AV48" s="14">
        <v>103</v>
      </c>
      <c r="AW48" s="14">
        <v>177</v>
      </c>
      <c r="AX48" s="14">
        <v>624</v>
      </c>
      <c r="AY48" s="14">
        <v>203</v>
      </c>
      <c r="AZ48" s="14">
        <v>440</v>
      </c>
      <c r="BA48" s="14">
        <v>-101</v>
      </c>
      <c r="BB48" s="14">
        <v>16</v>
      </c>
      <c r="BC48" s="14">
        <v>-449</v>
      </c>
      <c r="BD48" s="14">
        <v>105</v>
      </c>
      <c r="BE48" s="14">
        <v>-2</v>
      </c>
    </row>
    <row r="49" spans="1:57" x14ac:dyDescent="0.25">
      <c r="A49" s="14">
        <v>158</v>
      </c>
      <c r="B49" s="14">
        <v>46914</v>
      </c>
      <c r="E49" s="14">
        <v>-3076</v>
      </c>
      <c r="F49" s="14">
        <v>3110</v>
      </c>
      <c r="G49" s="14">
        <v>17</v>
      </c>
      <c r="H49" s="14">
        <v>1412</v>
      </c>
      <c r="I49" s="14">
        <v>-156</v>
      </c>
      <c r="J49" s="14">
        <v>547</v>
      </c>
      <c r="K49" s="14">
        <v>277</v>
      </c>
      <c r="L49" s="14">
        <v>-550</v>
      </c>
      <c r="M49" s="14">
        <v>135</v>
      </c>
      <c r="N49" s="14">
        <v>57</v>
      </c>
      <c r="O49" s="14">
        <v>162</v>
      </c>
      <c r="P49" s="14">
        <v>60</v>
      </c>
      <c r="Q49" s="14">
        <v>111</v>
      </c>
      <c r="S49" s="14">
        <v>-329</v>
      </c>
      <c r="T49" s="14">
        <v>116</v>
      </c>
      <c r="V49" s="14">
        <v>24</v>
      </c>
      <c r="W49" s="14">
        <v>44</v>
      </c>
      <c r="X49" s="14">
        <v>13</v>
      </c>
      <c r="Y49" s="14">
        <v>1</v>
      </c>
      <c r="Z49" s="14">
        <v>-5</v>
      </c>
      <c r="AA49" s="14">
        <v>21</v>
      </c>
      <c r="AB49" s="14">
        <v>39</v>
      </c>
      <c r="AC49" s="14">
        <v>163</v>
      </c>
      <c r="AD49" s="14">
        <v>17</v>
      </c>
      <c r="AE49" s="14">
        <v>-369</v>
      </c>
      <c r="AF49" s="14">
        <v>222</v>
      </c>
      <c r="AG49" s="14">
        <v>77</v>
      </c>
      <c r="AI49" s="14">
        <v>-515</v>
      </c>
      <c r="AJ49" s="14">
        <v>-516</v>
      </c>
      <c r="AK49" s="14">
        <v>101</v>
      </c>
      <c r="AL49" s="14">
        <v>63</v>
      </c>
      <c r="AM49" s="14">
        <v>-605</v>
      </c>
      <c r="AN49" s="14">
        <v>14</v>
      </c>
      <c r="AO49" s="14">
        <v>31</v>
      </c>
      <c r="AP49" s="14">
        <v>-154</v>
      </c>
      <c r="AQ49" s="14">
        <v>473</v>
      </c>
      <c r="AR49" s="14">
        <v>393</v>
      </c>
      <c r="AS49" s="14">
        <v>-281</v>
      </c>
      <c r="AT49" s="14">
        <v>4</v>
      </c>
      <c r="AU49" s="14">
        <v>-14</v>
      </c>
      <c r="AV49" s="14">
        <v>866</v>
      </c>
      <c r="AW49" s="14">
        <v>54</v>
      </c>
      <c r="AX49" s="14">
        <v>657</v>
      </c>
      <c r="AY49" s="14">
        <v>803</v>
      </c>
      <c r="AZ49" s="14">
        <v>-534</v>
      </c>
      <c r="BA49" s="14">
        <v>474</v>
      </c>
      <c r="BB49" s="14">
        <v>37</v>
      </c>
      <c r="BC49" s="14">
        <v>-3</v>
      </c>
      <c r="BD49" s="14">
        <v>116</v>
      </c>
      <c r="BE49" s="14">
        <v>-2</v>
      </c>
    </row>
    <row r="50" spans="1:57" x14ac:dyDescent="0.25">
      <c r="A50" s="14">
        <v>106</v>
      </c>
      <c r="B50" s="14">
        <v>48195</v>
      </c>
      <c r="E50" s="14">
        <v>-2961</v>
      </c>
      <c r="F50" s="14">
        <v>-1950</v>
      </c>
      <c r="G50" s="14">
        <v>17</v>
      </c>
      <c r="H50" s="14">
        <v>4487</v>
      </c>
      <c r="I50" s="14">
        <v>970</v>
      </c>
      <c r="J50" s="14">
        <v>124</v>
      </c>
      <c r="K50" s="14">
        <v>124</v>
      </c>
      <c r="L50" s="14">
        <v>-120</v>
      </c>
      <c r="M50" s="14">
        <v>-875</v>
      </c>
      <c r="N50" s="14">
        <v>15</v>
      </c>
      <c r="O50" s="14">
        <v>101</v>
      </c>
      <c r="P50" s="14">
        <v>811</v>
      </c>
      <c r="Q50" s="14">
        <v>331</v>
      </c>
      <c r="S50" s="14">
        <v>21</v>
      </c>
      <c r="T50" s="14">
        <v>110</v>
      </c>
      <c r="V50" s="14">
        <v>-120</v>
      </c>
      <c r="W50" s="14">
        <v>-16</v>
      </c>
      <c r="X50" s="14">
        <v>-29</v>
      </c>
      <c r="Y50" s="14">
        <v>-2</v>
      </c>
      <c r="Z50" s="14">
        <v>44</v>
      </c>
      <c r="AA50" s="14">
        <v>32</v>
      </c>
      <c r="AB50" s="14">
        <v>431</v>
      </c>
      <c r="AC50" s="14">
        <v>967</v>
      </c>
      <c r="AD50" s="14">
        <v>-3</v>
      </c>
      <c r="AE50" s="14">
        <v>501</v>
      </c>
      <c r="AF50" s="14">
        <v>-104</v>
      </c>
      <c r="AG50" s="14">
        <v>-614</v>
      </c>
      <c r="AI50" s="14">
        <v>-141</v>
      </c>
      <c r="AJ50" s="14">
        <v>618</v>
      </c>
      <c r="AK50" s="14">
        <v>300</v>
      </c>
      <c r="AL50" s="14">
        <v>284</v>
      </c>
      <c r="AM50" s="14">
        <v>-140</v>
      </c>
      <c r="AN50" s="14">
        <v>-306</v>
      </c>
      <c r="AO50" s="14">
        <v>109</v>
      </c>
      <c r="AP50" s="14">
        <v>-155</v>
      </c>
      <c r="AQ50" s="14">
        <v>294</v>
      </c>
      <c r="AR50" s="14">
        <v>685</v>
      </c>
      <c r="AS50" s="14">
        <v>-330</v>
      </c>
      <c r="AT50" s="14">
        <v>89</v>
      </c>
      <c r="AU50" s="14">
        <v>-14</v>
      </c>
      <c r="AV50" s="14">
        <v>-481</v>
      </c>
      <c r="AW50" s="14">
        <v>-92</v>
      </c>
      <c r="AX50" s="14">
        <v>-637</v>
      </c>
      <c r="AY50" s="14">
        <v>309</v>
      </c>
      <c r="AZ50" s="14">
        <v>-597</v>
      </c>
      <c r="BA50" s="14">
        <v>-430</v>
      </c>
      <c r="BB50" s="14">
        <v>10</v>
      </c>
      <c r="BC50" s="14">
        <v>-1</v>
      </c>
      <c r="BD50" s="14">
        <v>-114</v>
      </c>
      <c r="BE50" s="14">
        <v>-9</v>
      </c>
    </row>
    <row r="51" spans="1:57" x14ac:dyDescent="0.25">
      <c r="A51" s="14">
        <v>104</v>
      </c>
      <c r="B51" s="14">
        <v>43208</v>
      </c>
      <c r="E51" s="14">
        <v>-1107</v>
      </c>
      <c r="F51" s="14">
        <v>1498</v>
      </c>
      <c r="G51" s="14">
        <v>17</v>
      </c>
      <c r="H51" s="14">
        <v>2450</v>
      </c>
      <c r="I51" s="14">
        <v>-250</v>
      </c>
      <c r="J51" s="14">
        <v>-108</v>
      </c>
      <c r="K51" s="14">
        <v>-127</v>
      </c>
      <c r="L51" s="14">
        <v>188</v>
      </c>
      <c r="M51" s="14">
        <v>-100</v>
      </c>
      <c r="N51" s="14">
        <v>13</v>
      </c>
      <c r="O51" s="14">
        <v>81</v>
      </c>
      <c r="P51" s="14">
        <v>-606</v>
      </c>
      <c r="Q51" s="14">
        <v>-66</v>
      </c>
      <c r="S51" s="14">
        <v>164</v>
      </c>
      <c r="T51" s="14">
        <v>99</v>
      </c>
      <c r="V51" s="14">
        <v>96</v>
      </c>
      <c r="W51" s="14">
        <v>45</v>
      </c>
      <c r="X51" s="14">
        <v>-6</v>
      </c>
      <c r="Y51" s="14">
        <v>31</v>
      </c>
      <c r="Z51" s="14">
        <v>44</v>
      </c>
      <c r="AA51" s="14">
        <v>-17</v>
      </c>
      <c r="AB51" s="14">
        <v>-832</v>
      </c>
      <c r="AC51" s="14">
        <v>201</v>
      </c>
      <c r="AD51" s="14">
        <v>-183</v>
      </c>
      <c r="AE51" s="14">
        <v>446</v>
      </c>
      <c r="AF51" s="14">
        <v>-200</v>
      </c>
      <c r="AG51" s="14">
        <v>66</v>
      </c>
      <c r="AI51" s="14">
        <v>-239</v>
      </c>
      <c r="AJ51" s="14">
        <v>-311</v>
      </c>
      <c r="AK51" s="14">
        <v>886</v>
      </c>
      <c r="AL51" s="14">
        <v>63</v>
      </c>
      <c r="AM51" s="14">
        <v>-178</v>
      </c>
      <c r="AN51" s="14">
        <v>2</v>
      </c>
      <c r="AO51" s="14">
        <v>168</v>
      </c>
      <c r="AP51" s="14">
        <v>-113</v>
      </c>
      <c r="AQ51" s="14">
        <v>-119</v>
      </c>
      <c r="AR51" s="14">
        <v>84</v>
      </c>
      <c r="AS51" s="14">
        <v>39</v>
      </c>
      <c r="AT51" s="14">
        <v>143</v>
      </c>
      <c r="AU51" s="14">
        <v>-29</v>
      </c>
      <c r="AV51" s="14">
        <v>-881</v>
      </c>
      <c r="AW51" s="14">
        <v>226</v>
      </c>
      <c r="AX51" s="14">
        <v>-126</v>
      </c>
      <c r="AY51" s="14">
        <v>661</v>
      </c>
      <c r="AZ51" s="14">
        <v>156</v>
      </c>
      <c r="BA51" s="14">
        <v>-83</v>
      </c>
      <c r="BB51" s="14">
        <v>31</v>
      </c>
      <c r="BC51" s="14">
        <v>-411</v>
      </c>
      <c r="BD51" s="14">
        <v>-109</v>
      </c>
      <c r="BE51" s="14">
        <v>-1</v>
      </c>
    </row>
    <row r="52" spans="1:57" x14ac:dyDescent="0.25">
      <c r="A52" s="14">
        <v>113</v>
      </c>
      <c r="B52" s="14">
        <v>50338</v>
      </c>
      <c r="E52" s="14">
        <v>249</v>
      </c>
      <c r="F52" s="14">
        <v>9024</v>
      </c>
      <c r="G52" s="14">
        <v>19</v>
      </c>
      <c r="H52" s="14">
        <v>-1042</v>
      </c>
      <c r="I52" s="14">
        <v>577</v>
      </c>
      <c r="J52" s="14">
        <v>-35</v>
      </c>
      <c r="K52" s="14">
        <v>348</v>
      </c>
      <c r="L52" s="14">
        <v>163</v>
      </c>
      <c r="M52" s="14">
        <v>-322</v>
      </c>
      <c r="N52" s="14">
        <v>-28</v>
      </c>
      <c r="O52" s="14">
        <v>49</v>
      </c>
      <c r="P52" s="14">
        <v>165</v>
      </c>
      <c r="Q52" s="14">
        <v>265</v>
      </c>
      <c r="S52" s="14">
        <v>267</v>
      </c>
      <c r="T52" s="14">
        <v>94</v>
      </c>
      <c r="V52" s="14">
        <v>102</v>
      </c>
      <c r="W52" s="14">
        <v>68</v>
      </c>
      <c r="X52" s="14">
        <v>-23</v>
      </c>
      <c r="Y52" s="14">
        <v>80</v>
      </c>
      <c r="Z52" s="14">
        <v>41</v>
      </c>
      <c r="AA52" s="14">
        <v>135</v>
      </c>
      <c r="AB52" s="14">
        <v>117</v>
      </c>
      <c r="AC52" s="14">
        <v>-306</v>
      </c>
      <c r="AD52" s="14">
        <v>6</v>
      </c>
      <c r="AE52" s="14">
        <v>436</v>
      </c>
      <c r="AF52" s="14">
        <v>-440</v>
      </c>
      <c r="AG52" s="14">
        <v>75</v>
      </c>
      <c r="AI52" s="14">
        <v>867</v>
      </c>
      <c r="AJ52" s="14">
        <v>-649</v>
      </c>
      <c r="AK52" s="14">
        <v>600</v>
      </c>
      <c r="AL52" s="14">
        <v>74</v>
      </c>
      <c r="AM52" s="14">
        <v>-142</v>
      </c>
      <c r="AN52" s="14">
        <v>3</v>
      </c>
      <c r="AO52" s="14">
        <v>536</v>
      </c>
      <c r="AP52" s="14">
        <v>-483</v>
      </c>
      <c r="AQ52" s="14">
        <v>-609</v>
      </c>
      <c r="AR52" s="14">
        <v>-162</v>
      </c>
      <c r="AS52" s="14">
        <v>6</v>
      </c>
      <c r="AT52" s="14">
        <v>-459</v>
      </c>
      <c r="AU52" s="14">
        <v>-26</v>
      </c>
      <c r="AV52" s="14">
        <v>-724</v>
      </c>
      <c r="AW52" s="14">
        <v>-481</v>
      </c>
      <c r="AX52" s="14">
        <v>7</v>
      </c>
      <c r="AY52" s="14">
        <v>813</v>
      </c>
      <c r="AZ52" s="14">
        <v>-519</v>
      </c>
      <c r="BA52" s="14">
        <v>-1</v>
      </c>
      <c r="BB52" s="14">
        <v>-289</v>
      </c>
      <c r="BC52" s="14">
        <v>-27</v>
      </c>
      <c r="BD52" s="14">
        <v>-309</v>
      </c>
      <c r="BE52" s="14">
        <v>-4</v>
      </c>
    </row>
    <row r="53" spans="1:57" x14ac:dyDescent="0.25">
      <c r="A53" s="14">
        <v>158</v>
      </c>
      <c r="B53" s="14">
        <v>52999</v>
      </c>
      <c r="E53" s="14">
        <v>80</v>
      </c>
      <c r="F53" s="14">
        <v>9268</v>
      </c>
      <c r="G53" s="14">
        <v>19</v>
      </c>
      <c r="H53" s="14">
        <v>-2253</v>
      </c>
      <c r="I53" s="14">
        <v>112</v>
      </c>
      <c r="J53" s="14">
        <v>806</v>
      </c>
      <c r="K53" s="14">
        <v>391</v>
      </c>
      <c r="L53" s="14">
        <v>-270</v>
      </c>
      <c r="M53" s="14">
        <v>-627</v>
      </c>
      <c r="N53" s="14">
        <v>25</v>
      </c>
      <c r="O53" s="14">
        <v>688</v>
      </c>
      <c r="P53" s="14">
        <v>354</v>
      </c>
      <c r="Q53" s="14">
        <v>61</v>
      </c>
      <c r="S53" s="14">
        <v>295</v>
      </c>
      <c r="T53" s="14">
        <v>83</v>
      </c>
      <c r="V53" s="14">
        <v>33</v>
      </c>
      <c r="W53" s="14">
        <v>-94</v>
      </c>
      <c r="X53" s="14">
        <v>20</v>
      </c>
      <c r="Y53" s="14">
        <v>-1</v>
      </c>
      <c r="Z53" s="14">
        <v>22</v>
      </c>
      <c r="AA53" s="14">
        <v>-61</v>
      </c>
      <c r="AB53" s="14">
        <v>134</v>
      </c>
      <c r="AC53" s="14">
        <v>181</v>
      </c>
      <c r="AD53" s="14">
        <v>52</v>
      </c>
      <c r="AE53" s="14">
        <v>237</v>
      </c>
      <c r="AF53" s="14">
        <v>-581</v>
      </c>
      <c r="AG53" s="14">
        <v>-60</v>
      </c>
      <c r="AI53" s="14">
        <v>-27</v>
      </c>
      <c r="AJ53" s="14">
        <v>-158</v>
      </c>
      <c r="AK53" s="14">
        <v>676</v>
      </c>
      <c r="AL53" s="14">
        <v>212</v>
      </c>
      <c r="AM53" s="14">
        <v>-509</v>
      </c>
      <c r="AN53" s="14">
        <v>-169</v>
      </c>
      <c r="AO53" s="14">
        <v>487</v>
      </c>
      <c r="AP53" s="14">
        <v>-414</v>
      </c>
      <c r="AQ53" s="14">
        <v>220</v>
      </c>
      <c r="AR53" s="14">
        <v>-179</v>
      </c>
      <c r="AS53" s="14">
        <v>34</v>
      </c>
      <c r="AT53" s="14">
        <v>51</v>
      </c>
      <c r="AU53" s="14">
        <v>-6</v>
      </c>
      <c r="AV53" s="14">
        <v>1</v>
      </c>
      <c r="AW53" s="14">
        <v>-89</v>
      </c>
      <c r="AX53" s="14">
        <v>191</v>
      </c>
      <c r="AY53" s="14">
        <v>-352</v>
      </c>
      <c r="AZ53" s="14">
        <v>261</v>
      </c>
      <c r="BA53" s="14">
        <v>-11</v>
      </c>
      <c r="BB53" s="14">
        <v>-2204</v>
      </c>
      <c r="BC53" s="14">
        <v>-21617</v>
      </c>
      <c r="BD53" s="14">
        <v>-295</v>
      </c>
      <c r="BE53" s="14">
        <v>1</v>
      </c>
    </row>
    <row r="54" spans="1:57" x14ac:dyDescent="0.25">
      <c r="A54" s="14">
        <v>66</v>
      </c>
      <c r="B54" s="14">
        <v>56653</v>
      </c>
      <c r="E54" s="14">
        <v>35</v>
      </c>
      <c r="F54" s="14">
        <v>1377</v>
      </c>
      <c r="G54" s="14">
        <v>-12</v>
      </c>
      <c r="H54" s="14">
        <v>-6212</v>
      </c>
      <c r="I54" s="14">
        <v>163</v>
      </c>
      <c r="J54" s="14">
        <v>-223</v>
      </c>
      <c r="K54" s="14">
        <v>133</v>
      </c>
      <c r="L54" s="14">
        <v>385</v>
      </c>
      <c r="M54" s="14">
        <v>-842</v>
      </c>
      <c r="N54" s="14">
        <v>-27</v>
      </c>
      <c r="O54" s="14">
        <v>709</v>
      </c>
      <c r="P54" s="14">
        <v>173</v>
      </c>
      <c r="Q54" s="14">
        <v>-117</v>
      </c>
      <c r="S54" s="14">
        <v>310</v>
      </c>
      <c r="T54" s="14">
        <v>77</v>
      </c>
      <c r="V54" s="14">
        <v>-135</v>
      </c>
      <c r="W54" s="14">
        <v>17</v>
      </c>
      <c r="X54" s="14">
        <v>3</v>
      </c>
      <c r="Y54" s="14">
        <v>-28</v>
      </c>
      <c r="Z54" s="14">
        <v>-61</v>
      </c>
      <c r="AA54" s="14">
        <v>21</v>
      </c>
      <c r="AB54" s="14">
        <v>306</v>
      </c>
      <c r="AC54" s="14">
        <v>187</v>
      </c>
      <c r="AD54" s="14">
        <v>56</v>
      </c>
      <c r="AE54" s="14">
        <v>151</v>
      </c>
      <c r="AF54" s="14">
        <v>-125</v>
      </c>
      <c r="AG54" s="14">
        <v>7</v>
      </c>
      <c r="AI54" s="14">
        <v>-440</v>
      </c>
      <c r="AJ54" s="14">
        <v>-112</v>
      </c>
      <c r="AK54" s="14">
        <v>470</v>
      </c>
      <c r="AL54" s="14">
        <v>96</v>
      </c>
      <c r="AM54" s="14">
        <v>150</v>
      </c>
      <c r="AN54" s="14">
        <v>44</v>
      </c>
      <c r="AO54" s="14">
        <v>615</v>
      </c>
      <c r="AP54" s="14">
        <v>-406</v>
      </c>
      <c r="AQ54" s="14">
        <v>-654</v>
      </c>
      <c r="AR54" s="14">
        <v>504</v>
      </c>
      <c r="AS54" s="14">
        <v>32</v>
      </c>
      <c r="AT54" s="14">
        <v>9</v>
      </c>
      <c r="AU54" s="14">
        <v>-13</v>
      </c>
      <c r="AV54" s="14">
        <v>519</v>
      </c>
      <c r="AW54" s="14">
        <v>-27</v>
      </c>
      <c r="AX54" s="14">
        <v>-481</v>
      </c>
      <c r="AY54" s="14">
        <v>-763</v>
      </c>
      <c r="AZ54" s="14">
        <v>-74</v>
      </c>
      <c r="BA54" s="14">
        <v>-197</v>
      </c>
      <c r="BB54" s="14">
        <v>4376</v>
      </c>
      <c r="BC54" s="14">
        <v>-2118</v>
      </c>
      <c r="BD54" s="14">
        <v>238</v>
      </c>
      <c r="BE54" s="14">
        <v>4</v>
      </c>
    </row>
    <row r="55" spans="1:57" x14ac:dyDescent="0.25">
      <c r="A55" s="14">
        <v>80</v>
      </c>
      <c r="B55" s="14">
        <v>56090</v>
      </c>
      <c r="E55" s="14">
        <v>-53</v>
      </c>
      <c r="F55" s="14">
        <v>1401</v>
      </c>
      <c r="G55" s="14">
        <v>19</v>
      </c>
      <c r="H55" s="14">
        <v>-5783</v>
      </c>
      <c r="I55" s="14">
        <v>570</v>
      </c>
      <c r="J55" s="14">
        <v>222</v>
      </c>
      <c r="K55" s="14">
        <v>134</v>
      </c>
      <c r="L55" s="14">
        <v>-611</v>
      </c>
      <c r="M55" s="14">
        <v>263</v>
      </c>
      <c r="N55" s="14">
        <v>-26</v>
      </c>
      <c r="O55" s="14">
        <v>723</v>
      </c>
      <c r="P55" s="14">
        <v>262</v>
      </c>
      <c r="Q55" s="14">
        <v>106</v>
      </c>
      <c r="S55" s="14">
        <v>201</v>
      </c>
      <c r="T55" s="14">
        <v>93</v>
      </c>
      <c r="V55" s="14">
        <v>98</v>
      </c>
      <c r="W55" s="14">
        <v>-33</v>
      </c>
      <c r="X55" s="14">
        <v>12</v>
      </c>
      <c r="Y55" s="14">
        <v>-1</v>
      </c>
      <c r="Z55" s="14">
        <v>-193</v>
      </c>
      <c r="AA55" s="14">
        <v>-38</v>
      </c>
      <c r="AB55" s="14">
        <v>315</v>
      </c>
      <c r="AC55" s="14">
        <v>444</v>
      </c>
      <c r="AD55" s="14">
        <v>-15</v>
      </c>
      <c r="AE55" s="14">
        <v>161</v>
      </c>
      <c r="AF55" s="14">
        <v>-572</v>
      </c>
      <c r="AG55" s="14">
        <v>-127</v>
      </c>
      <c r="AI55" s="14">
        <v>-814</v>
      </c>
      <c r="AJ55" s="14">
        <v>-814</v>
      </c>
      <c r="AK55" s="14">
        <v>639</v>
      </c>
      <c r="AL55" s="14">
        <v>23</v>
      </c>
      <c r="AM55" s="14">
        <v>389</v>
      </c>
      <c r="AN55" s="14">
        <v>4</v>
      </c>
      <c r="AO55" s="14">
        <v>108</v>
      </c>
      <c r="AP55" s="14">
        <v>-231</v>
      </c>
      <c r="AQ55" s="14">
        <v>-180</v>
      </c>
      <c r="AR55" s="14">
        <v>-823</v>
      </c>
      <c r="AS55" s="14">
        <v>27</v>
      </c>
      <c r="AT55" s="14">
        <v>-47</v>
      </c>
      <c r="AU55" s="14">
        <v>-11</v>
      </c>
      <c r="AV55" s="14">
        <v>4</v>
      </c>
      <c r="AW55" s="14">
        <v>-723</v>
      </c>
      <c r="AX55" s="14">
        <v>623</v>
      </c>
      <c r="AY55" s="14">
        <v>-571</v>
      </c>
      <c r="AZ55" s="14">
        <v>101</v>
      </c>
      <c r="BA55" s="14">
        <v>-83</v>
      </c>
      <c r="BB55" s="14">
        <v>2431</v>
      </c>
      <c r="BC55" s="14">
        <v>-24820</v>
      </c>
      <c r="BD55" s="14">
        <v>248</v>
      </c>
      <c r="BE55" s="14">
        <v>6</v>
      </c>
    </row>
    <row r="56" spans="1:57" x14ac:dyDescent="0.25">
      <c r="A56" s="14">
        <v>55</v>
      </c>
      <c r="B56" s="14">
        <v>5625</v>
      </c>
      <c r="E56" s="14">
        <v>226</v>
      </c>
      <c r="F56" s="14">
        <v>1414</v>
      </c>
      <c r="G56" s="14">
        <v>19</v>
      </c>
      <c r="H56" s="14">
        <v>-5602</v>
      </c>
      <c r="I56" s="14">
        <v>-796</v>
      </c>
      <c r="J56" s="14">
        <v>77</v>
      </c>
      <c r="K56" s="14">
        <v>247</v>
      </c>
      <c r="L56" s="14">
        <v>-115</v>
      </c>
      <c r="M56" s="14">
        <v>825</v>
      </c>
      <c r="N56" s="14">
        <v>15</v>
      </c>
      <c r="O56" s="14">
        <v>734</v>
      </c>
      <c r="P56" s="14">
        <v>781</v>
      </c>
      <c r="Q56" s="14">
        <v>-100</v>
      </c>
      <c r="S56" s="14">
        <v>697</v>
      </c>
      <c r="T56" s="14">
        <v>-2</v>
      </c>
      <c r="V56" s="14">
        <v>-612</v>
      </c>
      <c r="W56" s="14">
        <v>-4</v>
      </c>
      <c r="X56" s="14">
        <v>14</v>
      </c>
      <c r="Y56" s="14">
        <v>-5</v>
      </c>
      <c r="Z56" s="14">
        <v>33</v>
      </c>
      <c r="AA56" s="14">
        <v>-180</v>
      </c>
      <c r="AB56" s="14">
        <v>-546</v>
      </c>
      <c r="AC56" s="14">
        <v>-533</v>
      </c>
      <c r="AD56" s="14">
        <v>49</v>
      </c>
      <c r="AE56" s="14">
        <v>302</v>
      </c>
      <c r="AF56" s="14">
        <v>-101</v>
      </c>
      <c r="AG56" s="14">
        <v>-412</v>
      </c>
      <c r="AI56" s="14">
        <v>-134</v>
      </c>
      <c r="AJ56" s="14">
        <v>-422</v>
      </c>
      <c r="AK56" s="14">
        <v>700</v>
      </c>
      <c r="AL56" s="14">
        <v>89</v>
      </c>
      <c r="AM56" s="14">
        <v>-56</v>
      </c>
      <c r="AN56" s="14">
        <v>18</v>
      </c>
      <c r="AO56" s="14">
        <v>276</v>
      </c>
      <c r="AP56" s="14">
        <v>-212</v>
      </c>
      <c r="AQ56" s="14">
        <v>494</v>
      </c>
      <c r="AR56" s="14">
        <v>-130</v>
      </c>
      <c r="AS56" s="14">
        <v>33</v>
      </c>
      <c r="AT56" s="14">
        <v>-246</v>
      </c>
      <c r="AU56" s="14">
        <v>-21</v>
      </c>
      <c r="AV56" s="14">
        <v>149</v>
      </c>
      <c r="AW56" s="14">
        <v>183</v>
      </c>
      <c r="AX56" s="14">
        <v>-171</v>
      </c>
      <c r="AY56" s="14">
        <v>880</v>
      </c>
      <c r="AZ56" s="14">
        <v>-8</v>
      </c>
      <c r="BA56" s="14">
        <v>-204</v>
      </c>
      <c r="BB56" s="14">
        <v>228</v>
      </c>
      <c r="BC56" s="14">
        <v>-10</v>
      </c>
      <c r="BD56" s="14">
        <v>91</v>
      </c>
      <c r="BE56" s="14">
        <v>1</v>
      </c>
    </row>
    <row r="57" spans="1:57" x14ac:dyDescent="0.25">
      <c r="A57" s="14">
        <v>266</v>
      </c>
      <c r="B57" s="14">
        <v>2625</v>
      </c>
      <c r="E57" s="14">
        <v>99</v>
      </c>
      <c r="F57" s="14">
        <v>3247</v>
      </c>
      <c r="G57" s="14">
        <v>144</v>
      </c>
      <c r="H57" s="14">
        <v>-1444</v>
      </c>
      <c r="I57" s="14">
        <v>479</v>
      </c>
      <c r="J57" s="14">
        <v>155</v>
      </c>
      <c r="K57" s="14">
        <v>-518</v>
      </c>
      <c r="L57" s="14">
        <v>189</v>
      </c>
      <c r="M57" s="14">
        <v>-419</v>
      </c>
      <c r="N57" s="14">
        <v>3</v>
      </c>
      <c r="O57" s="14">
        <v>598</v>
      </c>
      <c r="P57" s="14">
        <v>-400</v>
      </c>
      <c r="Q57" s="14">
        <v>187</v>
      </c>
      <c r="S57" s="14">
        <v>284</v>
      </c>
      <c r="T57" s="14">
        <v>97</v>
      </c>
      <c r="V57" s="14">
        <v>504</v>
      </c>
      <c r="W57" s="14">
        <v>71</v>
      </c>
      <c r="X57" s="14">
        <v>7</v>
      </c>
      <c r="Y57" s="14">
        <v>-671</v>
      </c>
      <c r="Z57" s="14">
        <v>196</v>
      </c>
      <c r="AA57" s="14">
        <v>4</v>
      </c>
      <c r="AB57" s="14">
        <v>-247</v>
      </c>
      <c r="AC57" s="14">
        <v>-356</v>
      </c>
      <c r="AD57" s="14">
        <v>-131</v>
      </c>
      <c r="AE57" s="14">
        <v>614</v>
      </c>
      <c r="AF57" s="14">
        <v>-518</v>
      </c>
      <c r="AG57" s="14">
        <v>-115</v>
      </c>
      <c r="AI57" s="14">
        <v>-212</v>
      </c>
      <c r="AJ57" s="14">
        <v>-158</v>
      </c>
      <c r="AK57" s="14">
        <v>884</v>
      </c>
      <c r="AL57" s="14">
        <v>66</v>
      </c>
      <c r="AM57" s="14">
        <v>115</v>
      </c>
      <c r="AN57" s="14">
        <v>-425</v>
      </c>
      <c r="AO57" s="14">
        <v>383</v>
      </c>
      <c r="AP57" s="14">
        <v>-837</v>
      </c>
      <c r="AQ57" s="14">
        <v>355</v>
      </c>
      <c r="AR57" s="14">
        <v>-401</v>
      </c>
      <c r="AS57" s="14">
        <v>5</v>
      </c>
      <c r="AT57" s="14">
        <v>40</v>
      </c>
      <c r="AU57" s="14">
        <v>-242</v>
      </c>
      <c r="AV57" s="14">
        <v>513</v>
      </c>
      <c r="AW57" s="14">
        <v>227</v>
      </c>
      <c r="AX57" s="14">
        <v>-111</v>
      </c>
      <c r="AY57" s="14">
        <v>-183</v>
      </c>
      <c r="AZ57" s="14">
        <v>23</v>
      </c>
      <c r="BA57" s="14">
        <v>-87</v>
      </c>
      <c r="BB57" s="14">
        <v>68</v>
      </c>
      <c r="BC57" s="14">
        <v>51</v>
      </c>
      <c r="BD57" s="14">
        <v>104</v>
      </c>
      <c r="BE57" s="14">
        <v>-2067</v>
      </c>
    </row>
    <row r="58" spans="1:57" x14ac:dyDescent="0.25">
      <c r="A58" s="14">
        <v>-27</v>
      </c>
      <c r="B58" s="14">
        <v>-239</v>
      </c>
      <c r="E58" s="14">
        <v>-58</v>
      </c>
      <c r="F58" s="14">
        <v>-1672</v>
      </c>
      <c r="G58" s="14">
        <v>131</v>
      </c>
      <c r="H58" s="14">
        <v>-149</v>
      </c>
      <c r="I58" s="14">
        <v>307</v>
      </c>
      <c r="J58" s="14">
        <v>172</v>
      </c>
      <c r="K58" s="14">
        <v>305</v>
      </c>
      <c r="L58" s="14">
        <v>174</v>
      </c>
      <c r="M58" s="14">
        <v>-111</v>
      </c>
      <c r="N58" s="14">
        <v>37</v>
      </c>
      <c r="O58" s="14">
        <v>803</v>
      </c>
      <c r="P58" s="14">
        <v>587</v>
      </c>
      <c r="Q58" s="14">
        <v>7</v>
      </c>
      <c r="S58" s="14">
        <v>502</v>
      </c>
      <c r="T58" s="14">
        <v>27</v>
      </c>
      <c r="V58" s="14">
        <v>-683</v>
      </c>
      <c r="W58" s="14">
        <v>-59</v>
      </c>
      <c r="X58" s="14">
        <v>72</v>
      </c>
      <c r="Y58" s="14">
        <v>1289</v>
      </c>
      <c r="Z58" s="14">
        <v>1</v>
      </c>
      <c r="AA58" s="14">
        <v>432</v>
      </c>
      <c r="AB58" s="14">
        <v>72</v>
      </c>
      <c r="AC58" s="14">
        <v>397</v>
      </c>
      <c r="AD58" s="14">
        <v>-93</v>
      </c>
      <c r="AE58" s="14">
        <v>873</v>
      </c>
      <c r="AF58" s="14">
        <v>184</v>
      </c>
      <c r="AG58" s="14">
        <v>495</v>
      </c>
      <c r="AI58" s="14">
        <v>781</v>
      </c>
      <c r="AJ58" s="14">
        <v>-186</v>
      </c>
      <c r="AK58" s="14">
        <v>580</v>
      </c>
      <c r="AL58" s="14">
        <v>12</v>
      </c>
      <c r="AM58" s="14">
        <v>-127</v>
      </c>
      <c r="AN58" s="14">
        <v>20</v>
      </c>
      <c r="AO58" s="14">
        <v>19</v>
      </c>
      <c r="AP58" s="14">
        <v>-156</v>
      </c>
      <c r="AQ58" s="14">
        <v>-205</v>
      </c>
      <c r="AR58" s="14">
        <v>607</v>
      </c>
      <c r="AS58" s="14">
        <v>-58</v>
      </c>
      <c r="AT58" s="14">
        <v>-24</v>
      </c>
      <c r="AU58" s="14">
        <v>11</v>
      </c>
      <c r="AV58" s="14">
        <v>102</v>
      </c>
      <c r="AW58" s="14">
        <v>414</v>
      </c>
      <c r="AX58" s="14">
        <v>120</v>
      </c>
      <c r="AY58" s="14">
        <v>-787</v>
      </c>
      <c r="AZ58" s="14">
        <v>-12</v>
      </c>
      <c r="BA58" s="14">
        <v>-237</v>
      </c>
      <c r="BB58" s="14">
        <v>73</v>
      </c>
      <c r="BC58" s="14">
        <v>-2</v>
      </c>
      <c r="BD58" s="14">
        <v>41</v>
      </c>
      <c r="BE58" s="14">
        <v>-5746</v>
      </c>
    </row>
    <row r="59" spans="1:57" x14ac:dyDescent="0.25">
      <c r="A59" s="14">
        <v>123</v>
      </c>
      <c r="B59" s="14">
        <v>1283</v>
      </c>
      <c r="E59" s="14">
        <v>303</v>
      </c>
      <c r="F59" s="14">
        <v>1733</v>
      </c>
      <c r="G59" s="14">
        <v>25</v>
      </c>
      <c r="H59" s="14">
        <v>310</v>
      </c>
      <c r="I59" s="14">
        <v>172</v>
      </c>
      <c r="J59" s="14">
        <v>80</v>
      </c>
      <c r="K59" s="14">
        <v>-367</v>
      </c>
      <c r="L59" s="14">
        <v>-256</v>
      </c>
      <c r="M59" s="14">
        <v>-179</v>
      </c>
      <c r="N59" s="14">
        <v>9</v>
      </c>
      <c r="O59" s="14">
        <v>665</v>
      </c>
      <c r="P59" s="14">
        <v>108</v>
      </c>
      <c r="Q59" s="14">
        <v>409</v>
      </c>
      <c r="S59" s="14">
        <v>-102</v>
      </c>
      <c r="T59" s="14">
        <v>102</v>
      </c>
      <c r="V59" s="14">
        <v>128</v>
      </c>
      <c r="W59" s="14">
        <v>118</v>
      </c>
      <c r="X59" s="14">
        <v>7</v>
      </c>
      <c r="Y59" s="14">
        <v>499</v>
      </c>
      <c r="Z59" s="14">
        <v>-22</v>
      </c>
      <c r="AA59" s="14">
        <v>-132</v>
      </c>
      <c r="AB59" s="14">
        <v>8</v>
      </c>
      <c r="AC59" s="14">
        <v>84</v>
      </c>
      <c r="AD59" s="14">
        <v>-26</v>
      </c>
      <c r="AE59" s="14">
        <v>123</v>
      </c>
      <c r="AF59" s="14">
        <v>277</v>
      </c>
      <c r="AG59" s="14">
        <v>958</v>
      </c>
      <c r="AI59" s="14">
        <v>-19</v>
      </c>
      <c r="AJ59" s="14">
        <v>-751</v>
      </c>
      <c r="AK59" s="14">
        <v>763</v>
      </c>
      <c r="AL59" s="14">
        <v>32</v>
      </c>
      <c r="AM59" s="14">
        <v>140</v>
      </c>
      <c r="AN59" s="14">
        <v>7</v>
      </c>
      <c r="AO59" s="14">
        <v>120</v>
      </c>
      <c r="AP59" s="14">
        <v>-285</v>
      </c>
      <c r="AQ59" s="14">
        <v>74</v>
      </c>
      <c r="AR59" s="14">
        <v>5</v>
      </c>
      <c r="AS59" s="14">
        <v>-10</v>
      </c>
      <c r="AT59" s="14">
        <v>-29</v>
      </c>
      <c r="AU59" s="14">
        <v>21</v>
      </c>
      <c r="AV59" s="14">
        <v>-477</v>
      </c>
      <c r="AW59" s="14">
        <v>-103</v>
      </c>
      <c r="AX59" s="14">
        <v>-509</v>
      </c>
      <c r="AY59" s="14">
        <v>205</v>
      </c>
      <c r="AZ59" s="14">
        <v>-64</v>
      </c>
      <c r="BA59" s="14">
        <v>-116</v>
      </c>
      <c r="BB59" s="14">
        <v>42</v>
      </c>
      <c r="BC59" s="14">
        <v>14</v>
      </c>
      <c r="BD59" s="14">
        <v>13</v>
      </c>
      <c r="BE59" s="14">
        <v>-4619</v>
      </c>
    </row>
    <row r="60" spans="1:57" x14ac:dyDescent="0.25">
      <c r="A60" s="14">
        <v>44</v>
      </c>
      <c r="B60" s="14">
        <v>-1251</v>
      </c>
      <c r="E60" s="14">
        <v>-31</v>
      </c>
      <c r="F60" s="14">
        <v>-638</v>
      </c>
      <c r="G60" s="14">
        <v>66</v>
      </c>
      <c r="H60" s="14">
        <v>421</v>
      </c>
      <c r="I60" s="14">
        <v>767</v>
      </c>
      <c r="J60" s="14">
        <v>79</v>
      </c>
      <c r="K60" s="14">
        <v>119</v>
      </c>
      <c r="L60" s="14">
        <v>443</v>
      </c>
      <c r="M60" s="14">
        <v>-121</v>
      </c>
      <c r="N60" s="14">
        <v>13</v>
      </c>
      <c r="O60" s="14">
        <v>612</v>
      </c>
      <c r="P60" s="14">
        <v>4</v>
      </c>
      <c r="Q60" s="14">
        <v>118</v>
      </c>
      <c r="S60" s="14">
        <v>-319</v>
      </c>
      <c r="T60" s="14">
        <v>97</v>
      </c>
      <c r="V60" s="14">
        <v>-601</v>
      </c>
      <c r="W60" s="14">
        <v>6</v>
      </c>
      <c r="X60" s="14">
        <v>2</v>
      </c>
      <c r="Y60" s="14">
        <v>-145</v>
      </c>
      <c r="Z60" s="14">
        <v>-2</v>
      </c>
      <c r="AA60" s="14">
        <v>-846</v>
      </c>
      <c r="AB60" s="14">
        <v>16</v>
      </c>
      <c r="AC60" s="14">
        <v>-122</v>
      </c>
      <c r="AD60" s="14">
        <v>-30</v>
      </c>
      <c r="AE60" s="14">
        <v>115</v>
      </c>
      <c r="AF60" s="14">
        <v>-177</v>
      </c>
      <c r="AG60" s="14">
        <v>514</v>
      </c>
      <c r="AI60" s="14">
        <v>-85</v>
      </c>
      <c r="AJ60" s="14">
        <v>-200</v>
      </c>
      <c r="AK60" s="14">
        <v>24</v>
      </c>
      <c r="AL60" s="14">
        <v>278</v>
      </c>
      <c r="AM60" s="14">
        <v>-175</v>
      </c>
      <c r="AN60" s="14">
        <v>22</v>
      </c>
      <c r="AO60" s="14">
        <v>568</v>
      </c>
      <c r="AP60" s="14">
        <v>-246</v>
      </c>
      <c r="AQ60" s="14">
        <v>-133</v>
      </c>
      <c r="AR60" s="14">
        <v>173</v>
      </c>
      <c r="AS60" s="14">
        <v>96</v>
      </c>
      <c r="AT60" s="14">
        <v>-18</v>
      </c>
      <c r="AU60" s="14">
        <v>-41</v>
      </c>
      <c r="AV60" s="14">
        <v>-947</v>
      </c>
      <c r="AW60" s="14">
        <v>-53</v>
      </c>
      <c r="AX60" s="14">
        <v>-418</v>
      </c>
      <c r="AY60" s="14">
        <v>-149</v>
      </c>
      <c r="AZ60" s="14">
        <v>-160</v>
      </c>
      <c r="BA60" s="14">
        <v>-83</v>
      </c>
      <c r="BB60" s="14">
        <v>36</v>
      </c>
      <c r="BC60" s="14">
        <v>101</v>
      </c>
      <c r="BD60" s="14">
        <v>249</v>
      </c>
      <c r="BE60" s="14">
        <v>-4293</v>
      </c>
    </row>
    <row r="61" spans="1:57" x14ac:dyDescent="0.25">
      <c r="A61" s="14">
        <v>147</v>
      </c>
      <c r="B61" s="14">
        <v>-501</v>
      </c>
      <c r="E61" s="14">
        <v>179</v>
      </c>
      <c r="F61" s="14">
        <v>-608</v>
      </c>
      <c r="G61" s="14">
        <v>-402</v>
      </c>
      <c r="H61" s="14">
        <v>953</v>
      </c>
      <c r="I61" s="14">
        <v>192</v>
      </c>
      <c r="J61" s="14">
        <v>-34</v>
      </c>
      <c r="K61" s="14">
        <v>670</v>
      </c>
      <c r="L61" s="14">
        <v>221</v>
      </c>
      <c r="M61" s="14">
        <v>-108</v>
      </c>
      <c r="N61" s="14">
        <v>-33</v>
      </c>
      <c r="O61" s="14">
        <v>786</v>
      </c>
      <c r="P61" s="14">
        <v>241</v>
      </c>
      <c r="Q61" s="14">
        <v>-223</v>
      </c>
      <c r="S61" s="14">
        <v>-329</v>
      </c>
      <c r="T61" s="14">
        <v>72</v>
      </c>
      <c r="V61" s="14">
        <v>-163</v>
      </c>
      <c r="W61" s="14">
        <v>738</v>
      </c>
      <c r="X61" s="14">
        <v>39</v>
      </c>
      <c r="Y61" s="14">
        <v>19</v>
      </c>
      <c r="Z61" s="14">
        <v>-6</v>
      </c>
      <c r="AA61" s="14">
        <v>-352</v>
      </c>
      <c r="AB61" s="14">
        <v>40</v>
      </c>
      <c r="AC61" s="14">
        <v>167</v>
      </c>
      <c r="AD61" s="14">
        <v>-41</v>
      </c>
      <c r="AE61" s="14">
        <v>2</v>
      </c>
      <c r="AF61" s="14">
        <v>112</v>
      </c>
      <c r="AG61" s="14">
        <v>-16</v>
      </c>
      <c r="AI61" s="14">
        <v>-447</v>
      </c>
      <c r="AJ61" s="14">
        <v>31</v>
      </c>
      <c r="AK61" s="14">
        <v>10</v>
      </c>
      <c r="AL61" s="14">
        <v>60</v>
      </c>
      <c r="AM61" s="14">
        <v>-143</v>
      </c>
      <c r="AN61" s="14">
        <v>-350</v>
      </c>
      <c r="AO61" s="14">
        <v>584</v>
      </c>
      <c r="AP61" s="14">
        <v>-192</v>
      </c>
      <c r="AQ61" s="14">
        <v>-584</v>
      </c>
      <c r="AR61" s="14">
        <v>-269</v>
      </c>
      <c r="AS61" s="14">
        <v>-23</v>
      </c>
      <c r="AT61" s="14">
        <v>25</v>
      </c>
      <c r="AU61" s="14">
        <v>-23</v>
      </c>
      <c r="AV61" s="14">
        <v>-175</v>
      </c>
      <c r="AW61" s="14">
        <v>-262</v>
      </c>
      <c r="AX61" s="14">
        <v>-790</v>
      </c>
      <c r="AY61" s="14">
        <v>729</v>
      </c>
      <c r="AZ61" s="14">
        <v>255</v>
      </c>
      <c r="BA61" s="14">
        <v>-81</v>
      </c>
      <c r="BB61" s="14">
        <v>-219</v>
      </c>
      <c r="BC61" s="14">
        <v>-2</v>
      </c>
      <c r="BD61" s="14">
        <v>48</v>
      </c>
      <c r="BE61" s="14">
        <v>-3093</v>
      </c>
    </row>
    <row r="62" spans="1:57" x14ac:dyDescent="0.25">
      <c r="A62" s="14">
        <v>85</v>
      </c>
      <c r="B62" s="14">
        <v>122</v>
      </c>
      <c r="E62" s="14">
        <v>86</v>
      </c>
      <c r="F62" s="14">
        <v>-202</v>
      </c>
      <c r="G62" s="14">
        <v>129</v>
      </c>
      <c r="H62" s="14">
        <v>449</v>
      </c>
      <c r="I62" s="14">
        <v>571</v>
      </c>
      <c r="J62" s="14">
        <v>223</v>
      </c>
      <c r="K62" s="14">
        <v>488</v>
      </c>
      <c r="L62" s="14">
        <v>573</v>
      </c>
      <c r="M62" s="14">
        <v>-131</v>
      </c>
      <c r="N62" s="14">
        <v>-16</v>
      </c>
      <c r="O62" s="14">
        <v>625</v>
      </c>
      <c r="P62" s="14">
        <v>330</v>
      </c>
      <c r="Q62" s="14">
        <v>377</v>
      </c>
      <c r="S62" s="14">
        <v>21</v>
      </c>
      <c r="T62" s="14">
        <v>87</v>
      </c>
      <c r="V62" s="14">
        <v>-338</v>
      </c>
      <c r="W62" s="14">
        <v>-19</v>
      </c>
      <c r="X62" s="14">
        <v>-1</v>
      </c>
      <c r="Y62" s="14">
        <v>-43</v>
      </c>
      <c r="Z62" s="14">
        <v>-11</v>
      </c>
      <c r="AA62" s="14">
        <v>6</v>
      </c>
      <c r="AB62" s="14">
        <v>427</v>
      </c>
      <c r="AC62" s="14">
        <v>107</v>
      </c>
      <c r="AD62" s="14">
        <v>-38</v>
      </c>
      <c r="AE62" s="14">
        <v>-176</v>
      </c>
      <c r="AF62" s="14">
        <v>682</v>
      </c>
      <c r="AG62" s="14">
        <v>210</v>
      </c>
      <c r="AI62" s="14">
        <v>-647</v>
      </c>
      <c r="AJ62" s="14">
        <v>144</v>
      </c>
      <c r="AK62" s="14">
        <v>3</v>
      </c>
      <c r="AL62" s="14">
        <v>87</v>
      </c>
      <c r="AM62" s="14">
        <v>288</v>
      </c>
      <c r="AN62" s="14">
        <v>8</v>
      </c>
      <c r="AO62" s="14">
        <v>460</v>
      </c>
      <c r="AP62" s="14">
        <v>-223</v>
      </c>
      <c r="AQ62" s="14">
        <v>7</v>
      </c>
      <c r="AR62" s="14">
        <v>-166</v>
      </c>
      <c r="AS62" s="14">
        <v>5</v>
      </c>
      <c r="AT62" s="14">
        <v>11</v>
      </c>
      <c r="AU62" s="14">
        <v>29</v>
      </c>
      <c r="AV62" s="14">
        <v>-457</v>
      </c>
      <c r="AW62" s="14">
        <v>567</v>
      </c>
      <c r="AX62" s="14">
        <v>-108</v>
      </c>
      <c r="AY62" s="14">
        <v>481</v>
      </c>
      <c r="AZ62" s="14">
        <v>-107</v>
      </c>
      <c r="BA62" s="14">
        <v>-120</v>
      </c>
      <c r="BB62" s="14">
        <v>-1664</v>
      </c>
      <c r="BC62" s="14">
        <v>3</v>
      </c>
      <c r="BD62" s="14">
        <v>-18</v>
      </c>
      <c r="BE62" s="14">
        <v>-2054</v>
      </c>
    </row>
    <row r="63" spans="1:57" x14ac:dyDescent="0.25">
      <c r="A63" s="14">
        <v>80</v>
      </c>
      <c r="B63" s="14">
        <v>392</v>
      </c>
      <c r="E63" s="14">
        <v>9</v>
      </c>
      <c r="F63" s="14">
        <v>-189</v>
      </c>
      <c r="G63" s="14">
        <v>934</v>
      </c>
      <c r="H63" s="14">
        <v>358</v>
      </c>
      <c r="I63" s="14">
        <v>142</v>
      </c>
      <c r="J63" s="14">
        <v>144</v>
      </c>
      <c r="K63" s="14">
        <v>33</v>
      </c>
      <c r="L63" s="14">
        <v>326</v>
      </c>
      <c r="M63" s="14">
        <v>-180</v>
      </c>
      <c r="N63" s="14">
        <v>8</v>
      </c>
      <c r="O63" s="14">
        <v>841</v>
      </c>
      <c r="P63" s="14">
        <v>-263</v>
      </c>
      <c r="Q63" s="14">
        <v>6</v>
      </c>
      <c r="S63" s="14">
        <v>164</v>
      </c>
      <c r="T63" s="14">
        <v>4</v>
      </c>
      <c r="V63" s="14">
        <v>322</v>
      </c>
      <c r="W63" s="14">
        <v>-1</v>
      </c>
      <c r="X63" s="14">
        <v>367</v>
      </c>
      <c r="Y63" s="14">
        <v>681</v>
      </c>
      <c r="Z63" s="14">
        <v>-41</v>
      </c>
      <c r="AA63" s="14">
        <v>-331</v>
      </c>
      <c r="AB63" s="14">
        <v>-832</v>
      </c>
      <c r="AC63" s="14">
        <v>-149</v>
      </c>
      <c r="AD63" s="14">
        <v>-11</v>
      </c>
      <c r="AE63" s="14">
        <v>-437</v>
      </c>
      <c r="AF63" s="14">
        <v>428</v>
      </c>
      <c r="AG63" s="14">
        <v>277</v>
      </c>
      <c r="AI63" s="14">
        <v>-165</v>
      </c>
      <c r="AJ63" s="14">
        <v>81</v>
      </c>
      <c r="AK63" s="14">
        <v>309</v>
      </c>
      <c r="AL63" s="14">
        <v>98</v>
      </c>
      <c r="AM63" s="14">
        <v>427</v>
      </c>
      <c r="AN63" s="14">
        <v>3</v>
      </c>
      <c r="AO63" s="14">
        <v>164</v>
      </c>
      <c r="AP63" s="14">
        <v>-703</v>
      </c>
      <c r="AQ63" s="14">
        <v>-4</v>
      </c>
      <c r="AR63" s="14">
        <v>108</v>
      </c>
      <c r="AS63" s="14">
        <v>25</v>
      </c>
      <c r="AT63" s="14">
        <v>26</v>
      </c>
      <c r="AU63" s="14">
        <v>65</v>
      </c>
      <c r="AV63" s="14">
        <v>1</v>
      </c>
      <c r="AW63" s="14">
        <v>-227</v>
      </c>
      <c r="AX63" s="14">
        <v>-705</v>
      </c>
      <c r="AY63" s="14">
        <v>-252</v>
      </c>
      <c r="AZ63" s="14">
        <v>848</v>
      </c>
      <c r="BA63" s="14">
        <v>803</v>
      </c>
      <c r="BB63" s="14">
        <v>-9507</v>
      </c>
      <c r="BC63" s="14">
        <v>-408</v>
      </c>
      <c r="BD63" s="14">
        <v>-32</v>
      </c>
      <c r="BE63" s="14">
        <v>-3227</v>
      </c>
    </row>
    <row r="64" spans="1:57" x14ac:dyDescent="0.25">
      <c r="A64" s="14">
        <v>-18</v>
      </c>
      <c r="B64" s="14">
        <v>394</v>
      </c>
      <c r="E64" s="14">
        <v>29</v>
      </c>
      <c r="F64" s="14">
        <v>43</v>
      </c>
      <c r="G64" s="14">
        <v>678</v>
      </c>
      <c r="H64" s="14">
        <v>129</v>
      </c>
      <c r="I64" s="14">
        <v>260</v>
      </c>
      <c r="J64" s="14">
        <v>77</v>
      </c>
      <c r="K64" s="14">
        <v>-549</v>
      </c>
      <c r="L64" s="14">
        <v>-393</v>
      </c>
      <c r="M64" s="14">
        <v>128</v>
      </c>
      <c r="N64" s="14">
        <v>20</v>
      </c>
      <c r="O64" s="14">
        <v>788</v>
      </c>
      <c r="P64" s="14">
        <v>-776</v>
      </c>
      <c r="Q64" s="14">
        <v>562</v>
      </c>
      <c r="S64" s="14">
        <v>267</v>
      </c>
      <c r="T64" s="14">
        <v>105</v>
      </c>
      <c r="V64" s="14">
        <v>-9</v>
      </c>
      <c r="W64" s="14">
        <v>67</v>
      </c>
      <c r="X64" s="14">
        <v>213</v>
      </c>
      <c r="Y64" s="14">
        <v>2508</v>
      </c>
      <c r="Z64" s="14">
        <v>4</v>
      </c>
      <c r="AA64" s="14">
        <v>-171</v>
      </c>
      <c r="AB64" s="14">
        <v>117</v>
      </c>
      <c r="AC64" s="14">
        <v>712</v>
      </c>
      <c r="AD64" s="14">
        <v>13</v>
      </c>
      <c r="AE64" s="14">
        <v>-102</v>
      </c>
      <c r="AF64" s="14">
        <v>75</v>
      </c>
      <c r="AG64" s="14">
        <v>167</v>
      </c>
      <c r="AI64" s="14">
        <v>-268</v>
      </c>
      <c r="AJ64" s="14">
        <v>801</v>
      </c>
      <c r="AK64" s="14">
        <v>-279</v>
      </c>
      <c r="AL64" s="14">
        <v>92</v>
      </c>
      <c r="AM64" s="14">
        <v>449</v>
      </c>
      <c r="AN64" s="14">
        <v>47</v>
      </c>
      <c r="AO64" s="14">
        <v>187</v>
      </c>
      <c r="AP64" s="14">
        <v>-564</v>
      </c>
      <c r="AQ64" s="14">
        <v>-4</v>
      </c>
      <c r="AR64" s="14">
        <v>143</v>
      </c>
      <c r="AS64" s="14">
        <v>30</v>
      </c>
      <c r="AT64" s="14">
        <v>-5</v>
      </c>
      <c r="AU64" s="14">
        <v>15</v>
      </c>
      <c r="AV64" s="14">
        <v>520</v>
      </c>
      <c r="AW64" s="14">
        <v>-107</v>
      </c>
      <c r="AX64" s="14">
        <v>-151</v>
      </c>
      <c r="AY64" s="14">
        <v>243</v>
      </c>
      <c r="AZ64" s="14">
        <v>-450</v>
      </c>
      <c r="BA64" s="14">
        <v>-124</v>
      </c>
      <c r="BB64" s="14">
        <v>78</v>
      </c>
      <c r="BC64" s="14">
        <v>49</v>
      </c>
      <c r="BD64" s="14">
        <v>-5</v>
      </c>
      <c r="BE64" s="14">
        <v>-115</v>
      </c>
    </row>
    <row r="65" spans="1:57" x14ac:dyDescent="0.25">
      <c r="A65" s="14">
        <v>85</v>
      </c>
      <c r="B65" s="14">
        <v>386</v>
      </c>
      <c r="E65" s="14">
        <v>113</v>
      </c>
      <c r="F65" s="14">
        <v>46</v>
      </c>
      <c r="G65" s="14">
        <v>226</v>
      </c>
      <c r="H65" s="14">
        <v>480</v>
      </c>
      <c r="I65" s="14">
        <v>115</v>
      </c>
      <c r="J65" s="14">
        <v>155</v>
      </c>
      <c r="K65" s="14">
        <v>-692</v>
      </c>
      <c r="L65" s="14">
        <v>143</v>
      </c>
      <c r="M65" s="14">
        <v>108</v>
      </c>
      <c r="N65" s="14">
        <v>22</v>
      </c>
      <c r="O65" s="14">
        <v>726</v>
      </c>
      <c r="P65" s="14">
        <v>-936</v>
      </c>
      <c r="Q65" s="14">
        <v>202</v>
      </c>
      <c r="S65" s="14">
        <v>295</v>
      </c>
      <c r="T65" s="14">
        <v>97</v>
      </c>
      <c r="V65" s="14">
        <v>735</v>
      </c>
      <c r="W65" s="14">
        <v>-78</v>
      </c>
      <c r="X65" s="14">
        <v>-174</v>
      </c>
      <c r="Y65" s="14">
        <v>2714</v>
      </c>
      <c r="Z65" s="14">
        <v>2</v>
      </c>
      <c r="AA65" s="14">
        <v>-38</v>
      </c>
      <c r="AB65" s="14">
        <v>134</v>
      </c>
      <c r="AC65" s="14">
        <v>660</v>
      </c>
      <c r="AD65" s="14">
        <v>-41</v>
      </c>
      <c r="AE65" s="14">
        <v>-121</v>
      </c>
      <c r="AF65" s="14">
        <v>608</v>
      </c>
      <c r="AG65" s="14">
        <v>151</v>
      </c>
      <c r="AI65" s="14">
        <v>-138</v>
      </c>
      <c r="AJ65" s="14">
        <v>-674</v>
      </c>
      <c r="AK65" s="14">
        <v>-1</v>
      </c>
      <c r="AL65" s="14">
        <v>72</v>
      </c>
      <c r="AM65" s="14">
        <v>403</v>
      </c>
      <c r="AN65" s="14">
        <v>-142</v>
      </c>
      <c r="AO65" s="14">
        <v>115</v>
      </c>
      <c r="AP65" s="14">
        <v>-857</v>
      </c>
      <c r="AQ65" s="14">
        <v>204</v>
      </c>
      <c r="AR65" s="14">
        <v>-592</v>
      </c>
      <c r="AS65" s="14">
        <v>22</v>
      </c>
      <c r="AT65" s="14">
        <v>27</v>
      </c>
      <c r="AU65" s="14">
        <v>-26</v>
      </c>
      <c r="AV65" s="14">
        <v>-1</v>
      </c>
      <c r="AW65" s="14">
        <v>-469</v>
      </c>
      <c r="AX65" s="14">
        <v>-547</v>
      </c>
      <c r="AY65" s="14">
        <v>-103</v>
      </c>
      <c r="AZ65" s="14">
        <v>180</v>
      </c>
      <c r="BA65" s="14">
        <v>-106</v>
      </c>
      <c r="BB65" s="14">
        <v>-15</v>
      </c>
      <c r="BC65" s="14">
        <v>-21668</v>
      </c>
      <c r="BD65" s="14">
        <v>-6</v>
      </c>
      <c r="BE65" s="14">
        <v>-2226</v>
      </c>
    </row>
    <row r="66" spans="1:57" x14ac:dyDescent="0.25">
      <c r="A66" s="14">
        <v>80</v>
      </c>
      <c r="B66" s="14">
        <v>395</v>
      </c>
      <c r="E66" s="14">
        <v>88</v>
      </c>
      <c r="F66" s="14">
        <v>8</v>
      </c>
      <c r="G66" s="14">
        <v>120</v>
      </c>
      <c r="H66" s="14">
        <v>300</v>
      </c>
      <c r="I66" s="14">
        <v>289</v>
      </c>
      <c r="J66" s="14">
        <v>94</v>
      </c>
      <c r="K66" s="14">
        <v>298</v>
      </c>
      <c r="L66" s="14">
        <v>844</v>
      </c>
      <c r="M66" s="14">
        <v>109</v>
      </c>
      <c r="N66" s="14">
        <v>-38</v>
      </c>
      <c r="O66" s="14">
        <v>521</v>
      </c>
      <c r="P66" s="14">
        <v>128</v>
      </c>
      <c r="Q66" s="14">
        <v>123</v>
      </c>
      <c r="S66" s="14">
        <v>310</v>
      </c>
      <c r="T66" s="14">
        <v>94</v>
      </c>
      <c r="V66" s="14">
        <v>-726</v>
      </c>
      <c r="W66" s="14">
        <v>-47</v>
      </c>
      <c r="X66" s="14">
        <v>320</v>
      </c>
      <c r="Y66" s="14">
        <v>647</v>
      </c>
      <c r="Z66" s="14">
        <v>-2</v>
      </c>
      <c r="AA66" s="14">
        <v>207</v>
      </c>
      <c r="AB66" s="14">
        <v>307</v>
      </c>
      <c r="AC66" s="14">
        <v>232</v>
      </c>
      <c r="AD66" s="14">
        <v>-87</v>
      </c>
      <c r="AE66" s="14">
        <v>-138</v>
      </c>
      <c r="AF66" s="14">
        <v>218</v>
      </c>
      <c r="AG66" s="14">
        <v>76</v>
      </c>
      <c r="AI66" s="14">
        <v>126</v>
      </c>
      <c r="AJ66" s="14">
        <v>172</v>
      </c>
      <c r="AK66" s="14">
        <v>-83</v>
      </c>
      <c r="AL66" s="14">
        <v>55</v>
      </c>
      <c r="AM66" s="14">
        <v>821</v>
      </c>
      <c r="AN66" s="14">
        <v>-58</v>
      </c>
      <c r="AO66" s="14">
        <v>24</v>
      </c>
      <c r="AP66" s="14">
        <v>-396</v>
      </c>
      <c r="AQ66" s="14">
        <v>-25</v>
      </c>
      <c r="AR66" s="14">
        <v>-228</v>
      </c>
      <c r="AS66" s="14">
        <v>31</v>
      </c>
      <c r="AT66" s="14">
        <v>40</v>
      </c>
      <c r="AU66" s="14">
        <v>19</v>
      </c>
      <c r="AV66" s="14">
        <v>972</v>
      </c>
      <c r="AW66" s="14">
        <v>-207</v>
      </c>
      <c r="AX66" s="14">
        <v>141</v>
      </c>
      <c r="AY66" s="14">
        <v>861</v>
      </c>
      <c r="AZ66" s="14">
        <v>678</v>
      </c>
      <c r="BA66" s="14">
        <v>-632</v>
      </c>
      <c r="BB66" s="14">
        <v>-1241</v>
      </c>
      <c r="BC66" s="14">
        <v>-3655</v>
      </c>
      <c r="BD66" s="14">
        <v>4</v>
      </c>
      <c r="BE66" s="14">
        <v>-3787</v>
      </c>
    </row>
    <row r="67" spans="1:57" x14ac:dyDescent="0.25">
      <c r="A67" s="14">
        <v>113</v>
      </c>
      <c r="B67" s="14">
        <v>364</v>
      </c>
      <c r="E67" s="14">
        <v>28</v>
      </c>
      <c r="F67" s="14">
        <v>3</v>
      </c>
      <c r="G67" s="14">
        <v>289</v>
      </c>
      <c r="H67" s="14">
        <v>-6723</v>
      </c>
      <c r="I67" s="14">
        <v>283</v>
      </c>
      <c r="J67" s="14">
        <v>80</v>
      </c>
      <c r="K67" s="14">
        <v>-248</v>
      </c>
      <c r="L67" s="14">
        <v>160</v>
      </c>
      <c r="M67" s="14">
        <v>966</v>
      </c>
      <c r="N67" s="14">
        <v>-22</v>
      </c>
      <c r="O67" s="14">
        <v>604</v>
      </c>
      <c r="P67" s="14">
        <v>579</v>
      </c>
      <c r="Q67" s="14">
        <v>129</v>
      </c>
      <c r="S67" s="14">
        <v>201</v>
      </c>
      <c r="V67" s="14">
        <v>438</v>
      </c>
      <c r="W67" s="14">
        <v>10</v>
      </c>
      <c r="X67" s="14">
        <v>-21</v>
      </c>
      <c r="Y67" s="14">
        <v>408</v>
      </c>
      <c r="Z67" s="14">
        <v>-7</v>
      </c>
      <c r="AA67" s="14">
        <v>-381</v>
      </c>
      <c r="AB67" s="14">
        <v>316</v>
      </c>
      <c r="AC67" s="14">
        <v>892</v>
      </c>
      <c r="AD67" s="14">
        <v>-28</v>
      </c>
      <c r="AE67" s="14">
        <v>-181</v>
      </c>
      <c r="AF67" s="14">
        <v>291</v>
      </c>
      <c r="AG67" s="14">
        <v>-616</v>
      </c>
      <c r="AI67" s="14">
        <v>124</v>
      </c>
      <c r="AJ67" s="14">
        <v>640</v>
      </c>
      <c r="AK67" s="14">
        <v>-81</v>
      </c>
      <c r="AL67" s="14">
        <v>301</v>
      </c>
      <c r="AM67" s="14">
        <v>379</v>
      </c>
      <c r="AN67" s="14">
        <v>3</v>
      </c>
      <c r="AO67" s="14">
        <v>18</v>
      </c>
      <c r="AP67" s="14">
        <v>-375</v>
      </c>
      <c r="AQ67" s="14">
        <v>161</v>
      </c>
      <c r="AR67" s="14">
        <v>-513</v>
      </c>
      <c r="AS67" s="14">
        <v>16</v>
      </c>
      <c r="AT67" s="14">
        <v>39</v>
      </c>
      <c r="AU67" s="14">
        <v>-9</v>
      </c>
      <c r="AV67" s="14">
        <v>878</v>
      </c>
      <c r="AW67" s="14">
        <v>160</v>
      </c>
      <c r="AX67" s="14">
        <v>-429</v>
      </c>
      <c r="AY67" s="14">
        <v>449</v>
      </c>
      <c r="AZ67" s="14">
        <v>-281</v>
      </c>
      <c r="BA67" s="14">
        <v>-743</v>
      </c>
      <c r="BB67" s="14">
        <v>-1616</v>
      </c>
      <c r="BC67" s="14">
        <v>-26271</v>
      </c>
      <c r="BD67" s="14">
        <v>175</v>
      </c>
      <c r="BE67" s="14">
        <v>-1840</v>
      </c>
    </row>
    <row r="68" spans="1:57" x14ac:dyDescent="0.25">
      <c r="A68" s="14">
        <v>109</v>
      </c>
      <c r="B68" s="14">
        <v>393</v>
      </c>
      <c r="E68" s="14">
        <v>115</v>
      </c>
      <c r="F68" s="14">
        <v>5879</v>
      </c>
      <c r="G68" s="14">
        <v>255</v>
      </c>
      <c r="H68" s="14">
        <v>4767</v>
      </c>
      <c r="I68" s="14">
        <v>159</v>
      </c>
      <c r="J68" s="14">
        <v>79</v>
      </c>
      <c r="K68" s="14">
        <v>105</v>
      </c>
      <c r="L68" s="14">
        <v>-697</v>
      </c>
      <c r="M68" s="14">
        <v>868</v>
      </c>
      <c r="N68" s="14">
        <v>2</v>
      </c>
      <c r="O68" s="14">
        <v>552</v>
      </c>
      <c r="P68" s="14">
        <v>108</v>
      </c>
      <c r="Q68" s="14">
        <v>-10</v>
      </c>
      <c r="S68" s="14">
        <v>500</v>
      </c>
      <c r="V68" s="14">
        <v>194</v>
      </c>
      <c r="W68" s="14">
        <v>806</v>
      </c>
      <c r="X68" s="14">
        <v>188</v>
      </c>
      <c r="Y68" s="14">
        <v>475</v>
      </c>
      <c r="Z68" s="14">
        <v>12</v>
      </c>
      <c r="AA68" s="14">
        <v>-122</v>
      </c>
      <c r="AB68" s="14">
        <v>-545</v>
      </c>
      <c r="AC68" s="14">
        <v>-259</v>
      </c>
      <c r="AD68" s="14">
        <v>-27</v>
      </c>
      <c r="AE68" s="14">
        <v>-223</v>
      </c>
      <c r="AF68" s="14">
        <v>-180</v>
      </c>
      <c r="AG68" s="14">
        <v>69</v>
      </c>
      <c r="AI68" s="14">
        <v>815</v>
      </c>
      <c r="AJ68" s="14">
        <v>135</v>
      </c>
      <c r="AK68" s="14">
        <v>-138</v>
      </c>
      <c r="AL68" s="14">
        <v>65</v>
      </c>
      <c r="AM68" s="14">
        <v>273</v>
      </c>
      <c r="AN68" s="14">
        <v>28</v>
      </c>
      <c r="AO68" s="14">
        <v>30</v>
      </c>
      <c r="AP68" s="14">
        <v>-513</v>
      </c>
      <c r="AQ68" s="14">
        <v>-4</v>
      </c>
      <c r="AR68" s="14">
        <v>-955</v>
      </c>
      <c r="AS68" s="14">
        <v>107</v>
      </c>
      <c r="AT68" s="14">
        <v>9</v>
      </c>
      <c r="AU68" s="14">
        <v>-179</v>
      </c>
      <c r="AV68" s="14">
        <v>290</v>
      </c>
      <c r="AW68" s="14">
        <v>-115</v>
      </c>
      <c r="AX68" s="14">
        <v>894</v>
      </c>
      <c r="AY68" s="14">
        <v>303</v>
      </c>
      <c r="AZ68" s="14">
        <v>139</v>
      </c>
      <c r="BA68" s="14">
        <v>163</v>
      </c>
      <c r="BB68" s="14">
        <v>265</v>
      </c>
      <c r="BC68" s="14">
        <v>-26</v>
      </c>
      <c r="BD68" s="14">
        <v>-148</v>
      </c>
      <c r="BE68" s="14">
        <v>-5447</v>
      </c>
    </row>
    <row r="69" spans="1:57" x14ac:dyDescent="0.25">
      <c r="A69" s="14">
        <v>112</v>
      </c>
      <c r="B69" s="14">
        <v>287</v>
      </c>
      <c r="E69" s="14">
        <v>149</v>
      </c>
      <c r="F69" s="14">
        <v>228</v>
      </c>
      <c r="G69" s="14">
        <v>22</v>
      </c>
      <c r="H69" s="14">
        <v>3687</v>
      </c>
      <c r="I69" s="14">
        <v>708</v>
      </c>
      <c r="J69" s="14">
        <v>-34</v>
      </c>
      <c r="K69" s="14">
        <v>789</v>
      </c>
      <c r="L69" s="14">
        <v>364</v>
      </c>
      <c r="M69" s="14">
        <v>773</v>
      </c>
      <c r="N69" s="14">
        <v>11</v>
      </c>
      <c r="O69" s="14">
        <v>441</v>
      </c>
      <c r="P69" s="14">
        <v>7</v>
      </c>
      <c r="Q69" s="14">
        <v>290</v>
      </c>
      <c r="S69" s="14">
        <v>-740</v>
      </c>
      <c r="V69" s="14">
        <v>367</v>
      </c>
      <c r="W69" s="14">
        <v>-33</v>
      </c>
      <c r="X69" s="14">
        <v>-489</v>
      </c>
      <c r="Y69" s="14">
        <v>23</v>
      </c>
      <c r="Z69" s="14">
        <v>841</v>
      </c>
      <c r="AA69" s="14">
        <v>904</v>
      </c>
      <c r="AB69" s="14">
        <v>-249</v>
      </c>
      <c r="AC69" s="14">
        <v>168</v>
      </c>
      <c r="AD69" s="14">
        <v>8</v>
      </c>
      <c r="AE69" s="14">
        <v>-266</v>
      </c>
      <c r="AF69" s="14">
        <v>155</v>
      </c>
      <c r="AG69" s="14">
        <v>69</v>
      </c>
      <c r="AI69" s="14">
        <v>-7</v>
      </c>
      <c r="AJ69" s="14">
        <v>-126</v>
      </c>
      <c r="AK69" s="14">
        <v>-21</v>
      </c>
      <c r="AL69" s="14">
        <v>61</v>
      </c>
      <c r="AM69" s="14">
        <v>231</v>
      </c>
      <c r="AN69" s="14">
        <v>45</v>
      </c>
      <c r="AO69" s="14">
        <v>584</v>
      </c>
      <c r="AP69" s="14">
        <v>-355</v>
      </c>
      <c r="AQ69" s="14">
        <v>234</v>
      </c>
      <c r="AR69" s="14">
        <v>-204</v>
      </c>
      <c r="AS69" s="14">
        <v>6</v>
      </c>
      <c r="AT69" s="14">
        <v>18</v>
      </c>
      <c r="AU69" s="14">
        <v>29</v>
      </c>
      <c r="AV69" s="14">
        <v>201</v>
      </c>
      <c r="AW69" s="14">
        <v>-547</v>
      </c>
      <c r="AX69" s="14">
        <v>552</v>
      </c>
      <c r="AY69" s="14">
        <v>-143</v>
      </c>
      <c r="AZ69" s="14">
        <v>452</v>
      </c>
      <c r="BA69" s="14">
        <v>327</v>
      </c>
      <c r="BB69" s="14">
        <v>-87</v>
      </c>
      <c r="BC69" s="14">
        <v>109</v>
      </c>
      <c r="BD69" s="14">
        <v>58</v>
      </c>
      <c r="BE69" s="14">
        <v>-5268</v>
      </c>
    </row>
    <row r="70" spans="1:57" x14ac:dyDescent="0.25">
      <c r="A70" s="14">
        <v>43</v>
      </c>
      <c r="B70" s="14">
        <v>-3961</v>
      </c>
      <c r="E70" s="14">
        <v>-147</v>
      </c>
      <c r="F70" s="14">
        <v>4839</v>
      </c>
      <c r="G70" s="14">
        <v>60</v>
      </c>
      <c r="H70" s="14">
        <v>-7132</v>
      </c>
      <c r="I70" s="14">
        <v>177</v>
      </c>
      <c r="J70" s="14">
        <v>-265</v>
      </c>
      <c r="K70" s="14">
        <v>185</v>
      </c>
      <c r="L70" s="14">
        <v>381</v>
      </c>
      <c r="M70" s="14">
        <v>773</v>
      </c>
      <c r="N70" s="14">
        <v>32</v>
      </c>
      <c r="O70" s="14">
        <v>23</v>
      </c>
      <c r="P70" s="14">
        <v>226</v>
      </c>
      <c r="Q70" s="14">
        <v>796</v>
      </c>
      <c r="S70" s="14">
        <v>430</v>
      </c>
      <c r="V70" s="14">
        <v>-161</v>
      </c>
      <c r="W70" s="14">
        <v>69</v>
      </c>
      <c r="X70" s="14">
        <v>133</v>
      </c>
      <c r="Y70" s="14">
        <v>15</v>
      </c>
      <c r="Z70" s="14">
        <v>347</v>
      </c>
      <c r="AA70" s="14">
        <v>163</v>
      </c>
      <c r="AB70" s="14">
        <v>68</v>
      </c>
      <c r="AC70" s="14">
        <v>-540</v>
      </c>
      <c r="AD70" s="14">
        <v>-134</v>
      </c>
      <c r="AE70" s="14">
        <v>-309</v>
      </c>
      <c r="AF70" s="14">
        <v>100</v>
      </c>
      <c r="AG70" s="14">
        <v>-60</v>
      </c>
      <c r="AI70" s="14">
        <v>-453</v>
      </c>
      <c r="AJ70" s="14">
        <v>-111</v>
      </c>
      <c r="AK70" s="14">
        <v>-90</v>
      </c>
      <c r="AL70" s="14">
        <v>186</v>
      </c>
      <c r="AM70" s="14">
        <v>-105</v>
      </c>
      <c r="AN70" s="14">
        <v>-22</v>
      </c>
      <c r="AO70" s="14">
        <v>595</v>
      </c>
      <c r="AP70" s="14">
        <v>249</v>
      </c>
      <c r="AQ70" s="14">
        <v>-30</v>
      </c>
      <c r="AR70" s="14">
        <v>954</v>
      </c>
      <c r="AS70" s="14">
        <v>190</v>
      </c>
      <c r="AT70" s="14">
        <v>-23</v>
      </c>
      <c r="AU70" s="14">
        <v>25</v>
      </c>
      <c r="AV70" s="14">
        <v>-132</v>
      </c>
      <c r="AW70" s="14">
        <v>-336</v>
      </c>
      <c r="AX70" s="14">
        <v>535</v>
      </c>
      <c r="AY70" s="14">
        <v>-144</v>
      </c>
      <c r="AZ70" s="14">
        <v>271</v>
      </c>
      <c r="BA70" s="14">
        <v>267</v>
      </c>
      <c r="BB70" s="14">
        <v>585</v>
      </c>
      <c r="BC70" s="14">
        <v>-5</v>
      </c>
      <c r="BD70" s="14">
        <v>-133</v>
      </c>
      <c r="BE70" s="14">
        <v>-4663</v>
      </c>
    </row>
    <row r="71" spans="1:57" x14ac:dyDescent="0.25">
      <c r="A71" s="14">
        <v>81</v>
      </c>
      <c r="B71" s="14">
        <v>277</v>
      </c>
      <c r="E71" s="14">
        <v>40</v>
      </c>
      <c r="F71" s="14">
        <v>282</v>
      </c>
      <c r="G71" s="14">
        <v>52</v>
      </c>
      <c r="H71" s="14">
        <v>-1594</v>
      </c>
      <c r="I71" s="14">
        <v>299</v>
      </c>
      <c r="J71" s="14">
        <v>224</v>
      </c>
      <c r="K71" s="14">
        <v>-286</v>
      </c>
      <c r="L71" s="14">
        <v>-172</v>
      </c>
      <c r="M71" s="14">
        <v>998</v>
      </c>
      <c r="N71" s="14">
        <v>65</v>
      </c>
      <c r="O71" s="14">
        <v>37</v>
      </c>
      <c r="P71" s="14">
        <v>324</v>
      </c>
      <c r="Q71" s="14">
        <v>-221</v>
      </c>
      <c r="S71" s="14">
        <v>358</v>
      </c>
      <c r="V71" s="14">
        <v>66</v>
      </c>
      <c r="W71" s="14">
        <v>-96</v>
      </c>
      <c r="X71" s="14">
        <v>371</v>
      </c>
      <c r="Y71" s="14">
        <v>-15</v>
      </c>
      <c r="Z71" s="14">
        <v>-175</v>
      </c>
      <c r="AA71" s="14">
        <v>-839</v>
      </c>
      <c r="AB71" s="14">
        <v>9</v>
      </c>
      <c r="AC71" s="14">
        <v>969</v>
      </c>
      <c r="AD71" s="14">
        <v>71</v>
      </c>
      <c r="AE71" s="14">
        <v>-502</v>
      </c>
      <c r="AF71" s="14">
        <v>524</v>
      </c>
      <c r="AG71" s="14">
        <v>-132</v>
      </c>
      <c r="AI71" s="14">
        <v>-930</v>
      </c>
      <c r="AJ71" s="14">
        <v>416</v>
      </c>
      <c r="AK71" s="14">
        <v>-93</v>
      </c>
      <c r="AL71" s="14">
        <v>89</v>
      </c>
      <c r="AM71" s="14">
        <v>787</v>
      </c>
      <c r="AN71" s="14">
        <v>4</v>
      </c>
      <c r="AO71" s="14">
        <v>513</v>
      </c>
      <c r="AP71" s="14">
        <v>-118</v>
      </c>
      <c r="AQ71" s="14">
        <v>165</v>
      </c>
      <c r="AR71" s="14">
        <v>466</v>
      </c>
      <c r="AS71" s="14">
        <v>-16</v>
      </c>
      <c r="AT71" s="14">
        <v>5</v>
      </c>
      <c r="AU71" s="14">
        <v>-19</v>
      </c>
      <c r="AV71" s="14">
        <v>-175</v>
      </c>
      <c r="AW71" s="14">
        <v>-719</v>
      </c>
      <c r="AX71" s="14">
        <v>-108</v>
      </c>
      <c r="AY71" s="14">
        <v>-809</v>
      </c>
      <c r="AZ71" s="14">
        <v>-70</v>
      </c>
      <c r="BA71" s="14">
        <v>659</v>
      </c>
      <c r="BB71" s="14">
        <v>59</v>
      </c>
      <c r="BC71" s="14">
        <v>-7</v>
      </c>
      <c r="BD71" s="14">
        <v>10</v>
      </c>
      <c r="BE71" s="14">
        <v>-1270</v>
      </c>
    </row>
    <row r="72" spans="1:57" x14ac:dyDescent="0.25">
      <c r="A72" s="14">
        <v>-25</v>
      </c>
      <c r="B72" s="14">
        <v>425</v>
      </c>
      <c r="E72" s="14">
        <v>108</v>
      </c>
      <c r="F72" s="14">
        <v>7688</v>
      </c>
      <c r="G72" s="14">
        <v>37</v>
      </c>
      <c r="H72" s="14">
        <v>1618</v>
      </c>
      <c r="I72" s="14">
        <v>168</v>
      </c>
      <c r="J72" s="14">
        <v>69</v>
      </c>
      <c r="K72" s="14">
        <v>-447</v>
      </c>
      <c r="L72" s="14">
        <v>154</v>
      </c>
      <c r="M72" s="14">
        <v>-208</v>
      </c>
      <c r="N72" s="14">
        <v>-18</v>
      </c>
      <c r="O72" s="14">
        <v>33</v>
      </c>
      <c r="P72" s="14">
        <v>-84</v>
      </c>
      <c r="Q72" s="14">
        <v>306</v>
      </c>
      <c r="S72" s="14">
        <v>203</v>
      </c>
      <c r="V72" s="14">
        <v>-108</v>
      </c>
      <c r="W72" s="14">
        <v>18</v>
      </c>
      <c r="X72" s="14">
        <v>39</v>
      </c>
      <c r="Y72" s="14">
        <v>928</v>
      </c>
      <c r="Z72" s="14">
        <v>-40</v>
      </c>
      <c r="AA72" s="14">
        <v>106</v>
      </c>
      <c r="AB72" s="14">
        <v>16</v>
      </c>
      <c r="AC72" s="14">
        <v>-335</v>
      </c>
      <c r="AD72" s="14">
        <v>76</v>
      </c>
      <c r="AE72" s="14">
        <v>833</v>
      </c>
      <c r="AF72" s="14">
        <v>78</v>
      </c>
      <c r="AG72" s="14">
        <v>-55</v>
      </c>
      <c r="AI72" s="14">
        <v>-162</v>
      </c>
      <c r="AJ72" s="14">
        <v>135</v>
      </c>
      <c r="AK72" s="14">
        <v>-97</v>
      </c>
      <c r="AL72" s="14">
        <v>23</v>
      </c>
      <c r="AM72" s="14">
        <v>-899</v>
      </c>
      <c r="AN72" s="14">
        <v>-131</v>
      </c>
      <c r="AO72" s="14">
        <v>158</v>
      </c>
      <c r="AP72" s="14">
        <v>-511</v>
      </c>
      <c r="AQ72" s="14">
        <v>679</v>
      </c>
      <c r="AR72" s="14">
        <v>389</v>
      </c>
      <c r="AS72" s="14">
        <v>5</v>
      </c>
      <c r="AT72" s="14">
        <v>3</v>
      </c>
      <c r="AU72" s="14">
        <v>22</v>
      </c>
      <c r="AV72" s="14">
        <v>-724</v>
      </c>
      <c r="AW72" s="14">
        <v>-434</v>
      </c>
      <c r="AX72" s="14">
        <v>-46</v>
      </c>
      <c r="AY72" s="14">
        <v>-277</v>
      </c>
      <c r="AZ72" s="14">
        <v>202</v>
      </c>
      <c r="BA72" s="14">
        <v>-512</v>
      </c>
      <c r="BB72" s="14">
        <v>166</v>
      </c>
      <c r="BC72" s="14">
        <v>-83</v>
      </c>
      <c r="BD72" s="14">
        <v>42</v>
      </c>
      <c r="BE72" s="14">
        <v>-6</v>
      </c>
    </row>
    <row r="73" spans="1:57" x14ac:dyDescent="0.25">
      <c r="A73" s="14">
        <v>5</v>
      </c>
      <c r="B73" s="14">
        <v>9364</v>
      </c>
      <c r="E73" s="14">
        <v>158</v>
      </c>
      <c r="F73" s="14">
        <v>133</v>
      </c>
      <c r="G73" s="14">
        <v>67</v>
      </c>
      <c r="H73" s="14">
        <v>-2200</v>
      </c>
      <c r="I73" s="14">
        <v>749</v>
      </c>
      <c r="J73" s="14">
        <v>159</v>
      </c>
      <c r="K73" s="14">
        <v>105</v>
      </c>
      <c r="L73" s="14">
        <v>302</v>
      </c>
      <c r="M73" s="14">
        <v>-180</v>
      </c>
      <c r="N73" s="14">
        <v>-19</v>
      </c>
      <c r="O73" s="14">
        <v>52</v>
      </c>
      <c r="P73" s="14">
        <v>-651</v>
      </c>
      <c r="Q73" s="14">
        <v>23</v>
      </c>
      <c r="S73" s="14">
        <v>-104</v>
      </c>
      <c r="V73" s="14">
        <v>95</v>
      </c>
      <c r="W73" s="14">
        <v>-34</v>
      </c>
      <c r="X73" s="14">
        <v>733</v>
      </c>
      <c r="Y73" s="14">
        <v>271</v>
      </c>
      <c r="Z73" s="14">
        <v>75</v>
      </c>
      <c r="AA73" s="14">
        <v>176</v>
      </c>
      <c r="AB73" s="14">
        <v>41</v>
      </c>
      <c r="AC73" s="14">
        <v>159</v>
      </c>
      <c r="AD73" s="14">
        <v>37</v>
      </c>
      <c r="AE73" s="14">
        <v>855</v>
      </c>
      <c r="AF73" s="14">
        <v>623</v>
      </c>
      <c r="AG73" s="14">
        <v>-7</v>
      </c>
      <c r="AI73" s="14">
        <v>-249</v>
      </c>
      <c r="AJ73" s="14">
        <v>612</v>
      </c>
      <c r="AK73" s="14">
        <v>105</v>
      </c>
      <c r="AL73" s="14">
        <v>48</v>
      </c>
      <c r="AM73" s="14">
        <v>696</v>
      </c>
      <c r="AN73" s="14">
        <v>-595</v>
      </c>
      <c r="AO73" s="14">
        <v>240</v>
      </c>
      <c r="AP73" s="14">
        <v>-347</v>
      </c>
      <c r="AQ73" s="14">
        <v>-2</v>
      </c>
      <c r="AR73" s="14">
        <v>832</v>
      </c>
      <c r="AS73" s="14">
        <v>33</v>
      </c>
      <c r="AT73" s="14">
        <v>94</v>
      </c>
      <c r="AU73" s="14">
        <v>46</v>
      </c>
      <c r="AV73" s="14">
        <v>-149</v>
      </c>
      <c r="AW73" s="14">
        <v>328</v>
      </c>
      <c r="AX73" s="14">
        <v>27</v>
      </c>
      <c r="AY73" s="14">
        <v>243</v>
      </c>
      <c r="AZ73" s="14">
        <v>472</v>
      </c>
      <c r="BA73" s="14">
        <v>137</v>
      </c>
      <c r="BB73" s="14">
        <v>-154</v>
      </c>
      <c r="BC73" s="14">
        <v>-1</v>
      </c>
      <c r="BD73" s="14">
        <v>22</v>
      </c>
      <c r="BE73" s="14">
        <v>5</v>
      </c>
    </row>
    <row r="74" spans="1:57" x14ac:dyDescent="0.25">
      <c r="A74" s="14">
        <v>4</v>
      </c>
      <c r="B74" s="14">
        <v>16418</v>
      </c>
      <c r="E74" s="14">
        <v>-168</v>
      </c>
      <c r="F74" s="14">
        <v>5659</v>
      </c>
      <c r="G74" s="14">
        <v>36</v>
      </c>
      <c r="H74" s="14">
        <v>-5871</v>
      </c>
      <c r="I74" s="14">
        <v>187</v>
      </c>
      <c r="J74" s="14">
        <v>109</v>
      </c>
      <c r="K74" s="14">
        <v>546</v>
      </c>
      <c r="L74" s="14">
        <v>747</v>
      </c>
      <c r="M74" s="14">
        <v>-118</v>
      </c>
      <c r="N74" s="14">
        <v>34</v>
      </c>
      <c r="O74" s="14">
        <v>74</v>
      </c>
      <c r="P74" s="14">
        <v>-100</v>
      </c>
      <c r="Q74" s="14">
        <v>495</v>
      </c>
      <c r="S74" s="14">
        <v>-237</v>
      </c>
      <c r="V74" s="14">
        <v>42</v>
      </c>
      <c r="W74" s="14">
        <v>-4</v>
      </c>
      <c r="X74" s="14">
        <v>-445</v>
      </c>
      <c r="Y74" s="14">
        <v>430</v>
      </c>
      <c r="Z74" s="14">
        <v>-112</v>
      </c>
      <c r="AA74" s="14">
        <v>-197</v>
      </c>
      <c r="AB74" s="14">
        <v>-114</v>
      </c>
      <c r="AC74" s="14">
        <v>920</v>
      </c>
      <c r="AD74" s="14">
        <v>45</v>
      </c>
      <c r="AE74" s="14">
        <v>118</v>
      </c>
      <c r="AF74" s="14">
        <v>-202</v>
      </c>
      <c r="AG74" s="14">
        <v>-43</v>
      </c>
      <c r="AI74" s="14">
        <v>-124</v>
      </c>
      <c r="AJ74" s="14">
        <v>116</v>
      </c>
      <c r="AK74" s="14">
        <v>108</v>
      </c>
      <c r="AL74" s="14">
        <v>62</v>
      </c>
      <c r="AM74" s="14">
        <v>749</v>
      </c>
      <c r="AN74" s="14">
        <v>100</v>
      </c>
      <c r="AO74" s="14">
        <v>-52</v>
      </c>
      <c r="AP74" s="14">
        <v>-366</v>
      </c>
      <c r="AQ74" s="14">
        <v>112</v>
      </c>
      <c r="AR74" s="14">
        <v>-273</v>
      </c>
      <c r="AS74" s="14">
        <v>31</v>
      </c>
      <c r="AT74" s="14">
        <v>65</v>
      </c>
      <c r="AU74" s="14">
        <v>-32</v>
      </c>
      <c r="AV74" s="14">
        <v>-230</v>
      </c>
      <c r="AW74" s="14">
        <v>239</v>
      </c>
      <c r="AX74" s="14">
        <v>652</v>
      </c>
      <c r="AY74" s="14">
        <v>-199</v>
      </c>
      <c r="AZ74" s="14">
        <v>-232</v>
      </c>
      <c r="BA74" s="14">
        <v>208</v>
      </c>
      <c r="BB74" s="14">
        <v>-691</v>
      </c>
      <c r="BC74" s="14">
        <v>-2</v>
      </c>
      <c r="BD74" s="14">
        <v>68</v>
      </c>
      <c r="BE74" s="14">
        <v>-3</v>
      </c>
    </row>
    <row r="75" spans="1:57" x14ac:dyDescent="0.25">
      <c r="A75" s="14">
        <v>23</v>
      </c>
      <c r="B75" s="14">
        <v>15695</v>
      </c>
      <c r="E75" s="14">
        <v>111</v>
      </c>
      <c r="F75" s="14">
        <v>238</v>
      </c>
      <c r="G75" s="14">
        <v>21</v>
      </c>
      <c r="H75" s="14">
        <v>-9730</v>
      </c>
      <c r="I75" s="14">
        <v>393</v>
      </c>
      <c r="J75" s="14">
        <v>80</v>
      </c>
      <c r="K75" s="14">
        <v>-35</v>
      </c>
      <c r="L75" s="14">
        <v>-101</v>
      </c>
      <c r="M75" s="14">
        <v>224</v>
      </c>
      <c r="N75" s="14">
        <v>-29</v>
      </c>
      <c r="O75" s="14">
        <v>40</v>
      </c>
      <c r="P75" s="14">
        <v>-12</v>
      </c>
      <c r="Q75" s="14">
        <v>860</v>
      </c>
      <c r="S75" s="14">
        <v>-507</v>
      </c>
      <c r="V75" s="14">
        <v>-137</v>
      </c>
      <c r="W75" s="14">
        <v>71</v>
      </c>
      <c r="X75" s="14">
        <v>5</v>
      </c>
      <c r="Y75" s="14">
        <v>-153</v>
      </c>
      <c r="Z75" s="14">
        <v>-135</v>
      </c>
      <c r="AA75" s="14">
        <v>485</v>
      </c>
      <c r="AB75" s="14">
        <v>-41</v>
      </c>
      <c r="AC75" s="14">
        <v>-197</v>
      </c>
      <c r="AD75" s="14">
        <v>-1</v>
      </c>
      <c r="AE75" s="14">
        <v>122</v>
      </c>
      <c r="AF75" s="14">
        <v>200</v>
      </c>
      <c r="AG75" s="14">
        <v>-137</v>
      </c>
      <c r="AI75" s="14">
        <v>160</v>
      </c>
      <c r="AJ75" s="14">
        <v>293</v>
      </c>
      <c r="AK75" s="14">
        <v>101</v>
      </c>
      <c r="AL75" s="14">
        <v>12</v>
      </c>
      <c r="AM75" s="14">
        <v>-421</v>
      </c>
      <c r="AN75" s="14">
        <v>-4</v>
      </c>
      <c r="AO75" s="14">
        <v>140</v>
      </c>
      <c r="AP75" s="14">
        <v>-362</v>
      </c>
      <c r="AQ75" s="14">
        <v>-18</v>
      </c>
      <c r="AR75" s="14">
        <v>-751</v>
      </c>
      <c r="AS75" s="14">
        <v>24</v>
      </c>
      <c r="AT75" s="14">
        <v>33</v>
      </c>
      <c r="AU75" s="14">
        <v>12</v>
      </c>
      <c r="AV75" s="14">
        <v>1</v>
      </c>
      <c r="AW75" s="14">
        <v>-299</v>
      </c>
      <c r="AX75" s="14">
        <v>723</v>
      </c>
      <c r="AY75" s="14">
        <v>389</v>
      </c>
      <c r="AZ75" s="14">
        <v>134</v>
      </c>
      <c r="BA75" s="14">
        <v>165</v>
      </c>
      <c r="BB75" s="14">
        <v>2359</v>
      </c>
      <c r="BC75" s="14">
        <v>-231</v>
      </c>
      <c r="BD75" s="14">
        <v>53</v>
      </c>
      <c r="BE75" s="14">
        <v>-1</v>
      </c>
    </row>
    <row r="76" spans="1:57" x14ac:dyDescent="0.25">
      <c r="A76" s="14">
        <v>-156</v>
      </c>
      <c r="B76" s="14">
        <v>8392</v>
      </c>
      <c r="E76" s="14">
        <v>112</v>
      </c>
      <c r="F76" s="14">
        <v>7026</v>
      </c>
      <c r="G76" s="14">
        <v>82</v>
      </c>
      <c r="H76" s="14">
        <v>-10657</v>
      </c>
      <c r="I76" s="14">
        <v>-757</v>
      </c>
      <c r="J76" s="14">
        <v>81</v>
      </c>
      <c r="K76" s="14">
        <v>539</v>
      </c>
      <c r="L76" s="14">
        <v>301</v>
      </c>
      <c r="M76" s="14">
        <v>251</v>
      </c>
      <c r="N76" s="14">
        <v>15</v>
      </c>
      <c r="O76" s="14">
        <v>55</v>
      </c>
      <c r="P76" s="14">
        <v>108</v>
      </c>
      <c r="Q76" s="14">
        <v>-809</v>
      </c>
      <c r="S76" s="14">
        <v>-63</v>
      </c>
      <c r="V76" s="14">
        <v>79</v>
      </c>
      <c r="W76" s="14">
        <v>-61</v>
      </c>
      <c r="X76" s="14">
        <v>-5</v>
      </c>
      <c r="Y76" s="14">
        <v>136</v>
      </c>
      <c r="Z76" s="14">
        <v>302</v>
      </c>
      <c r="AA76" s="14">
        <v>93</v>
      </c>
      <c r="AB76" s="14">
        <v>18</v>
      </c>
      <c r="AC76" s="14">
        <v>703</v>
      </c>
      <c r="AD76" s="14">
        <v>11</v>
      </c>
      <c r="AE76" s="14">
        <v>113</v>
      </c>
      <c r="AF76" s="14">
        <v>925</v>
      </c>
      <c r="AG76" s="14">
        <v>-67</v>
      </c>
      <c r="AI76" s="14">
        <v>144</v>
      </c>
      <c r="AJ76" s="14">
        <v>258</v>
      </c>
      <c r="AK76" s="14">
        <v>99</v>
      </c>
      <c r="AL76" s="14">
        <v>35</v>
      </c>
      <c r="AM76" s="14">
        <v>-184</v>
      </c>
      <c r="AN76" s="14">
        <v>-23</v>
      </c>
      <c r="AO76" s="14">
        <v>88</v>
      </c>
      <c r="AP76" s="14">
        <v>-515</v>
      </c>
      <c r="AQ76" s="14">
        <v>41</v>
      </c>
      <c r="AR76" s="14">
        <v>-924</v>
      </c>
      <c r="AS76" s="14">
        <v>27</v>
      </c>
      <c r="AT76" s="14">
        <v>11</v>
      </c>
      <c r="AU76" s="14">
        <v>-16</v>
      </c>
      <c r="AV76" s="14">
        <v>538</v>
      </c>
      <c r="AW76" s="14">
        <v>-257</v>
      </c>
      <c r="AX76" s="14">
        <v>-401</v>
      </c>
      <c r="AY76" s="14">
        <v>-538</v>
      </c>
      <c r="AZ76" s="14">
        <v>599</v>
      </c>
      <c r="BA76" s="14">
        <v>153</v>
      </c>
      <c r="BB76" s="14">
        <v>-205</v>
      </c>
      <c r="BC76" s="14">
        <v>14</v>
      </c>
      <c r="BD76" s="14">
        <v>13</v>
      </c>
      <c r="BE76" s="14">
        <v>-3</v>
      </c>
    </row>
    <row r="77" spans="1:57" x14ac:dyDescent="0.25">
      <c r="A77" s="14">
        <v>-27</v>
      </c>
      <c r="B77" s="14">
        <v>-141</v>
      </c>
      <c r="E77" s="14">
        <v>125</v>
      </c>
      <c r="F77" s="14">
        <v>7009</v>
      </c>
      <c r="G77" s="14">
        <v>26</v>
      </c>
      <c r="H77" s="14">
        <v>-3779</v>
      </c>
      <c r="I77" s="14">
        <v>-609</v>
      </c>
      <c r="J77" s="14">
        <v>-35</v>
      </c>
      <c r="K77" s="14">
        <v>-191</v>
      </c>
      <c r="L77" s="14">
        <v>-178</v>
      </c>
      <c r="M77" s="14">
        <v>198</v>
      </c>
      <c r="N77" s="14">
        <v>8</v>
      </c>
      <c r="O77" s="14">
        <v>61</v>
      </c>
      <c r="P77" s="14">
        <v>495</v>
      </c>
      <c r="Q77" s="14">
        <v>334</v>
      </c>
      <c r="S77" s="14">
        <v>528</v>
      </c>
      <c r="V77" s="14">
        <v>-598</v>
      </c>
      <c r="W77" s="14">
        <v>-122</v>
      </c>
      <c r="X77" s="14">
        <v>-343</v>
      </c>
      <c r="Y77" s="14">
        <v>524</v>
      </c>
      <c r="Z77" s="14">
        <v>-17</v>
      </c>
      <c r="AA77" s="14">
        <v>-30</v>
      </c>
      <c r="AB77" s="14">
        <v>45</v>
      </c>
      <c r="AC77" s="14">
        <v>632</v>
      </c>
      <c r="AD77" s="14">
        <v>-102</v>
      </c>
      <c r="AE77" s="14">
        <v>102</v>
      </c>
      <c r="AF77" s="14">
        <v>-344</v>
      </c>
      <c r="AG77" s="14">
        <v>-79</v>
      </c>
      <c r="AI77" s="14">
        <v>729</v>
      </c>
      <c r="AJ77" s="14">
        <v>264</v>
      </c>
      <c r="AK77" s="14">
        <v>50</v>
      </c>
      <c r="AL77" s="14">
        <v>283</v>
      </c>
      <c r="AM77" s="14">
        <v>478</v>
      </c>
      <c r="AN77" s="14">
        <v>-856</v>
      </c>
      <c r="AO77" s="14">
        <v>176</v>
      </c>
      <c r="AP77" s="14">
        <v>-331</v>
      </c>
      <c r="AQ77" s="14">
        <v>420</v>
      </c>
      <c r="AR77" s="14">
        <v>-146</v>
      </c>
      <c r="AS77" s="14">
        <v>33</v>
      </c>
      <c r="AT77" s="14">
        <v>44</v>
      </c>
      <c r="AU77" s="14">
        <v>-96</v>
      </c>
      <c r="AV77" s="14">
        <v>12</v>
      </c>
      <c r="AW77" s="14">
        <v>243</v>
      </c>
      <c r="AX77" s="14">
        <v>-988</v>
      </c>
      <c r="AY77" s="14">
        <v>516</v>
      </c>
      <c r="AZ77" s="14">
        <v>-27</v>
      </c>
      <c r="BA77" s="14">
        <v>617</v>
      </c>
      <c r="BB77" s="14">
        <v>147</v>
      </c>
      <c r="BC77" s="14">
        <v>-12784</v>
      </c>
      <c r="BD77" s="14">
        <v>-42</v>
      </c>
      <c r="BE77" s="14">
        <v>-5</v>
      </c>
    </row>
    <row r="78" spans="1:57" x14ac:dyDescent="0.25">
      <c r="A78" s="14">
        <v>70</v>
      </c>
      <c r="B78" s="14">
        <v>141</v>
      </c>
      <c r="E78" s="14">
        <v>119</v>
      </c>
      <c r="F78" s="14">
        <v>6299</v>
      </c>
      <c r="G78" s="14">
        <v>94</v>
      </c>
      <c r="H78" s="14">
        <v>-7696</v>
      </c>
      <c r="I78" s="14">
        <v>-169</v>
      </c>
      <c r="J78" s="14">
        <v>-231</v>
      </c>
      <c r="K78" s="14">
        <v>113</v>
      </c>
      <c r="L78" s="14">
        <v>-395</v>
      </c>
      <c r="M78" s="14">
        <v>222</v>
      </c>
      <c r="N78" s="14">
        <v>-358</v>
      </c>
      <c r="O78" s="14">
        <v>76</v>
      </c>
      <c r="P78" s="14">
        <v>782</v>
      </c>
      <c r="Q78" s="14">
        <v>50</v>
      </c>
      <c r="S78" s="14">
        <v>237</v>
      </c>
      <c r="V78" s="14">
        <v>519</v>
      </c>
      <c r="W78" s="14">
        <v>6</v>
      </c>
      <c r="X78" s="14">
        <v>41</v>
      </c>
      <c r="Y78" s="14">
        <v>172</v>
      </c>
      <c r="Z78" s="14">
        <v>-239</v>
      </c>
      <c r="AA78" s="14">
        <v>7</v>
      </c>
      <c r="AB78" s="14">
        <v>4</v>
      </c>
      <c r="AC78" s="14">
        <v>208</v>
      </c>
      <c r="AD78" s="14">
        <v>59</v>
      </c>
      <c r="AE78" s="14">
        <v>130</v>
      </c>
      <c r="AF78" s="14">
        <v>737</v>
      </c>
      <c r="AG78" s="14">
        <v>-130</v>
      </c>
      <c r="AI78" s="14">
        <v>-2</v>
      </c>
      <c r="AJ78" s="14">
        <v>127</v>
      </c>
      <c r="AK78" s="14">
        <v>9</v>
      </c>
      <c r="AL78" s="14">
        <v>64</v>
      </c>
      <c r="AM78" s="14">
        <v>275</v>
      </c>
      <c r="AN78" s="14">
        <v>100</v>
      </c>
      <c r="AO78" s="14">
        <v>576</v>
      </c>
      <c r="AP78" s="14">
        <v>-368</v>
      </c>
      <c r="AQ78" s="14">
        <v>-3</v>
      </c>
      <c r="AR78" s="14">
        <v>141</v>
      </c>
      <c r="AS78" s="14">
        <v>12</v>
      </c>
      <c r="AT78" s="14">
        <v>17</v>
      </c>
      <c r="AU78" s="14">
        <v>-33</v>
      </c>
      <c r="AV78" s="14">
        <v>144</v>
      </c>
      <c r="AW78" s="14">
        <v>-721</v>
      </c>
      <c r="AX78" s="14">
        <v>586</v>
      </c>
      <c r="AY78" s="14">
        <v>-746</v>
      </c>
      <c r="AZ78" s="14">
        <v>21</v>
      </c>
      <c r="BA78" s="14">
        <v>159</v>
      </c>
      <c r="BB78" s="14">
        <v>170</v>
      </c>
      <c r="BC78" s="14">
        <v>-1428</v>
      </c>
      <c r="BD78" s="14">
        <v>-79</v>
      </c>
      <c r="BE78" s="14">
        <v>-2</v>
      </c>
    </row>
    <row r="79" spans="1:57" x14ac:dyDescent="0.25">
      <c r="A79" s="14">
        <v>6</v>
      </c>
      <c r="B79" s="14">
        <v>433</v>
      </c>
      <c r="E79" s="14">
        <v>80</v>
      </c>
      <c r="F79" s="14">
        <v>6323</v>
      </c>
      <c r="G79" s="14">
        <v>74</v>
      </c>
      <c r="H79" s="14">
        <v>-2744</v>
      </c>
      <c r="I79" s="14">
        <v>105</v>
      </c>
      <c r="J79" s="14">
        <v>222</v>
      </c>
      <c r="K79" s="14">
        <v>-383</v>
      </c>
      <c r="L79" s="14">
        <v>-697</v>
      </c>
      <c r="M79" s="14">
        <v>116</v>
      </c>
      <c r="N79" s="14">
        <v>207</v>
      </c>
      <c r="O79" s="14">
        <v>14</v>
      </c>
      <c r="P79" s="14">
        <v>53</v>
      </c>
      <c r="Q79" s="14">
        <v>767</v>
      </c>
      <c r="S79" s="14">
        <v>153</v>
      </c>
      <c r="V79" s="14">
        <v>-679</v>
      </c>
      <c r="W79" s="14">
        <v>735</v>
      </c>
      <c r="X79" s="14">
        <v>-47</v>
      </c>
      <c r="Y79" s="14">
        <v>243</v>
      </c>
      <c r="Z79" s="14">
        <v>-43</v>
      </c>
      <c r="AA79" s="14">
        <v>150</v>
      </c>
      <c r="AB79" s="14">
        <v>-49</v>
      </c>
      <c r="AC79" s="14">
        <v>791</v>
      </c>
      <c r="AD79" s="14">
        <v>-100</v>
      </c>
      <c r="AE79" s="14">
        <v>252</v>
      </c>
      <c r="AF79" s="14">
        <v>925</v>
      </c>
      <c r="AG79" s="14">
        <v>-50</v>
      </c>
      <c r="AI79" s="14">
        <v>-83</v>
      </c>
      <c r="AJ79" s="14">
        <v>113</v>
      </c>
      <c r="AK79" s="14">
        <v>-78</v>
      </c>
      <c r="AL79" s="14">
        <v>83</v>
      </c>
      <c r="AM79" s="14">
        <v>-114</v>
      </c>
      <c r="AN79" s="14">
        <v>-8</v>
      </c>
      <c r="AO79" s="14">
        <v>399</v>
      </c>
      <c r="AP79" s="14">
        <v>-345</v>
      </c>
      <c r="AQ79" s="14">
        <v>148</v>
      </c>
      <c r="AR79" s="14">
        <v>-11</v>
      </c>
      <c r="AS79" s="14">
        <v>-58</v>
      </c>
      <c r="AT79" s="14">
        <v>107</v>
      </c>
      <c r="AU79" s="14">
        <v>21</v>
      </c>
      <c r="AV79" s="14">
        <v>310</v>
      </c>
      <c r="AW79" s="14">
        <v>-295</v>
      </c>
      <c r="AX79" s="14">
        <v>-334</v>
      </c>
      <c r="AY79" s="14">
        <v>208</v>
      </c>
      <c r="AZ79" s="14">
        <v>35</v>
      </c>
      <c r="BA79" s="14">
        <v>-162</v>
      </c>
      <c r="BB79" s="14">
        <v>358</v>
      </c>
      <c r="BC79" s="14">
        <v>-24482</v>
      </c>
      <c r="BD79" s="14">
        <v>-28</v>
      </c>
      <c r="BE79" s="14">
        <v>-2</v>
      </c>
    </row>
    <row r="80" spans="1:57" x14ac:dyDescent="0.25">
      <c r="A80" s="14">
        <v>57</v>
      </c>
      <c r="B80" s="14">
        <v>2483</v>
      </c>
      <c r="E80" s="14">
        <v>220</v>
      </c>
      <c r="F80" s="14">
        <v>227</v>
      </c>
      <c r="G80" s="14">
        <v>12</v>
      </c>
      <c r="H80" s="14">
        <v>-1996</v>
      </c>
      <c r="I80" s="14">
        <v>101</v>
      </c>
      <c r="J80" s="14">
        <v>72</v>
      </c>
      <c r="K80" s="14">
        <v>109</v>
      </c>
      <c r="L80" s="14">
        <v>755</v>
      </c>
      <c r="M80" s="14">
        <v>113</v>
      </c>
      <c r="N80" s="14">
        <v>-80</v>
      </c>
      <c r="O80" s="14">
        <v>67</v>
      </c>
      <c r="P80" s="14">
        <v>-69</v>
      </c>
      <c r="Q80" s="14">
        <v>548</v>
      </c>
      <c r="V80" s="14">
        <v>128</v>
      </c>
      <c r="W80" s="14">
        <v>-17</v>
      </c>
      <c r="X80" s="14">
        <v>288</v>
      </c>
      <c r="Y80" s="14">
        <v>398</v>
      </c>
      <c r="Z80" s="14">
        <v>130</v>
      </c>
      <c r="AA80" s="14">
        <v>-872</v>
      </c>
      <c r="AB80" s="14">
        <v>23</v>
      </c>
      <c r="AC80" s="14">
        <v>-165</v>
      </c>
      <c r="AD80" s="14">
        <v>8</v>
      </c>
      <c r="AE80" s="14">
        <v>665</v>
      </c>
      <c r="AF80" s="14">
        <v>849</v>
      </c>
      <c r="AG80" s="14">
        <v>-19</v>
      </c>
      <c r="AI80" s="14">
        <v>-462</v>
      </c>
      <c r="AJ80" s="14">
        <v>-283</v>
      </c>
      <c r="AL80" s="14">
        <v>97</v>
      </c>
      <c r="AM80" s="14">
        <v>84</v>
      </c>
      <c r="AN80" s="14">
        <v>-7</v>
      </c>
      <c r="AO80" s="14">
        <v>156</v>
      </c>
      <c r="AP80" s="14">
        <v>-493</v>
      </c>
      <c r="AQ80" s="14">
        <v>-20</v>
      </c>
      <c r="AR80" s="14">
        <v>17</v>
      </c>
      <c r="AS80" s="14">
        <v>-36</v>
      </c>
      <c r="AT80" s="14">
        <v>64</v>
      </c>
      <c r="AU80" s="14">
        <v>-29</v>
      </c>
      <c r="AV80" s="14">
        <v>391</v>
      </c>
      <c r="AW80" s="14">
        <v>-105</v>
      </c>
      <c r="AX80" s="14">
        <v>356</v>
      </c>
      <c r="AY80" s="14">
        <v>551</v>
      </c>
      <c r="AZ80" s="14">
        <v>-8</v>
      </c>
      <c r="BA80" s="14">
        <v>161</v>
      </c>
      <c r="BB80" s="14">
        <v>-633</v>
      </c>
      <c r="BC80" s="14">
        <v>-17</v>
      </c>
      <c r="BD80" s="14">
        <v>-501</v>
      </c>
      <c r="BE80" s="14">
        <v>-2</v>
      </c>
    </row>
    <row r="81" spans="1:57" x14ac:dyDescent="0.25">
      <c r="A81" s="14">
        <v>19</v>
      </c>
      <c r="B81" s="14">
        <v>271</v>
      </c>
      <c r="E81" s="14">
        <v>66</v>
      </c>
      <c r="F81" s="14">
        <v>283</v>
      </c>
      <c r="G81" s="14">
        <v>33</v>
      </c>
      <c r="H81" s="14">
        <v>-4180</v>
      </c>
      <c r="I81" s="14">
        <v>985</v>
      </c>
      <c r="J81" s="14">
        <v>158</v>
      </c>
      <c r="L81" s="14">
        <v>-471</v>
      </c>
      <c r="M81" s="14">
        <v>111</v>
      </c>
      <c r="N81" s="14">
        <v>-163</v>
      </c>
      <c r="O81" s="14">
        <v>126</v>
      </c>
      <c r="P81" s="14">
        <v>200</v>
      </c>
      <c r="Q81" s="14">
        <v>-91</v>
      </c>
      <c r="V81" s="14">
        <v>-602</v>
      </c>
      <c r="W81" s="14">
        <v>-1</v>
      </c>
      <c r="X81" s="14">
        <v>189</v>
      </c>
      <c r="Y81" s="14">
        <v>277</v>
      </c>
      <c r="Z81" s="14">
        <v>-123</v>
      </c>
      <c r="AA81" s="14">
        <v>-124</v>
      </c>
      <c r="AB81" s="14">
        <v>-2</v>
      </c>
      <c r="AC81" s="14">
        <v>107</v>
      </c>
      <c r="AD81" s="14">
        <v>-232</v>
      </c>
      <c r="AE81" s="14">
        <v>475</v>
      </c>
      <c r="AF81" s="14">
        <v>109</v>
      </c>
      <c r="AG81" s="14">
        <v>-74</v>
      </c>
      <c r="AI81" s="14">
        <v>223</v>
      </c>
      <c r="AJ81" s="14">
        <v>117</v>
      </c>
      <c r="AL81" s="14">
        <v>93</v>
      </c>
      <c r="AM81" s="14">
        <v>517</v>
      </c>
      <c r="AN81" s="14">
        <v>83</v>
      </c>
      <c r="AO81" s="14">
        <v>179</v>
      </c>
      <c r="AP81" s="14">
        <v>-361</v>
      </c>
      <c r="AQ81" s="14">
        <v>134</v>
      </c>
      <c r="AR81" s="14">
        <v>645</v>
      </c>
      <c r="AS81" s="14">
        <v>117</v>
      </c>
      <c r="AT81" s="14">
        <v>62</v>
      </c>
      <c r="AU81" s="14">
        <v>-11</v>
      </c>
      <c r="AV81" s="14">
        <v>430</v>
      </c>
      <c r="AW81" s="14">
        <v>-178</v>
      </c>
      <c r="AX81" s="14">
        <v>-349</v>
      </c>
      <c r="AY81" s="14">
        <v>490</v>
      </c>
      <c r="AZ81" s="14">
        <v>-17</v>
      </c>
      <c r="BA81" s="14">
        <v>214</v>
      </c>
      <c r="BB81" s="14">
        <v>-28</v>
      </c>
      <c r="BC81" s="14">
        <v>41</v>
      </c>
      <c r="BD81" s="14">
        <v>-518</v>
      </c>
      <c r="BE81" s="14">
        <v>-5</v>
      </c>
    </row>
    <row r="82" spans="1:57" x14ac:dyDescent="0.25">
      <c r="A82" s="14">
        <v>330</v>
      </c>
      <c r="B82" s="14">
        <v>1374</v>
      </c>
      <c r="E82" s="14">
        <v>156</v>
      </c>
      <c r="F82" s="14">
        <v>6766</v>
      </c>
      <c r="G82" s="14">
        <v>-66</v>
      </c>
      <c r="H82" s="14">
        <v>-1664</v>
      </c>
      <c r="I82" s="14">
        <v>945</v>
      </c>
      <c r="J82" s="14">
        <v>173</v>
      </c>
      <c r="L82" s="14">
        <v>152</v>
      </c>
      <c r="M82" s="14">
        <v>106</v>
      </c>
      <c r="N82" s="14">
        <v>119</v>
      </c>
      <c r="O82" s="14">
        <v>121</v>
      </c>
      <c r="P82" s="14">
        <v>420</v>
      </c>
      <c r="Q82" s="14">
        <v>120</v>
      </c>
      <c r="V82" s="14">
        <v>-195</v>
      </c>
      <c r="W82" s="14">
        <v>67</v>
      </c>
      <c r="X82" s="14">
        <v>325</v>
      </c>
      <c r="Y82" s="14">
        <v>232</v>
      </c>
      <c r="Z82" s="14">
        <v>-95</v>
      </c>
      <c r="AA82" s="14">
        <v>-701</v>
      </c>
      <c r="AB82" s="14">
        <v>-37</v>
      </c>
      <c r="AC82" s="14">
        <v>-409</v>
      </c>
      <c r="AD82" s="14">
        <v>-33</v>
      </c>
      <c r="AE82" s="14">
        <v>111</v>
      </c>
      <c r="AF82" s="14">
        <v>-457</v>
      </c>
      <c r="AG82" s="14">
        <v>-68</v>
      </c>
      <c r="AI82" s="14">
        <v>108</v>
      </c>
      <c r="AJ82" s="14">
        <v>605</v>
      </c>
      <c r="AL82" s="14">
        <v>75</v>
      </c>
      <c r="AM82" s="14">
        <v>100</v>
      </c>
      <c r="AN82" s="14">
        <v>35</v>
      </c>
      <c r="AO82" s="14">
        <v>29</v>
      </c>
      <c r="AP82" s="14">
        <v>-177</v>
      </c>
      <c r="AQ82" s="14">
        <v>-35</v>
      </c>
      <c r="AR82" s="14">
        <v>-130</v>
      </c>
      <c r="AS82" s="14">
        <v>49</v>
      </c>
      <c r="AT82" s="14">
        <v>2</v>
      </c>
      <c r="AU82" s="14">
        <v>154</v>
      </c>
      <c r="AV82" s="14">
        <v>133</v>
      </c>
      <c r="AW82" s="14">
        <v>-979</v>
      </c>
      <c r="AX82" s="14">
        <v>-508</v>
      </c>
      <c r="AY82" s="14">
        <v>483</v>
      </c>
      <c r="AZ82" s="14">
        <v>20</v>
      </c>
      <c r="BA82" s="14">
        <v>183</v>
      </c>
      <c r="BB82" s="14">
        <v>35</v>
      </c>
      <c r="BC82" s="14">
        <v>-1</v>
      </c>
      <c r="BD82" s="14">
        <v>-290</v>
      </c>
      <c r="BE82" s="14">
        <v>1</v>
      </c>
    </row>
    <row r="83" spans="1:57" x14ac:dyDescent="0.25">
      <c r="A83" s="14">
        <v>44</v>
      </c>
      <c r="B83" s="14">
        <v>32888</v>
      </c>
      <c r="E83" s="14">
        <v>227</v>
      </c>
      <c r="F83" s="14">
        <v>138</v>
      </c>
      <c r="G83" s="14">
        <v>19</v>
      </c>
      <c r="H83" s="14">
        <v>5618</v>
      </c>
      <c r="I83" s="14">
        <v>546</v>
      </c>
      <c r="J83" s="14">
        <v>79</v>
      </c>
      <c r="L83" s="14">
        <v>122</v>
      </c>
      <c r="M83" s="14">
        <v>126</v>
      </c>
      <c r="N83" s="14">
        <v>161</v>
      </c>
      <c r="O83" s="14">
        <v>46</v>
      </c>
      <c r="P83" s="14">
        <v>263</v>
      </c>
      <c r="Q83" s="14">
        <v>4</v>
      </c>
      <c r="V83" s="14">
        <v>-334</v>
      </c>
      <c r="W83" s="14">
        <v>-78</v>
      </c>
      <c r="X83" s="14">
        <v>-141</v>
      </c>
      <c r="Y83" s="14">
        <v>350</v>
      </c>
      <c r="Z83" s="14">
        <v>418</v>
      </c>
      <c r="AA83" s="14">
        <v>106</v>
      </c>
      <c r="AB83" s="14">
        <v>-15</v>
      </c>
      <c r="AC83" s="14">
        <v>623</v>
      </c>
      <c r="AD83" s="14">
        <v>-19</v>
      </c>
      <c r="AE83" s="14">
        <v>117</v>
      </c>
      <c r="AF83" s="14">
        <v>329</v>
      </c>
      <c r="AG83" s="14">
        <v>6</v>
      </c>
      <c r="AI83" s="14">
        <v>-132</v>
      </c>
      <c r="AJ83" s="14">
        <v>-224</v>
      </c>
      <c r="AL83" s="14">
        <v>57</v>
      </c>
      <c r="AM83" s="14">
        <v>-218</v>
      </c>
      <c r="AN83" s="14">
        <v>3</v>
      </c>
      <c r="AO83" s="14">
        <v>18</v>
      </c>
      <c r="AP83" s="14">
        <v>-632</v>
      </c>
      <c r="AQ83" s="14">
        <v>167</v>
      </c>
      <c r="AR83" s="14">
        <v>297</v>
      </c>
      <c r="AS83" s="14">
        <v>-45</v>
      </c>
      <c r="AT83" s="14">
        <v>17</v>
      </c>
      <c r="AU83" s="14">
        <v>-153</v>
      </c>
      <c r="AV83" s="14">
        <v>-692</v>
      </c>
      <c r="AW83" s="14">
        <v>-517</v>
      </c>
      <c r="AX83" s="14">
        <v>-268</v>
      </c>
      <c r="AY83" s="14">
        <v>232</v>
      </c>
      <c r="AZ83" s="14">
        <v>668</v>
      </c>
      <c r="BA83" s="14">
        <v>271</v>
      </c>
      <c r="BB83" s="14">
        <v>48</v>
      </c>
      <c r="BC83" s="14">
        <v>22</v>
      </c>
      <c r="BD83" s="14">
        <v>-302</v>
      </c>
      <c r="BE83" s="14">
        <v>4</v>
      </c>
    </row>
    <row r="84" spans="1:57" x14ac:dyDescent="0.25">
      <c r="A84" s="14">
        <v>21</v>
      </c>
      <c r="B84" s="14">
        <v>48526</v>
      </c>
      <c r="E84" s="14">
        <v>80</v>
      </c>
      <c r="F84" s="14">
        <v>1060</v>
      </c>
      <c r="G84" s="14">
        <v>91</v>
      </c>
      <c r="H84" s="14">
        <v>2058</v>
      </c>
      <c r="I84" s="14">
        <v>558</v>
      </c>
      <c r="J84" s="14">
        <v>79</v>
      </c>
      <c r="L84" s="14">
        <v>126</v>
      </c>
      <c r="M84" s="14">
        <v>133</v>
      </c>
      <c r="N84" s="14">
        <v>89</v>
      </c>
      <c r="O84" s="14">
        <v>-16</v>
      </c>
      <c r="P84" s="14">
        <v>292</v>
      </c>
      <c r="Q84" s="14">
        <v>754</v>
      </c>
      <c r="V84" s="14">
        <v>315</v>
      </c>
      <c r="W84" s="14">
        <v>-47</v>
      </c>
      <c r="X84" s="14">
        <v>-2</v>
      </c>
      <c r="Y84" s="14">
        <v>-126</v>
      </c>
      <c r="Z84" s="14">
        <v>-49</v>
      </c>
      <c r="AA84" s="14">
        <v>435</v>
      </c>
      <c r="AB84" s="14">
        <v>655</v>
      </c>
      <c r="AC84" s="14">
        <v>-265</v>
      </c>
      <c r="AD84" s="14">
        <v>-114</v>
      </c>
      <c r="AE84" s="14">
        <v>117</v>
      </c>
      <c r="AF84" s="14">
        <v>283</v>
      </c>
      <c r="AG84" s="14">
        <v>19</v>
      </c>
      <c r="AI84" s="14">
        <v>257</v>
      </c>
      <c r="AJ84" s="14">
        <v>-503</v>
      </c>
      <c r="AL84" s="14">
        <v>278</v>
      </c>
      <c r="AM84" s="14">
        <v>630</v>
      </c>
      <c r="AN84" s="14">
        <v>14</v>
      </c>
      <c r="AO84" s="14">
        <v>588</v>
      </c>
      <c r="AP84" s="14">
        <v>-509</v>
      </c>
      <c r="AQ84" s="14">
        <v>73</v>
      </c>
      <c r="AR84" s="14">
        <v>356</v>
      </c>
      <c r="AS84" s="14">
        <v>4</v>
      </c>
      <c r="AT84" s="14">
        <v>9</v>
      </c>
      <c r="AU84" s="14">
        <v>-115</v>
      </c>
      <c r="AV84" s="14">
        <v>167</v>
      </c>
      <c r="AW84" s="14">
        <v>-167</v>
      </c>
      <c r="AX84" s="14">
        <v>-497</v>
      </c>
      <c r="AY84" s="14">
        <v>-487</v>
      </c>
      <c r="AZ84" s="14">
        <v>-302</v>
      </c>
      <c r="BA84" s="14">
        <v>220</v>
      </c>
      <c r="BB84" s="14">
        <v>1924</v>
      </c>
      <c r="BC84" s="14">
        <v>-184</v>
      </c>
      <c r="BD84" s="14">
        <v>149</v>
      </c>
      <c r="BE84" s="14">
        <v>-1</v>
      </c>
    </row>
    <row r="85" spans="1:57" x14ac:dyDescent="0.25">
      <c r="A85" s="14">
        <v>28</v>
      </c>
      <c r="B85" s="14">
        <v>-18769</v>
      </c>
      <c r="E85" s="14">
        <v>228</v>
      </c>
      <c r="F85" s="14">
        <v>243</v>
      </c>
      <c r="G85" s="14">
        <v>246</v>
      </c>
      <c r="H85" s="14">
        <v>3112</v>
      </c>
      <c r="I85" s="14">
        <v>630</v>
      </c>
      <c r="J85" s="14">
        <v>-35</v>
      </c>
      <c r="L85" s="14">
        <v>-468</v>
      </c>
      <c r="M85" s="14">
        <v>262</v>
      </c>
      <c r="N85" s="14">
        <v>-27</v>
      </c>
      <c r="O85" s="14">
        <v>58</v>
      </c>
      <c r="P85" s="14">
        <v>181</v>
      </c>
      <c r="Q85" s="14">
        <v>-244</v>
      </c>
      <c r="V85" s="14">
        <v>44</v>
      </c>
      <c r="W85" s="14">
        <v>10</v>
      </c>
      <c r="X85" s="14">
        <v>-9</v>
      </c>
      <c r="Y85" s="14">
        <v>581</v>
      </c>
      <c r="Z85" s="14">
        <v>-315</v>
      </c>
      <c r="AA85" s="14">
        <v>-105</v>
      </c>
      <c r="AB85" s="14">
        <v>201</v>
      </c>
      <c r="AC85" s="14">
        <v>164</v>
      </c>
      <c r="AD85" s="14">
        <v>13</v>
      </c>
      <c r="AE85" s="14">
        <v>910</v>
      </c>
      <c r="AF85" s="14">
        <v>170</v>
      </c>
      <c r="AG85" s="14">
        <v>-26</v>
      </c>
      <c r="AI85" s="14">
        <v>838</v>
      </c>
      <c r="AJ85" s="14">
        <v>-273</v>
      </c>
      <c r="AL85" s="14">
        <v>65</v>
      </c>
      <c r="AM85" s="14">
        <v>-423</v>
      </c>
      <c r="AN85" s="14">
        <v>-308</v>
      </c>
      <c r="AO85" s="14">
        <v>427</v>
      </c>
      <c r="AP85" s="14">
        <v>-403</v>
      </c>
      <c r="AQ85" s="14">
        <v>246</v>
      </c>
      <c r="AR85" s="14">
        <v>-394</v>
      </c>
      <c r="AS85" s="14">
        <v>20</v>
      </c>
      <c r="AT85" s="14">
        <v>8</v>
      </c>
      <c r="AU85" s="14">
        <v>409</v>
      </c>
      <c r="AV85" s="14">
        <v>412</v>
      </c>
      <c r="AW85" s="14">
        <v>-748</v>
      </c>
      <c r="AX85" s="14">
        <v>776</v>
      </c>
      <c r="AY85" s="14">
        <v>211</v>
      </c>
      <c r="AZ85" s="14">
        <v>133</v>
      </c>
      <c r="BA85" s="14">
        <v>139</v>
      </c>
      <c r="BB85" s="14">
        <v>854</v>
      </c>
      <c r="BC85" s="14">
        <v>-1</v>
      </c>
      <c r="BD85" s="14">
        <v>86</v>
      </c>
      <c r="BE85" s="14">
        <v>-5</v>
      </c>
    </row>
    <row r="86" spans="1:57" x14ac:dyDescent="0.25">
      <c r="A86" s="14">
        <v>386</v>
      </c>
      <c r="B86" s="14">
        <v>35734</v>
      </c>
      <c r="E86" s="14">
        <v>232</v>
      </c>
      <c r="F86" s="14">
        <v>7779</v>
      </c>
      <c r="G86" s="14">
        <v>47</v>
      </c>
      <c r="H86" s="14">
        <v>-2846</v>
      </c>
      <c r="I86" s="14">
        <v>651</v>
      </c>
      <c r="J86" s="14">
        <v>-231</v>
      </c>
      <c r="L86" s="14">
        <v>152</v>
      </c>
      <c r="M86" s="14">
        <v>245</v>
      </c>
      <c r="N86" s="14">
        <v>81</v>
      </c>
      <c r="O86" s="14">
        <v>31</v>
      </c>
      <c r="P86" s="14">
        <v>-321</v>
      </c>
      <c r="Q86" s="14">
        <v>-789</v>
      </c>
      <c r="V86" s="14">
        <v>20</v>
      </c>
      <c r="W86" s="14">
        <v>-806</v>
      </c>
      <c r="X86" s="14">
        <v>-364</v>
      </c>
      <c r="Y86" s="14">
        <v>446</v>
      </c>
      <c r="Z86" s="14">
        <v>59</v>
      </c>
      <c r="AA86" s="14">
        <v>-849</v>
      </c>
      <c r="AB86" s="14">
        <v>-114</v>
      </c>
      <c r="AC86" s="14">
        <v>975</v>
      </c>
      <c r="AD86" s="14">
        <v>-38</v>
      </c>
      <c r="AE86" s="14">
        <v>455</v>
      </c>
      <c r="AF86" s="14">
        <v>34</v>
      </c>
      <c r="AG86" s="14">
        <v>12</v>
      </c>
      <c r="AI86" s="14">
        <v>476</v>
      </c>
      <c r="AJ86" s="14">
        <v>-124</v>
      </c>
      <c r="AL86" s="14">
        <v>69</v>
      </c>
      <c r="AM86" s="14">
        <v>-46</v>
      </c>
      <c r="AN86" s="14">
        <v>28</v>
      </c>
      <c r="AO86" s="14">
        <v>180</v>
      </c>
      <c r="AP86" s="14">
        <v>-255</v>
      </c>
      <c r="AQ86" s="14">
        <v>49</v>
      </c>
      <c r="AR86" s="14">
        <v>-530</v>
      </c>
      <c r="AS86" s="14">
        <v>26</v>
      </c>
      <c r="AT86" s="14">
        <v>-24</v>
      </c>
      <c r="AU86" s="14">
        <v>-260</v>
      </c>
      <c r="AV86" s="14">
        <v>616</v>
      </c>
      <c r="AW86" s="14">
        <v>-632</v>
      </c>
      <c r="AX86" s="14">
        <v>-573</v>
      </c>
      <c r="AY86" s="14">
        <v>-114</v>
      </c>
      <c r="AZ86" s="14">
        <v>491</v>
      </c>
      <c r="BA86" s="14">
        <v>169</v>
      </c>
      <c r="BB86" s="14">
        <v>878</v>
      </c>
      <c r="BC86" s="14">
        <v>4</v>
      </c>
      <c r="BD86" s="14">
        <v>433</v>
      </c>
      <c r="BE86" s="14">
        <v>-1889</v>
      </c>
    </row>
    <row r="87" spans="1:57" x14ac:dyDescent="0.25">
      <c r="A87" s="14">
        <v>33</v>
      </c>
      <c r="B87" s="14">
        <v>23235</v>
      </c>
      <c r="E87" s="14">
        <v>254</v>
      </c>
      <c r="G87" s="14">
        <v>37</v>
      </c>
      <c r="H87" s="14">
        <v>6611</v>
      </c>
      <c r="I87" s="14">
        <v>-35</v>
      </c>
      <c r="J87" s="14">
        <v>149</v>
      </c>
      <c r="L87" s="14">
        <v>316</v>
      </c>
      <c r="M87" s="14">
        <v>246</v>
      </c>
      <c r="N87" s="14">
        <v>-17</v>
      </c>
      <c r="O87" s="14">
        <v>-720</v>
      </c>
      <c r="P87" s="14">
        <v>453</v>
      </c>
      <c r="Q87" s="14">
        <v>-469</v>
      </c>
      <c r="V87" s="14">
        <v>-65</v>
      </c>
      <c r="W87" s="14">
        <v>-33</v>
      </c>
      <c r="X87" s="14">
        <v>-56</v>
      </c>
      <c r="Y87" s="14">
        <v>110</v>
      </c>
      <c r="Z87" s="14">
        <v>63</v>
      </c>
      <c r="AA87" s="14">
        <v>-320</v>
      </c>
      <c r="AB87" s="14">
        <v>-41</v>
      </c>
      <c r="AC87" s="14">
        <v>-124</v>
      </c>
      <c r="AD87" s="14">
        <v>6</v>
      </c>
      <c r="AE87" s="14">
        <v>579</v>
      </c>
      <c r="AF87" s="14">
        <v>130</v>
      </c>
      <c r="AG87" s="14">
        <v>38</v>
      </c>
      <c r="AI87" s="14">
        <v>11</v>
      </c>
      <c r="AJ87" s="14">
        <v>-201</v>
      </c>
      <c r="AL87" s="14">
        <v>201</v>
      </c>
      <c r="AM87" s="14">
        <v>375</v>
      </c>
      <c r="AN87" s="14">
        <v>-160</v>
      </c>
      <c r="AO87" s="14">
        <v>132</v>
      </c>
      <c r="AP87" s="14">
        <v>-15</v>
      </c>
      <c r="AQ87" s="14">
        <v>-27</v>
      </c>
      <c r="AR87" s="14">
        <v>-171</v>
      </c>
      <c r="AS87" s="14">
        <v>16</v>
      </c>
      <c r="AT87" s="14">
        <v>60</v>
      </c>
      <c r="AU87" s="14">
        <v>752</v>
      </c>
      <c r="AV87" s="14">
        <v>-434</v>
      </c>
      <c r="AW87" s="14">
        <v>-154</v>
      </c>
      <c r="AX87" s="14">
        <v>-301</v>
      </c>
      <c r="AY87" s="14">
        <v>-873</v>
      </c>
      <c r="AZ87" s="14">
        <v>-3</v>
      </c>
      <c r="BA87" s="14">
        <v>108</v>
      </c>
      <c r="BB87" s="14">
        <v>-337</v>
      </c>
      <c r="BC87" s="14">
        <v>-177</v>
      </c>
      <c r="BD87" s="14">
        <v>222</v>
      </c>
      <c r="BE87" s="14">
        <v>-2774</v>
      </c>
    </row>
    <row r="88" spans="1:57" x14ac:dyDescent="0.25">
      <c r="A88" s="14">
        <v>2</v>
      </c>
      <c r="B88" s="14">
        <v>104172</v>
      </c>
      <c r="E88" s="14">
        <v>38</v>
      </c>
      <c r="G88" s="14">
        <v>27</v>
      </c>
      <c r="H88" s="14">
        <v>5398</v>
      </c>
      <c r="I88" s="14">
        <v>-33</v>
      </c>
      <c r="J88" s="14">
        <v>72</v>
      </c>
      <c r="L88" s="14">
        <v>197</v>
      </c>
      <c r="M88" s="14">
        <v>229</v>
      </c>
      <c r="N88" s="14">
        <v>54</v>
      </c>
      <c r="O88" s="14">
        <v>-218</v>
      </c>
      <c r="P88" s="14">
        <v>900</v>
      </c>
      <c r="Q88" s="14">
        <v>-276</v>
      </c>
      <c r="W88" s="14">
        <v>-3</v>
      </c>
      <c r="X88" s="14">
        <v>-136</v>
      </c>
      <c r="Y88" s="14">
        <v>-105</v>
      </c>
      <c r="Z88" s="14">
        <v>-180</v>
      </c>
      <c r="AA88" s="14">
        <v>25</v>
      </c>
      <c r="AB88" s="14">
        <v>18</v>
      </c>
      <c r="AC88" s="14">
        <v>603</v>
      </c>
      <c r="AD88" s="14">
        <v>-28</v>
      </c>
      <c r="AE88" s="14">
        <v>167</v>
      </c>
      <c r="AF88" s="14">
        <v>-589</v>
      </c>
      <c r="AG88" s="14">
        <v>1</v>
      </c>
      <c r="AI88" s="14">
        <v>-458</v>
      </c>
      <c r="AJ88" s="14">
        <v>967</v>
      </c>
      <c r="AL88" s="14">
        <v>96</v>
      </c>
      <c r="AM88" s="14">
        <v>439</v>
      </c>
      <c r="AN88" s="14">
        <v>-185</v>
      </c>
      <c r="AO88" s="14">
        <v>159</v>
      </c>
      <c r="AP88" s="14">
        <v>-279</v>
      </c>
      <c r="AQ88" s="14">
        <v>-67</v>
      </c>
      <c r="AR88" s="14">
        <v>122</v>
      </c>
      <c r="AS88" s="14">
        <v>21</v>
      </c>
      <c r="AT88" s="14">
        <v>-16</v>
      </c>
      <c r="AU88" s="14">
        <v>457</v>
      </c>
      <c r="AV88" s="14">
        <v>-381</v>
      </c>
      <c r="AW88" s="14">
        <v>-773</v>
      </c>
      <c r="AX88" s="14">
        <v>-233</v>
      </c>
      <c r="AY88" s="14">
        <v>496</v>
      </c>
      <c r="AZ88" s="14">
        <v>115</v>
      </c>
      <c r="BA88" s="14">
        <v>69</v>
      </c>
      <c r="BB88" s="14">
        <v>-110</v>
      </c>
      <c r="BC88" s="14">
        <v>35</v>
      </c>
      <c r="BD88" s="14">
        <v>-418</v>
      </c>
      <c r="BE88" s="14">
        <v>-5453</v>
      </c>
    </row>
    <row r="89" spans="1:57" x14ac:dyDescent="0.25">
      <c r="A89" s="14">
        <v>14</v>
      </c>
      <c r="B89" s="14">
        <v>3007</v>
      </c>
      <c r="E89" s="14">
        <v>146</v>
      </c>
      <c r="G89" s="14">
        <v>353</v>
      </c>
      <c r="H89" s="14">
        <v>1529</v>
      </c>
      <c r="I89" s="14">
        <v>-28</v>
      </c>
      <c r="J89" s="14">
        <v>158</v>
      </c>
      <c r="L89" s="14">
        <v>-282</v>
      </c>
      <c r="M89" s="14">
        <v>189</v>
      </c>
      <c r="N89" s="14">
        <v>320</v>
      </c>
      <c r="O89" s="14">
        <v>-559</v>
      </c>
      <c r="P89" s="14">
        <v>152</v>
      </c>
      <c r="Q89" s="14">
        <v>-408</v>
      </c>
      <c r="W89" s="14">
        <v>67</v>
      </c>
      <c r="X89" s="14">
        <v>224</v>
      </c>
      <c r="Y89" s="14">
        <v>395</v>
      </c>
      <c r="Z89" s="14">
        <v>-74</v>
      </c>
      <c r="AA89" s="14">
        <v>-312</v>
      </c>
      <c r="AB89" s="14">
        <v>45</v>
      </c>
      <c r="AC89" s="14">
        <v>1</v>
      </c>
      <c r="AD89" s="14">
        <v>208</v>
      </c>
      <c r="AE89" s="14">
        <v>773</v>
      </c>
      <c r="AF89" s="14">
        <v>711</v>
      </c>
      <c r="AG89" s="14">
        <v>4</v>
      </c>
      <c r="AI89" s="14">
        <v>179</v>
      </c>
      <c r="AJ89" s="14">
        <v>-876</v>
      </c>
      <c r="AL89" s="14">
        <v>23</v>
      </c>
      <c r="AM89" s="14">
        <v>219</v>
      </c>
      <c r="AN89" s="14">
        <v>-459</v>
      </c>
      <c r="AO89" s="14">
        <v>101</v>
      </c>
      <c r="AP89" s="14">
        <v>-78</v>
      </c>
      <c r="AQ89" s="14">
        <v>60</v>
      </c>
      <c r="AR89" s="14">
        <v>131</v>
      </c>
      <c r="AS89" s="14">
        <v>28</v>
      </c>
      <c r="AT89" s="14">
        <v>4</v>
      </c>
      <c r="AU89" s="14">
        <v>-832</v>
      </c>
      <c r="AV89" s="14">
        <v>-461</v>
      </c>
      <c r="AW89" s="14">
        <v>-885</v>
      </c>
      <c r="AX89" s="14">
        <v>127</v>
      </c>
      <c r="AY89" s="14">
        <v>-738</v>
      </c>
      <c r="AZ89" s="14">
        <v>-126</v>
      </c>
      <c r="BA89" s="14">
        <v>101</v>
      </c>
      <c r="BB89" s="14">
        <v>328</v>
      </c>
      <c r="BC89" s="14">
        <v>-8885</v>
      </c>
      <c r="BD89" s="14">
        <v>85</v>
      </c>
      <c r="BE89" s="14">
        <v>578</v>
      </c>
    </row>
    <row r="90" spans="1:57" x14ac:dyDescent="0.25">
      <c r="A90" s="14">
        <v>72</v>
      </c>
      <c r="B90" s="14">
        <v>939</v>
      </c>
      <c r="E90" s="14">
        <v>-14</v>
      </c>
      <c r="G90" s="14">
        <v>353</v>
      </c>
      <c r="H90" s="14">
        <v>1400</v>
      </c>
      <c r="I90" s="14">
        <v>-24</v>
      </c>
      <c r="J90" s="14">
        <v>100</v>
      </c>
      <c r="L90" s="14">
        <v>-478</v>
      </c>
      <c r="M90" s="14">
        <v>170</v>
      </c>
      <c r="N90" s="14">
        <v>-222</v>
      </c>
      <c r="O90" s="14">
        <v>-797</v>
      </c>
      <c r="P90" s="14">
        <v>483</v>
      </c>
      <c r="Q90" s="14">
        <v>-179</v>
      </c>
      <c r="W90" s="14">
        <v>97</v>
      </c>
      <c r="X90" s="14">
        <v>191</v>
      </c>
      <c r="Y90" s="14">
        <v>201</v>
      </c>
      <c r="Z90" s="14">
        <v>193</v>
      </c>
      <c r="AA90" s="14">
        <v>-183</v>
      </c>
      <c r="AB90" s="14">
        <v>4</v>
      </c>
      <c r="AC90" s="14">
        <v>1</v>
      </c>
      <c r="AD90" s="14">
        <v>8</v>
      </c>
      <c r="AE90" s="14">
        <v>780</v>
      </c>
      <c r="AF90" s="14">
        <v>293</v>
      </c>
      <c r="AG90" s="14">
        <v>-49</v>
      </c>
      <c r="AI90" s="14">
        <v>944</v>
      </c>
      <c r="AJ90" s="14">
        <v>154</v>
      </c>
      <c r="AL90" s="14">
        <v>78</v>
      </c>
      <c r="AM90" s="14">
        <v>630</v>
      </c>
      <c r="AN90" s="14">
        <v>312</v>
      </c>
      <c r="AO90" s="14">
        <v>385</v>
      </c>
      <c r="AP90" s="14">
        <v>-186</v>
      </c>
      <c r="AQ90" s="14">
        <v>230</v>
      </c>
      <c r="AR90" s="14">
        <v>997</v>
      </c>
      <c r="AS90" s="14">
        <v>24</v>
      </c>
      <c r="AT90" s="14">
        <v>-3</v>
      </c>
      <c r="AU90" s="14">
        <v>252</v>
      </c>
      <c r="AV90" s="14">
        <v>-167</v>
      </c>
      <c r="AW90" s="14">
        <v>-184</v>
      </c>
      <c r="AX90" s="14">
        <v>-624</v>
      </c>
      <c r="AY90" s="14">
        <v>-439</v>
      </c>
      <c r="AZ90" s="14">
        <v>-68</v>
      </c>
      <c r="BA90" s="14">
        <v>202</v>
      </c>
      <c r="BB90" s="14">
        <v>668</v>
      </c>
      <c r="BC90" s="14">
        <v>-2228</v>
      </c>
      <c r="BD90" s="14">
        <v>179</v>
      </c>
      <c r="BE90" s="14">
        <v>-1091</v>
      </c>
    </row>
    <row r="91" spans="1:57" x14ac:dyDescent="0.25">
      <c r="A91" s="14">
        <v>-2</v>
      </c>
      <c r="B91" s="14">
        <v>2993</v>
      </c>
      <c r="E91" s="14">
        <v>-15</v>
      </c>
      <c r="G91" s="14">
        <v>-104</v>
      </c>
      <c r="H91" s="14">
        <v>1766</v>
      </c>
      <c r="I91" s="14">
        <v>539</v>
      </c>
      <c r="J91" s="14">
        <v>79</v>
      </c>
      <c r="L91" s="14">
        <v>148</v>
      </c>
      <c r="M91" s="14">
        <v>131</v>
      </c>
      <c r="N91" s="14">
        <v>295</v>
      </c>
      <c r="O91" s="14">
        <v>-497</v>
      </c>
      <c r="P91" s="14">
        <v>248</v>
      </c>
      <c r="Q91" s="14">
        <v>-3</v>
      </c>
      <c r="W91" s="14">
        <v>18</v>
      </c>
      <c r="X91" s="14">
        <v>900</v>
      </c>
      <c r="Y91" s="14">
        <v>212</v>
      </c>
      <c r="Z91" s="14">
        <v>-33</v>
      </c>
      <c r="AA91" s="14">
        <v>-36</v>
      </c>
      <c r="AB91" s="14">
        <v>-49</v>
      </c>
      <c r="AC91" s="14">
        <v>324</v>
      </c>
      <c r="AD91" s="14">
        <v>-37</v>
      </c>
      <c r="AE91" s="14">
        <v>780</v>
      </c>
      <c r="AF91" s="14">
        <v>-102</v>
      </c>
      <c r="AG91" s="14">
        <v>-56</v>
      </c>
      <c r="AI91" s="14">
        <v>-115</v>
      </c>
      <c r="AJ91" s="14">
        <v>273</v>
      </c>
      <c r="AL91" s="14">
        <v>65</v>
      </c>
      <c r="AM91" s="14">
        <v>666</v>
      </c>
      <c r="AN91" s="14">
        <v>-109</v>
      </c>
      <c r="AO91" s="14">
        <v>362</v>
      </c>
      <c r="AP91" s="14">
        <v>-25</v>
      </c>
      <c r="AQ91" s="14">
        <v>501</v>
      </c>
      <c r="AR91" s="14">
        <v>-161</v>
      </c>
      <c r="AS91" s="14">
        <v>153</v>
      </c>
      <c r="AT91" s="14">
        <v>45</v>
      </c>
      <c r="AU91" s="14">
        <v>-209</v>
      </c>
      <c r="AV91" s="14">
        <v>-11</v>
      </c>
      <c r="AW91" s="14">
        <v>131</v>
      </c>
      <c r="AX91" s="14">
        <v>-141</v>
      </c>
      <c r="AY91" s="14">
        <v>-281</v>
      </c>
      <c r="AZ91" s="14">
        <v>227</v>
      </c>
      <c r="BA91" s="14">
        <v>67</v>
      </c>
      <c r="BB91" s="14">
        <v>-210</v>
      </c>
      <c r="BC91" s="14">
        <v>-1788</v>
      </c>
      <c r="BD91" s="14">
        <v>1</v>
      </c>
      <c r="BE91" s="14">
        <v>1433</v>
      </c>
    </row>
    <row r="92" spans="1:57" x14ac:dyDescent="0.25">
      <c r="A92" s="14">
        <v>5</v>
      </c>
      <c r="B92" s="14">
        <v>4054</v>
      </c>
      <c r="E92" s="14">
        <v>242</v>
      </c>
      <c r="G92" s="14">
        <v>-216</v>
      </c>
      <c r="H92" s="14">
        <v>1708</v>
      </c>
      <c r="I92" s="14">
        <v>504</v>
      </c>
      <c r="L92" s="14">
        <v>227</v>
      </c>
      <c r="M92" s="14">
        <v>142</v>
      </c>
      <c r="N92" s="14">
        <v>149</v>
      </c>
      <c r="O92" s="14">
        <v>-677</v>
      </c>
      <c r="P92" s="14">
        <v>282</v>
      </c>
      <c r="Q92" s="14">
        <v>-167</v>
      </c>
      <c r="W92" s="14">
        <v>-30</v>
      </c>
      <c r="X92" s="14">
        <v>-201</v>
      </c>
      <c r="Y92" s="14">
        <v>-102</v>
      </c>
      <c r="Z92" s="14">
        <v>-409</v>
      </c>
      <c r="AA92" s="14">
        <v>192</v>
      </c>
      <c r="AB92" s="14">
        <v>23</v>
      </c>
      <c r="AC92" s="14">
        <v>139</v>
      </c>
      <c r="AD92" s="14">
        <v>-61</v>
      </c>
      <c r="AE92" s="14">
        <v>107</v>
      </c>
      <c r="AF92" s="14">
        <v>176</v>
      </c>
      <c r="AG92" s="14">
        <v>-153</v>
      </c>
      <c r="AI92" s="14">
        <v>287</v>
      </c>
      <c r="AJ92" s="14">
        <v>166</v>
      </c>
      <c r="AL92" s="14">
        <v>12</v>
      </c>
      <c r="AM92" s="14">
        <v>127</v>
      </c>
      <c r="AN92" s="14">
        <v>576</v>
      </c>
      <c r="AO92" s="14">
        <v>150</v>
      </c>
      <c r="AP92" s="14">
        <v>-163</v>
      </c>
      <c r="AQ92" s="14">
        <v>-61</v>
      </c>
      <c r="AR92" s="14">
        <v>202</v>
      </c>
      <c r="AS92" s="14">
        <v>-8</v>
      </c>
      <c r="AT92" s="14">
        <v>19</v>
      </c>
      <c r="AU92" s="14">
        <v>431</v>
      </c>
      <c r="AV92" s="14">
        <v>458</v>
      </c>
      <c r="AW92" s="14">
        <v>-354</v>
      </c>
      <c r="AX92" s="14">
        <v>-318</v>
      </c>
      <c r="AY92" s="14">
        <v>-252</v>
      </c>
      <c r="AZ92" s="14">
        <v>-64</v>
      </c>
      <c r="BA92" s="14">
        <v>72</v>
      </c>
      <c r="BB92" s="14">
        <v>392</v>
      </c>
      <c r="BC92" s="14">
        <v>-8</v>
      </c>
      <c r="BD92" s="14">
        <v>-245</v>
      </c>
      <c r="BE92" s="14">
        <v>-3357</v>
      </c>
    </row>
    <row r="93" spans="1:57" x14ac:dyDescent="0.25">
      <c r="A93" s="14">
        <v>-12</v>
      </c>
      <c r="B93" s="14">
        <v>2729</v>
      </c>
      <c r="E93" s="14">
        <v>33</v>
      </c>
      <c r="G93" s="14">
        <v>-338</v>
      </c>
      <c r="H93" s="14">
        <v>1189</v>
      </c>
      <c r="I93" s="14">
        <v>412</v>
      </c>
      <c r="L93" s="14">
        <v>184</v>
      </c>
      <c r="M93" s="14">
        <v>138</v>
      </c>
      <c r="N93" s="14">
        <v>275</v>
      </c>
      <c r="O93" s="14">
        <v>-843</v>
      </c>
      <c r="P93" s="14">
        <v>175</v>
      </c>
      <c r="Q93" s="14">
        <v>311</v>
      </c>
      <c r="W93" s="14">
        <v>-3</v>
      </c>
      <c r="X93" s="14">
        <v>-304</v>
      </c>
      <c r="Y93" s="14">
        <v>602</v>
      </c>
      <c r="Z93" s="14">
        <v>54</v>
      </c>
      <c r="AA93" s="14">
        <v>-237</v>
      </c>
      <c r="AB93" s="14">
        <v>-2</v>
      </c>
      <c r="AC93" s="14">
        <v>548</v>
      </c>
      <c r="AD93" s="14">
        <v>71</v>
      </c>
      <c r="AE93" s="14">
        <v>121</v>
      </c>
      <c r="AF93" s="14">
        <v>873</v>
      </c>
      <c r="AG93" s="14">
        <v>-148</v>
      </c>
      <c r="AI93" s="14">
        <v>951</v>
      </c>
      <c r="AJ93" s="14">
        <v>478</v>
      </c>
      <c r="AL93" s="14">
        <v>34</v>
      </c>
      <c r="AM93" s="14">
        <v>138</v>
      </c>
      <c r="AN93" s="14">
        <v>-597</v>
      </c>
      <c r="AO93" s="14">
        <v>136</v>
      </c>
      <c r="AP93" s="14">
        <v>-233</v>
      </c>
      <c r="AQ93" s="14">
        <v>-472</v>
      </c>
      <c r="AR93" s="14">
        <v>314</v>
      </c>
      <c r="AS93" s="14">
        <v>256</v>
      </c>
      <c r="AT93" s="14">
        <v>49</v>
      </c>
      <c r="AU93" s="14">
        <v>-736</v>
      </c>
      <c r="AV93" s="14">
        <v>293</v>
      </c>
      <c r="AW93" s="14">
        <v>-150</v>
      </c>
      <c r="AX93" s="14">
        <v>-430</v>
      </c>
      <c r="AY93" s="14">
        <v>128</v>
      </c>
      <c r="AZ93" s="14">
        <v>228</v>
      </c>
      <c r="BA93" s="14">
        <v>92</v>
      </c>
      <c r="BB93" s="14">
        <v>1072</v>
      </c>
      <c r="BC93" s="14">
        <v>67</v>
      </c>
      <c r="BD93" s="14">
        <v>12</v>
      </c>
      <c r="BE93" s="14">
        <v>-2698</v>
      </c>
    </row>
    <row r="94" spans="1:57" x14ac:dyDescent="0.25">
      <c r="A94" s="14">
        <v>24</v>
      </c>
      <c r="B94" s="14">
        <v>1813</v>
      </c>
      <c r="E94" s="14">
        <v>152</v>
      </c>
      <c r="G94" s="14">
        <v>528</v>
      </c>
      <c r="H94" s="14">
        <v>1417</v>
      </c>
      <c r="I94" s="14">
        <v>363</v>
      </c>
      <c r="L94" s="14">
        <v>-250</v>
      </c>
      <c r="M94" s="14">
        <v>134</v>
      </c>
      <c r="N94" s="14">
        <v>-556</v>
      </c>
      <c r="O94" s="14">
        <v>-759</v>
      </c>
      <c r="P94" s="14">
        <v>226</v>
      </c>
      <c r="Q94" s="14">
        <v>762</v>
      </c>
      <c r="W94" s="14">
        <v>72</v>
      </c>
      <c r="X94" s="14">
        <v>-971</v>
      </c>
      <c r="Y94" s="14">
        <v>203</v>
      </c>
      <c r="Z94" s="14">
        <v>124</v>
      </c>
      <c r="AA94" s="14">
        <v>-107</v>
      </c>
      <c r="AB94" s="14">
        <v>-37</v>
      </c>
      <c r="AC94" s="14">
        <v>179</v>
      </c>
      <c r="AD94" s="14">
        <v>-34</v>
      </c>
      <c r="AE94" s="14">
        <v>117</v>
      </c>
      <c r="AF94" s="14">
        <v>434</v>
      </c>
      <c r="AG94" s="14">
        <v>-115</v>
      </c>
      <c r="AI94" s="14">
        <v>396</v>
      </c>
      <c r="AJ94" s="14">
        <v>576</v>
      </c>
      <c r="AL94" s="14">
        <v>276</v>
      </c>
      <c r="AM94" s="14">
        <v>-145</v>
      </c>
      <c r="AN94" s="14">
        <v>192</v>
      </c>
      <c r="AO94" s="14">
        <v>22</v>
      </c>
      <c r="AP94" s="14">
        <v>-169</v>
      </c>
      <c r="AQ94" s="14">
        <v>64</v>
      </c>
      <c r="AR94" s="14">
        <v>145</v>
      </c>
      <c r="AS94" s="14">
        <v>101</v>
      </c>
      <c r="AT94" s="14">
        <v>-16</v>
      </c>
      <c r="AU94" s="14">
        <v>-543</v>
      </c>
      <c r="AV94" s="14">
        <v>558</v>
      </c>
      <c r="AW94" s="14">
        <v>-251</v>
      </c>
      <c r="AX94" s="14">
        <v>-661</v>
      </c>
      <c r="AY94" s="14">
        <v>-374</v>
      </c>
      <c r="AZ94" s="14">
        <v>-7</v>
      </c>
      <c r="BA94" s="14">
        <v>118</v>
      </c>
      <c r="BB94" s="14">
        <v>-207</v>
      </c>
      <c r="BC94" s="14">
        <v>-4</v>
      </c>
      <c r="BD94" s="14">
        <v>106</v>
      </c>
      <c r="BE94" s="14">
        <v>-1214</v>
      </c>
    </row>
    <row r="95" spans="1:57" x14ac:dyDescent="0.25">
      <c r="A95" s="14">
        <v>-68</v>
      </c>
      <c r="B95" s="14">
        <v>4876</v>
      </c>
      <c r="E95" s="14">
        <v>-14</v>
      </c>
      <c r="G95" s="14">
        <v>166</v>
      </c>
      <c r="H95" s="14">
        <v>897</v>
      </c>
      <c r="I95" s="14">
        <v>-191</v>
      </c>
      <c r="L95" s="14">
        <v>102</v>
      </c>
      <c r="M95" s="14">
        <v>-429</v>
      </c>
      <c r="O95" s="14">
        <v>-870</v>
      </c>
      <c r="P95" s="14">
        <v>-102</v>
      </c>
      <c r="Q95" s="14">
        <v>102</v>
      </c>
      <c r="W95" s="14">
        <v>-59</v>
      </c>
      <c r="X95" s="14">
        <v>-261</v>
      </c>
      <c r="Y95" s="14">
        <v>-6</v>
      </c>
      <c r="Z95" s="14">
        <v>-211</v>
      </c>
      <c r="AA95" s="14">
        <v>847</v>
      </c>
      <c r="AB95" s="14">
        <v>-15</v>
      </c>
      <c r="AC95" s="14">
        <v>-958</v>
      </c>
      <c r="AD95" s="14">
        <v>-13</v>
      </c>
      <c r="AE95" s="14">
        <v>130</v>
      </c>
      <c r="AF95" s="14">
        <v>949</v>
      </c>
      <c r="AG95" s="14">
        <v>-143</v>
      </c>
      <c r="AI95" s="14">
        <v>37</v>
      </c>
      <c r="AJ95" s="14">
        <v>-7</v>
      </c>
      <c r="AL95" s="14">
        <v>84</v>
      </c>
      <c r="AM95" s="14">
        <v>127</v>
      </c>
      <c r="AN95" s="14">
        <v>-4</v>
      </c>
      <c r="AO95" s="14">
        <v>34</v>
      </c>
      <c r="AP95" s="14">
        <v>-226</v>
      </c>
      <c r="AQ95" s="14">
        <v>-313</v>
      </c>
      <c r="AR95" s="14">
        <v>-182</v>
      </c>
      <c r="AS95" s="14">
        <v>-35</v>
      </c>
      <c r="AT95" s="14">
        <v>-21</v>
      </c>
      <c r="AU95" s="14">
        <v>391</v>
      </c>
      <c r="AV95" s="14">
        <v>-431</v>
      </c>
      <c r="AW95" s="14">
        <v>-148</v>
      </c>
      <c r="AX95" s="14">
        <v>-264</v>
      </c>
      <c r="AY95" s="14">
        <v>234</v>
      </c>
      <c r="AZ95" s="14">
        <v>62</v>
      </c>
      <c r="BA95" s="14">
        <v>143</v>
      </c>
      <c r="BB95" s="14">
        <v>-4514</v>
      </c>
      <c r="BC95" s="14">
        <v>-12</v>
      </c>
      <c r="BD95" s="14">
        <v>-75</v>
      </c>
      <c r="BE95" s="14">
        <v>1139</v>
      </c>
    </row>
    <row r="96" spans="1:57" x14ac:dyDescent="0.25">
      <c r="A96" s="14">
        <v>-94</v>
      </c>
      <c r="B96" s="14">
        <v>-55339</v>
      </c>
      <c r="E96" s="14">
        <v>264</v>
      </c>
      <c r="G96" s="14">
        <v>-23</v>
      </c>
      <c r="H96" s="14">
        <v>1539</v>
      </c>
      <c r="I96" s="14">
        <v>-195</v>
      </c>
      <c r="L96" s="14">
        <v>-463</v>
      </c>
      <c r="M96" s="14">
        <v>-613</v>
      </c>
      <c r="O96" s="14">
        <v>-105</v>
      </c>
      <c r="P96" s="14">
        <v>530</v>
      </c>
      <c r="Q96" s="14">
        <v>246</v>
      </c>
      <c r="W96" s="14">
        <v>-139</v>
      </c>
      <c r="X96" s="14">
        <v>-753</v>
      </c>
      <c r="Y96" s="14">
        <v>57</v>
      </c>
      <c r="Z96" s="14">
        <v>-68</v>
      </c>
      <c r="AA96" s="14">
        <v>98</v>
      </c>
      <c r="AB96" s="14">
        <v>655</v>
      </c>
      <c r="AC96" s="14">
        <v>-239</v>
      </c>
      <c r="AD96" s="14">
        <v>-34</v>
      </c>
      <c r="AE96" s="14">
        <v>247</v>
      </c>
      <c r="AF96" s="14">
        <v>179</v>
      </c>
      <c r="AG96" s="14">
        <v>83</v>
      </c>
      <c r="AI96" s="14">
        <v>-112</v>
      </c>
      <c r="AJ96" s="14">
        <v>-620</v>
      </c>
      <c r="AL96" s="14">
        <v>76</v>
      </c>
      <c r="AM96" s="14">
        <v>210</v>
      </c>
      <c r="AN96" s="14">
        <v>89</v>
      </c>
      <c r="AO96" s="14">
        <v>426</v>
      </c>
      <c r="AP96" s="14">
        <v>-695</v>
      </c>
      <c r="AQ96" s="14">
        <v>65</v>
      </c>
      <c r="AR96" s="14">
        <v>-470</v>
      </c>
      <c r="AS96" s="14">
        <v>-398</v>
      </c>
      <c r="AT96" s="14">
        <v>6</v>
      </c>
      <c r="AU96" s="14">
        <v>-590</v>
      </c>
      <c r="AV96" s="14">
        <v>-378</v>
      </c>
      <c r="AW96" s="14">
        <v>-787</v>
      </c>
      <c r="AX96" s="14">
        <v>412</v>
      </c>
      <c r="AY96" s="14">
        <v>-384</v>
      </c>
      <c r="AZ96" s="14">
        <v>-40</v>
      </c>
      <c r="BA96" s="14">
        <v>146</v>
      </c>
      <c r="BB96" s="14">
        <v>112</v>
      </c>
      <c r="BC96" s="14">
        <v>-11</v>
      </c>
      <c r="BD96" s="14">
        <v>-4</v>
      </c>
      <c r="BE96" s="14">
        <v>-4374</v>
      </c>
    </row>
    <row r="97" spans="1:57" x14ac:dyDescent="0.25">
      <c r="A97" s="14">
        <v>-301</v>
      </c>
      <c r="B97" s="14">
        <v>-6893</v>
      </c>
      <c r="E97" s="14">
        <v>151</v>
      </c>
      <c r="G97" s="14">
        <v>901</v>
      </c>
      <c r="H97" s="14">
        <v>1045</v>
      </c>
      <c r="I97" s="14">
        <v>-145</v>
      </c>
      <c r="L97" s="14">
        <v>123</v>
      </c>
      <c r="M97" s="14">
        <v>-342</v>
      </c>
      <c r="O97" s="14">
        <v>-128</v>
      </c>
      <c r="P97" s="14">
        <v>156</v>
      </c>
      <c r="Q97" s="14">
        <v>940</v>
      </c>
      <c r="W97" s="14">
        <v>9</v>
      </c>
      <c r="X97" s="14">
        <v>-299</v>
      </c>
      <c r="Y97" s="14">
        <v>5</v>
      </c>
      <c r="Z97" s="14">
        <v>469</v>
      </c>
      <c r="AA97" s="14">
        <v>-101</v>
      </c>
      <c r="AB97" s="14">
        <v>201</v>
      </c>
      <c r="AC97" s="14">
        <v>204</v>
      </c>
      <c r="AD97" s="14">
        <v>2</v>
      </c>
      <c r="AE97" s="14">
        <v>547</v>
      </c>
      <c r="AF97" s="14">
        <v>288</v>
      </c>
      <c r="AG97" s="14">
        <v>-10</v>
      </c>
      <c r="AI97" s="14">
        <v>-514</v>
      </c>
      <c r="AJ97" s="14">
        <v>349</v>
      </c>
      <c r="AL97" s="14">
        <v>83</v>
      </c>
      <c r="AM97" s="14">
        <v>-181</v>
      </c>
      <c r="AN97" s="14">
        <v>-507</v>
      </c>
      <c r="AO97" s="14">
        <v>549</v>
      </c>
      <c r="AP97" s="14">
        <v>-456</v>
      </c>
      <c r="AQ97" s="14">
        <v>21</v>
      </c>
      <c r="AR97" s="14">
        <v>-618</v>
      </c>
      <c r="AS97" s="14">
        <v>-49</v>
      </c>
      <c r="AT97" s="14">
        <v>116</v>
      </c>
      <c r="AU97" s="14">
        <v>208</v>
      </c>
      <c r="AV97" s="14">
        <v>-460</v>
      </c>
      <c r="AW97" s="14">
        <v>426</v>
      </c>
      <c r="AX97" s="14">
        <v>-185</v>
      </c>
      <c r="AY97" s="14">
        <v>621</v>
      </c>
      <c r="AZ97" s="14">
        <v>48</v>
      </c>
      <c r="BA97" s="14">
        <v>81</v>
      </c>
      <c r="BB97" s="14">
        <v>-15</v>
      </c>
      <c r="BC97" s="14">
        <v>-2</v>
      </c>
      <c r="BD97" s="14">
        <v>329</v>
      </c>
      <c r="BE97" s="14">
        <v>-3608</v>
      </c>
    </row>
    <row r="98" spans="1:57" x14ac:dyDescent="0.25">
      <c r="A98" s="14">
        <v>63</v>
      </c>
      <c r="B98" s="14">
        <v>7570</v>
      </c>
      <c r="E98" s="14">
        <v>-15</v>
      </c>
      <c r="G98" s="14">
        <v>102</v>
      </c>
      <c r="H98" s="14">
        <v>1034</v>
      </c>
      <c r="I98" s="14">
        <v>-146</v>
      </c>
      <c r="L98" s="14">
        <v>165</v>
      </c>
      <c r="M98" s="14">
        <v>-511</v>
      </c>
      <c r="O98" s="14">
        <v>-186</v>
      </c>
      <c r="P98" s="14">
        <v>856</v>
      </c>
      <c r="Q98" s="14">
        <v>511</v>
      </c>
      <c r="W98" s="14">
        <v>321</v>
      </c>
      <c r="X98" s="14">
        <v>-218</v>
      </c>
      <c r="Y98" s="14">
        <v>374</v>
      </c>
      <c r="Z98" s="14">
        <v>239</v>
      </c>
      <c r="AA98" s="14">
        <v>173</v>
      </c>
      <c r="AB98" s="14">
        <v>-28</v>
      </c>
      <c r="AC98" s="14">
        <v>441</v>
      </c>
      <c r="AD98" s="14">
        <v>74</v>
      </c>
      <c r="AE98" s="14">
        <v>294</v>
      </c>
      <c r="AF98" s="14">
        <v>195</v>
      </c>
      <c r="AG98" s="14">
        <v>112</v>
      </c>
      <c r="AI98" s="14">
        <v>238</v>
      </c>
      <c r="AJ98" s="14">
        <v>704</v>
      </c>
      <c r="AL98" s="14">
        <v>91</v>
      </c>
      <c r="AM98" s="14">
        <v>953</v>
      </c>
      <c r="AN98" s="14">
        <v>1</v>
      </c>
      <c r="AO98" s="14">
        <v>147</v>
      </c>
      <c r="AP98" s="14">
        <v>-73</v>
      </c>
      <c r="AQ98" s="14">
        <v>512</v>
      </c>
      <c r="AR98" s="14">
        <v>-767</v>
      </c>
      <c r="AS98" s="14">
        <v>26</v>
      </c>
      <c r="AT98" s="14">
        <v>54</v>
      </c>
      <c r="AU98" s="14">
        <v>60</v>
      </c>
      <c r="AV98" s="14">
        <v>-274</v>
      </c>
      <c r="AW98" s="14">
        <v>-354</v>
      </c>
      <c r="AX98" s="14">
        <v>-1409</v>
      </c>
      <c r="AY98" s="14">
        <v>-866</v>
      </c>
      <c r="AZ98" s="14">
        <v>515</v>
      </c>
      <c r="BA98" s="14">
        <v>147</v>
      </c>
      <c r="BB98" s="14">
        <v>24</v>
      </c>
      <c r="BC98" s="14">
        <v>2</v>
      </c>
      <c r="BD98" s="14">
        <v>255</v>
      </c>
      <c r="BE98" s="14">
        <v>-7750</v>
      </c>
    </row>
    <row r="99" spans="1:57" x14ac:dyDescent="0.25">
      <c r="A99" s="14">
        <v>33</v>
      </c>
      <c r="B99" s="14">
        <v>-23979</v>
      </c>
      <c r="E99" s="14">
        <v>242</v>
      </c>
      <c r="G99" s="14">
        <v>-443</v>
      </c>
      <c r="H99" s="14">
        <v>583</v>
      </c>
      <c r="I99" s="14">
        <v>113</v>
      </c>
      <c r="L99" s="14">
        <v>195</v>
      </c>
      <c r="M99" s="14">
        <v>-435</v>
      </c>
      <c r="O99" s="14">
        <v>-431</v>
      </c>
      <c r="P99" s="14">
        <v>53</v>
      </c>
      <c r="Q99" s="14">
        <v>339</v>
      </c>
      <c r="W99" s="14">
        <v>-6</v>
      </c>
      <c r="X99" s="14">
        <v>162</v>
      </c>
      <c r="Y99" s="14">
        <v>-797</v>
      </c>
      <c r="Z99" s="14">
        <v>-421</v>
      </c>
      <c r="AA99" s="14">
        <v>149</v>
      </c>
      <c r="AB99" s="14">
        <v>14</v>
      </c>
      <c r="AC99" s="14">
        <v>327</v>
      </c>
      <c r="AD99" s="14">
        <v>94</v>
      </c>
      <c r="AE99" s="14">
        <v>814</v>
      </c>
      <c r="AF99" s="14">
        <v>377</v>
      </c>
      <c r="AG99" s="14">
        <v>-34</v>
      </c>
      <c r="AI99" s="14">
        <v>161</v>
      </c>
      <c r="AJ99" s="14">
        <v>531</v>
      </c>
      <c r="AL99" s="14">
        <v>197</v>
      </c>
      <c r="AM99" s="14">
        <v>-111</v>
      </c>
      <c r="AN99" s="14">
        <v>11</v>
      </c>
      <c r="AO99" s="14">
        <v>201</v>
      </c>
      <c r="AP99" s="14">
        <v>-483</v>
      </c>
      <c r="AQ99" s="14">
        <v>-30</v>
      </c>
      <c r="AR99" s="14">
        <v>6</v>
      </c>
      <c r="AS99" s="14">
        <v>274</v>
      </c>
      <c r="AT99" s="14">
        <v>58</v>
      </c>
      <c r="AU99" s="14">
        <v>135</v>
      </c>
      <c r="AV99" s="14">
        <v>-11</v>
      </c>
      <c r="AW99" s="14">
        <v>-177</v>
      </c>
      <c r="AX99" s="14">
        <v>-126</v>
      </c>
      <c r="AY99" s="14">
        <v>-779</v>
      </c>
      <c r="AZ99" s="14">
        <v>-288</v>
      </c>
      <c r="BA99" s="14">
        <v>222</v>
      </c>
      <c r="BB99" s="14">
        <v>51</v>
      </c>
      <c r="BC99" s="14">
        <v>2</v>
      </c>
      <c r="BD99" s="14">
        <v>-505</v>
      </c>
      <c r="BE99" s="14">
        <v>-2108</v>
      </c>
    </row>
    <row r="100" spans="1:57" x14ac:dyDescent="0.25">
      <c r="A100" s="14">
        <v>-32</v>
      </c>
      <c r="B100" s="14">
        <v>1560</v>
      </c>
      <c r="E100" s="14">
        <v>-20</v>
      </c>
      <c r="G100" s="14">
        <v>-437</v>
      </c>
      <c r="H100" s="14">
        <v>878</v>
      </c>
      <c r="I100" s="14">
        <v>114</v>
      </c>
      <c r="L100" s="14">
        <v>-249</v>
      </c>
      <c r="M100" s="14">
        <v>-371</v>
      </c>
      <c r="O100" s="14">
        <v>-416</v>
      </c>
      <c r="P100" s="14">
        <v>-69</v>
      </c>
      <c r="Q100" s="14">
        <v>-178</v>
      </c>
      <c r="W100" s="14">
        <v>67</v>
      </c>
      <c r="X100" s="14">
        <v>111</v>
      </c>
      <c r="Y100" s="14">
        <v>136</v>
      </c>
      <c r="Z100" s="14">
        <v>486</v>
      </c>
      <c r="AA100" s="14">
        <v>-593</v>
      </c>
      <c r="AB100" s="14">
        <v>60</v>
      </c>
      <c r="AC100" s="14">
        <v>-120</v>
      </c>
      <c r="AD100" s="14">
        <v>-7</v>
      </c>
      <c r="AE100" s="14">
        <v>954</v>
      </c>
      <c r="AF100" s="14">
        <v>649</v>
      </c>
      <c r="AG100" s="14">
        <v>-19</v>
      </c>
      <c r="AI100" s="14">
        <v>-115</v>
      </c>
      <c r="AJ100" s="14">
        <v>623</v>
      </c>
      <c r="AL100" s="14">
        <v>35</v>
      </c>
      <c r="AM100" s="14">
        <v>-144</v>
      </c>
      <c r="AN100" s="14">
        <v>96</v>
      </c>
      <c r="AO100" s="14">
        <v>15</v>
      </c>
      <c r="AP100" s="14">
        <v>-514</v>
      </c>
      <c r="AQ100" s="14">
        <v>84</v>
      </c>
      <c r="AR100" s="14">
        <v>24</v>
      </c>
      <c r="AS100" s="14">
        <v>-51</v>
      </c>
      <c r="AT100" s="14">
        <v>-9</v>
      </c>
      <c r="AU100" s="14">
        <v>46</v>
      </c>
      <c r="AV100" s="14">
        <v>456</v>
      </c>
      <c r="AW100" s="14">
        <v>-262</v>
      </c>
      <c r="AX100" s="14">
        <v>4</v>
      </c>
      <c r="AY100" s="14">
        <v>195</v>
      </c>
      <c r="AZ100" s="14">
        <v>-35</v>
      </c>
      <c r="BA100" s="14">
        <v>182</v>
      </c>
      <c r="BB100" s="14">
        <v>2054</v>
      </c>
      <c r="BC100" s="14">
        <v>-1</v>
      </c>
      <c r="BD100" s="14">
        <v>-6046</v>
      </c>
      <c r="BE100" s="14">
        <v>-1327</v>
      </c>
    </row>
    <row r="101" spans="1:57" x14ac:dyDescent="0.25">
      <c r="A101" s="14">
        <v>8</v>
      </c>
      <c r="B101" s="14">
        <v>40197</v>
      </c>
      <c r="E101" s="14">
        <v>1624</v>
      </c>
      <c r="G101" s="14">
        <v>118</v>
      </c>
      <c r="H101" s="14">
        <v>886</v>
      </c>
      <c r="I101" s="14">
        <v>754</v>
      </c>
      <c r="L101" s="14">
        <v>81</v>
      </c>
      <c r="M101" s="14">
        <v>-404</v>
      </c>
      <c r="O101" s="14">
        <v>-588</v>
      </c>
      <c r="P101" s="14">
        <v>396</v>
      </c>
      <c r="Q101" s="14">
        <v>-215</v>
      </c>
      <c r="W101" s="14">
        <v>-78</v>
      </c>
      <c r="X101" s="14">
        <v>-8</v>
      </c>
      <c r="Y101" s="14">
        <v>412</v>
      </c>
      <c r="Z101" s="14">
        <v>247</v>
      </c>
      <c r="AA101" s="14">
        <v>123</v>
      </c>
      <c r="AB101" s="14">
        <v>-6</v>
      </c>
      <c r="AC101" s="14">
        <v>-32</v>
      </c>
      <c r="AD101" s="14">
        <v>661</v>
      </c>
      <c r="AE101" s="14">
        <v>103</v>
      </c>
      <c r="AF101" s="14">
        <v>792</v>
      </c>
      <c r="AG101" s="14">
        <v>34</v>
      </c>
      <c r="AI101" s="14">
        <v>286</v>
      </c>
      <c r="AJ101" s="14">
        <v>349</v>
      </c>
      <c r="AL101" s="14">
        <v>29</v>
      </c>
      <c r="AM101" s="14">
        <v>524</v>
      </c>
      <c r="AN101" s="14">
        <v>-869</v>
      </c>
      <c r="AO101" s="14">
        <v>91</v>
      </c>
      <c r="AP101" s="14">
        <v>-234</v>
      </c>
      <c r="AQ101" s="14">
        <v>-308</v>
      </c>
      <c r="AR101" s="14">
        <v>275</v>
      </c>
      <c r="AS101" s="14">
        <v>3</v>
      </c>
      <c r="AT101" s="14">
        <v>36</v>
      </c>
      <c r="AU101" s="14">
        <v>56</v>
      </c>
      <c r="AV101" s="14">
        <v>215</v>
      </c>
      <c r="AW101" s="14">
        <v>-168</v>
      </c>
      <c r="AX101" s="14">
        <v>703</v>
      </c>
      <c r="AY101" s="14">
        <v>-473</v>
      </c>
      <c r="AZ101" s="14">
        <v>673</v>
      </c>
      <c r="BA101" s="14">
        <v>144</v>
      </c>
      <c r="BB101" s="14">
        <v>1151</v>
      </c>
      <c r="BC101" s="14">
        <v>7</v>
      </c>
      <c r="BD101" s="14">
        <v>-6399</v>
      </c>
      <c r="BE101" s="14">
        <v>-5</v>
      </c>
    </row>
    <row r="102" spans="1:57" x14ac:dyDescent="0.25">
      <c r="A102" s="14">
        <v>-32</v>
      </c>
      <c r="B102" s="14">
        <v>4335</v>
      </c>
      <c r="E102" s="14">
        <v>1109</v>
      </c>
      <c r="G102" s="14">
        <v>161</v>
      </c>
      <c r="H102" s="14">
        <v>440</v>
      </c>
      <c r="I102" s="14">
        <v>720</v>
      </c>
      <c r="L102" s="14">
        <v>-602</v>
      </c>
      <c r="M102" s="14">
        <v>-402</v>
      </c>
      <c r="O102" s="14">
        <v>-791</v>
      </c>
      <c r="P102" s="14">
        <v>982</v>
      </c>
      <c r="Q102" s="14">
        <v>132</v>
      </c>
      <c r="W102" s="14">
        <v>-59</v>
      </c>
      <c r="X102" s="14">
        <v>-5</v>
      </c>
      <c r="Y102" s="14">
        <v>176</v>
      </c>
      <c r="Z102" s="14">
        <v>-298</v>
      </c>
      <c r="AA102" s="14">
        <v>-167</v>
      </c>
      <c r="AB102" s="14">
        <v>-43</v>
      </c>
      <c r="AC102" s="14">
        <v>100</v>
      </c>
      <c r="AD102" s="14">
        <v>-262</v>
      </c>
      <c r="AE102" s="14">
        <v>107</v>
      </c>
      <c r="AF102" s="14">
        <v>61</v>
      </c>
      <c r="AG102" s="14">
        <v>19</v>
      </c>
      <c r="AI102" s="14">
        <v>108</v>
      </c>
      <c r="AJ102" s="14">
        <v>383</v>
      </c>
      <c r="AL102" s="14">
        <v>124</v>
      </c>
      <c r="AM102" s="14">
        <v>190</v>
      </c>
      <c r="AN102" s="14">
        <v>12</v>
      </c>
      <c r="AO102" s="14">
        <v>527</v>
      </c>
      <c r="AP102" s="14">
        <v>-156</v>
      </c>
      <c r="AQ102" s="14">
        <v>-50</v>
      </c>
      <c r="AR102" s="14">
        <v>233</v>
      </c>
      <c r="AS102" s="14">
        <v>286</v>
      </c>
      <c r="AT102" s="14">
        <v>23</v>
      </c>
      <c r="AU102" s="14">
        <v>42</v>
      </c>
      <c r="AV102" s="14">
        <v>457</v>
      </c>
      <c r="AW102" s="14">
        <v>-194</v>
      </c>
      <c r="AX102" s="14">
        <v>-253</v>
      </c>
      <c r="AY102" s="14">
        <v>412</v>
      </c>
      <c r="AZ102" s="14">
        <v>-33</v>
      </c>
      <c r="BA102" s="14">
        <v>158</v>
      </c>
      <c r="BB102" s="14">
        <v>836</v>
      </c>
      <c r="BC102" s="14">
        <v>4</v>
      </c>
      <c r="BD102" s="14">
        <v>-5116</v>
      </c>
      <c r="BE102" s="14">
        <v>1</v>
      </c>
    </row>
    <row r="103" spans="1:57" x14ac:dyDescent="0.25">
      <c r="A103" s="14">
        <v>27</v>
      </c>
      <c r="B103" s="14">
        <v>59</v>
      </c>
      <c r="E103" s="14">
        <v>446</v>
      </c>
      <c r="G103" s="14">
        <v>-121</v>
      </c>
      <c r="H103" s="14">
        <v>489</v>
      </c>
      <c r="I103" s="14">
        <v>-383</v>
      </c>
      <c r="L103" s="14">
        <v>-149</v>
      </c>
      <c r="M103" s="14">
        <v>-345</v>
      </c>
      <c r="O103" s="14">
        <v>-413</v>
      </c>
      <c r="P103" s="14">
        <v>124</v>
      </c>
      <c r="Q103" s="14">
        <v>122</v>
      </c>
      <c r="W103" s="14">
        <v>12</v>
      </c>
      <c r="X103" s="14">
        <v>5</v>
      </c>
      <c r="Y103" s="14">
        <v>-292</v>
      </c>
      <c r="Z103" s="14">
        <v>495</v>
      </c>
      <c r="AA103" s="14">
        <v>-467</v>
      </c>
      <c r="AB103" s="14">
        <v>9</v>
      </c>
      <c r="AC103" s="14">
        <v>119</v>
      </c>
      <c r="AD103" s="14">
        <v>32</v>
      </c>
      <c r="AE103" s="14">
        <v>794</v>
      </c>
      <c r="AF103" s="14">
        <v>-1</v>
      </c>
      <c r="AG103" s="14">
        <v>92</v>
      </c>
      <c r="AI103" s="14">
        <v>363</v>
      </c>
      <c r="AJ103" s="14">
        <v>319</v>
      </c>
      <c r="AL103" s="14">
        <v>167</v>
      </c>
      <c r="AM103" s="14">
        <v>-958</v>
      </c>
      <c r="AN103" s="14">
        <v>98</v>
      </c>
      <c r="AO103" s="14">
        <v>615</v>
      </c>
      <c r="AP103" s="14">
        <v>-237</v>
      </c>
      <c r="AQ103" s="14">
        <v>-14</v>
      </c>
      <c r="AR103" s="14">
        <v>-30</v>
      </c>
      <c r="AS103" s="14">
        <v>1</v>
      </c>
      <c r="AT103" s="14">
        <v>139</v>
      </c>
      <c r="AU103" s="14">
        <v>19</v>
      </c>
      <c r="AV103" s="14">
        <v>584</v>
      </c>
      <c r="AW103" s="14">
        <v>-530</v>
      </c>
      <c r="AX103" s="14">
        <v>413</v>
      </c>
      <c r="AY103" s="14">
        <v>-348</v>
      </c>
      <c r="AZ103" s="14">
        <v>25</v>
      </c>
      <c r="BA103" s="14">
        <v>139</v>
      </c>
      <c r="BB103" s="14">
        <v>-325</v>
      </c>
      <c r="BC103" s="14">
        <v>-2</v>
      </c>
      <c r="BD103" s="14">
        <v>-181</v>
      </c>
      <c r="BE103" s="14">
        <v>4</v>
      </c>
    </row>
    <row r="104" spans="1:57" x14ac:dyDescent="0.25">
      <c r="A104" s="14">
        <v>11</v>
      </c>
      <c r="B104" s="14">
        <v>-46</v>
      </c>
      <c r="E104" s="14">
        <v>-16</v>
      </c>
      <c r="G104" s="14">
        <v>-330</v>
      </c>
      <c r="H104" s="14">
        <v>858</v>
      </c>
      <c r="I104" s="14">
        <v>-410</v>
      </c>
      <c r="L104" s="14">
        <v>-368</v>
      </c>
      <c r="M104" s="14">
        <v>-363</v>
      </c>
      <c r="O104" s="14">
        <v>395</v>
      </c>
      <c r="P104" s="14">
        <v>449</v>
      </c>
      <c r="Q104" s="14">
        <v>-574</v>
      </c>
      <c r="W104" s="14">
        <v>226</v>
      </c>
      <c r="X104" s="14">
        <v>-495</v>
      </c>
      <c r="Y104" s="14">
        <v>255</v>
      </c>
      <c r="Z104" s="14">
        <v>157</v>
      </c>
      <c r="AA104" s="14">
        <v>25</v>
      </c>
      <c r="AB104" s="14">
        <v>-4</v>
      </c>
      <c r="AC104" s="14">
        <v>915</v>
      </c>
      <c r="AD104" s="14">
        <v>-375</v>
      </c>
      <c r="AE104" s="14">
        <v>531</v>
      </c>
      <c r="AF104" s="14">
        <v>939</v>
      </c>
      <c r="AG104" s="14">
        <v>-21</v>
      </c>
      <c r="AI104" s="14">
        <v>-89</v>
      </c>
      <c r="AJ104" s="14">
        <v>257</v>
      </c>
      <c r="AL104" s="14">
        <v>4</v>
      </c>
      <c r="AM104" s="14">
        <v>247</v>
      </c>
      <c r="AN104" s="14">
        <v>-179</v>
      </c>
      <c r="AO104" s="14">
        <v>142</v>
      </c>
      <c r="AP104" s="14">
        <v>-6</v>
      </c>
      <c r="AQ104" s="14">
        <v>8</v>
      </c>
      <c r="AR104" s="14">
        <v>426</v>
      </c>
      <c r="AS104" s="14">
        <v>-126</v>
      </c>
      <c r="AT104" s="14">
        <v>68</v>
      </c>
      <c r="AU104" s="14">
        <v>200</v>
      </c>
      <c r="AV104" s="14">
        <v>-476</v>
      </c>
      <c r="AW104" s="14">
        <v>-146</v>
      </c>
      <c r="AX104" s="14">
        <v>-122</v>
      </c>
      <c r="AY104" s="14">
        <v>748</v>
      </c>
      <c r="AZ104" s="14">
        <v>138</v>
      </c>
      <c r="BA104" s="14">
        <v>147</v>
      </c>
      <c r="BB104" s="14">
        <v>-181</v>
      </c>
      <c r="BC104" s="14">
        <v>-1</v>
      </c>
      <c r="BD104" s="14">
        <v>-1873</v>
      </c>
      <c r="BE104" s="14">
        <v>4</v>
      </c>
    </row>
    <row r="105" spans="1:57" x14ac:dyDescent="0.25">
      <c r="A105" s="14">
        <v>97</v>
      </c>
      <c r="B105" s="14">
        <v>43</v>
      </c>
      <c r="E105" s="14">
        <v>2112</v>
      </c>
      <c r="G105" s="14">
        <v>856</v>
      </c>
      <c r="H105" s="14">
        <v>1121</v>
      </c>
      <c r="I105" s="14">
        <v>-234</v>
      </c>
      <c r="L105" s="14">
        <v>-884</v>
      </c>
      <c r="M105" s="14">
        <v>-344</v>
      </c>
      <c r="O105" s="14">
        <v>895</v>
      </c>
      <c r="P105" s="14">
        <v>197</v>
      </c>
      <c r="Q105" s="14">
        <v>-487</v>
      </c>
      <c r="W105" s="14">
        <v>-17</v>
      </c>
      <c r="X105" s="14">
        <v>247</v>
      </c>
      <c r="Y105" s="14">
        <v>120</v>
      </c>
      <c r="Z105" s="14">
        <v>-457</v>
      </c>
      <c r="AA105" s="14">
        <v>-246</v>
      </c>
      <c r="AB105" s="14">
        <v>-32</v>
      </c>
      <c r="AC105" s="14">
        <v>158</v>
      </c>
      <c r="AD105" s="14">
        <v>-747</v>
      </c>
      <c r="AE105" s="14">
        <v>145</v>
      </c>
      <c r="AF105" s="14">
        <v>157</v>
      </c>
      <c r="AG105" s="14">
        <v>-75</v>
      </c>
      <c r="AI105" s="14">
        <v>-488</v>
      </c>
      <c r="AJ105" s="14">
        <v>683</v>
      </c>
      <c r="AL105" s="14">
        <v>130</v>
      </c>
      <c r="AM105" s="14">
        <v>120</v>
      </c>
      <c r="AN105" s="14">
        <v>583</v>
      </c>
      <c r="AO105" s="14">
        <v>142</v>
      </c>
      <c r="AP105" s="14">
        <v>-64</v>
      </c>
      <c r="AQ105" s="14">
        <v>-34</v>
      </c>
      <c r="AR105" s="14">
        <v>-133</v>
      </c>
      <c r="AS105" s="14">
        <v>-173</v>
      </c>
      <c r="AT105" s="14">
        <v>81</v>
      </c>
      <c r="AU105" s="14">
        <v>35</v>
      </c>
      <c r="AV105" s="14">
        <v>-416</v>
      </c>
      <c r="AW105" s="14">
        <v>-235</v>
      </c>
      <c r="AX105" s="14">
        <v>-112</v>
      </c>
      <c r="AY105" s="14">
        <v>-211</v>
      </c>
      <c r="AZ105" s="14">
        <v>-291</v>
      </c>
      <c r="BA105" s="14">
        <v>109</v>
      </c>
      <c r="BB105" s="14">
        <v>319</v>
      </c>
      <c r="BC105" s="14">
        <v>4</v>
      </c>
      <c r="BD105" s="14">
        <v>-475</v>
      </c>
      <c r="BE105" s="14">
        <v>6</v>
      </c>
    </row>
    <row r="106" spans="1:57" x14ac:dyDescent="0.25">
      <c r="A106" s="14">
        <v>-46</v>
      </c>
      <c r="B106" s="14">
        <v>26</v>
      </c>
      <c r="E106" s="14">
        <v>16</v>
      </c>
      <c r="G106" s="14">
        <v>607</v>
      </c>
      <c r="H106" s="14">
        <v>883</v>
      </c>
      <c r="I106" s="14">
        <v>-246</v>
      </c>
      <c r="L106" s="14">
        <v>170</v>
      </c>
      <c r="M106" s="14">
        <v>-326</v>
      </c>
      <c r="O106" s="14">
        <v>141</v>
      </c>
      <c r="P106" s="14">
        <v>30</v>
      </c>
      <c r="Q106" s="14">
        <v>-172</v>
      </c>
      <c r="W106" s="14">
        <v>-2</v>
      </c>
      <c r="X106" s="14">
        <v>9</v>
      </c>
      <c r="Y106" s="14">
        <v>295</v>
      </c>
      <c r="Z106" s="14">
        <v>503</v>
      </c>
      <c r="AA106" s="14">
        <v>-601</v>
      </c>
      <c r="AB106" s="14">
        <v>-14</v>
      </c>
      <c r="AC106" s="14">
        <v>340</v>
      </c>
      <c r="AD106" s="14">
        <v>23</v>
      </c>
      <c r="AE106" s="14">
        <v>845</v>
      </c>
      <c r="AF106" s="14">
        <v>251</v>
      </c>
      <c r="AG106" s="14">
        <v>-65</v>
      </c>
      <c r="AI106" s="14">
        <v>186</v>
      </c>
      <c r="AJ106" s="14">
        <v>-64</v>
      </c>
      <c r="AL106" s="14">
        <v>68</v>
      </c>
      <c r="AM106" s="14">
        <v>273</v>
      </c>
      <c r="AN106" s="14">
        <v>152</v>
      </c>
      <c r="AO106" s="14">
        <v>20</v>
      </c>
      <c r="AP106" s="14">
        <v>-71</v>
      </c>
      <c r="AQ106" s="14">
        <v>42</v>
      </c>
      <c r="AR106" s="14">
        <v>180</v>
      </c>
      <c r="AS106" s="14">
        <v>-511</v>
      </c>
      <c r="AT106" s="14">
        <v>-16</v>
      </c>
      <c r="AU106" s="14">
        <v>185</v>
      </c>
      <c r="AV106" s="14">
        <v>-471</v>
      </c>
      <c r="AW106" s="14">
        <v>-323</v>
      </c>
      <c r="AX106" s="14">
        <v>652</v>
      </c>
      <c r="AY106" s="14">
        <v>149</v>
      </c>
      <c r="AZ106" s="14">
        <v>-170</v>
      </c>
      <c r="BA106" s="14">
        <v>155</v>
      </c>
      <c r="BB106" s="14">
        <v>657</v>
      </c>
      <c r="BC106" s="14">
        <v>4</v>
      </c>
      <c r="BD106" s="14">
        <v>5455</v>
      </c>
      <c r="BE106" s="14">
        <v>-4</v>
      </c>
    </row>
    <row r="107" spans="1:57" x14ac:dyDescent="0.25">
      <c r="A107" s="14">
        <v>10</v>
      </c>
      <c r="B107" s="14">
        <v>-26</v>
      </c>
      <c r="E107" s="14">
        <v>75</v>
      </c>
      <c r="G107" s="14">
        <v>895</v>
      </c>
      <c r="H107" s="14">
        <v>-2355</v>
      </c>
      <c r="I107" s="14">
        <v>109</v>
      </c>
      <c r="L107" s="14">
        <v>774</v>
      </c>
      <c r="M107" s="14">
        <v>-317</v>
      </c>
      <c r="O107" s="14">
        <v>245</v>
      </c>
      <c r="P107" s="14">
        <v>161</v>
      </c>
      <c r="Q107" s="14">
        <v>-823</v>
      </c>
      <c r="W107" s="14">
        <v>-5</v>
      </c>
      <c r="X107" s="14">
        <v>-371</v>
      </c>
      <c r="Y107" s="14">
        <v>182</v>
      </c>
      <c r="Z107" s="14">
        <v>132</v>
      </c>
      <c r="AA107" s="14">
        <v>-915</v>
      </c>
      <c r="AB107" s="14">
        <v>849</v>
      </c>
      <c r="AC107" s="14">
        <v>368</v>
      </c>
      <c r="AD107" s="14">
        <v>40</v>
      </c>
      <c r="AE107" s="14">
        <v>826</v>
      </c>
      <c r="AF107" s="14">
        <v>88</v>
      </c>
      <c r="AG107" s="14">
        <v>7</v>
      </c>
      <c r="AI107" s="14">
        <v>134</v>
      </c>
      <c r="AJ107" s="14">
        <v>107</v>
      </c>
      <c r="AL107" s="14">
        <v>83</v>
      </c>
      <c r="AM107" s="14">
        <v>-597</v>
      </c>
      <c r="AN107" s="14">
        <v>-232</v>
      </c>
      <c r="AO107" s="14">
        <v>104</v>
      </c>
      <c r="AP107" s="14">
        <v>-59</v>
      </c>
      <c r="AQ107" s="14">
        <v>148</v>
      </c>
      <c r="AR107" s="14">
        <v>272</v>
      </c>
      <c r="AS107" s="14">
        <v>-43</v>
      </c>
      <c r="AT107" s="14">
        <v>-22</v>
      </c>
      <c r="AU107" s="14">
        <v>-509</v>
      </c>
      <c r="AV107" s="14">
        <v>-635</v>
      </c>
      <c r="AW107" s="14">
        <v>-110</v>
      </c>
      <c r="AX107" s="14">
        <v>-567</v>
      </c>
      <c r="AY107" s="14">
        <v>368</v>
      </c>
      <c r="AZ107" s="14">
        <v>43</v>
      </c>
      <c r="BA107" s="14">
        <v>167</v>
      </c>
      <c r="BB107" s="14">
        <v>-306</v>
      </c>
      <c r="BC107" s="14">
        <v>-1</v>
      </c>
      <c r="BD107" s="14">
        <v>5452</v>
      </c>
      <c r="BE107" s="14">
        <v>6</v>
      </c>
    </row>
    <row r="108" spans="1:57" x14ac:dyDescent="0.25">
      <c r="A108" s="14">
        <v>12</v>
      </c>
      <c r="B108" s="14">
        <v>476</v>
      </c>
      <c r="E108" s="14">
        <v>-804</v>
      </c>
      <c r="G108" s="14">
        <v>548</v>
      </c>
      <c r="H108" s="14">
        <v>-4295</v>
      </c>
      <c r="I108" s="14">
        <v>118</v>
      </c>
      <c r="L108" s="14">
        <v>360</v>
      </c>
      <c r="M108" s="14">
        <v>-302</v>
      </c>
      <c r="O108" s="14">
        <v>162</v>
      </c>
      <c r="P108" s="14">
        <v>271</v>
      </c>
      <c r="Q108" s="14">
        <v>-812</v>
      </c>
      <c r="W108" s="14">
        <v>4</v>
      </c>
      <c r="X108" s="14">
        <v>14</v>
      </c>
      <c r="Y108" s="14">
        <v>122</v>
      </c>
      <c r="Z108" s="14">
        <v>-272</v>
      </c>
      <c r="AA108" s="14">
        <v>-213</v>
      </c>
      <c r="AB108" s="14">
        <v>212</v>
      </c>
      <c r="AC108" s="14">
        <v>660</v>
      </c>
      <c r="AD108" s="14">
        <v>-14</v>
      </c>
      <c r="AE108" s="14">
        <v>111</v>
      </c>
      <c r="AF108" s="14">
        <v>353</v>
      </c>
      <c r="AG108" s="14">
        <v>6</v>
      </c>
      <c r="AI108" s="14">
        <v>-107</v>
      </c>
      <c r="AJ108" s="14">
        <v>314</v>
      </c>
      <c r="AL108" s="14">
        <v>90</v>
      </c>
      <c r="AM108" s="14">
        <v>637</v>
      </c>
      <c r="AN108" s="14">
        <v>-64</v>
      </c>
      <c r="AP108" s="14">
        <v>-18</v>
      </c>
      <c r="AQ108" s="14">
        <v>-754</v>
      </c>
      <c r="AR108" s="14">
        <v>-404</v>
      </c>
      <c r="AS108" s="14">
        <v>-25</v>
      </c>
      <c r="AT108" s="14">
        <v>-28</v>
      </c>
      <c r="AU108" s="14">
        <v>119</v>
      </c>
      <c r="AV108" s="14">
        <v>-11</v>
      </c>
      <c r="AW108" s="14">
        <v>390</v>
      </c>
      <c r="AX108" s="14">
        <v>-666</v>
      </c>
      <c r="AY108" s="14">
        <v>104</v>
      </c>
      <c r="AZ108" s="14">
        <v>-21</v>
      </c>
      <c r="BA108" s="14">
        <v>129</v>
      </c>
      <c r="BB108" s="14">
        <v>489</v>
      </c>
      <c r="BC108" s="14">
        <v>-1</v>
      </c>
      <c r="BD108" s="14">
        <v>5285</v>
      </c>
      <c r="BE108" s="14">
        <v>-6</v>
      </c>
    </row>
    <row r="109" spans="1:57" x14ac:dyDescent="0.25">
      <c r="A109" s="14">
        <v>-5</v>
      </c>
      <c r="B109" s="14">
        <v>23</v>
      </c>
      <c r="E109" s="14">
        <v>49</v>
      </c>
      <c r="G109" s="14">
        <v>253</v>
      </c>
      <c r="H109" s="14">
        <v>-8897</v>
      </c>
      <c r="I109" s="14">
        <v>75</v>
      </c>
      <c r="L109" s="14">
        <v>-427</v>
      </c>
      <c r="M109" s="14">
        <v>-351</v>
      </c>
      <c r="O109" s="14">
        <v>169</v>
      </c>
      <c r="P109" s="14">
        <v>5</v>
      </c>
      <c r="Q109" s="14">
        <v>-172</v>
      </c>
      <c r="W109" s="14">
        <v>-3</v>
      </c>
      <c r="X109" s="14">
        <v>11</v>
      </c>
      <c r="Y109" s="14">
        <v>149</v>
      </c>
      <c r="Z109" s="14">
        <v>624</v>
      </c>
      <c r="AA109" s="14">
        <v>114</v>
      </c>
      <c r="AB109" s="14">
        <v>-28</v>
      </c>
      <c r="AC109" s="14">
        <v>-973</v>
      </c>
      <c r="AD109" s="14">
        <v>-107</v>
      </c>
      <c r="AE109" s="14">
        <v>123</v>
      </c>
      <c r="AF109" s="14">
        <v>693</v>
      </c>
      <c r="AG109" s="14">
        <v>-18</v>
      </c>
      <c r="AI109" s="14">
        <v>260</v>
      </c>
      <c r="AJ109" s="14">
        <v>-356</v>
      </c>
      <c r="AL109" s="14">
        <v>189</v>
      </c>
      <c r="AM109" s="14">
        <v>143</v>
      </c>
      <c r="AN109" s="14">
        <v>-635</v>
      </c>
      <c r="AP109" s="14">
        <v>226</v>
      </c>
      <c r="AQ109" s="14">
        <v>761</v>
      </c>
      <c r="AR109" s="14">
        <v>-583</v>
      </c>
      <c r="AS109" s="14">
        <v>475</v>
      </c>
      <c r="AT109" s="14">
        <v>-21</v>
      </c>
      <c r="AU109" s="14">
        <v>189</v>
      </c>
      <c r="AV109" s="14">
        <v>461</v>
      </c>
      <c r="AW109" s="14">
        <v>-280</v>
      </c>
      <c r="AX109" s="14">
        <v>-674</v>
      </c>
      <c r="AY109" s="14">
        <v>133</v>
      </c>
      <c r="AZ109" s="14">
        <v>145</v>
      </c>
      <c r="BA109" s="14">
        <v>189</v>
      </c>
      <c r="BB109" s="14">
        <v>746</v>
      </c>
      <c r="BC109" s="14">
        <v>1</v>
      </c>
      <c r="BD109" s="14">
        <v>1060</v>
      </c>
      <c r="BE109" s="14">
        <v>-5</v>
      </c>
    </row>
    <row r="110" spans="1:57" x14ac:dyDescent="0.25">
      <c r="A110" s="14">
        <v>9</v>
      </c>
      <c r="B110" s="14">
        <v>-23</v>
      </c>
      <c r="E110" s="14">
        <v>148</v>
      </c>
      <c r="G110" s="14">
        <v>264</v>
      </c>
      <c r="H110" s="14">
        <v>-61483</v>
      </c>
      <c r="I110" s="14">
        <v>81</v>
      </c>
      <c r="L110" s="14">
        <v>-29</v>
      </c>
      <c r="M110" s="14">
        <v>160</v>
      </c>
      <c r="O110" s="14">
        <v>225</v>
      </c>
      <c r="P110" s="14">
        <v>575</v>
      </c>
      <c r="Q110" s="14">
        <v>-182</v>
      </c>
      <c r="W110" s="14">
        <v>-18</v>
      </c>
      <c r="X110" s="14">
        <v>-130</v>
      </c>
      <c r="Y110" s="14">
        <v>792</v>
      </c>
      <c r="Z110" s="14">
        <v>111</v>
      </c>
      <c r="AA110" s="14">
        <v>-240</v>
      </c>
      <c r="AB110" s="14">
        <v>13</v>
      </c>
      <c r="AC110" s="14">
        <v>-245</v>
      </c>
      <c r="AD110" s="14">
        <v>54</v>
      </c>
      <c r="AE110" s="14">
        <v>119</v>
      </c>
      <c r="AF110" s="14">
        <v>865</v>
      </c>
      <c r="AG110" s="14">
        <v>11</v>
      </c>
      <c r="AI110" s="14">
        <v>634</v>
      </c>
      <c r="AJ110" s="14">
        <v>-288</v>
      </c>
      <c r="AL110" s="14">
        <v>40</v>
      </c>
      <c r="AM110" s="14">
        <v>-343</v>
      </c>
      <c r="AN110" s="14">
        <v>122</v>
      </c>
      <c r="AP110" s="14">
        <v>198</v>
      </c>
      <c r="AQ110" s="14">
        <v>-981</v>
      </c>
      <c r="AR110" s="14">
        <v>-217</v>
      </c>
      <c r="AS110" s="14">
        <v>18</v>
      </c>
      <c r="AT110" s="14">
        <v>-9</v>
      </c>
      <c r="AU110" s="14">
        <v>17</v>
      </c>
      <c r="AV110" s="14">
        <v>113</v>
      </c>
      <c r="AW110" s="14">
        <v>-157</v>
      </c>
      <c r="AX110" s="14">
        <v>-150</v>
      </c>
      <c r="AY110" s="14">
        <v>191</v>
      </c>
      <c r="AZ110" s="14">
        <v>-25</v>
      </c>
      <c r="BA110" s="14">
        <v>116</v>
      </c>
      <c r="BB110" s="14">
        <v>-206</v>
      </c>
      <c r="BC110" s="14">
        <v>2</v>
      </c>
      <c r="BD110" s="14">
        <v>1101</v>
      </c>
      <c r="BE110" s="14">
        <v>-4</v>
      </c>
    </row>
    <row r="111" spans="1:57" x14ac:dyDescent="0.25">
      <c r="A111" s="14">
        <v>33</v>
      </c>
      <c r="B111" s="14">
        <v>616</v>
      </c>
      <c r="E111" s="14">
        <v>-119</v>
      </c>
      <c r="G111" s="14">
        <v>170</v>
      </c>
      <c r="H111" s="14">
        <v>-14454</v>
      </c>
      <c r="I111" s="14">
        <v>139</v>
      </c>
      <c r="L111" s="14">
        <v>107</v>
      </c>
      <c r="M111" s="14">
        <v>195</v>
      </c>
      <c r="O111" s="14">
        <v>201</v>
      </c>
      <c r="P111" s="14">
        <v>178</v>
      </c>
      <c r="Q111" s="14">
        <v>-250</v>
      </c>
      <c r="W111" s="14">
        <v>19</v>
      </c>
      <c r="X111" s="14">
        <v>-176</v>
      </c>
      <c r="Y111" s="14">
        <v>388</v>
      </c>
      <c r="Z111" s="14">
        <v>96</v>
      </c>
      <c r="AA111" s="14">
        <v>24</v>
      </c>
      <c r="AB111" s="14">
        <v>61</v>
      </c>
      <c r="AC111" s="14">
        <v>151</v>
      </c>
      <c r="AD111" s="14">
        <v>1</v>
      </c>
      <c r="AE111" s="14">
        <v>109</v>
      </c>
      <c r="AF111" s="14">
        <v>25</v>
      </c>
      <c r="AG111" s="14">
        <v>44</v>
      </c>
      <c r="AI111" s="14">
        <v>507</v>
      </c>
      <c r="AJ111" s="14">
        <v>-299</v>
      </c>
      <c r="AL111" s="14">
        <v>11</v>
      </c>
      <c r="AM111" s="14">
        <v>464</v>
      </c>
      <c r="AN111" s="14">
        <v>-7</v>
      </c>
      <c r="AP111" s="14">
        <v>-83</v>
      </c>
      <c r="AQ111" s="14">
        <v>721</v>
      </c>
      <c r="AR111" s="14">
        <v>104</v>
      </c>
      <c r="AS111" s="14">
        <v>-99</v>
      </c>
      <c r="AT111" s="14">
        <v>-19</v>
      </c>
      <c r="AU111" s="14">
        <v>112</v>
      </c>
      <c r="AV111" s="14">
        <v>-473</v>
      </c>
      <c r="AW111" s="14">
        <v>-239</v>
      </c>
      <c r="AX111" s="14">
        <v>-754</v>
      </c>
      <c r="AY111" s="14">
        <v>474</v>
      </c>
      <c r="AZ111" s="14">
        <v>20</v>
      </c>
      <c r="BA111" s="14">
        <v>70</v>
      </c>
      <c r="BB111" s="14">
        <v>-4427</v>
      </c>
      <c r="BC111" s="14">
        <v>4</v>
      </c>
      <c r="BD111" s="14">
        <v>9792</v>
      </c>
      <c r="BE111" s="14">
        <v>-1671</v>
      </c>
    </row>
    <row r="112" spans="1:57" x14ac:dyDescent="0.25">
      <c r="A112" s="14">
        <v>17</v>
      </c>
      <c r="B112" s="14">
        <v>50</v>
      </c>
      <c r="E112" s="14">
        <v>26</v>
      </c>
      <c r="G112" s="14">
        <v>107</v>
      </c>
      <c r="H112" s="14">
        <v>1910</v>
      </c>
      <c r="I112" s="14">
        <v>153</v>
      </c>
      <c r="L112" s="14">
        <v>201</v>
      </c>
      <c r="M112" s="14">
        <v>226</v>
      </c>
      <c r="O112" s="14">
        <v>221</v>
      </c>
      <c r="P112" s="14">
        <v>-20</v>
      </c>
      <c r="Q112" s="14">
        <v>119</v>
      </c>
      <c r="W112" s="14">
        <v>16</v>
      </c>
      <c r="X112" s="14">
        <v>-33</v>
      </c>
      <c r="Y112" s="14">
        <v>-32</v>
      </c>
      <c r="Z112" s="14">
        <v>60</v>
      </c>
      <c r="AA112" s="14">
        <v>-1</v>
      </c>
      <c r="AB112" s="14">
        <v>-3</v>
      </c>
      <c r="AC112" s="14">
        <v>343</v>
      </c>
      <c r="AD112" s="14">
        <v>-32</v>
      </c>
      <c r="AE112" s="14">
        <v>130</v>
      </c>
      <c r="AF112" s="14">
        <v>793</v>
      </c>
      <c r="AG112" s="14">
        <v>1</v>
      </c>
      <c r="AI112" s="14">
        <v>714</v>
      </c>
      <c r="AJ112" s="14">
        <v>181</v>
      </c>
      <c r="AL112" s="14">
        <v>105</v>
      </c>
      <c r="AM112" s="14">
        <v>592</v>
      </c>
      <c r="AN112" s="14">
        <v>63</v>
      </c>
      <c r="AP112" s="14">
        <v>-67</v>
      </c>
      <c r="AQ112" s="14">
        <v>-388</v>
      </c>
      <c r="AR112" s="14">
        <v>-243</v>
      </c>
      <c r="AS112" s="14">
        <v>-71</v>
      </c>
      <c r="AT112" s="14">
        <v>61</v>
      </c>
      <c r="AU112" s="14">
        <v>-499</v>
      </c>
      <c r="AV112" s="14">
        <v>-756</v>
      </c>
      <c r="AW112" s="14">
        <v>-176</v>
      </c>
      <c r="AX112" s="14">
        <v>109</v>
      </c>
      <c r="AY112" s="14">
        <v>538</v>
      </c>
      <c r="AZ112" s="14">
        <v>-6</v>
      </c>
      <c r="BA112" s="14">
        <v>92</v>
      </c>
      <c r="BB112" s="14">
        <v>17</v>
      </c>
      <c r="BC112" s="14">
        <v>1</v>
      </c>
      <c r="BD112" s="14">
        <v>-2562</v>
      </c>
      <c r="BE112" s="14">
        <v>-5255</v>
      </c>
    </row>
    <row r="113" spans="1:57" x14ac:dyDescent="0.25">
      <c r="A113" s="14">
        <v>190</v>
      </c>
      <c r="B113" s="14">
        <v>-40</v>
      </c>
      <c r="E113" s="14">
        <v>-281</v>
      </c>
      <c r="G113" s="14">
        <v>104</v>
      </c>
      <c r="H113" s="14">
        <v>279</v>
      </c>
      <c r="I113" s="14">
        <v>-75</v>
      </c>
      <c r="L113" s="14">
        <v>-940</v>
      </c>
      <c r="M113" s="14">
        <v>161</v>
      </c>
      <c r="O113" s="14">
        <v>288</v>
      </c>
      <c r="P113" s="14">
        <v>417</v>
      </c>
      <c r="Q113" s="14">
        <v>729</v>
      </c>
      <c r="W113" s="14">
        <v>5</v>
      </c>
      <c r="X113" s="14">
        <v>-128</v>
      </c>
      <c r="Y113" s="14">
        <v>141</v>
      </c>
      <c r="Z113" s="14">
        <v>8</v>
      </c>
      <c r="AA113" s="14">
        <v>-1</v>
      </c>
      <c r="AB113" s="14">
        <v>-44</v>
      </c>
      <c r="AC113" s="14">
        <v>321</v>
      </c>
      <c r="AD113" s="14">
        <v>4</v>
      </c>
      <c r="AE113" s="14">
        <v>244</v>
      </c>
      <c r="AF113" s="14">
        <v>191</v>
      </c>
      <c r="AG113" s="14">
        <v>4</v>
      </c>
      <c r="AI113" s="14">
        <v>772</v>
      </c>
      <c r="AJ113" s="14">
        <v>-304</v>
      </c>
      <c r="AL113" s="14">
        <v>175</v>
      </c>
      <c r="AM113" s="14">
        <v>-124</v>
      </c>
      <c r="AN113" s="14">
        <v>-277</v>
      </c>
      <c r="AP113" s="14">
        <v>-26</v>
      </c>
      <c r="AQ113" s="14">
        <v>92</v>
      </c>
      <c r="AR113" s="14">
        <v>297</v>
      </c>
      <c r="AS113" s="14">
        <v>-44</v>
      </c>
      <c r="AT113" s="14">
        <v>24</v>
      </c>
      <c r="AU113" s="14">
        <v>148</v>
      </c>
      <c r="AV113" s="14">
        <v>-746</v>
      </c>
      <c r="AW113" s="14">
        <v>-883</v>
      </c>
      <c r="AX113" s="14">
        <v>-458</v>
      </c>
      <c r="AY113" s="14">
        <v>-119</v>
      </c>
      <c r="AZ113" s="14">
        <v>644</v>
      </c>
      <c r="BA113" s="14">
        <v>220</v>
      </c>
      <c r="BB113" s="14">
        <v>506</v>
      </c>
      <c r="BC113" s="14">
        <v>-1</v>
      </c>
      <c r="BD113" s="14">
        <v>-2242</v>
      </c>
      <c r="BE113" s="14">
        <v>-5193</v>
      </c>
    </row>
    <row r="114" spans="1:57" x14ac:dyDescent="0.25">
      <c r="A114" s="14">
        <v>-31</v>
      </c>
      <c r="B114" s="14">
        <v>507</v>
      </c>
      <c r="E114" s="14">
        <v>671</v>
      </c>
      <c r="G114" s="14">
        <v>-468</v>
      </c>
      <c r="H114" s="14">
        <v>875</v>
      </c>
      <c r="I114" s="14">
        <v>-83</v>
      </c>
      <c r="L114" s="14">
        <v>-432</v>
      </c>
      <c r="M114" s="14">
        <v>189</v>
      </c>
      <c r="O114" s="14">
        <v>396</v>
      </c>
      <c r="P114" s="14">
        <v>947</v>
      </c>
      <c r="Q114" s="14">
        <v>-228</v>
      </c>
      <c r="W114" s="14">
        <v>4</v>
      </c>
      <c r="X114" s="14">
        <v>-385</v>
      </c>
      <c r="Y114" s="14">
        <v>190</v>
      </c>
      <c r="Z114" s="14">
        <v>13</v>
      </c>
      <c r="AA114" s="14">
        <v>10</v>
      </c>
      <c r="AB114" s="14">
        <v>12</v>
      </c>
      <c r="AC114" s="14">
        <v>161</v>
      </c>
      <c r="AD114" s="14">
        <v>529</v>
      </c>
      <c r="AE114" s="14">
        <v>690</v>
      </c>
      <c r="AF114" s="14">
        <v>279</v>
      </c>
      <c r="AG114" s="14">
        <v>-51</v>
      </c>
      <c r="AI114" s="14">
        <v>536</v>
      </c>
      <c r="AJ114" s="14">
        <v>-532</v>
      </c>
      <c r="AL114" s="14">
        <v>4</v>
      </c>
      <c r="AM114" s="14">
        <v>9</v>
      </c>
      <c r="AN114" s="14">
        <v>89</v>
      </c>
      <c r="AP114" s="14">
        <v>-4</v>
      </c>
      <c r="AQ114" s="14">
        <v>-159</v>
      </c>
      <c r="AR114" s="14">
        <v>-465</v>
      </c>
      <c r="AS114" s="14">
        <v>385</v>
      </c>
      <c r="AT114" s="14">
        <v>33</v>
      </c>
      <c r="AU114" s="14">
        <v>-71</v>
      </c>
      <c r="AV114" s="14">
        <v>555</v>
      </c>
      <c r="AW114" s="14">
        <v>-137</v>
      </c>
      <c r="AX114" s="14">
        <v>-182</v>
      </c>
      <c r="AY114" s="14">
        <v>-135</v>
      </c>
      <c r="AZ114" s="14">
        <v>-153</v>
      </c>
      <c r="BA114" s="14">
        <v>87</v>
      </c>
      <c r="BB114" s="14">
        <v>120</v>
      </c>
      <c r="BC114" s="14">
        <v>2</v>
      </c>
      <c r="BD114" s="14">
        <v>-2575</v>
      </c>
      <c r="BE114" s="14">
        <v>-5766</v>
      </c>
    </row>
    <row r="115" spans="1:57" x14ac:dyDescent="0.25">
      <c r="A115" s="14">
        <v>184</v>
      </c>
      <c r="B115" s="14">
        <v>6</v>
      </c>
      <c r="E115" s="14">
        <v>-178</v>
      </c>
      <c r="G115" s="14">
        <v>-235</v>
      </c>
      <c r="H115" s="14">
        <v>1055</v>
      </c>
      <c r="I115" s="14">
        <v>-75</v>
      </c>
      <c r="L115" s="14">
        <v>120</v>
      </c>
      <c r="M115" s="14">
        <v>202</v>
      </c>
      <c r="O115" s="14">
        <v>529</v>
      </c>
      <c r="P115" s="14">
        <v>136</v>
      </c>
      <c r="Q115" s="14">
        <v>-750</v>
      </c>
      <c r="W115" s="14">
        <v>2</v>
      </c>
      <c r="X115" s="14">
        <v>-214</v>
      </c>
      <c r="Y115" s="14">
        <v>453</v>
      </c>
      <c r="Z115" s="14">
        <v>177</v>
      </c>
      <c r="AA115" s="14">
        <v>-8</v>
      </c>
      <c r="AB115" s="14">
        <v>-3</v>
      </c>
      <c r="AC115" s="14">
        <v>154</v>
      </c>
      <c r="AD115" s="14">
        <v>775</v>
      </c>
      <c r="AE115" s="14">
        <v>431</v>
      </c>
      <c r="AF115" s="14">
        <v>143</v>
      </c>
      <c r="AG115" s="14">
        <v>-59</v>
      </c>
      <c r="AI115" s="14">
        <v>284</v>
      </c>
      <c r="AJ115" s="14">
        <v>-378</v>
      </c>
      <c r="AL115" s="14">
        <v>125</v>
      </c>
      <c r="AM115" s="14">
        <v>258</v>
      </c>
      <c r="AN115" s="14">
        <v>-12</v>
      </c>
      <c r="AP115" s="14">
        <v>-2</v>
      </c>
      <c r="AQ115" s="14">
        <v>906</v>
      </c>
      <c r="AR115" s="14">
        <v>163</v>
      </c>
      <c r="AS115" s="14">
        <v>-533</v>
      </c>
      <c r="AT115" s="14">
        <v>-1</v>
      </c>
      <c r="AU115" s="14">
        <v>88</v>
      </c>
      <c r="AV115" s="14">
        <v>-442</v>
      </c>
      <c r="AW115" s="14">
        <v>158</v>
      </c>
      <c r="AX115" s="14">
        <v>-612</v>
      </c>
      <c r="AY115" s="14">
        <v>171</v>
      </c>
      <c r="AZ115" s="14">
        <v>-5</v>
      </c>
      <c r="BA115" s="14">
        <v>178</v>
      </c>
      <c r="BB115" s="14">
        <v>6415</v>
      </c>
      <c r="BC115" s="14">
        <v>3</v>
      </c>
      <c r="BD115" s="14">
        <v>-2399</v>
      </c>
      <c r="BE115" s="14">
        <v>-5734</v>
      </c>
    </row>
    <row r="116" spans="1:57" x14ac:dyDescent="0.25">
      <c r="A116" s="14">
        <v>16</v>
      </c>
      <c r="B116" s="14">
        <v>50</v>
      </c>
      <c r="E116" s="14">
        <v>698</v>
      </c>
      <c r="G116" s="14">
        <v>-802</v>
      </c>
      <c r="H116" s="14">
        <v>432</v>
      </c>
      <c r="I116" s="14">
        <v>-59</v>
      </c>
      <c r="L116" s="14">
        <v>284</v>
      </c>
      <c r="M116" s="14">
        <v>940</v>
      </c>
      <c r="O116" s="14">
        <v>125</v>
      </c>
      <c r="P116" s="14">
        <v>461</v>
      </c>
      <c r="Q116" s="14">
        <v>897</v>
      </c>
      <c r="W116" s="14">
        <v>-2</v>
      </c>
      <c r="X116" s="14">
        <v>-278</v>
      </c>
      <c r="Y116" s="14">
        <v>340</v>
      </c>
      <c r="Z116" s="14">
        <v>512</v>
      </c>
      <c r="AA116" s="14">
        <v>1</v>
      </c>
      <c r="AB116" s="14">
        <v>-32</v>
      </c>
      <c r="AC116" s="14">
        <v>30</v>
      </c>
      <c r="AD116" s="14">
        <v>228</v>
      </c>
      <c r="AE116" s="14">
        <v>968</v>
      </c>
      <c r="AF116" s="14">
        <v>324</v>
      </c>
      <c r="AG116" s="14">
        <v>-155</v>
      </c>
      <c r="AI116" s="14">
        <v>96</v>
      </c>
      <c r="AJ116" s="14">
        <v>-740</v>
      </c>
      <c r="AL116" s="14">
        <v>74</v>
      </c>
      <c r="AM116" s="14">
        <v>535</v>
      </c>
      <c r="AN116" s="14">
        <v>111</v>
      </c>
      <c r="AP116" s="14">
        <v>-123</v>
      </c>
      <c r="AQ116" s="14">
        <v>-479</v>
      </c>
      <c r="AR116" s="14">
        <v>285</v>
      </c>
      <c r="AS116" s="14">
        <v>-14</v>
      </c>
      <c r="AT116" s="14">
        <v>-54</v>
      </c>
      <c r="AU116" s="14">
        <v>5</v>
      </c>
      <c r="AV116" s="14">
        <v>-335</v>
      </c>
      <c r="AW116" s="14">
        <v>-408</v>
      </c>
      <c r="AX116" s="14">
        <v>102</v>
      </c>
      <c r="AY116" s="14">
        <v>329</v>
      </c>
      <c r="AZ116" s="14">
        <v>1311</v>
      </c>
      <c r="BA116" s="14">
        <v>161</v>
      </c>
      <c r="BB116" s="14">
        <v>3352</v>
      </c>
      <c r="BC116" s="14">
        <v>-2</v>
      </c>
      <c r="BD116" s="14">
        <v>-2590</v>
      </c>
      <c r="BE116" s="14">
        <v>-1522</v>
      </c>
    </row>
    <row r="117" spans="1:57" x14ac:dyDescent="0.25">
      <c r="A117" s="14">
        <v>565</v>
      </c>
      <c r="B117" s="14">
        <v>8</v>
      </c>
      <c r="E117" s="14">
        <v>142</v>
      </c>
      <c r="G117" s="14">
        <v>600</v>
      </c>
      <c r="H117" s="14">
        <v>17125</v>
      </c>
      <c r="I117" s="14">
        <v>-38</v>
      </c>
      <c r="L117" s="14">
        <v>149</v>
      </c>
      <c r="M117" s="14">
        <v>714</v>
      </c>
      <c r="O117" s="14">
        <v>148</v>
      </c>
      <c r="P117" s="14">
        <v>213</v>
      </c>
      <c r="Q117" s="14">
        <v>260</v>
      </c>
      <c r="W117" s="14">
        <v>-3</v>
      </c>
      <c r="X117" s="14">
        <v>-130</v>
      </c>
      <c r="Y117" s="14">
        <v>-108</v>
      </c>
      <c r="Z117" s="14">
        <v>96</v>
      </c>
      <c r="AA117" s="14">
        <v>16</v>
      </c>
      <c r="AB117" s="14">
        <v>-14</v>
      </c>
      <c r="AC117" s="14">
        <v>662</v>
      </c>
      <c r="AD117" s="14">
        <v>301</v>
      </c>
      <c r="AE117" s="14">
        <v>110</v>
      </c>
      <c r="AF117" s="14">
        <v>521</v>
      </c>
      <c r="AG117" s="14">
        <v>-150</v>
      </c>
      <c r="AI117" s="14">
        <v>13</v>
      </c>
      <c r="AJ117" s="14">
        <v>-160</v>
      </c>
      <c r="AL117" s="14">
        <v>98</v>
      </c>
      <c r="AM117" s="14">
        <v>433</v>
      </c>
      <c r="AN117" s="14">
        <v>-551</v>
      </c>
      <c r="AP117" s="14">
        <v>-740</v>
      </c>
      <c r="AQ117" s="14">
        <v>-168</v>
      </c>
      <c r="AR117" s="14">
        <v>362</v>
      </c>
      <c r="AS117" s="14">
        <v>-129</v>
      </c>
      <c r="AT117" s="14">
        <v>-48</v>
      </c>
      <c r="AU117" s="14">
        <v>-109</v>
      </c>
      <c r="AV117" s="14">
        <v>-459</v>
      </c>
      <c r="AW117" s="14">
        <v>139</v>
      </c>
      <c r="AX117" s="14">
        <v>617</v>
      </c>
      <c r="AY117" s="14">
        <v>-387</v>
      </c>
      <c r="AZ117" s="14">
        <v>-390</v>
      </c>
      <c r="BA117" s="14">
        <v>124</v>
      </c>
      <c r="BB117" s="14">
        <v>3262</v>
      </c>
      <c r="BC117" s="14">
        <v>3</v>
      </c>
      <c r="BD117" s="14">
        <v>-2233</v>
      </c>
      <c r="BE117" s="14">
        <v>-2033</v>
      </c>
    </row>
    <row r="118" spans="1:57" x14ac:dyDescent="0.25">
      <c r="A118" s="14">
        <v>-28</v>
      </c>
      <c r="B118" s="14">
        <v>45</v>
      </c>
      <c r="E118" s="14">
        <v>646</v>
      </c>
      <c r="G118" s="14">
        <v>7313</v>
      </c>
      <c r="H118" s="14">
        <v>4160</v>
      </c>
      <c r="I118" s="14">
        <v>-17</v>
      </c>
      <c r="L118" s="14">
        <v>270</v>
      </c>
      <c r="M118" s="14">
        <v>706</v>
      </c>
      <c r="O118" s="14">
        <v>243</v>
      </c>
      <c r="P118" s="14">
        <v>29</v>
      </c>
      <c r="Q118" s="14">
        <v>-231</v>
      </c>
      <c r="W118" s="14">
        <v>2</v>
      </c>
      <c r="X118" s="14">
        <v>93</v>
      </c>
      <c r="Y118" s="14">
        <v>709</v>
      </c>
      <c r="Z118" s="14">
        <v>110</v>
      </c>
      <c r="AA118" s="14">
        <v>1</v>
      </c>
      <c r="AB118" s="14">
        <v>14</v>
      </c>
      <c r="AC118" s="14">
        <v>-319</v>
      </c>
      <c r="AD118" s="14">
        <v>346</v>
      </c>
      <c r="AE118" s="14">
        <v>120</v>
      </c>
      <c r="AF118" s="14">
        <v>677</v>
      </c>
      <c r="AG118" s="14">
        <v>-116</v>
      </c>
      <c r="AI118" s="14">
        <v>19</v>
      </c>
      <c r="AJ118" s="14">
        <v>111</v>
      </c>
      <c r="AL118" s="14">
        <v>99</v>
      </c>
      <c r="AM118" s="14">
        <v>-8</v>
      </c>
      <c r="AN118" s="14">
        <v>-41</v>
      </c>
      <c r="AP118" s="14">
        <v>-123</v>
      </c>
      <c r="AQ118" s="14">
        <v>60</v>
      </c>
      <c r="AR118" s="14">
        <v>151</v>
      </c>
      <c r="AS118" s="14">
        <v>-56</v>
      </c>
      <c r="AT118" s="14">
        <v>-10</v>
      </c>
      <c r="AU118" s="14">
        <v>7</v>
      </c>
      <c r="AV118" s="14">
        <v>-340</v>
      </c>
      <c r="AW118" s="14">
        <v>-339</v>
      </c>
      <c r="AX118" s="14">
        <v>659</v>
      </c>
      <c r="AY118" s="14">
        <v>214</v>
      </c>
      <c r="AZ118" s="14">
        <v>141</v>
      </c>
      <c r="BA118" s="14">
        <v>188</v>
      </c>
      <c r="BB118" s="14">
        <v>-1119</v>
      </c>
      <c r="BC118" s="14">
        <v>4</v>
      </c>
      <c r="BD118" s="14">
        <v>-1509</v>
      </c>
      <c r="BE118" s="14">
        <v>811</v>
      </c>
    </row>
    <row r="119" spans="1:57" x14ac:dyDescent="0.25">
      <c r="A119" s="14">
        <v>-21</v>
      </c>
      <c r="B119" s="14">
        <v>10</v>
      </c>
      <c r="E119" s="14">
        <v>325</v>
      </c>
      <c r="G119" s="14">
        <v>687</v>
      </c>
      <c r="H119" s="14">
        <v>5525</v>
      </c>
      <c r="I119" s="14">
        <v>116</v>
      </c>
      <c r="L119" s="14">
        <v>94</v>
      </c>
      <c r="M119" s="14">
        <v>202</v>
      </c>
      <c r="O119" s="14">
        <v>327</v>
      </c>
      <c r="P119" s="14">
        <v>163</v>
      </c>
      <c r="Q119" s="14">
        <v>377</v>
      </c>
      <c r="W119" s="14">
        <v>-344</v>
      </c>
      <c r="X119" s="14">
        <v>3</v>
      </c>
      <c r="Y119" s="14">
        <v>427</v>
      </c>
      <c r="Z119" s="14">
        <v>15</v>
      </c>
      <c r="AA119" s="14">
        <v>2</v>
      </c>
      <c r="AB119" s="14">
        <v>698</v>
      </c>
      <c r="AC119" s="14">
        <v>121</v>
      </c>
      <c r="AD119" s="14">
        <v>363</v>
      </c>
      <c r="AE119" s="14">
        <v>116</v>
      </c>
      <c r="AF119" s="14">
        <v>110</v>
      </c>
      <c r="AG119" s="14">
        <v>-145</v>
      </c>
      <c r="AI119" s="14">
        <v>-105</v>
      </c>
      <c r="AJ119" s="14">
        <v>314</v>
      </c>
      <c r="AL119" s="14">
        <v>95</v>
      </c>
      <c r="AM119" s="14">
        <v>333</v>
      </c>
      <c r="AN119" s="14">
        <v>239</v>
      </c>
      <c r="AP119" s="14">
        <v>-725</v>
      </c>
      <c r="AQ119" s="14">
        <v>165</v>
      </c>
      <c r="AR119" s="14">
        <v>-131</v>
      </c>
      <c r="AS119" s="14">
        <v>5</v>
      </c>
      <c r="AT119" s="14">
        <v>12</v>
      </c>
      <c r="AU119" s="14">
        <v>-163</v>
      </c>
      <c r="AV119" s="14">
        <v>-11</v>
      </c>
      <c r="AW119" s="14">
        <v>-871</v>
      </c>
      <c r="AX119" s="14">
        <v>-245</v>
      </c>
      <c r="AY119" s="14">
        <v>-122</v>
      </c>
      <c r="AZ119" s="14">
        <v>-409</v>
      </c>
      <c r="BA119" s="14">
        <v>166</v>
      </c>
      <c r="BB119" s="14">
        <v>750</v>
      </c>
      <c r="BC119" s="14">
        <v>-4</v>
      </c>
      <c r="BD119" s="14">
        <v>-1661</v>
      </c>
      <c r="BE119" s="14">
        <v>249</v>
      </c>
    </row>
    <row r="120" spans="1:57" x14ac:dyDescent="0.25">
      <c r="A120" s="14">
        <v>216</v>
      </c>
      <c r="B120" s="14">
        <v>176</v>
      </c>
      <c r="E120" s="14">
        <v>230</v>
      </c>
      <c r="G120" s="14">
        <v>719</v>
      </c>
      <c r="H120" s="14">
        <v>4217</v>
      </c>
      <c r="I120" s="14">
        <v>127</v>
      </c>
      <c r="L120" s="14">
        <v>-666</v>
      </c>
      <c r="M120" s="14">
        <v>-308</v>
      </c>
      <c r="O120" s="14">
        <v>255</v>
      </c>
      <c r="P120" s="14">
        <v>26</v>
      </c>
      <c r="Q120" s="14">
        <v>-155</v>
      </c>
      <c r="W120" s="14">
        <v>-31</v>
      </c>
      <c r="X120" s="14">
        <v>209</v>
      </c>
      <c r="Y120" s="14">
        <v>79</v>
      </c>
      <c r="Z120" s="14">
        <v>16</v>
      </c>
      <c r="AA120" s="14">
        <v>-15</v>
      </c>
      <c r="AB120" s="14">
        <v>205</v>
      </c>
      <c r="AC120" s="14">
        <v>-643</v>
      </c>
      <c r="AD120" s="14">
        <v>274</v>
      </c>
      <c r="AE120" s="14">
        <v>836</v>
      </c>
      <c r="AF120" s="14">
        <v>-1</v>
      </c>
      <c r="AG120" s="14">
        <v>85</v>
      </c>
      <c r="AI120" s="14">
        <v>9</v>
      </c>
      <c r="AJ120" s="14">
        <v>-431</v>
      </c>
      <c r="AL120" s="14">
        <v>96</v>
      </c>
      <c r="AM120" s="14">
        <v>-395</v>
      </c>
      <c r="AN120" s="14">
        <v>-870</v>
      </c>
      <c r="AP120" s="14">
        <v>-556</v>
      </c>
      <c r="AQ120" s="14">
        <v>72</v>
      </c>
      <c r="AR120" s="14">
        <v>-372</v>
      </c>
      <c r="AS120" s="14">
        <v>-26</v>
      </c>
      <c r="AT120" s="14">
        <v>-1</v>
      </c>
      <c r="AU120" s="14">
        <v>-31</v>
      </c>
      <c r="AV120" s="14">
        <v>449</v>
      </c>
      <c r="AW120" s="14">
        <v>141</v>
      </c>
      <c r="AX120" s="14">
        <v>-126</v>
      </c>
      <c r="AY120" s="14">
        <v>-322</v>
      </c>
      <c r="AZ120" s="14">
        <v>199</v>
      </c>
      <c r="BA120" s="14">
        <v>186</v>
      </c>
      <c r="BB120" s="14">
        <v>1574</v>
      </c>
      <c r="BC120" s="14">
        <v>-2</v>
      </c>
      <c r="BD120" s="14">
        <v>-1624</v>
      </c>
      <c r="BE120" s="14">
        <v>-43</v>
      </c>
    </row>
    <row r="121" spans="1:57" x14ac:dyDescent="0.25">
      <c r="A121" s="14">
        <v>4</v>
      </c>
      <c r="B121" s="14">
        <v>36</v>
      </c>
      <c r="E121" s="14">
        <v>862</v>
      </c>
      <c r="G121" s="14">
        <v>597</v>
      </c>
      <c r="H121" s="14">
        <v>1997</v>
      </c>
      <c r="I121" s="14">
        <v>117</v>
      </c>
      <c r="L121" s="14">
        <v>-116</v>
      </c>
      <c r="M121" s="14">
        <v>-397</v>
      </c>
      <c r="O121" s="14">
        <v>89</v>
      </c>
      <c r="P121" s="14">
        <v>2</v>
      </c>
      <c r="Q121" s="14">
        <v>112</v>
      </c>
      <c r="W121" s="14">
        <v>6</v>
      </c>
      <c r="X121" s="14">
        <v>-206</v>
      </c>
      <c r="Y121" s="14">
        <v>-114</v>
      </c>
      <c r="Z121" s="14">
        <v>288</v>
      </c>
      <c r="AA121" s="14">
        <v>-1</v>
      </c>
      <c r="AB121" s="14">
        <v>-33</v>
      </c>
      <c r="AC121" s="14">
        <v>267</v>
      </c>
      <c r="AD121" s="14">
        <v>229</v>
      </c>
      <c r="AE121" s="14">
        <v>485</v>
      </c>
      <c r="AF121" s="14">
        <v>873</v>
      </c>
      <c r="AG121" s="14">
        <v>-9</v>
      </c>
      <c r="AI121" s="14">
        <v>19</v>
      </c>
      <c r="AJ121" s="14">
        <v>189</v>
      </c>
      <c r="AL121" s="14">
        <v>235</v>
      </c>
      <c r="AM121" s="14">
        <v>-563</v>
      </c>
      <c r="AN121" s="14">
        <v>-356</v>
      </c>
      <c r="AP121" s="14">
        <v>-442</v>
      </c>
      <c r="AQ121" s="14">
        <v>-127</v>
      </c>
      <c r="AR121" s="14">
        <v>-417</v>
      </c>
      <c r="AS121" s="14">
        <v>17</v>
      </c>
      <c r="AT121" s="14">
        <v>-24</v>
      </c>
      <c r="AU121" s="14">
        <v>-32</v>
      </c>
      <c r="AV121" s="14">
        <v>527</v>
      </c>
      <c r="AW121" s="14">
        <v>259</v>
      </c>
      <c r="AX121" s="14">
        <v>7</v>
      </c>
      <c r="AY121" s="14">
        <v>-320</v>
      </c>
      <c r="AZ121" s="14">
        <v>158</v>
      </c>
      <c r="BA121" s="14">
        <v>161</v>
      </c>
      <c r="BB121" s="14">
        <v>3215</v>
      </c>
      <c r="BC121" s="14">
        <v>-2</v>
      </c>
      <c r="BD121" s="14">
        <v>4170</v>
      </c>
      <c r="BE121" s="14">
        <v>-98</v>
      </c>
    </row>
    <row r="122" spans="1:57" x14ac:dyDescent="0.25">
      <c r="A122" s="14">
        <v>9</v>
      </c>
      <c r="B122" s="14">
        <v>754</v>
      </c>
      <c r="E122" s="14">
        <v>-10</v>
      </c>
      <c r="G122" s="14">
        <v>641</v>
      </c>
      <c r="H122" s="14">
        <v>421</v>
      </c>
      <c r="I122" s="14">
        <v>92</v>
      </c>
      <c r="L122" s="14">
        <v>-418</v>
      </c>
      <c r="M122" s="14">
        <v>-498</v>
      </c>
      <c r="O122" s="14">
        <v>210</v>
      </c>
      <c r="P122" s="14">
        <v>553</v>
      </c>
      <c r="Q122" s="14">
        <v>-91</v>
      </c>
      <c r="W122" s="14">
        <v>7</v>
      </c>
      <c r="X122" s="14">
        <v>-707</v>
      </c>
      <c r="Y122" s="14">
        <v>465</v>
      </c>
      <c r="Z122" s="14">
        <v>152</v>
      </c>
      <c r="AA122" s="14">
        <v>5</v>
      </c>
      <c r="AB122" s="14">
        <v>15</v>
      </c>
      <c r="AC122" s="14">
        <v>67</v>
      </c>
      <c r="AD122" s="14">
        <v>279</v>
      </c>
      <c r="AE122" s="14">
        <v>106</v>
      </c>
      <c r="AF122" s="14">
        <v>168</v>
      </c>
      <c r="AG122" s="14">
        <v>114</v>
      </c>
      <c r="AI122" s="14">
        <v>1</v>
      </c>
      <c r="AJ122" s="14">
        <v>-121</v>
      </c>
      <c r="AL122" s="14">
        <v>28</v>
      </c>
      <c r="AM122" s="14">
        <v>-592</v>
      </c>
      <c r="AN122" s="14">
        <v>-219</v>
      </c>
      <c r="AP122" s="14">
        <v>-460</v>
      </c>
      <c r="AQ122" s="14">
        <v>810</v>
      </c>
      <c r="AR122" s="14">
        <v>-425</v>
      </c>
      <c r="AS122" s="14">
        <v>299</v>
      </c>
      <c r="AT122" s="14">
        <v>-15</v>
      </c>
      <c r="AU122" s="14">
        <v>585</v>
      </c>
      <c r="AV122" s="14">
        <v>744</v>
      </c>
      <c r="AW122" s="14">
        <v>475</v>
      </c>
      <c r="AX122" s="14">
        <v>196</v>
      </c>
      <c r="AY122" s="14">
        <v>-207</v>
      </c>
      <c r="AZ122" s="14">
        <v>-550</v>
      </c>
      <c r="BA122" s="14">
        <v>125</v>
      </c>
      <c r="BB122" s="14">
        <v>-2011</v>
      </c>
      <c r="BC122" s="14">
        <v>-3</v>
      </c>
      <c r="BD122" s="14">
        <v>4433</v>
      </c>
      <c r="BE122" s="14">
        <v>-1327</v>
      </c>
    </row>
    <row r="123" spans="1:57" x14ac:dyDescent="0.25">
      <c r="A123" s="14">
        <v>32</v>
      </c>
      <c r="B123" s="14">
        <v>26</v>
      </c>
      <c r="E123" s="14">
        <v>39</v>
      </c>
      <c r="G123" s="14">
        <v>503</v>
      </c>
      <c r="H123" s="14">
        <v>487</v>
      </c>
      <c r="I123" s="14">
        <v>60</v>
      </c>
      <c r="L123" s="14">
        <v>-836</v>
      </c>
      <c r="M123" s="14">
        <v>-637</v>
      </c>
      <c r="O123" s="14">
        <v>370</v>
      </c>
      <c r="P123" s="14">
        <v>167</v>
      </c>
      <c r="Q123" s="14">
        <v>845</v>
      </c>
      <c r="W123" s="14">
        <v>2</v>
      </c>
      <c r="X123" s="14">
        <v>102</v>
      </c>
      <c r="Y123" s="14">
        <v>217</v>
      </c>
      <c r="Z123" s="14">
        <v>397</v>
      </c>
      <c r="AA123" s="14">
        <v>-3</v>
      </c>
      <c r="AB123" s="14">
        <v>58</v>
      </c>
      <c r="AC123" s="14">
        <v>163</v>
      </c>
      <c r="AD123" s="14">
        <v>416</v>
      </c>
      <c r="AE123" s="14">
        <v>773</v>
      </c>
      <c r="AF123" s="14">
        <v>263</v>
      </c>
      <c r="AG123" s="14">
        <v>-32</v>
      </c>
      <c r="AI123" s="14">
        <v>-19</v>
      </c>
      <c r="AJ123" s="14">
        <v>-100</v>
      </c>
      <c r="AL123" s="14">
        <v>10</v>
      </c>
      <c r="AM123" s="14">
        <v>108</v>
      </c>
      <c r="AN123" s="14">
        <v>-242</v>
      </c>
      <c r="AP123" s="14">
        <v>-418</v>
      </c>
      <c r="AQ123" s="14">
        <v>-420</v>
      </c>
      <c r="AR123" s="14">
        <v>8</v>
      </c>
      <c r="AS123" s="14">
        <v>21</v>
      </c>
      <c r="AT123" s="14">
        <v>15</v>
      </c>
      <c r="AU123" s="14">
        <v>-35</v>
      </c>
      <c r="AV123" s="14">
        <v>-161</v>
      </c>
      <c r="AW123" s="14">
        <v>409</v>
      </c>
      <c r="AX123" s="14">
        <v>-477</v>
      </c>
      <c r="AY123" s="14">
        <v>-155</v>
      </c>
      <c r="AZ123" s="14">
        <v>133</v>
      </c>
      <c r="BA123" s="14">
        <v>187</v>
      </c>
      <c r="BB123" s="14">
        <v>362</v>
      </c>
      <c r="BC123" s="14">
        <v>1</v>
      </c>
      <c r="BD123" s="14">
        <v>3399</v>
      </c>
      <c r="BE123" s="14">
        <v>12</v>
      </c>
    </row>
    <row r="124" spans="1:57" x14ac:dyDescent="0.25">
      <c r="A124" s="14">
        <v>17</v>
      </c>
      <c r="B124" s="14">
        <v>702</v>
      </c>
      <c r="G124" s="14">
        <v>690</v>
      </c>
      <c r="H124" s="14">
        <v>-3819</v>
      </c>
      <c r="I124" s="14">
        <v>27</v>
      </c>
      <c r="L124" s="14">
        <v>-117</v>
      </c>
      <c r="M124" s="14">
        <v>-566</v>
      </c>
      <c r="O124" s="14">
        <v>341</v>
      </c>
      <c r="P124" s="14">
        <v>305</v>
      </c>
      <c r="Q124" s="14">
        <v>270</v>
      </c>
      <c r="W124" s="14">
        <v>79</v>
      </c>
      <c r="X124" s="14">
        <v>132</v>
      </c>
      <c r="Y124" s="14">
        <v>231</v>
      </c>
      <c r="Z124" s="14">
        <v>-15</v>
      </c>
      <c r="AA124" s="14">
        <v>-4</v>
      </c>
      <c r="AB124" s="14">
        <v>-2</v>
      </c>
      <c r="AC124" s="14">
        <v>-63</v>
      </c>
      <c r="AD124" s="14">
        <v>553</v>
      </c>
      <c r="AE124" s="14">
        <v>780</v>
      </c>
      <c r="AF124" s="14">
        <v>84</v>
      </c>
      <c r="AG124" s="14">
        <v>-21</v>
      </c>
      <c r="AI124" s="14">
        <v>-21</v>
      </c>
      <c r="AJ124" s="14">
        <v>-178</v>
      </c>
      <c r="AL124" s="14">
        <v>75</v>
      </c>
      <c r="AM124" s="14">
        <v>-642</v>
      </c>
      <c r="AN124" s="14">
        <v>147</v>
      </c>
      <c r="AP124" s="14">
        <v>-196</v>
      </c>
      <c r="AQ124" s="14">
        <v>193</v>
      </c>
      <c r="AR124" s="14">
        <v>25</v>
      </c>
      <c r="AS124" s="14">
        <v>-125</v>
      </c>
      <c r="AT124" s="14">
        <v>24</v>
      </c>
      <c r="AU124" s="14">
        <v>-181</v>
      </c>
      <c r="AV124" s="14">
        <v>-118</v>
      </c>
      <c r="AW124" s="14">
        <v>205</v>
      </c>
      <c r="AX124" s="14">
        <v>621</v>
      </c>
      <c r="AY124" s="14">
        <v>-254</v>
      </c>
      <c r="AZ124" s="14">
        <v>533</v>
      </c>
      <c r="BA124" s="14">
        <v>155</v>
      </c>
      <c r="BB124" s="14">
        <v>3976</v>
      </c>
      <c r="BC124" s="14">
        <v>1</v>
      </c>
      <c r="BD124" s="14">
        <v>7456</v>
      </c>
      <c r="BE124" s="14">
        <v>-74</v>
      </c>
    </row>
    <row r="125" spans="1:57" x14ac:dyDescent="0.25">
      <c r="A125" s="14">
        <v>121</v>
      </c>
      <c r="B125" s="14">
        <v>6</v>
      </c>
      <c r="G125" s="14">
        <v>604</v>
      </c>
      <c r="H125" s="14">
        <v>3780</v>
      </c>
      <c r="I125" s="14">
        <v>-65</v>
      </c>
      <c r="L125" s="14">
        <v>-939</v>
      </c>
      <c r="M125" s="14">
        <v>-108</v>
      </c>
      <c r="O125" s="14">
        <v>247</v>
      </c>
      <c r="P125" s="14">
        <v>430</v>
      </c>
      <c r="Q125" s="14">
        <v>-786</v>
      </c>
      <c r="W125" s="14">
        <v>-81</v>
      </c>
      <c r="X125" s="14">
        <v>4</v>
      </c>
      <c r="Y125" s="14">
        <v>-619</v>
      </c>
      <c r="Z125" s="14">
        <v>4</v>
      </c>
      <c r="AA125" s="14">
        <v>-3</v>
      </c>
      <c r="AB125" s="14">
        <v>-44</v>
      </c>
      <c r="AC125" s="14">
        <v>140</v>
      </c>
      <c r="AD125" s="14">
        <v>694</v>
      </c>
      <c r="AE125" s="14">
        <v>107</v>
      </c>
      <c r="AF125" s="14">
        <v>348</v>
      </c>
      <c r="AG125" s="14">
        <v>35</v>
      </c>
      <c r="AI125" s="14">
        <v>7</v>
      </c>
      <c r="AJ125" s="14">
        <v>101</v>
      </c>
      <c r="AL125" s="14">
        <v>102</v>
      </c>
      <c r="AM125" s="14">
        <v>-651</v>
      </c>
      <c r="AN125" s="14">
        <v>-820</v>
      </c>
      <c r="AP125" s="14">
        <v>-94</v>
      </c>
      <c r="AQ125" s="14">
        <v>73</v>
      </c>
      <c r="AR125" s="14">
        <v>-46</v>
      </c>
      <c r="AS125" s="14">
        <v>7</v>
      </c>
      <c r="AT125" s="14">
        <v>1</v>
      </c>
      <c r="AU125" s="14">
        <v>27</v>
      </c>
      <c r="AV125" s="14">
        <v>-170</v>
      </c>
      <c r="AW125" s="14">
        <v>144</v>
      </c>
      <c r="AX125" s="14">
        <v>-170</v>
      </c>
      <c r="AY125" s="14">
        <v>-347</v>
      </c>
      <c r="AZ125" s="14">
        <v>158</v>
      </c>
      <c r="BA125" s="14">
        <v>154</v>
      </c>
      <c r="BB125" s="14">
        <v>-1348</v>
      </c>
      <c r="BC125" s="14">
        <v>-4</v>
      </c>
      <c r="BD125" s="14">
        <v>7838</v>
      </c>
      <c r="BE125" s="14">
        <v>2178</v>
      </c>
    </row>
    <row r="126" spans="1:57" x14ac:dyDescent="0.25">
      <c r="A126" s="14">
        <v>67</v>
      </c>
      <c r="B126" s="14">
        <v>105</v>
      </c>
      <c r="G126" s="14">
        <v>784</v>
      </c>
      <c r="H126" s="14">
        <v>-7860</v>
      </c>
      <c r="I126" s="14">
        <v>-73</v>
      </c>
      <c r="L126" s="14">
        <v>-900</v>
      </c>
      <c r="M126" s="14">
        <v>-944</v>
      </c>
      <c r="O126" s="14">
        <v>362</v>
      </c>
      <c r="P126" s="14">
        <v>929</v>
      </c>
      <c r="Q126" s="14">
        <v>172</v>
      </c>
      <c r="W126" s="14">
        <v>16</v>
      </c>
      <c r="X126" s="14">
        <v>352</v>
      </c>
      <c r="Y126" s="14">
        <v>382</v>
      </c>
      <c r="Z126" s="14">
        <v>15</v>
      </c>
      <c r="AA126" s="14">
        <v>39</v>
      </c>
      <c r="AB126" s="14">
        <v>13</v>
      </c>
      <c r="AC126" s="14">
        <v>36</v>
      </c>
      <c r="AD126" s="14">
        <v>73</v>
      </c>
      <c r="AE126" s="14">
        <v>121</v>
      </c>
      <c r="AF126" s="14">
        <v>654</v>
      </c>
      <c r="AG126" s="14">
        <v>22</v>
      </c>
      <c r="AI126" s="14">
        <v>-5</v>
      </c>
      <c r="AJ126" s="14">
        <v>-308</v>
      </c>
      <c r="AL126" s="14">
        <v>10</v>
      </c>
      <c r="AM126" s="14">
        <v>-681</v>
      </c>
      <c r="AN126" s="14">
        <v>407</v>
      </c>
      <c r="AP126" s="14">
        <v>-213</v>
      </c>
      <c r="AQ126" s="14">
        <v>-129</v>
      </c>
      <c r="AR126" s="14">
        <v>278</v>
      </c>
      <c r="AS126" s="14">
        <v>2</v>
      </c>
      <c r="AT126" s="14">
        <v>30</v>
      </c>
      <c r="AU126" s="14">
        <v>-21</v>
      </c>
      <c r="AV126" s="14">
        <v>251</v>
      </c>
      <c r="AW126" s="14">
        <v>125</v>
      </c>
      <c r="AX126" s="14">
        <v>-111</v>
      </c>
      <c r="AY126" s="14">
        <v>-246</v>
      </c>
      <c r="AZ126" s="14">
        <v>-349</v>
      </c>
      <c r="BA126" s="14">
        <v>187</v>
      </c>
      <c r="BB126" s="14">
        <v>-23164</v>
      </c>
      <c r="BC126" s="14">
        <v>842</v>
      </c>
      <c r="BD126" s="14">
        <v>6516</v>
      </c>
      <c r="BE126" s="14">
        <v>-34</v>
      </c>
    </row>
    <row r="127" spans="1:57" x14ac:dyDescent="0.25">
      <c r="A127" s="14">
        <v>117</v>
      </c>
      <c r="B127" s="14">
        <v>126</v>
      </c>
      <c r="G127" s="14">
        <v>180</v>
      </c>
      <c r="H127" s="14">
        <v>2860</v>
      </c>
      <c r="I127" s="14">
        <v>-70</v>
      </c>
      <c r="L127" s="14">
        <v>-289</v>
      </c>
      <c r="M127" s="14">
        <v>-775</v>
      </c>
      <c r="O127" s="14">
        <v>355</v>
      </c>
      <c r="P127" s="14">
        <v>142</v>
      </c>
      <c r="Q127" s="14">
        <v>3</v>
      </c>
      <c r="W127" s="14">
        <v>-44</v>
      </c>
      <c r="X127" s="14">
        <v>675</v>
      </c>
      <c r="Y127" s="14">
        <v>-227</v>
      </c>
      <c r="Z127" s="14">
        <v>13</v>
      </c>
      <c r="AA127" s="14">
        <v>-32</v>
      </c>
      <c r="AB127" s="14">
        <v>-3</v>
      </c>
      <c r="AC127" s="14">
        <v>200</v>
      </c>
      <c r="AD127" s="14">
        <v>188</v>
      </c>
      <c r="AE127" s="14">
        <v>117</v>
      </c>
      <c r="AF127" s="14">
        <v>831</v>
      </c>
      <c r="AG127" s="14">
        <v>93</v>
      </c>
      <c r="AI127" s="14">
        <v>4</v>
      </c>
      <c r="AJ127" s="14">
        <v>-139</v>
      </c>
      <c r="AL127" s="14">
        <v>124</v>
      </c>
      <c r="AM127" s="14">
        <v>84</v>
      </c>
      <c r="AN127" s="14">
        <v>-19</v>
      </c>
      <c r="AP127" s="14">
        <v>-73</v>
      </c>
      <c r="AQ127" s="14">
        <v>811</v>
      </c>
      <c r="AR127" s="14">
        <v>293</v>
      </c>
      <c r="AS127" s="14">
        <v>-1</v>
      </c>
      <c r="AT127" s="14">
        <v>10</v>
      </c>
      <c r="AU127" s="14">
        <v>103</v>
      </c>
      <c r="AV127" s="14">
        <v>-180</v>
      </c>
      <c r="AW127" s="14">
        <v>-904</v>
      </c>
      <c r="AX127" s="14">
        <v>120</v>
      </c>
      <c r="AY127" s="14">
        <v>-182</v>
      </c>
      <c r="AZ127" s="14">
        <v>229</v>
      </c>
      <c r="BA127" s="14">
        <v>161</v>
      </c>
      <c r="BB127" s="14">
        <v>-62</v>
      </c>
      <c r="BC127" s="14">
        <v>-318</v>
      </c>
      <c r="BD127" s="14">
        <v>6132</v>
      </c>
      <c r="BE127" s="14">
        <v>-4</v>
      </c>
    </row>
    <row r="128" spans="1:57" x14ac:dyDescent="0.25">
      <c r="A128" s="14">
        <v>89</v>
      </c>
      <c r="B128" s="14">
        <v>48</v>
      </c>
      <c r="G128" s="14">
        <v>537</v>
      </c>
      <c r="H128" s="14">
        <v>4820</v>
      </c>
      <c r="I128" s="14">
        <v>-58</v>
      </c>
      <c r="L128" s="14">
        <v>122</v>
      </c>
      <c r="M128" s="14">
        <v>-223</v>
      </c>
      <c r="O128" s="14">
        <v>387</v>
      </c>
      <c r="P128" s="14">
        <v>466</v>
      </c>
      <c r="Q128" s="14">
        <v>169</v>
      </c>
      <c r="W128" s="14">
        <v>-6</v>
      </c>
      <c r="X128" s="14">
        <v>-446</v>
      </c>
      <c r="Y128" s="14">
        <v>-933</v>
      </c>
      <c r="Z128" s="14">
        <v>8</v>
      </c>
      <c r="AA128" s="14">
        <v>-37</v>
      </c>
      <c r="AB128" s="14">
        <v>-32</v>
      </c>
      <c r="AC128" s="14">
        <v>83</v>
      </c>
      <c r="AD128" s="14">
        <v>100</v>
      </c>
      <c r="AE128" s="14">
        <v>130</v>
      </c>
      <c r="AF128" s="14">
        <v>45</v>
      </c>
      <c r="AG128" s="14">
        <v>-30</v>
      </c>
      <c r="AI128" s="14">
        <v>-33</v>
      </c>
      <c r="AJ128" s="14">
        <v>-412</v>
      </c>
      <c r="AL128" s="14">
        <v>98</v>
      </c>
      <c r="AM128" s="14">
        <v>-253</v>
      </c>
      <c r="AN128" s="14">
        <v>142</v>
      </c>
      <c r="AP128" s="14">
        <v>-192</v>
      </c>
      <c r="AQ128" s="14">
        <v>420</v>
      </c>
      <c r="AR128" s="14">
        <v>205</v>
      </c>
      <c r="AS128" s="14">
        <v>3</v>
      </c>
      <c r="AT128" s="14">
        <v>20</v>
      </c>
      <c r="AU128" s="14">
        <v>72</v>
      </c>
      <c r="AV128" s="14">
        <v>-183</v>
      </c>
      <c r="AW128" s="14">
        <v>719</v>
      </c>
      <c r="AX128" s="14">
        <v>-515</v>
      </c>
      <c r="AY128" s="14">
        <v>752</v>
      </c>
      <c r="AZ128" s="14">
        <v>993</v>
      </c>
      <c r="BA128" s="14">
        <v>147</v>
      </c>
      <c r="BB128" s="14">
        <v>85</v>
      </c>
      <c r="BC128" s="14">
        <v>-189</v>
      </c>
      <c r="BD128" s="14">
        <v>6534</v>
      </c>
      <c r="BE128" s="14">
        <v>17</v>
      </c>
    </row>
    <row r="129" spans="1:57" x14ac:dyDescent="0.25">
      <c r="A129" s="14">
        <v>109</v>
      </c>
      <c r="B129" s="14">
        <v>24</v>
      </c>
      <c r="G129" s="14">
        <v>556</v>
      </c>
      <c r="H129" s="14">
        <v>5960</v>
      </c>
      <c r="I129" s="14">
        <v>-40</v>
      </c>
      <c r="L129" s="14">
        <v>-104</v>
      </c>
      <c r="M129" s="14">
        <v>-667</v>
      </c>
      <c r="O129" s="14">
        <v>457</v>
      </c>
      <c r="P129" s="14">
        <v>224</v>
      </c>
      <c r="Q129" s="14">
        <v>381</v>
      </c>
      <c r="W129" s="14">
        <v>86</v>
      </c>
      <c r="X129" s="14">
        <v>-848</v>
      </c>
      <c r="Y129" s="14">
        <v>-49</v>
      </c>
      <c r="Z129" s="14">
        <v>43</v>
      </c>
      <c r="AA129" s="14">
        <v>-37</v>
      </c>
      <c r="AB129" s="14">
        <v>-14</v>
      </c>
      <c r="AC129" s="14">
        <v>24</v>
      </c>
      <c r="AD129" s="14">
        <v>257</v>
      </c>
      <c r="AE129" s="14">
        <v>247</v>
      </c>
      <c r="AF129" s="14">
        <v>-1</v>
      </c>
      <c r="AG129" s="14">
        <v>-61</v>
      </c>
      <c r="AI129" s="14">
        <v>16</v>
      </c>
      <c r="AJ129" s="14">
        <v>-778</v>
      </c>
      <c r="AL129" s="14">
        <v>-134</v>
      </c>
      <c r="AM129" s="14">
        <v>-322</v>
      </c>
      <c r="AN129" s="14">
        <v>-20</v>
      </c>
      <c r="AP129" s="14">
        <v>-261</v>
      </c>
      <c r="AQ129" s="14">
        <v>-2</v>
      </c>
      <c r="AR129" s="14">
        <v>-907</v>
      </c>
      <c r="AS129" s="14">
        <v>14</v>
      </c>
      <c r="AT129" s="14">
        <v>-8</v>
      </c>
      <c r="AU129" s="14">
        <v>42</v>
      </c>
      <c r="AV129" s="14">
        <v>172</v>
      </c>
      <c r="AW129" s="14">
        <v>938</v>
      </c>
      <c r="AX129" s="14">
        <v>-417</v>
      </c>
      <c r="AY129" s="14">
        <v>-273</v>
      </c>
      <c r="AZ129" s="14">
        <v>-528</v>
      </c>
      <c r="BA129" s="14">
        <v>137</v>
      </c>
      <c r="BB129" s="14">
        <v>512</v>
      </c>
      <c r="BC129" s="14">
        <v>274</v>
      </c>
      <c r="BD129" s="14">
        <v>5631</v>
      </c>
      <c r="BE129" s="14">
        <v>-6</v>
      </c>
    </row>
    <row r="130" spans="1:57" x14ac:dyDescent="0.25">
      <c r="A130" s="14">
        <v>213</v>
      </c>
      <c r="B130" s="14">
        <v>62</v>
      </c>
      <c r="G130" s="14">
        <v>192</v>
      </c>
      <c r="H130" s="14">
        <v>6358</v>
      </c>
      <c r="I130" s="14">
        <v>-20</v>
      </c>
      <c r="L130" s="14">
        <v>-98</v>
      </c>
      <c r="M130" s="14">
        <v>-377</v>
      </c>
      <c r="O130" s="14">
        <v>536</v>
      </c>
      <c r="P130" s="14">
        <v>29</v>
      </c>
      <c r="Q130" s="14">
        <v>9</v>
      </c>
      <c r="W130" s="14">
        <v>-45</v>
      </c>
      <c r="X130" s="14">
        <v>357</v>
      </c>
      <c r="Y130" s="14">
        <v>134</v>
      </c>
      <c r="Z130" s="14">
        <v>328</v>
      </c>
      <c r="AA130" s="14">
        <v>22</v>
      </c>
      <c r="AB130" s="14">
        <v>179</v>
      </c>
      <c r="AC130" s="14">
        <v>53</v>
      </c>
      <c r="AD130" s="14">
        <v>639</v>
      </c>
      <c r="AE130" s="14">
        <v>951</v>
      </c>
      <c r="AF130" s="14">
        <v>-12</v>
      </c>
      <c r="AG130" s="14">
        <v>-77</v>
      </c>
      <c r="AI130" s="14">
        <v>-3</v>
      </c>
      <c r="AJ130" s="14">
        <v>840</v>
      </c>
      <c r="AL130" s="14">
        <v>510</v>
      </c>
      <c r="AM130" s="14">
        <v>-374</v>
      </c>
      <c r="AN130" s="14">
        <v>92</v>
      </c>
      <c r="AP130" s="14">
        <v>-146</v>
      </c>
      <c r="AQ130" s="14">
        <v>195</v>
      </c>
      <c r="AR130" s="14">
        <v>154</v>
      </c>
      <c r="AS130" s="14">
        <v>35</v>
      </c>
      <c r="AT130" s="14">
        <v>12</v>
      </c>
      <c r="AU130" s="14">
        <v>21</v>
      </c>
      <c r="AV130" s="14">
        <v>-407</v>
      </c>
      <c r="AW130" s="14">
        <v>155</v>
      </c>
      <c r="AX130" s="14">
        <v>-799</v>
      </c>
      <c r="AY130" s="14">
        <v>190</v>
      </c>
      <c r="AZ130" s="14">
        <v>116</v>
      </c>
      <c r="BA130" s="14">
        <v>189</v>
      </c>
      <c r="BB130" s="14">
        <v>119</v>
      </c>
      <c r="BC130" s="14">
        <v>176</v>
      </c>
      <c r="BD130" s="14">
        <v>-3451</v>
      </c>
      <c r="BE130" s="14">
        <v>-1</v>
      </c>
    </row>
    <row r="131" spans="1:57" x14ac:dyDescent="0.25">
      <c r="A131" s="14">
        <v>109</v>
      </c>
      <c r="B131" s="14">
        <v>97</v>
      </c>
      <c r="G131" s="14">
        <v>53</v>
      </c>
      <c r="H131" s="14">
        <v>6094</v>
      </c>
      <c r="I131" s="14">
        <v>107</v>
      </c>
      <c r="L131" s="14">
        <v>-158</v>
      </c>
      <c r="M131" s="14">
        <v>-770</v>
      </c>
      <c r="O131" s="14">
        <v>374</v>
      </c>
      <c r="P131" s="14">
        <v>166</v>
      </c>
      <c r="Q131" s="14">
        <v>250</v>
      </c>
      <c r="W131" s="14">
        <v>10</v>
      </c>
      <c r="X131" s="14">
        <v>-5</v>
      </c>
      <c r="Y131" s="14">
        <v>423</v>
      </c>
      <c r="Z131" s="14">
        <v>2</v>
      </c>
      <c r="AA131" s="14">
        <v>-12</v>
      </c>
      <c r="AB131" s="14">
        <v>173</v>
      </c>
      <c r="AC131" s="14">
        <v>-90</v>
      </c>
      <c r="AD131" s="14">
        <v>732</v>
      </c>
      <c r="AE131" s="14">
        <v>124</v>
      </c>
      <c r="AF131" s="14">
        <v>26</v>
      </c>
      <c r="AG131" s="14">
        <v>-40</v>
      </c>
      <c r="AI131" s="14">
        <v>12</v>
      </c>
      <c r="AJ131" s="14">
        <v>-144</v>
      </c>
      <c r="AL131" s="14">
        <v>-386</v>
      </c>
      <c r="AM131" s="14">
        <v>-32</v>
      </c>
      <c r="AN131" s="14">
        <v>-10</v>
      </c>
      <c r="AP131" s="14">
        <v>-264</v>
      </c>
      <c r="AQ131" s="14">
        <v>-30</v>
      </c>
      <c r="AR131" s="14">
        <v>139</v>
      </c>
      <c r="AS131" s="14">
        <v>-1</v>
      </c>
      <c r="AT131" s="14">
        <v>12</v>
      </c>
      <c r="AU131" s="14">
        <v>12</v>
      </c>
      <c r="AV131" s="14">
        <v>-388</v>
      </c>
      <c r="AW131" s="14">
        <v>241</v>
      </c>
      <c r="AX131" s="14">
        <v>-109</v>
      </c>
      <c r="AY131" s="14">
        <v>-279</v>
      </c>
      <c r="AZ131" s="14">
        <v>-38</v>
      </c>
      <c r="BA131" s="14">
        <v>258</v>
      </c>
      <c r="BB131" s="14">
        <v>6341</v>
      </c>
      <c r="BC131" s="14">
        <v>605</v>
      </c>
      <c r="BD131" s="14">
        <v>-3491</v>
      </c>
      <c r="BE131" s="14">
        <v>-3</v>
      </c>
    </row>
    <row r="132" spans="1:57" x14ac:dyDescent="0.25">
      <c r="A132" s="14">
        <v>126</v>
      </c>
      <c r="B132" s="14">
        <v>100</v>
      </c>
      <c r="G132" s="14">
        <v>78</v>
      </c>
      <c r="H132" s="14">
        <v>5247</v>
      </c>
      <c r="I132" s="14">
        <v>118</v>
      </c>
      <c r="L132" s="14">
        <v>33</v>
      </c>
      <c r="M132" s="14">
        <v>-487</v>
      </c>
      <c r="O132" s="14">
        <v>618</v>
      </c>
      <c r="P132" s="14">
        <v>252</v>
      </c>
      <c r="Q132" s="14">
        <v>-629</v>
      </c>
      <c r="W132" s="14">
        <v>-56</v>
      </c>
      <c r="X132" s="14">
        <v>-63</v>
      </c>
      <c r="Y132" s="14">
        <v>170</v>
      </c>
      <c r="Z132" s="14">
        <v>21</v>
      </c>
      <c r="AA132" s="14">
        <v>-1</v>
      </c>
      <c r="AB132" s="14">
        <v>482</v>
      </c>
      <c r="AC132" s="14">
        <v>-70</v>
      </c>
      <c r="AD132" s="14">
        <v>115</v>
      </c>
      <c r="AE132" s="14">
        <v>108</v>
      </c>
      <c r="AF132" s="14">
        <v>180</v>
      </c>
      <c r="AG132" s="14">
        <v>23</v>
      </c>
      <c r="AI132" s="14">
        <v>58</v>
      </c>
      <c r="AJ132" s="14">
        <v>-835</v>
      </c>
      <c r="AL132" s="14">
        <v>414</v>
      </c>
      <c r="AM132" s="14">
        <v>-311</v>
      </c>
      <c r="AN132" s="14">
        <v>95</v>
      </c>
      <c r="AP132" s="14">
        <v>-312</v>
      </c>
      <c r="AQ132" s="14">
        <v>-6</v>
      </c>
      <c r="AR132" s="14">
        <v>-171</v>
      </c>
      <c r="AS132" s="14">
        <v>11</v>
      </c>
      <c r="AT132" s="14">
        <v>7</v>
      </c>
      <c r="AU132" s="14">
        <v>752</v>
      </c>
      <c r="AV132" s="14">
        <v>-131</v>
      </c>
      <c r="AW132" s="14">
        <v>-836</v>
      </c>
      <c r="AX132" s="14">
        <v>-820</v>
      </c>
      <c r="AY132" s="14">
        <v>600</v>
      </c>
      <c r="AZ132" s="14">
        <v>68</v>
      </c>
      <c r="BA132" s="14">
        <v>234</v>
      </c>
      <c r="BB132" s="14">
        <v>3184</v>
      </c>
      <c r="BC132" s="14">
        <v>-975</v>
      </c>
      <c r="BD132" s="14">
        <v>-3733</v>
      </c>
      <c r="BE132" s="14">
        <v>6</v>
      </c>
    </row>
    <row r="133" spans="1:57" x14ac:dyDescent="0.25">
      <c r="A133" s="14">
        <v>95</v>
      </c>
      <c r="B133" s="14">
        <v>101</v>
      </c>
      <c r="G133" s="14">
        <v>270</v>
      </c>
      <c r="H133" s="14">
        <v>3896</v>
      </c>
      <c r="I133" s="14">
        <v>109</v>
      </c>
      <c r="L133" s="14">
        <v>-915</v>
      </c>
      <c r="M133" s="14">
        <v>262</v>
      </c>
      <c r="O133" s="14">
        <v>798</v>
      </c>
      <c r="P133" s="14">
        <v>-5</v>
      </c>
      <c r="Q133" s="14">
        <v>512</v>
      </c>
      <c r="W133" s="14">
        <v>-5</v>
      </c>
      <c r="X133" s="14">
        <v>437</v>
      </c>
      <c r="Y133" s="14">
        <v>486</v>
      </c>
      <c r="Z133" s="14">
        <v>186</v>
      </c>
      <c r="AA133" s="14">
        <v>1</v>
      </c>
      <c r="AB133" s="14">
        <v>148</v>
      </c>
      <c r="AC133" s="14">
        <v>-260</v>
      </c>
      <c r="AD133" s="14">
        <v>273</v>
      </c>
      <c r="AE133" s="14">
        <v>128</v>
      </c>
      <c r="AF133" s="14">
        <v>307</v>
      </c>
      <c r="AG133" s="14">
        <v>-29</v>
      </c>
      <c r="AI133" s="14">
        <v>-36</v>
      </c>
      <c r="AJ133" s="14">
        <v>-109</v>
      </c>
      <c r="AL133" s="14">
        <v>195</v>
      </c>
      <c r="AM133" s="14">
        <v>-331</v>
      </c>
      <c r="AN133" s="14">
        <v>-461</v>
      </c>
      <c r="AP133" s="14">
        <v>-319</v>
      </c>
      <c r="AQ133" s="14">
        <v>2</v>
      </c>
      <c r="AR133" s="14">
        <v>-332</v>
      </c>
      <c r="AS133" s="14">
        <v>-285</v>
      </c>
      <c r="AT133" s="14">
        <v>-57</v>
      </c>
      <c r="AU133" s="14">
        <v>79</v>
      </c>
      <c r="AV133" s="14">
        <v>-230</v>
      </c>
      <c r="AW133" s="14">
        <v>-251</v>
      </c>
      <c r="AX133" s="14">
        <v>-160</v>
      </c>
      <c r="AY133" s="14">
        <v>493</v>
      </c>
      <c r="AZ133" s="14">
        <v>120</v>
      </c>
      <c r="BA133" s="14">
        <v>194</v>
      </c>
      <c r="BB133" s="14">
        <v>3286</v>
      </c>
      <c r="BC133" s="14">
        <v>863</v>
      </c>
      <c r="BD133" s="14">
        <v>-3811</v>
      </c>
      <c r="BE133" s="14">
        <v>7</v>
      </c>
    </row>
    <row r="134" spans="1:57" x14ac:dyDescent="0.25">
      <c r="A134" s="14">
        <v>-127</v>
      </c>
      <c r="B134" s="14">
        <v>140</v>
      </c>
      <c r="G134" s="14">
        <v>248</v>
      </c>
      <c r="H134" s="14">
        <v>2121</v>
      </c>
      <c r="I134" s="14">
        <v>87</v>
      </c>
      <c r="L134" s="14">
        <v>-132</v>
      </c>
      <c r="M134" s="14">
        <v>-740</v>
      </c>
      <c r="O134" s="14">
        <v>904</v>
      </c>
      <c r="P134" s="14">
        <v>543</v>
      </c>
      <c r="Q134" s="14">
        <v>58</v>
      </c>
      <c r="W134" s="14">
        <v>70</v>
      </c>
      <c r="X134" s="14">
        <v>472</v>
      </c>
      <c r="Y134" s="14">
        <v>324</v>
      </c>
      <c r="Z134" s="14">
        <v>142</v>
      </c>
      <c r="AA134" s="14">
        <v>-12</v>
      </c>
      <c r="AB134" s="14">
        <v>531</v>
      </c>
      <c r="AC134" s="14">
        <v>-108</v>
      </c>
      <c r="AD134" s="14">
        <v>224</v>
      </c>
      <c r="AE134" s="14">
        <v>255</v>
      </c>
      <c r="AF134" s="14">
        <v>316</v>
      </c>
      <c r="AG134" s="14">
        <v>13</v>
      </c>
      <c r="AI134" s="14">
        <v>-13</v>
      </c>
      <c r="AJ134" s="14">
        <v>422</v>
      </c>
      <c r="AL134" s="14">
        <v>-621</v>
      </c>
      <c r="AM134" s="14">
        <v>-359</v>
      </c>
      <c r="AN134" s="14">
        <v>36</v>
      </c>
      <c r="AP134" s="14">
        <v>-467</v>
      </c>
      <c r="AQ134" s="14">
        <v>-1</v>
      </c>
      <c r="AR134" s="14">
        <v>-313</v>
      </c>
      <c r="AS134" s="14">
        <v>3</v>
      </c>
      <c r="AT134" s="14">
        <v>-20</v>
      </c>
      <c r="AU134" s="14">
        <v>77</v>
      </c>
      <c r="AV134" s="14">
        <v>-461</v>
      </c>
      <c r="AW134" s="14">
        <v>118</v>
      </c>
      <c r="AX134" s="14">
        <v>-550</v>
      </c>
      <c r="AY134" s="14">
        <v>555</v>
      </c>
      <c r="AZ134" s="14">
        <v>-298</v>
      </c>
      <c r="BA134" s="14">
        <v>214</v>
      </c>
      <c r="BB134" s="14">
        <v>-1126</v>
      </c>
      <c r="BC134" s="14">
        <v>160</v>
      </c>
      <c r="BD134" s="14">
        <v>1215</v>
      </c>
      <c r="BE134" s="14">
        <v>59</v>
      </c>
    </row>
    <row r="135" spans="1:57" x14ac:dyDescent="0.25">
      <c r="A135" s="14">
        <v>63</v>
      </c>
      <c r="B135" s="14">
        <v>212</v>
      </c>
      <c r="G135" s="14">
        <v>585</v>
      </c>
      <c r="H135" s="14">
        <v>-1107</v>
      </c>
      <c r="I135" s="14">
        <v>57</v>
      </c>
      <c r="L135" s="14">
        <v>552</v>
      </c>
      <c r="M135" s="14">
        <v>-972</v>
      </c>
      <c r="O135" s="14">
        <v>478</v>
      </c>
      <c r="P135" s="14">
        <v>162</v>
      </c>
      <c r="Q135" s="14">
        <v>13</v>
      </c>
      <c r="W135" s="14">
        <v>-93</v>
      </c>
      <c r="X135" s="14">
        <v>-935</v>
      </c>
      <c r="Y135" s="14">
        <v>-162</v>
      </c>
      <c r="Z135" s="14">
        <v>96</v>
      </c>
      <c r="AA135" s="14">
        <v>-13</v>
      </c>
      <c r="AB135" s="14">
        <v>154</v>
      </c>
      <c r="AC135" s="14">
        <v>-38</v>
      </c>
      <c r="AD135" s="14">
        <v>403</v>
      </c>
      <c r="AE135" s="14">
        <v>112</v>
      </c>
      <c r="AF135" s="14">
        <v>343</v>
      </c>
      <c r="AG135" s="14">
        <v>42</v>
      </c>
      <c r="AI135" s="14">
        <v>-13</v>
      </c>
      <c r="AJ135" s="14">
        <v>-859</v>
      </c>
      <c r="AL135" s="14">
        <v>471</v>
      </c>
      <c r="AM135" s="14">
        <v>61</v>
      </c>
      <c r="AN135" s="14">
        <v>-133</v>
      </c>
      <c r="AP135" s="14">
        <v>-117</v>
      </c>
      <c r="AQ135" s="14">
        <v>-34</v>
      </c>
      <c r="AR135" s="14">
        <v>-56</v>
      </c>
      <c r="AS135" s="14">
        <v>-2</v>
      </c>
      <c r="AT135" s="14">
        <v>-40</v>
      </c>
      <c r="AU135" s="14">
        <v>43</v>
      </c>
      <c r="AV135" s="14">
        <v>1</v>
      </c>
      <c r="AW135" s="14">
        <v>142</v>
      </c>
      <c r="AX135" s="14">
        <v>150</v>
      </c>
      <c r="AY135" s="14">
        <v>-571</v>
      </c>
      <c r="AZ135" s="14">
        <v>248</v>
      </c>
      <c r="BA135" s="14">
        <v>181</v>
      </c>
      <c r="BB135" s="14">
        <v>790</v>
      </c>
      <c r="BC135" s="14">
        <v>-193</v>
      </c>
      <c r="BD135" s="14">
        <v>3699</v>
      </c>
      <c r="BE135" s="14">
        <v>-1</v>
      </c>
    </row>
    <row r="136" spans="1:57" x14ac:dyDescent="0.25">
      <c r="A136" s="14">
        <v>125</v>
      </c>
      <c r="B136" s="14">
        <v>76</v>
      </c>
      <c r="G136" s="14">
        <v>926</v>
      </c>
      <c r="H136" s="14">
        <v>242</v>
      </c>
      <c r="I136" s="14">
        <v>26</v>
      </c>
      <c r="L136" s="14">
        <v>111</v>
      </c>
      <c r="M136" s="14">
        <v>-227</v>
      </c>
      <c r="O136" s="14">
        <v>393</v>
      </c>
      <c r="P136" s="14">
        <v>486</v>
      </c>
      <c r="Q136" s="14">
        <v>24</v>
      </c>
      <c r="W136" s="14">
        <v>19</v>
      </c>
      <c r="X136" s="14">
        <v>980</v>
      </c>
      <c r="Y136" s="14">
        <v>-152</v>
      </c>
      <c r="Z136" s="14">
        <v>314</v>
      </c>
      <c r="AA136" s="14">
        <v>113</v>
      </c>
      <c r="AB136" s="14">
        <v>14</v>
      </c>
      <c r="AC136" s="14">
        <v>-148</v>
      </c>
      <c r="AD136" s="14">
        <v>976</v>
      </c>
      <c r="AE136" s="14">
        <v>110</v>
      </c>
      <c r="AF136" s="14">
        <v>388</v>
      </c>
      <c r="AG136" s="14">
        <v>-64</v>
      </c>
      <c r="AI136" s="14">
        <v>-11</v>
      </c>
      <c r="AJ136" s="14">
        <v>-912</v>
      </c>
      <c r="AL136" s="14">
        <v>234</v>
      </c>
      <c r="AM136" s="14">
        <v>-274</v>
      </c>
      <c r="AN136" s="14">
        <v>-277</v>
      </c>
      <c r="AP136" s="14">
        <v>-378</v>
      </c>
      <c r="AQ136" s="14">
        <v>1</v>
      </c>
      <c r="AR136" s="14">
        <v>-253</v>
      </c>
      <c r="AS136" s="14">
        <v>4</v>
      </c>
      <c r="AT136" s="14">
        <v>45</v>
      </c>
      <c r="AU136" s="14">
        <v>-29</v>
      </c>
      <c r="AV136" s="14">
        <v>735</v>
      </c>
      <c r="AW136" s="14">
        <v>130</v>
      </c>
      <c r="AX136" s="14">
        <v>-421</v>
      </c>
      <c r="AY136" s="14">
        <v>880</v>
      </c>
      <c r="AZ136" s="14">
        <v>-25</v>
      </c>
      <c r="BA136" s="14">
        <v>192</v>
      </c>
      <c r="BB136" s="14">
        <v>1579</v>
      </c>
      <c r="BC136" s="14">
        <v>281</v>
      </c>
      <c r="BD136" s="14">
        <v>6549</v>
      </c>
      <c r="BE136" s="14">
        <v>-565</v>
      </c>
    </row>
    <row r="137" spans="1:57" x14ac:dyDescent="0.25">
      <c r="A137" s="14">
        <v>108</v>
      </c>
      <c r="B137" s="14">
        <v>19</v>
      </c>
      <c r="G137" s="14">
        <v>33</v>
      </c>
      <c r="H137" s="14">
        <v>-200</v>
      </c>
      <c r="I137" s="14">
        <v>-366</v>
      </c>
      <c r="L137" s="14">
        <v>166</v>
      </c>
      <c r="M137" s="14">
        <v>-620</v>
      </c>
      <c r="O137" s="14">
        <v>-65</v>
      </c>
      <c r="P137" s="14">
        <v>438</v>
      </c>
      <c r="Q137" s="14">
        <v>92</v>
      </c>
      <c r="W137" s="14">
        <v>-40</v>
      </c>
      <c r="X137" s="14">
        <v>5</v>
      </c>
      <c r="Y137" s="14">
        <v>-37</v>
      </c>
      <c r="Z137" s="14">
        <v>87</v>
      </c>
      <c r="AA137" s="14">
        <v>76</v>
      </c>
      <c r="AB137" s="14">
        <v>15</v>
      </c>
      <c r="AC137" s="14">
        <v>-135</v>
      </c>
      <c r="AD137" s="14">
        <v>109</v>
      </c>
      <c r="AE137" s="14">
        <v>855</v>
      </c>
      <c r="AF137" s="14">
        <v>470</v>
      </c>
      <c r="AG137" s="14">
        <v>-84</v>
      </c>
      <c r="AI137" s="14">
        <v>1</v>
      </c>
      <c r="AJ137" s="14">
        <v>69</v>
      </c>
      <c r="AL137" s="14">
        <v>-126</v>
      </c>
      <c r="AM137" s="14">
        <v>-341</v>
      </c>
      <c r="AN137" s="14">
        <v>-487</v>
      </c>
      <c r="AP137" s="14">
        <v>-99</v>
      </c>
      <c r="AQ137" s="14">
        <v>23</v>
      </c>
      <c r="AR137" s="14">
        <v>344</v>
      </c>
      <c r="AS137" s="14">
        <v>8</v>
      </c>
      <c r="AT137" s="14">
        <v>24</v>
      </c>
      <c r="AU137" s="14">
        <v>-438</v>
      </c>
      <c r="AV137" s="14">
        <v>23</v>
      </c>
      <c r="AW137" s="14">
        <v>102</v>
      </c>
      <c r="AX137" s="14">
        <v>874</v>
      </c>
      <c r="AY137" s="14">
        <v>-487</v>
      </c>
      <c r="AZ137" s="14">
        <v>42</v>
      </c>
      <c r="BA137" s="14">
        <v>169</v>
      </c>
      <c r="BB137" s="14">
        <v>3215</v>
      </c>
      <c r="BC137" s="14">
        <v>180</v>
      </c>
      <c r="BD137" s="14">
        <v>-1624</v>
      </c>
      <c r="BE137" s="14">
        <v>217</v>
      </c>
    </row>
    <row r="138" spans="1:57" x14ac:dyDescent="0.25">
      <c r="A138" s="14">
        <v>43</v>
      </c>
      <c r="B138" s="14">
        <v>25</v>
      </c>
      <c r="G138" s="14">
        <v>-94</v>
      </c>
      <c r="H138" s="14">
        <v>614</v>
      </c>
      <c r="I138" s="14">
        <v>305</v>
      </c>
      <c r="L138" s="14">
        <v>216</v>
      </c>
      <c r="M138" s="14">
        <v>-139</v>
      </c>
      <c r="O138" s="14">
        <v>124</v>
      </c>
      <c r="P138" s="14">
        <v>917</v>
      </c>
      <c r="Q138" s="14">
        <v>171</v>
      </c>
      <c r="W138" s="14">
        <v>-4</v>
      </c>
      <c r="X138" s="14">
        <v>935</v>
      </c>
      <c r="Y138" s="14">
        <v>21</v>
      </c>
      <c r="Z138" s="14">
        <v>-43</v>
      </c>
      <c r="AA138" s="14">
        <v>954</v>
      </c>
      <c r="AB138" s="14">
        <v>168</v>
      </c>
      <c r="AC138" s="14">
        <v>-261</v>
      </c>
      <c r="AD138" s="14">
        <v>156</v>
      </c>
      <c r="AE138" s="14">
        <v>261</v>
      </c>
      <c r="AF138" s="14">
        <v>564</v>
      </c>
      <c r="AG138" s="14">
        <v>-146</v>
      </c>
      <c r="AI138" s="14">
        <v>5</v>
      </c>
      <c r="AJ138" s="14">
        <v>23</v>
      </c>
      <c r="AL138" s="14">
        <v>-387</v>
      </c>
      <c r="AM138" s="14">
        <v>-295</v>
      </c>
      <c r="AN138" s="14">
        <v>245</v>
      </c>
      <c r="AP138" s="14">
        <v>-68</v>
      </c>
      <c r="AQ138" s="14">
        <v>3</v>
      </c>
      <c r="AR138" s="14">
        <v>-818</v>
      </c>
      <c r="AS138" s="14">
        <v>42</v>
      </c>
      <c r="AT138" s="14">
        <v>61</v>
      </c>
      <c r="AU138" s="14">
        <v>-33</v>
      </c>
      <c r="AV138" s="14">
        <v>187</v>
      </c>
      <c r="AW138" s="14">
        <v>614</v>
      </c>
      <c r="AX138" s="14">
        <v>540</v>
      </c>
      <c r="AY138" s="14">
        <v>211</v>
      </c>
      <c r="AZ138" s="14">
        <v>151</v>
      </c>
      <c r="BA138" s="14">
        <v>187</v>
      </c>
      <c r="BB138" s="14">
        <v>-2011</v>
      </c>
      <c r="BC138" s="14">
        <v>620</v>
      </c>
      <c r="BD138" s="14">
        <v>-4563</v>
      </c>
      <c r="BE138" s="14">
        <v>-49</v>
      </c>
    </row>
    <row r="139" spans="1:57" x14ac:dyDescent="0.25">
      <c r="A139" s="14">
        <v>-12</v>
      </c>
      <c r="B139" s="14">
        <v>41</v>
      </c>
      <c r="G139" s="14">
        <v>98</v>
      </c>
      <c r="H139" s="14">
        <v>2398</v>
      </c>
      <c r="I139" s="14">
        <v>35</v>
      </c>
      <c r="L139" s="14">
        <v>258</v>
      </c>
      <c r="M139" s="14">
        <v>-584</v>
      </c>
      <c r="O139" s="14">
        <v>148</v>
      </c>
      <c r="P139" s="14">
        <v>146</v>
      </c>
      <c r="Q139" s="14">
        <v>22</v>
      </c>
      <c r="W139" s="14">
        <v>75</v>
      </c>
      <c r="X139" s="14">
        <v>-771</v>
      </c>
      <c r="Y139" s="14">
        <v>40</v>
      </c>
      <c r="Z139" s="14">
        <v>-7</v>
      </c>
      <c r="AA139" s="14">
        <v>25</v>
      </c>
      <c r="AB139" s="14">
        <v>108</v>
      </c>
      <c r="AC139" s="14">
        <v>-84</v>
      </c>
      <c r="AD139" s="14">
        <v>209</v>
      </c>
      <c r="AE139" s="14">
        <v>994</v>
      </c>
      <c r="AF139" s="14">
        <v>548</v>
      </c>
      <c r="AG139" s="14">
        <v>-145</v>
      </c>
      <c r="AI139" s="14">
        <v>-2</v>
      </c>
      <c r="AJ139" s="14">
        <v>147</v>
      </c>
      <c r="AL139" s="14">
        <v>-130</v>
      </c>
      <c r="AM139" s="14">
        <v>-46</v>
      </c>
      <c r="AN139" s="14">
        <v>57</v>
      </c>
      <c r="AP139" s="14">
        <v>-285</v>
      </c>
      <c r="AQ139" s="14">
        <v>-1</v>
      </c>
      <c r="AR139" s="14">
        <v>917</v>
      </c>
      <c r="AS139" s="14">
        <v>-1</v>
      </c>
      <c r="AT139" s="14">
        <v>-1</v>
      </c>
      <c r="AU139" s="14">
        <v>-28</v>
      </c>
      <c r="AV139" s="14">
        <v>-456</v>
      </c>
      <c r="AW139" s="14">
        <v>557</v>
      </c>
      <c r="AX139" s="14">
        <v>535</v>
      </c>
      <c r="AY139" s="14">
        <v>-119</v>
      </c>
      <c r="AZ139" s="14">
        <v>-560</v>
      </c>
      <c r="BA139" s="14">
        <v>142</v>
      </c>
      <c r="BB139" s="14">
        <v>362</v>
      </c>
      <c r="BC139" s="14">
        <v>258</v>
      </c>
      <c r="BD139" s="14">
        <v>-5802</v>
      </c>
      <c r="BE139" s="14">
        <v>5828</v>
      </c>
    </row>
    <row r="140" spans="1:57" x14ac:dyDescent="0.25">
      <c r="A140" s="14">
        <v>161</v>
      </c>
      <c r="B140" s="14">
        <v>131</v>
      </c>
      <c r="G140" s="14">
        <v>72</v>
      </c>
      <c r="H140" s="14">
        <v>895</v>
      </c>
      <c r="I140" s="14">
        <v>918</v>
      </c>
      <c r="L140" s="14">
        <v>282</v>
      </c>
      <c r="M140" s="14">
        <v>-576</v>
      </c>
      <c r="O140" s="14">
        <v>161</v>
      </c>
      <c r="P140" s="14">
        <v>470</v>
      </c>
      <c r="Q140" s="14">
        <v>65</v>
      </c>
      <c r="W140" s="14">
        <v>-61</v>
      </c>
      <c r="X140" s="14">
        <v>334</v>
      </c>
      <c r="Y140" s="14">
        <v>-132</v>
      </c>
      <c r="Z140" s="14">
        <v>-15</v>
      </c>
      <c r="AA140" s="14">
        <v>-367</v>
      </c>
      <c r="AB140" s="14">
        <v>474</v>
      </c>
      <c r="AC140" s="14">
        <v>590</v>
      </c>
      <c r="AD140" s="14">
        <v>114</v>
      </c>
      <c r="AE140" s="14">
        <v>838</v>
      </c>
      <c r="AF140" s="14">
        <v>641</v>
      </c>
      <c r="AG140" s="14">
        <v>-117</v>
      </c>
      <c r="AI140" s="14">
        <v>93</v>
      </c>
      <c r="AJ140" s="14">
        <v>309</v>
      </c>
      <c r="AL140" s="14">
        <v>491</v>
      </c>
      <c r="AM140" s="14">
        <v>-323</v>
      </c>
      <c r="AN140" s="14">
        <v>-477</v>
      </c>
      <c r="AP140" s="14">
        <v>-25</v>
      </c>
      <c r="AQ140" s="14">
        <v>146</v>
      </c>
      <c r="AR140" s="14">
        <v>-220</v>
      </c>
      <c r="AS140" s="14">
        <v>9</v>
      </c>
      <c r="AT140" s="14">
        <v>40</v>
      </c>
      <c r="AU140" s="14">
        <v>-30</v>
      </c>
      <c r="AV140" s="14">
        <v>-410</v>
      </c>
      <c r="AW140" s="14">
        <v>464</v>
      </c>
      <c r="AX140" s="14">
        <v>257</v>
      </c>
      <c r="AY140" s="14">
        <v>-135</v>
      </c>
      <c r="AZ140" s="14">
        <v>103</v>
      </c>
      <c r="BA140" s="14">
        <v>232</v>
      </c>
      <c r="BB140" s="14">
        <v>3976</v>
      </c>
      <c r="BC140" s="14">
        <v>867</v>
      </c>
      <c r="BD140" s="14">
        <v>922</v>
      </c>
      <c r="BE140" s="14">
        <v>-146</v>
      </c>
    </row>
    <row r="141" spans="1:57" x14ac:dyDescent="0.25">
      <c r="A141" s="14">
        <v>-15</v>
      </c>
      <c r="B141" s="14">
        <v>121</v>
      </c>
      <c r="G141" s="14">
        <v>189</v>
      </c>
      <c r="H141" s="14">
        <v>59</v>
      </c>
      <c r="I141" s="14">
        <v>98</v>
      </c>
      <c r="L141" s="14">
        <v>280</v>
      </c>
      <c r="M141" s="14">
        <v>245</v>
      </c>
      <c r="O141" s="14">
        <v>175</v>
      </c>
      <c r="P141" s="14">
        <v>232</v>
      </c>
      <c r="Q141" s="14">
        <v>112</v>
      </c>
      <c r="W141" s="14">
        <v>-130</v>
      </c>
      <c r="X141" s="14">
        <v>868</v>
      </c>
      <c r="Y141" s="14">
        <v>-100</v>
      </c>
      <c r="Z141" s="14">
        <v>41</v>
      </c>
      <c r="AA141" s="14">
        <v>21</v>
      </c>
      <c r="AB141" s="14">
        <v>149</v>
      </c>
      <c r="AC141" s="14">
        <v>180</v>
      </c>
      <c r="AD141" s="14">
        <v>316</v>
      </c>
      <c r="AE141" s="14">
        <v>109</v>
      </c>
      <c r="AF141" s="14">
        <v>644</v>
      </c>
      <c r="AG141" s="14">
        <v>-165</v>
      </c>
      <c r="AI141" s="14">
        <v>-1</v>
      </c>
      <c r="AJ141" s="14">
        <v>59</v>
      </c>
      <c r="AL141" s="14">
        <v>-366</v>
      </c>
      <c r="AM141" s="14">
        <v>-339</v>
      </c>
      <c r="AN141" s="14">
        <v>-691</v>
      </c>
      <c r="AP141" s="14">
        <v>-19</v>
      </c>
      <c r="AQ141" s="14">
        <v>168</v>
      </c>
      <c r="AR141" s="14">
        <v>124</v>
      </c>
      <c r="AS141" s="14">
        <v>-1</v>
      </c>
      <c r="AT141" s="14">
        <v>3</v>
      </c>
      <c r="AU141" s="14">
        <v>-54</v>
      </c>
      <c r="AV141" s="14">
        <v>-146</v>
      </c>
      <c r="AW141" s="14">
        <v>120</v>
      </c>
      <c r="AX141" s="14">
        <v>493</v>
      </c>
      <c r="AY141" s="14">
        <v>-42</v>
      </c>
      <c r="AZ141" s="14">
        <v>659</v>
      </c>
      <c r="BA141" s="14">
        <v>192</v>
      </c>
      <c r="BB141" s="14">
        <v>-1248</v>
      </c>
      <c r="BC141" s="14">
        <v>-210</v>
      </c>
      <c r="BD141" s="14">
        <v>-2438</v>
      </c>
      <c r="BE141" s="14">
        <v>-1</v>
      </c>
    </row>
    <row r="142" spans="1:57" x14ac:dyDescent="0.25">
      <c r="A142" s="14">
        <v>17</v>
      </c>
      <c r="B142" s="14">
        <v>257</v>
      </c>
      <c r="G142" s="14">
        <v>186</v>
      </c>
      <c r="H142" s="14">
        <v>57</v>
      </c>
      <c r="I142" s="14">
        <v>-163</v>
      </c>
      <c r="L142" s="14">
        <v>242</v>
      </c>
      <c r="M142" s="14">
        <v>143</v>
      </c>
      <c r="O142" s="14">
        <v>111</v>
      </c>
      <c r="P142" s="14">
        <v>28</v>
      </c>
      <c r="Q142" s="14">
        <v>61</v>
      </c>
      <c r="W142" s="14">
        <v>8</v>
      </c>
      <c r="X142" s="14">
        <v>-301</v>
      </c>
      <c r="Y142" s="14">
        <v>-526</v>
      </c>
      <c r="Z142" s="14">
        <v>1</v>
      </c>
      <c r="AA142" s="14">
        <v>118</v>
      </c>
      <c r="AB142" s="14">
        <v>536</v>
      </c>
      <c r="AC142" s="14">
        <v>-448</v>
      </c>
      <c r="AD142" s="14">
        <v>655</v>
      </c>
      <c r="AE142" s="14">
        <v>991</v>
      </c>
      <c r="AF142" s="14">
        <v>702</v>
      </c>
      <c r="AG142" s="14">
        <v>145</v>
      </c>
      <c r="AI142" s="14">
        <v>1</v>
      </c>
      <c r="AJ142" s="14">
        <v>380</v>
      </c>
      <c r="AL142" s="14">
        <v>389</v>
      </c>
      <c r="AM142" s="14">
        <v>-279</v>
      </c>
      <c r="AN142" s="14">
        <v>351</v>
      </c>
      <c r="AP142" s="14">
        <v>431</v>
      </c>
      <c r="AQ142" s="14">
        <v>291</v>
      </c>
      <c r="AR142" s="14">
        <v>522</v>
      </c>
      <c r="AS142" s="14">
        <v>26</v>
      </c>
      <c r="AT142" s="14">
        <v>59</v>
      </c>
      <c r="AU142" s="14">
        <v>-6</v>
      </c>
      <c r="AV142" s="14">
        <v>-106</v>
      </c>
      <c r="AW142" s="14">
        <v>113</v>
      </c>
      <c r="AX142" s="14">
        <v>100</v>
      </c>
      <c r="AY142" s="14">
        <v>-26</v>
      </c>
      <c r="AZ142" s="14">
        <v>-2</v>
      </c>
      <c r="BA142" s="14">
        <v>286</v>
      </c>
      <c r="BB142" s="14">
        <v>-23213</v>
      </c>
      <c r="BC142" s="14">
        <v>-173</v>
      </c>
      <c r="BD142" s="14">
        <v>-2513</v>
      </c>
      <c r="BE142" s="14">
        <v>26</v>
      </c>
    </row>
    <row r="143" spans="1:57" x14ac:dyDescent="0.25">
      <c r="A143" s="14">
        <v>36</v>
      </c>
      <c r="B143" s="14">
        <v>52</v>
      </c>
      <c r="G143" s="14">
        <v>730</v>
      </c>
      <c r="H143" s="14">
        <v>59</v>
      </c>
      <c r="I143" s="14">
        <v>-24</v>
      </c>
      <c r="L143" s="14">
        <v>153</v>
      </c>
      <c r="M143" s="14">
        <v>-870</v>
      </c>
      <c r="O143" s="14">
        <v>186</v>
      </c>
      <c r="P143" s="14">
        <v>168</v>
      </c>
      <c r="Q143" s="14">
        <v>623</v>
      </c>
      <c r="W143" s="14">
        <v>347</v>
      </c>
      <c r="X143" s="14">
        <v>-983</v>
      </c>
      <c r="Y143" s="14">
        <v>201</v>
      </c>
      <c r="Z143" s="14">
        <v>14</v>
      </c>
      <c r="AA143" s="14">
        <v>639</v>
      </c>
      <c r="AB143" s="14">
        <v>153</v>
      </c>
      <c r="AC143" s="14">
        <v>614</v>
      </c>
      <c r="AD143" s="14">
        <v>865</v>
      </c>
      <c r="AE143" s="14">
        <v>871</v>
      </c>
      <c r="AF143" s="14">
        <v>113</v>
      </c>
      <c r="AG143" s="14">
        <v>12</v>
      </c>
      <c r="AI143" s="14">
        <v>-1</v>
      </c>
      <c r="AJ143" s="14">
        <v>-140</v>
      </c>
      <c r="AL143" s="14">
        <v>185</v>
      </c>
      <c r="AM143" s="14">
        <v>48</v>
      </c>
      <c r="AN143" s="14">
        <v>4</v>
      </c>
      <c r="AP143" s="14">
        <v>302</v>
      </c>
      <c r="AQ143" s="14">
        <v>300</v>
      </c>
      <c r="AR143" s="14">
        <v>-151</v>
      </c>
      <c r="AS143" s="14">
        <v>31</v>
      </c>
      <c r="AT143" s="14">
        <v>42</v>
      </c>
      <c r="AU143" s="14">
        <v>1</v>
      </c>
      <c r="AV143" s="14">
        <v>-208</v>
      </c>
      <c r="AW143" s="14">
        <v>657</v>
      </c>
      <c r="AX143" s="14">
        <v>218</v>
      </c>
      <c r="AY143" s="14">
        <v>-12</v>
      </c>
      <c r="AZ143" s="14">
        <v>-59</v>
      </c>
      <c r="BA143" s="14">
        <v>217</v>
      </c>
      <c r="BB143" s="14">
        <v>-7</v>
      </c>
      <c r="BC143" s="14">
        <v>-534</v>
      </c>
      <c r="BD143" s="14">
        <v>-1359</v>
      </c>
      <c r="BE143" s="14">
        <v>-7</v>
      </c>
    </row>
    <row r="144" spans="1:57" x14ac:dyDescent="0.25">
      <c r="A144" s="14">
        <v>-88</v>
      </c>
      <c r="B144" s="14">
        <v>632</v>
      </c>
      <c r="G144" s="14">
        <v>251</v>
      </c>
      <c r="H144" s="14">
        <v>47</v>
      </c>
      <c r="I144" s="14">
        <v>129</v>
      </c>
      <c r="L144" s="14">
        <v>-439</v>
      </c>
      <c r="M144" s="14">
        <v>-117</v>
      </c>
      <c r="O144" s="14">
        <v>160</v>
      </c>
      <c r="P144" s="14">
        <v>245</v>
      </c>
      <c r="Q144" s="14">
        <v>70</v>
      </c>
      <c r="W144" s="14">
        <v>-16</v>
      </c>
      <c r="X144" s="14">
        <v>-251</v>
      </c>
      <c r="Y144" s="14">
        <v>339</v>
      </c>
      <c r="Z144" s="14">
        <v>60</v>
      </c>
      <c r="AA144" s="14">
        <v>72</v>
      </c>
      <c r="AB144" s="14">
        <v>15</v>
      </c>
      <c r="AC144" s="14">
        <v>-156</v>
      </c>
      <c r="AD144" s="14">
        <v>170</v>
      </c>
      <c r="AE144" s="14">
        <v>838</v>
      </c>
      <c r="AF144" s="14">
        <v>-1</v>
      </c>
      <c r="AG144" s="14">
        <v>121</v>
      </c>
      <c r="AI144" s="14">
        <v>-24</v>
      </c>
      <c r="AJ144" s="14">
        <v>-931</v>
      </c>
      <c r="AL144" s="14">
        <v>-569</v>
      </c>
      <c r="AM144" s="14">
        <v>29</v>
      </c>
      <c r="AN144" s="14">
        <v>21</v>
      </c>
      <c r="AP144" s="14">
        <v>-438</v>
      </c>
      <c r="AQ144" s="14">
        <v>103</v>
      </c>
      <c r="AR144" s="14">
        <v>-141</v>
      </c>
      <c r="AS144" s="14">
        <v>153</v>
      </c>
      <c r="AT144" s="14">
        <v>21</v>
      </c>
      <c r="AU144" s="14">
        <v>2</v>
      </c>
      <c r="AV144" s="14">
        <v>-324</v>
      </c>
      <c r="AW144" s="14">
        <v>-246</v>
      </c>
      <c r="AX144" s="14">
        <v>58</v>
      </c>
      <c r="AY144" s="14">
        <v>1</v>
      </c>
      <c r="AZ144" s="14">
        <v>-83</v>
      </c>
      <c r="BA144" s="14">
        <v>185</v>
      </c>
      <c r="BB144" s="14">
        <v>666</v>
      </c>
      <c r="BC144" s="14">
        <v>255</v>
      </c>
      <c r="BD144" s="14">
        <v>-4763</v>
      </c>
      <c r="BE144" s="14">
        <v>-1</v>
      </c>
    </row>
    <row r="145" spans="1:57" x14ac:dyDescent="0.25">
      <c r="A145" s="14">
        <v>-3</v>
      </c>
      <c r="B145" s="14">
        <v>626</v>
      </c>
      <c r="G145" s="14">
        <v>252</v>
      </c>
      <c r="H145" s="14">
        <v>51</v>
      </c>
      <c r="I145" s="14">
        <v>886</v>
      </c>
      <c r="L145" s="14">
        <v>-337</v>
      </c>
      <c r="M145" s="14">
        <v>-230</v>
      </c>
      <c r="O145" s="14">
        <v>162</v>
      </c>
      <c r="P145" s="14">
        <v>-7</v>
      </c>
      <c r="Q145" s="14">
        <v>83</v>
      </c>
      <c r="W145" s="14">
        <v>-1</v>
      </c>
      <c r="X145" s="14">
        <v>-1</v>
      </c>
      <c r="Y145" s="14">
        <v>-924</v>
      </c>
      <c r="Z145" s="14">
        <v>113</v>
      </c>
      <c r="AA145" s="14">
        <v>258</v>
      </c>
      <c r="AB145" s="14">
        <v>14</v>
      </c>
      <c r="AC145" s="14">
        <v>-572</v>
      </c>
      <c r="AD145" s="14">
        <v>269</v>
      </c>
      <c r="AE145" s="14">
        <v>219</v>
      </c>
      <c r="AF145" s="14">
        <v>775</v>
      </c>
      <c r="AG145" s="14">
        <v>-9</v>
      </c>
      <c r="AI145" s="14">
        <v>25</v>
      </c>
      <c r="AJ145" s="14">
        <v>-744</v>
      </c>
      <c r="AL145" s="14">
        <v>-9</v>
      </c>
      <c r="AM145" s="14">
        <v>4</v>
      </c>
      <c r="AN145" s="14">
        <v>213</v>
      </c>
      <c r="AP145" s="14">
        <v>-285</v>
      </c>
      <c r="AQ145" s="14">
        <v>113</v>
      </c>
      <c r="AR145" s="14">
        <v>-166</v>
      </c>
      <c r="AS145" s="14">
        <v>-24</v>
      </c>
      <c r="AT145" s="14">
        <v>11</v>
      </c>
      <c r="AU145" s="14">
        <v>-9</v>
      </c>
      <c r="AV145" s="14">
        <v>-1</v>
      </c>
      <c r="AW145" s="14">
        <v>103</v>
      </c>
      <c r="AX145" s="14">
        <v>175</v>
      </c>
      <c r="AY145" s="14">
        <v>11</v>
      </c>
      <c r="AZ145" s="14">
        <v>157</v>
      </c>
      <c r="BA145" s="14">
        <v>158</v>
      </c>
      <c r="BB145" s="14">
        <v>112</v>
      </c>
      <c r="BC145" s="14">
        <v>156</v>
      </c>
      <c r="BD145" s="14">
        <v>-4054</v>
      </c>
      <c r="BE145" s="14">
        <v>2</v>
      </c>
    </row>
    <row r="146" spans="1:57" x14ac:dyDescent="0.25">
      <c r="A146" s="14">
        <v>-21</v>
      </c>
      <c r="B146" s="14">
        <v>377</v>
      </c>
      <c r="G146" s="14">
        <v>204</v>
      </c>
      <c r="H146" s="14">
        <v>52</v>
      </c>
      <c r="I146" s="14">
        <v>110</v>
      </c>
      <c r="L146" s="14">
        <v>-311</v>
      </c>
      <c r="M146" s="14">
        <v>-244</v>
      </c>
      <c r="O146" s="14">
        <v>239</v>
      </c>
      <c r="P146" s="14">
        <v>537</v>
      </c>
      <c r="Q146" s="14">
        <v>75</v>
      </c>
      <c r="W146" s="14">
        <v>72</v>
      </c>
      <c r="X146" s="14">
        <v>351</v>
      </c>
      <c r="Y146" s="14">
        <v>82</v>
      </c>
      <c r="Z146" s="14">
        <v>72</v>
      </c>
      <c r="AA146" s="14">
        <v>635</v>
      </c>
      <c r="AB146" s="14">
        <v>169</v>
      </c>
      <c r="AC146" s="14">
        <v>533</v>
      </c>
      <c r="AD146" s="14">
        <v>233</v>
      </c>
      <c r="AE146" s="14">
        <v>994</v>
      </c>
      <c r="AF146" s="14">
        <v>-9</v>
      </c>
      <c r="AG146" s="14">
        <v>-7</v>
      </c>
      <c r="AI146" s="14">
        <v>28</v>
      </c>
      <c r="AJ146" s="14">
        <v>325</v>
      </c>
      <c r="AL146" s="14">
        <v>-2</v>
      </c>
      <c r="AM146" s="14">
        <v>20</v>
      </c>
      <c r="AN146" s="14">
        <v>38</v>
      </c>
      <c r="AP146" s="14">
        <v>-271</v>
      </c>
      <c r="AQ146" s="14">
        <v>97</v>
      </c>
      <c r="AR146" s="14">
        <v>-184</v>
      </c>
      <c r="AS146" s="14">
        <v>-34</v>
      </c>
      <c r="AT146" s="14">
        <v>64</v>
      </c>
      <c r="AU146" s="14">
        <v>-5</v>
      </c>
      <c r="AV146" s="14">
        <v>752</v>
      </c>
      <c r="AW146" s="14">
        <v>369</v>
      </c>
      <c r="AX146" s="14">
        <v>287</v>
      </c>
      <c r="AY146" s="14">
        <v>2</v>
      </c>
      <c r="AZ146" s="14">
        <v>-348</v>
      </c>
      <c r="BA146" s="14">
        <v>104</v>
      </c>
      <c r="BB146" s="14">
        <v>6908</v>
      </c>
      <c r="BC146" s="14">
        <v>590</v>
      </c>
      <c r="BD146" s="14">
        <v>-5532</v>
      </c>
      <c r="BE146" s="14">
        <v>53</v>
      </c>
    </row>
    <row r="147" spans="1:57" x14ac:dyDescent="0.25">
      <c r="A147" s="14">
        <v>148</v>
      </c>
      <c r="B147" s="14">
        <v>17701</v>
      </c>
      <c r="G147" s="14">
        <v>129</v>
      </c>
      <c r="H147" s="14">
        <v>79</v>
      </c>
      <c r="I147" s="14">
        <v>304</v>
      </c>
      <c r="L147" s="14">
        <v>622</v>
      </c>
      <c r="M147" s="14">
        <v>-487</v>
      </c>
      <c r="O147" s="14">
        <v>185</v>
      </c>
      <c r="P147" s="14">
        <v>159</v>
      </c>
      <c r="Q147" s="14">
        <v>173</v>
      </c>
      <c r="W147" s="14">
        <v>-59</v>
      </c>
      <c r="X147" s="14">
        <v>-198</v>
      </c>
      <c r="Y147" s="14">
        <v>205</v>
      </c>
      <c r="Z147" s="14">
        <v>-49</v>
      </c>
      <c r="AA147" s="14">
        <v>72</v>
      </c>
      <c r="AB147" s="14">
        <v>49</v>
      </c>
      <c r="AC147" s="14">
        <v>159</v>
      </c>
      <c r="AD147" s="14">
        <v>473</v>
      </c>
      <c r="AE147" s="14">
        <v>258</v>
      </c>
      <c r="AF147" s="14">
        <v>31</v>
      </c>
      <c r="AG147" s="14">
        <v>60</v>
      </c>
      <c r="AI147" s="14">
        <v>243</v>
      </c>
      <c r="AJ147" s="14">
        <v>-713</v>
      </c>
      <c r="AL147" s="14">
        <v>352</v>
      </c>
      <c r="AM147" s="14">
        <v>14</v>
      </c>
      <c r="AN147" s="14">
        <v>26</v>
      </c>
      <c r="AP147" s="14">
        <v>-228</v>
      </c>
      <c r="AQ147" s="14">
        <v>133</v>
      </c>
      <c r="AR147" s="14">
        <v>-2</v>
      </c>
      <c r="AS147" s="14">
        <v>-38</v>
      </c>
      <c r="AT147" s="14">
        <v>-14</v>
      </c>
      <c r="AU147" s="14">
        <v>-89</v>
      </c>
      <c r="AV147" s="14">
        <v>34</v>
      </c>
      <c r="AW147" s="14">
        <v>101</v>
      </c>
      <c r="AX147" s="14">
        <v>487</v>
      </c>
      <c r="AY147" s="14">
        <v>19</v>
      </c>
      <c r="AZ147" s="14">
        <v>250</v>
      </c>
      <c r="BA147" s="14">
        <v>64</v>
      </c>
      <c r="BB147" s="14">
        <v>4369</v>
      </c>
      <c r="BC147" s="14">
        <v>-937</v>
      </c>
      <c r="BD147" s="14">
        <v>-9367</v>
      </c>
      <c r="BE147" s="14">
        <v>8</v>
      </c>
    </row>
    <row r="148" spans="1:57" x14ac:dyDescent="0.25">
      <c r="A148" s="14">
        <v>382</v>
      </c>
      <c r="B148" s="14">
        <v>-502</v>
      </c>
      <c r="G148" s="14">
        <v>203</v>
      </c>
      <c r="H148" s="14">
        <v>74</v>
      </c>
      <c r="I148" s="14">
        <v>7</v>
      </c>
      <c r="L148" s="14">
        <v>742</v>
      </c>
      <c r="M148" s="14">
        <v>-427</v>
      </c>
      <c r="O148" s="14">
        <v>292</v>
      </c>
      <c r="P148" s="14">
        <v>613</v>
      </c>
      <c r="Q148" s="14">
        <v>910</v>
      </c>
      <c r="W148" s="14">
        <v>-52</v>
      </c>
      <c r="X148" s="14">
        <v>15</v>
      </c>
      <c r="Y148" s="14">
        <v>-467</v>
      </c>
      <c r="Z148" s="14">
        <v>-4</v>
      </c>
      <c r="AA148" s="14">
        <v>359</v>
      </c>
      <c r="AB148" s="14">
        <v>977</v>
      </c>
      <c r="AC148" s="14">
        <v>514</v>
      </c>
      <c r="AD148" s="14">
        <v>103</v>
      </c>
      <c r="AE148" s="14">
        <v>346</v>
      </c>
      <c r="AF148" s="14">
        <v>136</v>
      </c>
      <c r="AG148" s="14">
        <v>25</v>
      </c>
      <c r="AI148" s="14">
        <v>78</v>
      </c>
      <c r="AJ148" s="14">
        <v>-954</v>
      </c>
      <c r="AL148" s="14">
        <v>61</v>
      </c>
      <c r="AM148" s="14">
        <v>-7</v>
      </c>
      <c r="AN148" s="14">
        <v>-41</v>
      </c>
      <c r="AP148" s="14">
        <v>-211</v>
      </c>
      <c r="AQ148" s="14">
        <v>172</v>
      </c>
      <c r="AR148" s="14">
        <v>14</v>
      </c>
      <c r="AS148" s="14">
        <v>-292</v>
      </c>
      <c r="AT148" s="14">
        <v>72</v>
      </c>
      <c r="AU148" s="14">
        <v>-9</v>
      </c>
      <c r="AV148" s="14">
        <v>265</v>
      </c>
      <c r="AW148" s="14">
        <v>235</v>
      </c>
      <c r="AX148" s="14">
        <v>122</v>
      </c>
      <c r="AY148" s="14">
        <v>50</v>
      </c>
      <c r="AZ148" s="14">
        <v>-5</v>
      </c>
      <c r="BA148" s="14">
        <v>115</v>
      </c>
      <c r="BB148" s="14">
        <v>3187</v>
      </c>
      <c r="BC148" s="14">
        <v>925</v>
      </c>
      <c r="BD148" s="14">
        <v>-9827</v>
      </c>
      <c r="BE148" s="14">
        <v>-93</v>
      </c>
    </row>
    <row r="149" spans="1:57" x14ac:dyDescent="0.25">
      <c r="A149" s="14">
        <v>44</v>
      </c>
      <c r="B149" s="14">
        <v>-382</v>
      </c>
      <c r="G149" s="14">
        <v>250</v>
      </c>
      <c r="H149" s="14">
        <v>23</v>
      </c>
      <c r="I149" s="14">
        <v>-393</v>
      </c>
      <c r="L149" s="14">
        <v>437</v>
      </c>
      <c r="M149" s="14">
        <v>-332</v>
      </c>
      <c r="O149" s="14">
        <v>310</v>
      </c>
      <c r="P149" s="14">
        <v>445</v>
      </c>
      <c r="Q149" s="14">
        <v>98</v>
      </c>
      <c r="W149" s="14">
        <v>11</v>
      </c>
      <c r="X149" s="14">
        <v>-359</v>
      </c>
      <c r="Y149" s="14">
        <v>-144</v>
      </c>
      <c r="Z149" s="14">
        <v>-6</v>
      </c>
      <c r="AA149" s="14">
        <v>373</v>
      </c>
      <c r="AB149" s="14">
        <v>478</v>
      </c>
      <c r="AC149" s="14">
        <v>50</v>
      </c>
      <c r="AD149" s="14">
        <v>133</v>
      </c>
      <c r="AE149" s="14">
        <v>547</v>
      </c>
      <c r="AF149" s="14">
        <v>185</v>
      </c>
      <c r="AG149" s="14">
        <v>88</v>
      </c>
      <c r="AI149" s="14">
        <v>102</v>
      </c>
      <c r="AJ149" s="14">
        <v>90</v>
      </c>
      <c r="AL149" s="14">
        <v>-102</v>
      </c>
      <c r="AM149" s="14">
        <v>-16</v>
      </c>
      <c r="AN149" s="14">
        <v>-178</v>
      </c>
      <c r="AP149" s="14">
        <v>-452</v>
      </c>
      <c r="AQ149" s="14">
        <v>331</v>
      </c>
      <c r="AR149" s="14">
        <v>-11</v>
      </c>
      <c r="AS149" s="14">
        <v>4</v>
      </c>
      <c r="AT149" s="14">
        <v>40</v>
      </c>
      <c r="AU149" s="14">
        <v>-4</v>
      </c>
      <c r="AV149" s="14">
        <v>179</v>
      </c>
      <c r="AW149" s="14">
        <v>517</v>
      </c>
      <c r="AX149" s="14">
        <v>225</v>
      </c>
      <c r="AY149" s="14">
        <v>37</v>
      </c>
      <c r="AZ149" s="14">
        <v>339</v>
      </c>
      <c r="BA149" s="14">
        <v>169</v>
      </c>
      <c r="BB149" s="14">
        <v>-1524</v>
      </c>
      <c r="BC149" s="14">
        <v>139</v>
      </c>
      <c r="BD149" s="14">
        <v>-9460</v>
      </c>
      <c r="BE149" s="14">
        <v>-1896</v>
      </c>
    </row>
    <row r="150" spans="1:57" x14ac:dyDescent="0.25">
      <c r="A150" s="14">
        <v>-25</v>
      </c>
      <c r="B150" s="14">
        <v>-170</v>
      </c>
      <c r="G150" s="14">
        <v>98</v>
      </c>
      <c r="H150" s="14">
        <v>24</v>
      </c>
      <c r="I150" s="14">
        <v>899</v>
      </c>
      <c r="L150" s="14">
        <v>-490</v>
      </c>
      <c r="M150" s="14">
        <v>-249</v>
      </c>
      <c r="O150" s="14">
        <v>428</v>
      </c>
      <c r="P150" s="14">
        <v>909</v>
      </c>
      <c r="Q150" s="14">
        <v>10</v>
      </c>
      <c r="W150" s="14">
        <v>-135</v>
      </c>
      <c r="X150" s="14">
        <v>219</v>
      </c>
      <c r="Y150" s="14">
        <v>-118</v>
      </c>
      <c r="Z150" s="14">
        <v>45</v>
      </c>
      <c r="AA150" s="14">
        <v>131</v>
      </c>
      <c r="AB150" s="14">
        <v>147</v>
      </c>
      <c r="AC150" s="14">
        <v>-11</v>
      </c>
      <c r="AD150" s="14">
        <v>96</v>
      </c>
      <c r="AE150" s="14">
        <v>294</v>
      </c>
      <c r="AF150" s="14">
        <v>157</v>
      </c>
      <c r="AG150" s="14">
        <v>-33</v>
      </c>
      <c r="AI150" s="14">
        <v>1</v>
      </c>
      <c r="AJ150" s="14">
        <v>31</v>
      </c>
      <c r="AL150" s="14">
        <v>38</v>
      </c>
      <c r="AM150" s="14">
        <v>-2</v>
      </c>
      <c r="AN150" s="14">
        <v>92</v>
      </c>
      <c r="AP150" s="14">
        <v>-294</v>
      </c>
      <c r="AQ150" s="14">
        <v>38</v>
      </c>
      <c r="AR150" s="14">
        <v>43</v>
      </c>
      <c r="AS150" s="14">
        <v>-1</v>
      </c>
      <c r="AT150" s="14">
        <v>78</v>
      </c>
      <c r="AU150" s="14">
        <v>-16</v>
      </c>
      <c r="AV150" s="14">
        <v>557</v>
      </c>
      <c r="AW150" s="14">
        <v>329</v>
      </c>
      <c r="AX150" s="14">
        <v>47</v>
      </c>
      <c r="AY150" s="14">
        <v>-213</v>
      </c>
      <c r="AZ150" s="14">
        <v>-35</v>
      </c>
      <c r="BA150" s="14">
        <v>62</v>
      </c>
      <c r="BB150" s="14">
        <v>1243</v>
      </c>
      <c r="BC150" s="14">
        <v>-185</v>
      </c>
      <c r="BD150" s="14">
        <v>3339</v>
      </c>
      <c r="BE150" s="14">
        <v>23</v>
      </c>
    </row>
    <row r="151" spans="1:57" x14ac:dyDescent="0.25">
      <c r="A151" s="14">
        <v>106</v>
      </c>
      <c r="B151" s="14">
        <v>-1382</v>
      </c>
      <c r="G151" s="14">
        <v>562</v>
      </c>
      <c r="H151" s="14">
        <v>24</v>
      </c>
      <c r="I151" s="14">
        <v>36</v>
      </c>
      <c r="L151" s="14">
        <v>-26</v>
      </c>
      <c r="M151" s="14">
        <v>-167</v>
      </c>
      <c r="O151" s="14">
        <v>288</v>
      </c>
      <c r="P151" s="14">
        <v>149</v>
      </c>
      <c r="Q151" s="14">
        <v>712</v>
      </c>
      <c r="W151" s="14">
        <v>-24</v>
      </c>
      <c r="X151" s="14">
        <v>356</v>
      </c>
      <c r="Y151" s="14">
        <v>125</v>
      </c>
      <c r="Z151" s="14">
        <v>91</v>
      </c>
      <c r="AA151" s="14">
        <v>-398</v>
      </c>
      <c r="AB151" s="14">
        <v>532</v>
      </c>
      <c r="AC151" s="14">
        <v>17</v>
      </c>
      <c r="AD151" s="14">
        <v>224</v>
      </c>
      <c r="AE151" s="14">
        <v>814</v>
      </c>
      <c r="AF151" s="14">
        <v>158</v>
      </c>
      <c r="AG151" s="14">
        <v>-63</v>
      </c>
      <c r="AI151" s="14">
        <v>37</v>
      </c>
      <c r="AJ151" s="14">
        <v>172</v>
      </c>
      <c r="AL151" s="14">
        <v>-72</v>
      </c>
      <c r="AM151" s="14">
        <v>-22</v>
      </c>
      <c r="AN151" s="14">
        <v>-7</v>
      </c>
      <c r="AP151" s="14">
        <v>-274</v>
      </c>
      <c r="AQ151" s="14">
        <v>36</v>
      </c>
      <c r="AR151" s="14">
        <v>20</v>
      </c>
      <c r="AS151" s="14">
        <v>3</v>
      </c>
      <c r="AT151" s="14">
        <v>68</v>
      </c>
      <c r="AU151" s="14">
        <v>1</v>
      </c>
      <c r="AV151" s="14">
        <v>-409</v>
      </c>
      <c r="AW151" s="14">
        <v>125</v>
      </c>
      <c r="AX151" s="14">
        <v>125</v>
      </c>
      <c r="AY151" s="14">
        <v>4</v>
      </c>
      <c r="AZ151" s="14">
        <v>914</v>
      </c>
      <c r="BA151" s="14">
        <v>78</v>
      </c>
      <c r="BB151" s="14">
        <v>1691</v>
      </c>
      <c r="BC151" s="14">
        <v>-569</v>
      </c>
      <c r="BD151" s="14">
        <v>-8362</v>
      </c>
      <c r="BE151" s="14">
        <v>-17</v>
      </c>
    </row>
    <row r="152" spans="1:57" x14ac:dyDescent="0.25">
      <c r="A152" s="14">
        <v>30</v>
      </c>
      <c r="B152" s="14">
        <v>-100</v>
      </c>
      <c r="G152" s="14">
        <v>795</v>
      </c>
      <c r="H152" s="14">
        <v>34</v>
      </c>
      <c r="I152" s="14">
        <v>-226</v>
      </c>
      <c r="L152" s="14">
        <v>413</v>
      </c>
      <c r="M152" s="14">
        <v>-101</v>
      </c>
      <c r="O152" s="14">
        <v>339</v>
      </c>
      <c r="P152" s="14">
        <v>473</v>
      </c>
      <c r="Q152" s="14">
        <v>477</v>
      </c>
      <c r="W152" s="14">
        <v>-2</v>
      </c>
      <c r="X152" s="14">
        <v>-69</v>
      </c>
      <c r="Y152" s="14">
        <v>368</v>
      </c>
      <c r="Z152" s="14">
        <v>233</v>
      </c>
      <c r="AA152" s="14">
        <v>272</v>
      </c>
      <c r="AB152" s="14">
        <v>153</v>
      </c>
      <c r="AC152" s="14">
        <v>40</v>
      </c>
      <c r="AD152" s="14">
        <v>169</v>
      </c>
      <c r="AE152" s="14">
        <v>954</v>
      </c>
      <c r="AF152" s="14">
        <v>196</v>
      </c>
      <c r="AG152" s="14">
        <v>-74</v>
      </c>
      <c r="AI152" s="14">
        <v>5</v>
      </c>
      <c r="AJ152" s="14">
        <v>-727</v>
      </c>
      <c r="AL152" s="14">
        <v>186</v>
      </c>
      <c r="AM152" s="14">
        <v>-147</v>
      </c>
      <c r="AN152" s="14">
        <v>20</v>
      </c>
      <c r="AP152" s="14">
        <v>-206</v>
      </c>
      <c r="AQ152" s="14">
        <v>88</v>
      </c>
      <c r="AR152" s="14">
        <v>793</v>
      </c>
      <c r="AS152" s="14">
        <v>12</v>
      </c>
      <c r="AT152" s="14">
        <v>92</v>
      </c>
      <c r="AU152" s="14">
        <v>34</v>
      </c>
      <c r="AV152" s="14">
        <v>-205</v>
      </c>
      <c r="AW152" s="14">
        <v>315</v>
      </c>
      <c r="AX152" s="14">
        <v>100</v>
      </c>
      <c r="AY152" s="14">
        <v>995</v>
      </c>
      <c r="AZ152" s="14">
        <v>-495</v>
      </c>
      <c r="BA152" s="14">
        <v>94</v>
      </c>
      <c r="BB152" s="14">
        <v>3022</v>
      </c>
      <c r="BC152" s="14">
        <v>272</v>
      </c>
      <c r="BD152" s="14">
        <v>-13</v>
      </c>
      <c r="BE152" s="14">
        <v>1923</v>
      </c>
    </row>
    <row r="153" spans="1:57" x14ac:dyDescent="0.25">
      <c r="A153" s="14">
        <v>26</v>
      </c>
      <c r="B153" s="14">
        <v>1318</v>
      </c>
      <c r="G153" s="14">
        <v>855</v>
      </c>
      <c r="H153" s="14">
        <v>35</v>
      </c>
      <c r="I153" s="14">
        <v>7</v>
      </c>
      <c r="L153" s="14">
        <v>936</v>
      </c>
      <c r="M153" s="14">
        <v>-201</v>
      </c>
      <c r="O153" s="14">
        <v>265</v>
      </c>
      <c r="P153" s="14">
        <v>239</v>
      </c>
      <c r="Q153" s="14">
        <v>591</v>
      </c>
      <c r="W153" s="14">
        <v>67</v>
      </c>
      <c r="X153" s="14">
        <v>-1</v>
      </c>
      <c r="Y153" s="14">
        <v>113</v>
      </c>
      <c r="Z153" s="14">
        <v>38</v>
      </c>
      <c r="AA153" s="14">
        <v>120</v>
      </c>
      <c r="AB153" s="14">
        <v>14</v>
      </c>
      <c r="AC153" s="14">
        <v>37</v>
      </c>
      <c r="AD153" s="14">
        <v>262</v>
      </c>
      <c r="AE153" s="14">
        <v>103</v>
      </c>
      <c r="AF153" s="14">
        <v>244</v>
      </c>
      <c r="AG153" s="14">
        <v>-39</v>
      </c>
      <c r="AI153" s="14">
        <v>50</v>
      </c>
      <c r="AJ153" s="14">
        <v>647</v>
      </c>
      <c r="AL153" s="14">
        <v>187</v>
      </c>
      <c r="AM153" s="14">
        <v>-156</v>
      </c>
      <c r="AN153" s="14">
        <v>359</v>
      </c>
      <c r="AP153" s="14">
        <v>-18</v>
      </c>
      <c r="AQ153" s="14">
        <v>130</v>
      </c>
      <c r="AR153" s="14">
        <v>751</v>
      </c>
      <c r="AS153" s="14">
        <v>57</v>
      </c>
      <c r="AT153" s="14">
        <v>52</v>
      </c>
      <c r="AU153" s="14">
        <v>-39</v>
      </c>
      <c r="AV153" s="14">
        <v>-123</v>
      </c>
      <c r="AW153" s="14">
        <v>-252</v>
      </c>
      <c r="AX153" s="14">
        <v>113</v>
      </c>
      <c r="AY153" s="14">
        <v>427</v>
      </c>
      <c r="AZ153" s="14">
        <v>-757</v>
      </c>
      <c r="BA153" s="14">
        <v>123</v>
      </c>
      <c r="BB153" s="14">
        <v>-2548</v>
      </c>
      <c r="BC153" s="14">
        <v>167</v>
      </c>
      <c r="BD153" s="14">
        <v>-21</v>
      </c>
      <c r="BE153" s="14">
        <v>-343</v>
      </c>
    </row>
    <row r="154" spans="1:57" x14ac:dyDescent="0.25">
      <c r="A154" s="14">
        <v>28</v>
      </c>
      <c r="B154" s="14">
        <v>32</v>
      </c>
      <c r="G154" s="14">
        <v>969</v>
      </c>
      <c r="H154" s="14">
        <v>37</v>
      </c>
      <c r="I154" s="14">
        <v>-251</v>
      </c>
      <c r="L154" s="14">
        <v>128</v>
      </c>
      <c r="M154" s="14">
        <v>-195</v>
      </c>
      <c r="O154" s="14">
        <v>570</v>
      </c>
      <c r="P154" s="14">
        <v>28</v>
      </c>
      <c r="Q154" s="14">
        <v>607</v>
      </c>
      <c r="W154" s="14">
        <v>-96</v>
      </c>
      <c r="X154" s="14">
        <v>276</v>
      </c>
      <c r="Y154" s="14">
        <v>595</v>
      </c>
      <c r="Z154" s="14">
        <v>-4</v>
      </c>
      <c r="AA154" s="14">
        <v>999</v>
      </c>
      <c r="AB154" s="14">
        <v>168</v>
      </c>
      <c r="AC154" s="14">
        <v>50</v>
      </c>
      <c r="AD154" s="14">
        <v>669</v>
      </c>
      <c r="AE154" s="14">
        <v>107</v>
      </c>
      <c r="AF154" s="14">
        <v>305</v>
      </c>
      <c r="AG154" s="14">
        <v>10</v>
      </c>
      <c r="AI154" s="14">
        <v>-2</v>
      </c>
      <c r="AJ154" s="14">
        <v>198</v>
      </c>
      <c r="AL154" s="14">
        <v>-27</v>
      </c>
      <c r="AM154" s="14">
        <v>-42</v>
      </c>
      <c r="AN154" s="14">
        <v>12</v>
      </c>
      <c r="AP154" s="14">
        <v>-458</v>
      </c>
      <c r="AQ154" s="14">
        <v>236</v>
      </c>
      <c r="AR154" s="14">
        <v>709</v>
      </c>
      <c r="AS154" s="14">
        <v>-1</v>
      </c>
      <c r="AT154" s="14">
        <v>16</v>
      </c>
      <c r="AU154" s="14">
        <v>-21</v>
      </c>
      <c r="AV154" s="14">
        <v>-218</v>
      </c>
      <c r="AW154" s="14">
        <v>120</v>
      </c>
      <c r="AX154" s="14">
        <v>-138</v>
      </c>
      <c r="AY154" s="14">
        <v>-217</v>
      </c>
      <c r="AZ154" s="14">
        <v>107</v>
      </c>
      <c r="BA154" s="14">
        <v>132</v>
      </c>
      <c r="BB154" s="14">
        <v>245</v>
      </c>
      <c r="BC154" s="14">
        <v>630</v>
      </c>
      <c r="BD154" s="14">
        <v>-19</v>
      </c>
      <c r="BE154" s="14">
        <v>-2</v>
      </c>
    </row>
    <row r="155" spans="1:57" x14ac:dyDescent="0.25">
      <c r="A155" s="14">
        <v>22</v>
      </c>
      <c r="B155" s="14">
        <v>-45</v>
      </c>
      <c r="G155" s="14">
        <v>964</v>
      </c>
      <c r="H155" s="14">
        <v>46</v>
      </c>
      <c r="I155" s="14">
        <v>978</v>
      </c>
      <c r="L155" s="14">
        <v>132</v>
      </c>
      <c r="M155" s="14">
        <v>-823</v>
      </c>
      <c r="O155" s="14">
        <v>13</v>
      </c>
      <c r="P155" s="14">
        <v>170</v>
      </c>
      <c r="Q155" s="14">
        <v>-2</v>
      </c>
      <c r="W155" s="14">
        <v>18</v>
      </c>
      <c r="X155" s="14">
        <v>187</v>
      </c>
      <c r="Y155" s="14">
        <v>257</v>
      </c>
      <c r="Z155" s="14">
        <v>-5</v>
      </c>
      <c r="AA155" s="14">
        <v>338</v>
      </c>
      <c r="AB155" s="14">
        <v>248</v>
      </c>
      <c r="AC155" s="14">
        <v>27</v>
      </c>
      <c r="AD155" s="14">
        <v>774</v>
      </c>
      <c r="AE155" s="14">
        <v>794</v>
      </c>
      <c r="AF155" s="14">
        <v>247</v>
      </c>
      <c r="AG155" s="14">
        <v>-23</v>
      </c>
      <c r="AI155" s="14">
        <v>-31</v>
      </c>
      <c r="AJ155" s="14">
        <v>240</v>
      </c>
      <c r="AL155" s="14">
        <v>4</v>
      </c>
      <c r="AM155" s="14">
        <v>-34</v>
      </c>
      <c r="AN155" s="14">
        <v>104</v>
      </c>
      <c r="AP155" s="14">
        <v>-275</v>
      </c>
      <c r="AQ155" s="14">
        <v>348</v>
      </c>
      <c r="AR155" s="14">
        <v>704</v>
      </c>
      <c r="AS155" s="14">
        <v>6</v>
      </c>
      <c r="AT155" s="14">
        <v>9</v>
      </c>
      <c r="AU155" s="14">
        <v>-55</v>
      </c>
      <c r="AV155" s="14">
        <v>-341</v>
      </c>
      <c r="AW155" s="14">
        <v>346</v>
      </c>
      <c r="AX155" s="14">
        <v>32</v>
      </c>
      <c r="AY155" s="14">
        <v>689</v>
      </c>
      <c r="AZ155" s="14">
        <v>-46</v>
      </c>
      <c r="BA155" s="14">
        <v>127</v>
      </c>
      <c r="BB155" s="14">
        <v>4697</v>
      </c>
      <c r="BC155" s="14">
        <v>218</v>
      </c>
      <c r="BD155" s="14">
        <v>-13</v>
      </c>
      <c r="BE155" s="14">
        <v>13</v>
      </c>
    </row>
    <row r="156" spans="1:57" x14ac:dyDescent="0.25">
      <c r="A156" s="14">
        <v>-615</v>
      </c>
      <c r="B156" s="14">
        <v>388</v>
      </c>
      <c r="G156" s="14">
        <v>-34</v>
      </c>
      <c r="H156" s="14">
        <v>28</v>
      </c>
      <c r="I156" s="14">
        <v>-463</v>
      </c>
      <c r="L156" s="14">
        <v>104</v>
      </c>
      <c r="M156" s="14">
        <v>175</v>
      </c>
      <c r="O156" s="14">
        <v>94</v>
      </c>
      <c r="P156" s="14">
        <v>239</v>
      </c>
      <c r="Q156" s="14">
        <v>219</v>
      </c>
      <c r="W156" s="14">
        <v>-32</v>
      </c>
      <c r="X156" s="14">
        <v>-211</v>
      </c>
      <c r="Y156" s="14">
        <v>93</v>
      </c>
      <c r="Z156" s="14">
        <v>38</v>
      </c>
      <c r="AA156" s="14">
        <v>126</v>
      </c>
      <c r="AB156" s="14">
        <v>243</v>
      </c>
      <c r="AC156" s="14">
        <v>-13</v>
      </c>
      <c r="AD156" s="14">
        <v>139</v>
      </c>
      <c r="AE156" s="14">
        <v>531</v>
      </c>
      <c r="AF156" s="14">
        <v>317</v>
      </c>
      <c r="AG156" s="14">
        <v>13</v>
      </c>
      <c r="AI156" s="14">
        <v>5</v>
      </c>
      <c r="AJ156" s="14">
        <v>123</v>
      </c>
      <c r="AL156" s="14">
        <v>1</v>
      </c>
      <c r="AM156" s="14">
        <v>-151</v>
      </c>
      <c r="AN156" s="14">
        <v>-499</v>
      </c>
      <c r="AP156" s="14">
        <v>-424</v>
      </c>
      <c r="AQ156" s="14">
        <v>203</v>
      </c>
      <c r="AR156" s="14">
        <v>687</v>
      </c>
      <c r="AS156" s="14">
        <v>16</v>
      </c>
      <c r="AT156" s="14">
        <v>31</v>
      </c>
      <c r="AU156" s="14">
        <v>-67</v>
      </c>
      <c r="AV156" s="14">
        <v>1</v>
      </c>
      <c r="AW156" s="14">
        <v>-764</v>
      </c>
      <c r="AX156" s="14">
        <v>97</v>
      </c>
      <c r="AY156" s="14">
        <v>6</v>
      </c>
      <c r="AZ156" s="14">
        <v>60</v>
      </c>
      <c r="BA156" s="14">
        <v>122</v>
      </c>
      <c r="BB156" s="14">
        <v>-1380</v>
      </c>
      <c r="BC156" s="14">
        <v>-458</v>
      </c>
      <c r="BD156" s="14">
        <v>-14</v>
      </c>
      <c r="BE156" s="14">
        <v>-1</v>
      </c>
    </row>
    <row r="157" spans="1:57" x14ac:dyDescent="0.25">
      <c r="A157" s="14">
        <v>1839</v>
      </c>
      <c r="G157" s="14">
        <v>120</v>
      </c>
      <c r="H157" s="14">
        <v>-273</v>
      </c>
      <c r="I157" s="14">
        <v>205</v>
      </c>
      <c r="L157" s="14">
        <v>554</v>
      </c>
      <c r="M157" s="14">
        <v>175</v>
      </c>
      <c r="O157" s="14">
        <v>38</v>
      </c>
      <c r="P157" s="14">
        <v>-8</v>
      </c>
      <c r="Q157" s="14">
        <v>305</v>
      </c>
      <c r="W157" s="14">
        <v>-4</v>
      </c>
      <c r="X157" s="14">
        <v>2</v>
      </c>
      <c r="Y157" s="14">
        <v>-2</v>
      </c>
      <c r="Z157" s="14">
        <v>85</v>
      </c>
      <c r="AA157" s="14">
        <v>-439</v>
      </c>
      <c r="AB157" s="14">
        <v>106</v>
      </c>
      <c r="AC157" s="14">
        <v>5</v>
      </c>
      <c r="AD157" s="14">
        <v>308</v>
      </c>
      <c r="AE157" s="14">
        <v>145</v>
      </c>
      <c r="AF157" s="14">
        <v>292</v>
      </c>
      <c r="AG157" s="14">
        <v>46</v>
      </c>
      <c r="AI157" s="14">
        <v>-10</v>
      </c>
      <c r="AJ157" s="14">
        <v>809</v>
      </c>
      <c r="AL157" s="14">
        <v>70</v>
      </c>
      <c r="AM157" s="14">
        <v>-137</v>
      </c>
      <c r="AN157" s="14">
        <v>-178</v>
      </c>
      <c r="AP157" s="14">
        <v>-286</v>
      </c>
      <c r="AQ157" s="14">
        <v>96</v>
      </c>
      <c r="AR157" s="14">
        <v>-73</v>
      </c>
      <c r="AS157" s="14">
        <v>-387</v>
      </c>
      <c r="AT157" s="14">
        <v>-25</v>
      </c>
      <c r="AU157" s="14">
        <v>-85</v>
      </c>
      <c r="AV157" s="14">
        <v>750</v>
      </c>
      <c r="AW157" s="14">
        <v>-126</v>
      </c>
      <c r="AX157" s="14">
        <v>-2</v>
      </c>
      <c r="AY157" s="14">
        <v>4</v>
      </c>
      <c r="AZ157" s="14">
        <v>-14</v>
      </c>
      <c r="BA157" s="14">
        <v>136</v>
      </c>
      <c r="BB157" s="14">
        <v>-25044</v>
      </c>
      <c r="BC157" s="14">
        <v>-639</v>
      </c>
      <c r="BD157" s="14">
        <v>-22</v>
      </c>
      <c r="BE157" s="14">
        <v>-2</v>
      </c>
    </row>
    <row r="158" spans="1:57" x14ac:dyDescent="0.25">
      <c r="A158" s="14">
        <v>1912</v>
      </c>
      <c r="G158" s="14">
        <v>31</v>
      </c>
      <c r="H158" s="14">
        <v>-207</v>
      </c>
      <c r="I158" s="14">
        <v>-76</v>
      </c>
      <c r="L158" s="14">
        <v>87</v>
      </c>
      <c r="M158" s="14">
        <v>180</v>
      </c>
      <c r="O158" s="14">
        <v>71</v>
      </c>
      <c r="P158" s="14">
        <v>533</v>
      </c>
      <c r="Q158" s="14">
        <v>707</v>
      </c>
      <c r="W158" s="14">
        <v>73</v>
      </c>
      <c r="X158" s="14">
        <v>-334</v>
      </c>
      <c r="Y158" s="14">
        <v>1</v>
      </c>
      <c r="Z158" s="14">
        <v>243</v>
      </c>
      <c r="AA158" s="14">
        <v>299</v>
      </c>
      <c r="AB158" s="14">
        <v>178</v>
      </c>
      <c r="AC158" s="14">
        <v>9</v>
      </c>
      <c r="AD158" s="14">
        <v>294</v>
      </c>
      <c r="AE158" s="14">
        <v>902</v>
      </c>
      <c r="AF158" s="14">
        <v>304</v>
      </c>
      <c r="AG158" s="14">
        <v>-65</v>
      </c>
      <c r="AI158" s="14">
        <v>-19</v>
      </c>
      <c r="AJ158" s="14">
        <v>-268</v>
      </c>
      <c r="AL158" s="14">
        <v>244</v>
      </c>
      <c r="AM158" s="14">
        <v>-43</v>
      </c>
      <c r="AN158" s="14">
        <v>317</v>
      </c>
      <c r="AP158" s="14">
        <v>-963</v>
      </c>
      <c r="AQ158" s="14">
        <v>84</v>
      </c>
      <c r="AR158" s="14">
        <v>-71</v>
      </c>
      <c r="AS158" s="14">
        <v>4</v>
      </c>
      <c r="AT158" s="14">
        <v>-45</v>
      </c>
      <c r="AU158" s="14">
        <v>-2</v>
      </c>
      <c r="AV158" s="14">
        <v>30</v>
      </c>
      <c r="AW158" s="14">
        <v>-149</v>
      </c>
      <c r="AX158" s="14">
        <v>87</v>
      </c>
      <c r="AY158" s="14">
        <v>9</v>
      </c>
      <c r="AZ158" s="14">
        <v>-197</v>
      </c>
      <c r="BA158" s="14">
        <v>201</v>
      </c>
      <c r="BB158" s="14">
        <v>-154</v>
      </c>
      <c r="BC158" s="14">
        <v>955</v>
      </c>
      <c r="BD158" s="14">
        <v>-18</v>
      </c>
      <c r="BE158" s="14">
        <v>-1</v>
      </c>
    </row>
    <row r="159" spans="1:57" x14ac:dyDescent="0.25">
      <c r="A159" s="14">
        <v>5644</v>
      </c>
      <c r="G159" s="14">
        <v>72</v>
      </c>
      <c r="H159" s="14">
        <v>-315</v>
      </c>
      <c r="I159" s="14">
        <v>710</v>
      </c>
      <c r="L159" s="14">
        <v>-458</v>
      </c>
      <c r="M159" s="14">
        <v>169</v>
      </c>
      <c r="O159" s="14">
        <v>119</v>
      </c>
      <c r="P159" s="14">
        <v>157</v>
      </c>
      <c r="Q159" s="14">
        <v>116</v>
      </c>
      <c r="W159" s="14">
        <v>-77</v>
      </c>
      <c r="X159" s="14">
        <v>-726</v>
      </c>
      <c r="Y159" s="14">
        <v>41</v>
      </c>
      <c r="Z159" s="14">
        <v>-4</v>
      </c>
      <c r="AA159" s="14">
        <v>118</v>
      </c>
      <c r="AB159" s="14">
        <v>167</v>
      </c>
      <c r="AC159" s="14">
        <v>20</v>
      </c>
      <c r="AD159" s="14">
        <v>403</v>
      </c>
      <c r="AE159" s="14">
        <v>116</v>
      </c>
      <c r="AF159" s="14">
        <v>137</v>
      </c>
      <c r="AG159" s="14">
        <v>-85</v>
      </c>
      <c r="AI159" s="14">
        <v>32</v>
      </c>
      <c r="AJ159" s="14">
        <v>108</v>
      </c>
      <c r="AL159" s="14">
        <v>-25</v>
      </c>
      <c r="AM159" s="14">
        <v>-16</v>
      </c>
      <c r="AN159" s="14">
        <v>150</v>
      </c>
      <c r="AP159" s="14">
        <v>-943</v>
      </c>
      <c r="AQ159" s="14">
        <v>49</v>
      </c>
      <c r="AR159" s="14">
        <v>-71</v>
      </c>
      <c r="AS159" s="14">
        <v>-1</v>
      </c>
      <c r="AT159" s="14">
        <v>-16</v>
      </c>
      <c r="AU159" s="14">
        <v>-24</v>
      </c>
      <c r="AV159" s="14">
        <v>200</v>
      </c>
      <c r="AW159" s="14">
        <v>-173</v>
      </c>
      <c r="AX159" s="14">
        <v>124</v>
      </c>
      <c r="AY159" s="14">
        <v>24</v>
      </c>
      <c r="AZ159" s="14">
        <v>119</v>
      </c>
      <c r="BA159" s="14">
        <v>166</v>
      </c>
      <c r="BB159" s="14">
        <v>159</v>
      </c>
      <c r="BC159" s="14">
        <v>152</v>
      </c>
      <c r="BD159" s="14">
        <v>-19</v>
      </c>
      <c r="BE159" s="14">
        <v>72</v>
      </c>
    </row>
    <row r="160" spans="1:57" x14ac:dyDescent="0.25">
      <c r="A160" s="14">
        <v>56</v>
      </c>
      <c r="G160" s="14">
        <v>-98</v>
      </c>
      <c r="H160" s="14">
        <v>-129</v>
      </c>
      <c r="I160" s="14">
        <v>-722</v>
      </c>
      <c r="L160" s="14">
        <v>-348</v>
      </c>
      <c r="M160" s="14">
        <v>153</v>
      </c>
      <c r="O160" s="14">
        <v>70</v>
      </c>
      <c r="P160" s="14">
        <v>170</v>
      </c>
      <c r="Q160" s="14">
        <v>-80</v>
      </c>
      <c r="W160" s="14">
        <v>-150</v>
      </c>
      <c r="X160" s="14">
        <v>360</v>
      </c>
      <c r="Y160" s="14">
        <v>-84</v>
      </c>
      <c r="Z160" s="14">
        <v>-4</v>
      </c>
      <c r="AA160" s="14">
        <v>877</v>
      </c>
      <c r="AB160" s="14">
        <v>496</v>
      </c>
      <c r="AC160" s="14">
        <v>665</v>
      </c>
      <c r="AD160" s="14">
        <v>993</v>
      </c>
      <c r="AE160" s="14">
        <v>155</v>
      </c>
      <c r="AF160" s="14">
        <v>215</v>
      </c>
      <c r="AG160" s="14">
        <v>-147</v>
      </c>
      <c r="AI160" s="14">
        <v>-31</v>
      </c>
      <c r="AJ160" s="14">
        <v>-26</v>
      </c>
      <c r="AL160" s="14">
        <v>-50</v>
      </c>
      <c r="AM160" s="14">
        <v>12</v>
      </c>
      <c r="AN160" s="14">
        <v>23</v>
      </c>
      <c r="AP160" s="14">
        <v>-15</v>
      </c>
      <c r="AQ160" s="14">
        <v>104</v>
      </c>
      <c r="AR160" s="14">
        <v>-72</v>
      </c>
      <c r="AS160" s="14">
        <v>4</v>
      </c>
      <c r="AT160" s="14">
        <v>-14</v>
      </c>
      <c r="AU160" s="14">
        <v>-12</v>
      </c>
      <c r="AV160" s="14">
        <v>178</v>
      </c>
      <c r="AW160" s="14">
        <v>-743</v>
      </c>
      <c r="AX160" s="14">
        <v>170</v>
      </c>
      <c r="AY160" s="14">
        <v>39</v>
      </c>
      <c r="AZ160" s="14">
        <v>-264</v>
      </c>
      <c r="BA160" s="14">
        <v>155</v>
      </c>
      <c r="BB160" s="14">
        <v>678</v>
      </c>
      <c r="BC160" s="14">
        <v>-352</v>
      </c>
      <c r="BD160" s="14">
        <v>-191</v>
      </c>
      <c r="BE160" s="14">
        <v>2</v>
      </c>
    </row>
    <row r="161" spans="1:57" x14ac:dyDescent="0.25">
      <c r="A161" s="14">
        <v>23</v>
      </c>
      <c r="G161" s="14">
        <v>-519</v>
      </c>
      <c r="H161" s="14">
        <v>-270</v>
      </c>
      <c r="I161" s="14">
        <v>38</v>
      </c>
      <c r="L161" s="14">
        <v>-325</v>
      </c>
      <c r="M161" s="14">
        <v>124</v>
      </c>
      <c r="O161" s="14">
        <v>110</v>
      </c>
      <c r="P161" s="14">
        <v>450</v>
      </c>
      <c r="Q161" s="14">
        <v>586</v>
      </c>
      <c r="W161" s="14">
        <v>10</v>
      </c>
      <c r="X161" s="14">
        <v>6161</v>
      </c>
      <c r="Y161" s="14">
        <v>211</v>
      </c>
      <c r="Z161" s="14">
        <v>25</v>
      </c>
      <c r="AA161" s="14">
        <v>-379</v>
      </c>
      <c r="AB161" s="14">
        <v>110</v>
      </c>
      <c r="AC161" s="14">
        <v>-10</v>
      </c>
      <c r="AD161" s="14">
        <v>113</v>
      </c>
      <c r="AE161" s="14">
        <v>118</v>
      </c>
      <c r="AF161" s="14">
        <v>55</v>
      </c>
      <c r="AG161" s="14">
        <v>-146</v>
      </c>
      <c r="AI161" s="14">
        <v>3</v>
      </c>
      <c r="AJ161" s="14">
        <v>-117</v>
      </c>
      <c r="AL161" s="14">
        <v>-7</v>
      </c>
      <c r="AM161" s="14">
        <v>50</v>
      </c>
      <c r="AN161" s="14">
        <v>275</v>
      </c>
      <c r="AP161" s="14">
        <v>-10</v>
      </c>
      <c r="AQ161" s="14">
        <v>99</v>
      </c>
      <c r="AR161" s="14">
        <v>-73</v>
      </c>
      <c r="AS161" s="14">
        <v>9</v>
      </c>
      <c r="AT161" s="14">
        <v>-4</v>
      </c>
      <c r="AU161" s="14">
        <v>-15</v>
      </c>
      <c r="AV161" s="14">
        <v>503</v>
      </c>
      <c r="AW161" s="14">
        <v>-587</v>
      </c>
      <c r="AX161" s="14">
        <v>145</v>
      </c>
      <c r="AY161" s="14">
        <v>27</v>
      </c>
      <c r="AZ161" s="14">
        <v>148</v>
      </c>
      <c r="BA161" s="14">
        <v>153</v>
      </c>
      <c r="BB161" s="14">
        <v>109</v>
      </c>
      <c r="BC161" s="14">
        <v>230</v>
      </c>
      <c r="BD161" s="14">
        <v>7</v>
      </c>
      <c r="BE161" s="14">
        <v>1313</v>
      </c>
    </row>
    <row r="162" spans="1:57" x14ac:dyDescent="0.25">
      <c r="A162" s="14">
        <v>-9501</v>
      </c>
      <c r="G162" s="14">
        <v>-50</v>
      </c>
      <c r="H162" s="14">
        <v>-107</v>
      </c>
      <c r="I162" s="14">
        <v>-107</v>
      </c>
      <c r="L162" s="14">
        <v>468</v>
      </c>
      <c r="M162" s="14">
        <v>92</v>
      </c>
      <c r="O162" s="14">
        <v>97</v>
      </c>
      <c r="P162" s="14">
        <v>904</v>
      </c>
      <c r="Q162" s="14">
        <v>632</v>
      </c>
      <c r="W162" s="14">
        <v>346</v>
      </c>
      <c r="X162" s="14">
        <v>-379</v>
      </c>
      <c r="Y162" s="14">
        <v>145</v>
      </c>
      <c r="Z162" s="14">
        <v>96</v>
      </c>
      <c r="AA162" s="14">
        <v>290</v>
      </c>
      <c r="AB162" s="14">
        <v>994</v>
      </c>
      <c r="AC162" s="14">
        <v>663</v>
      </c>
      <c r="AD162" s="14">
        <v>196</v>
      </c>
      <c r="AE162" s="14">
        <v>760</v>
      </c>
      <c r="AF162" s="14">
        <v>220</v>
      </c>
      <c r="AG162" s="14">
        <v>-118</v>
      </c>
      <c r="AI162" s="14">
        <v>54</v>
      </c>
      <c r="AJ162" s="14">
        <v>-227</v>
      </c>
      <c r="AL162" s="14">
        <v>133</v>
      </c>
      <c r="AM162" s="14">
        <v>24</v>
      </c>
      <c r="AN162" s="14">
        <v>-85</v>
      </c>
      <c r="AP162" s="14">
        <v>-604</v>
      </c>
      <c r="AQ162" s="14">
        <v>94</v>
      </c>
      <c r="AR162" s="14">
        <v>53</v>
      </c>
      <c r="AS162" s="14">
        <v>59</v>
      </c>
      <c r="AT162" s="14">
        <v>18</v>
      </c>
      <c r="AU162" s="14">
        <v>20</v>
      </c>
      <c r="AV162" s="14">
        <v>566</v>
      </c>
      <c r="AW162" s="14">
        <v>-667</v>
      </c>
      <c r="AX162" s="14">
        <v>451</v>
      </c>
      <c r="AY162" s="14">
        <v>8</v>
      </c>
      <c r="AZ162" s="14">
        <v>-37</v>
      </c>
      <c r="BA162" s="14">
        <v>161</v>
      </c>
      <c r="BB162" s="14">
        <v>5771</v>
      </c>
      <c r="BC162" s="14">
        <v>137</v>
      </c>
      <c r="BD162" s="14">
        <v>1311</v>
      </c>
      <c r="BE162" s="14">
        <v>-55</v>
      </c>
    </row>
    <row r="163" spans="1:57" x14ac:dyDescent="0.25">
      <c r="A163" s="14">
        <v>292</v>
      </c>
      <c r="G163" s="14">
        <v>82</v>
      </c>
      <c r="H163" s="14">
        <v>-643</v>
      </c>
      <c r="I163" s="14">
        <v>137</v>
      </c>
      <c r="L163" s="14">
        <v>-734</v>
      </c>
      <c r="M163" s="14">
        <v>51</v>
      </c>
      <c r="O163" s="14">
        <v>249</v>
      </c>
      <c r="P163" s="14">
        <v>151</v>
      </c>
      <c r="Q163" s="14">
        <v>149</v>
      </c>
      <c r="W163" s="14">
        <v>-8</v>
      </c>
      <c r="X163" s="14">
        <v>839</v>
      </c>
      <c r="Y163" s="14">
        <v>58</v>
      </c>
      <c r="Z163" s="14">
        <v>-4</v>
      </c>
      <c r="AA163" s="14">
        <v>-115</v>
      </c>
      <c r="AB163" s="14">
        <v>-77</v>
      </c>
      <c r="AC163" s="14">
        <v>-362</v>
      </c>
      <c r="AD163" s="14">
        <v>289</v>
      </c>
      <c r="AE163" s="14">
        <v>551</v>
      </c>
      <c r="AF163" s="14">
        <v>358</v>
      </c>
      <c r="AG163" s="14">
        <v>-166</v>
      </c>
      <c r="AI163" s="14">
        <v>96</v>
      </c>
      <c r="AJ163" s="14">
        <v>-873</v>
      </c>
      <c r="AL163" s="14">
        <v>173</v>
      </c>
      <c r="AM163" s="14">
        <v>3</v>
      </c>
      <c r="AN163" s="14">
        <v>3</v>
      </c>
      <c r="AP163" s="14">
        <v>-440</v>
      </c>
      <c r="AQ163" s="14">
        <v>103</v>
      </c>
      <c r="AR163" s="14">
        <v>49</v>
      </c>
      <c r="AS163" s="14">
        <v>-1</v>
      </c>
      <c r="AT163" s="14">
        <v>-38</v>
      </c>
      <c r="AU163" s="14">
        <v>32</v>
      </c>
      <c r="AV163" s="14">
        <v>-437</v>
      </c>
      <c r="AW163" s="14">
        <v>531</v>
      </c>
      <c r="AX163" s="14">
        <v>563</v>
      </c>
      <c r="AY163" s="14">
        <v>-16</v>
      </c>
      <c r="AZ163" s="14">
        <v>34</v>
      </c>
      <c r="BA163" s="14">
        <v>153</v>
      </c>
      <c r="BB163" s="14">
        <v>4055</v>
      </c>
      <c r="BC163" s="14">
        <v>515</v>
      </c>
      <c r="BD163" s="14">
        <v>-12</v>
      </c>
      <c r="BE163" s="14">
        <v>689</v>
      </c>
    </row>
    <row r="164" spans="1:57" x14ac:dyDescent="0.25">
      <c r="A164" s="14">
        <v>957</v>
      </c>
      <c r="G164" s="14">
        <v>212</v>
      </c>
      <c r="H164" s="14">
        <v>-262</v>
      </c>
      <c r="I164" s="14">
        <v>344</v>
      </c>
      <c r="L164" s="14">
        <v>264</v>
      </c>
      <c r="M164" s="14">
        <v>111</v>
      </c>
      <c r="O164" s="14">
        <v>57</v>
      </c>
      <c r="P164" s="14">
        <v>478</v>
      </c>
      <c r="Q164" s="14">
        <v>296</v>
      </c>
      <c r="W164" s="14">
        <v>-1</v>
      </c>
      <c r="X164" s="14">
        <v>1</v>
      </c>
      <c r="Y164" s="14">
        <v>-213</v>
      </c>
      <c r="Z164" s="14">
        <v>-1</v>
      </c>
      <c r="AA164" s="14">
        <v>-147</v>
      </c>
      <c r="AB164" s="14">
        <v>-170</v>
      </c>
      <c r="AC164" s="14">
        <v>107</v>
      </c>
      <c r="AD164" s="14">
        <v>272</v>
      </c>
      <c r="AE164" s="14">
        <v>124</v>
      </c>
      <c r="AF164" s="14">
        <v>514</v>
      </c>
      <c r="AG164" s="14">
        <v>149</v>
      </c>
      <c r="AI164" s="14">
        <v>6</v>
      </c>
      <c r="AJ164" s="14">
        <v>-148</v>
      </c>
      <c r="AL164" s="14">
        <v>-114</v>
      </c>
      <c r="AM164" s="14">
        <v>35</v>
      </c>
      <c r="AN164" s="14">
        <v>14</v>
      </c>
      <c r="AP164" s="14">
        <v>-405</v>
      </c>
      <c r="AQ164" s="14">
        <v>118</v>
      </c>
      <c r="AR164" s="14">
        <v>53</v>
      </c>
      <c r="AS164" s="14">
        <v>11</v>
      </c>
      <c r="AT164" s="14">
        <v>-14</v>
      </c>
      <c r="AU164" s="14">
        <v>10</v>
      </c>
      <c r="AV164" s="14">
        <v>-414</v>
      </c>
      <c r="AW164" s="14">
        <v>-390</v>
      </c>
      <c r="AX164" s="14">
        <v>-58</v>
      </c>
      <c r="AY164" s="14">
        <v>40</v>
      </c>
      <c r="AZ164" s="14">
        <v>-4</v>
      </c>
      <c r="BA164" s="14">
        <v>117</v>
      </c>
      <c r="BB164" s="14">
        <v>3231</v>
      </c>
      <c r="BC164" s="14">
        <v>-959</v>
      </c>
      <c r="BD164" s="14">
        <v>-6</v>
      </c>
      <c r="BE164" s="14">
        <v>933</v>
      </c>
    </row>
    <row r="165" spans="1:57" x14ac:dyDescent="0.25">
      <c r="A165" s="14">
        <v>-9244</v>
      </c>
      <c r="G165" s="14">
        <v>20</v>
      </c>
      <c r="H165" s="14">
        <v>550</v>
      </c>
      <c r="I165" s="14">
        <v>755</v>
      </c>
      <c r="L165" s="14">
        <v>-635</v>
      </c>
      <c r="M165" s="14">
        <v>145</v>
      </c>
      <c r="O165" s="14">
        <v>167</v>
      </c>
      <c r="P165" s="14">
        <v>244</v>
      </c>
      <c r="Q165" s="14">
        <v>586</v>
      </c>
      <c r="W165" s="14">
        <v>69</v>
      </c>
      <c r="X165" s="14">
        <v>-44</v>
      </c>
      <c r="Y165" s="14">
        <v>224</v>
      </c>
      <c r="Z165" s="14">
        <v>51</v>
      </c>
      <c r="AA165" s="14">
        <v>199</v>
      </c>
      <c r="AB165" s="14">
        <v>34</v>
      </c>
      <c r="AC165" s="14">
        <v>709</v>
      </c>
      <c r="AD165" s="14">
        <v>305</v>
      </c>
      <c r="AE165" s="14">
        <v>177</v>
      </c>
      <c r="AF165" s="14">
        <v>108</v>
      </c>
      <c r="AG165" s="14">
        <v>14</v>
      </c>
      <c r="AI165" s="14">
        <v>-43</v>
      </c>
      <c r="AJ165" s="14">
        <v>-233</v>
      </c>
      <c r="AL165" s="14">
        <v>-8</v>
      </c>
      <c r="AM165" s="14">
        <v>51</v>
      </c>
      <c r="AN165" s="14">
        <v>-21</v>
      </c>
      <c r="AP165" s="14">
        <v>-753</v>
      </c>
      <c r="AQ165" s="14">
        <v>99</v>
      </c>
      <c r="AR165" s="14">
        <v>61</v>
      </c>
      <c r="AS165" s="14">
        <v>12</v>
      </c>
      <c r="AT165" s="14">
        <v>-1</v>
      </c>
      <c r="AU165" s="14">
        <v>16</v>
      </c>
      <c r="AV165" s="14">
        <v>-5</v>
      </c>
      <c r="AW165" s="14">
        <v>-371</v>
      </c>
      <c r="AX165" s="14">
        <v>-148</v>
      </c>
      <c r="AY165" s="14">
        <v>232</v>
      </c>
      <c r="AZ165" s="14">
        <v>13</v>
      </c>
      <c r="BA165" s="14">
        <v>144</v>
      </c>
      <c r="BB165" s="14">
        <v>-1536</v>
      </c>
      <c r="BC165" s="14">
        <v>436</v>
      </c>
      <c r="BD165" s="14">
        <v>-4</v>
      </c>
      <c r="BE165" s="14">
        <v>125</v>
      </c>
    </row>
    <row r="166" spans="1:57" x14ac:dyDescent="0.25">
      <c r="A166" s="14">
        <v>290</v>
      </c>
      <c r="G166" s="14">
        <v>-488</v>
      </c>
      <c r="H166" s="14">
        <v>107</v>
      </c>
      <c r="I166" s="14">
        <v>109</v>
      </c>
      <c r="L166" s="14">
        <v>139</v>
      </c>
      <c r="M166" s="14">
        <v>681</v>
      </c>
      <c r="O166" s="14">
        <v>467</v>
      </c>
      <c r="P166" s="14">
        <v>28</v>
      </c>
      <c r="Q166" s="14">
        <v>872</v>
      </c>
      <c r="W166" s="14">
        <v>-86</v>
      </c>
      <c r="X166" s="14">
        <v>-36</v>
      </c>
      <c r="Y166" s="14">
        <v>122</v>
      </c>
      <c r="Z166" s="14">
        <v>50</v>
      </c>
      <c r="AA166" s="14">
        <v>113</v>
      </c>
      <c r="AB166" s="14">
        <v>37</v>
      </c>
      <c r="AC166" s="14">
        <v>673</v>
      </c>
      <c r="AD166" s="14">
        <v>705</v>
      </c>
      <c r="AE166" s="14">
        <v>132</v>
      </c>
      <c r="AF166" s="14">
        <v>-1</v>
      </c>
      <c r="AG166" s="14">
        <v>123</v>
      </c>
      <c r="AI166" s="14">
        <v>4</v>
      </c>
      <c r="AJ166" s="14">
        <v>-230</v>
      </c>
      <c r="AL166" s="14">
        <v>-1</v>
      </c>
      <c r="AM166" s="14">
        <v>24</v>
      </c>
      <c r="AN166" s="14">
        <v>-16</v>
      </c>
      <c r="AP166" s="14">
        <v>105</v>
      </c>
      <c r="AQ166" s="14">
        <v>97</v>
      </c>
      <c r="AR166" s="14">
        <v>8</v>
      </c>
      <c r="AS166" s="14">
        <v>-2</v>
      </c>
      <c r="AT166" s="14">
        <v>47</v>
      </c>
      <c r="AU166" s="14">
        <v>31</v>
      </c>
      <c r="AV166" s="14">
        <v>-109</v>
      </c>
      <c r="AW166" s="14">
        <v>-116</v>
      </c>
      <c r="AX166" s="14">
        <v>-187</v>
      </c>
      <c r="AY166" s="14">
        <v>-164</v>
      </c>
      <c r="AZ166" s="14">
        <v>-113</v>
      </c>
      <c r="BA166" s="14">
        <v>145</v>
      </c>
      <c r="BB166" s="14">
        <v>1318</v>
      </c>
      <c r="BC166" s="14">
        <v>147</v>
      </c>
      <c r="BD166" s="14">
        <v>-4</v>
      </c>
      <c r="BE166" s="14">
        <v>1</v>
      </c>
    </row>
    <row r="167" spans="1:57" x14ac:dyDescent="0.25">
      <c r="A167" s="14">
        <v>950</v>
      </c>
      <c r="G167" s="14">
        <v>-474</v>
      </c>
      <c r="H167" s="14">
        <v>118</v>
      </c>
      <c r="I167" s="14">
        <v>33</v>
      </c>
      <c r="L167" s="14">
        <v>171</v>
      </c>
      <c r="M167" s="14">
        <v>171</v>
      </c>
      <c r="O167" s="14">
        <v>640</v>
      </c>
      <c r="P167" s="14">
        <v>173</v>
      </c>
      <c r="Q167" s="14">
        <v>657</v>
      </c>
      <c r="W167" s="14">
        <v>-70</v>
      </c>
      <c r="X167" s="14">
        <v>-12</v>
      </c>
      <c r="Y167" s="14">
        <v>735</v>
      </c>
      <c r="Z167" s="14">
        <v>48</v>
      </c>
      <c r="AA167" s="14">
        <v>534</v>
      </c>
      <c r="AB167" s="14">
        <v>37</v>
      </c>
      <c r="AC167" s="14">
        <v>728</v>
      </c>
      <c r="AD167" s="14">
        <v>923</v>
      </c>
      <c r="AE167" s="14">
        <v>809</v>
      </c>
      <c r="AF167" s="14">
        <v>784</v>
      </c>
      <c r="AG167" s="14">
        <v>-6</v>
      </c>
      <c r="AI167" s="14">
        <v>94</v>
      </c>
      <c r="AJ167" s="14">
        <v>-962</v>
      </c>
      <c r="AL167" s="14">
        <v>106</v>
      </c>
      <c r="AM167" s="14">
        <v>-430</v>
      </c>
      <c r="AN167" s="14">
        <v>-43</v>
      </c>
      <c r="AP167" s="14">
        <v>968</v>
      </c>
      <c r="AQ167" s="14">
        <v>103</v>
      </c>
      <c r="AR167" s="14">
        <v>8</v>
      </c>
      <c r="AS167" s="14">
        <v>-45</v>
      </c>
      <c r="AT167" s="14">
        <v>13</v>
      </c>
      <c r="AU167" s="14">
        <v>35</v>
      </c>
      <c r="AV167" s="14">
        <v>-197</v>
      </c>
      <c r="AW167" s="14">
        <v>-737</v>
      </c>
      <c r="AX167" s="14">
        <v>-115</v>
      </c>
      <c r="AY167" s="14">
        <v>18</v>
      </c>
      <c r="AZ167" s="14">
        <v>789</v>
      </c>
      <c r="BA167" s="14">
        <v>125</v>
      </c>
      <c r="BB167" s="14">
        <v>1701</v>
      </c>
      <c r="BC167" s="14">
        <v>-367</v>
      </c>
      <c r="BD167" s="14">
        <v>5</v>
      </c>
      <c r="BE167" s="14">
        <v>19</v>
      </c>
    </row>
    <row r="168" spans="1:57" x14ac:dyDescent="0.25">
      <c r="A168" s="14">
        <v>170</v>
      </c>
      <c r="G168" s="14">
        <v>295</v>
      </c>
      <c r="H168" s="14">
        <v>999</v>
      </c>
      <c r="I168" s="14">
        <v>25</v>
      </c>
      <c r="L168" s="14">
        <v>144</v>
      </c>
      <c r="M168" s="14">
        <v>-222</v>
      </c>
      <c r="O168" s="14">
        <v>245</v>
      </c>
      <c r="P168" s="14">
        <v>233</v>
      </c>
      <c r="W168" s="14">
        <v>14</v>
      </c>
      <c r="X168" s="14">
        <v>-415</v>
      </c>
      <c r="Y168" s="14">
        <v>283</v>
      </c>
      <c r="Z168" s="14">
        <v>362</v>
      </c>
      <c r="AA168" s="14">
        <v>399</v>
      </c>
      <c r="AB168" s="14">
        <v>123</v>
      </c>
      <c r="AC168" s="14">
        <v>-150</v>
      </c>
      <c r="AD168" s="14">
        <v>224</v>
      </c>
      <c r="AE168" s="14">
        <v>619</v>
      </c>
      <c r="AF168" s="14">
        <v>220</v>
      </c>
      <c r="AG168" s="14">
        <v>-8</v>
      </c>
      <c r="AI168" s="14">
        <v>-50</v>
      </c>
      <c r="AJ168" s="14">
        <v>-124</v>
      </c>
      <c r="AL168" s="14">
        <v>-45</v>
      </c>
      <c r="AM168" s="14">
        <v>177</v>
      </c>
      <c r="AN168" s="14">
        <v>-73</v>
      </c>
      <c r="AP168" s="14">
        <v>15</v>
      </c>
      <c r="AQ168" s="14">
        <v>102</v>
      </c>
      <c r="AR168" s="14">
        <v>9</v>
      </c>
      <c r="AS168" s="14">
        <v>15</v>
      </c>
      <c r="AT168" s="14">
        <v>41</v>
      </c>
      <c r="AU168" s="14">
        <v>61</v>
      </c>
      <c r="AV168" s="14">
        <v>-342</v>
      </c>
      <c r="AW168" s="14">
        <v>583</v>
      </c>
      <c r="AX168" s="14">
        <v>218</v>
      </c>
      <c r="AY168" s="14">
        <v>111</v>
      </c>
      <c r="AZ168" s="14">
        <v>225</v>
      </c>
      <c r="BA168" s="14">
        <v>185</v>
      </c>
      <c r="BB168" s="14">
        <v>3033</v>
      </c>
      <c r="BC168" s="14">
        <v>240</v>
      </c>
      <c r="BD168" s="14">
        <v>14</v>
      </c>
      <c r="BE168" s="14">
        <v>-8</v>
      </c>
    </row>
    <row r="169" spans="1:57" x14ac:dyDescent="0.25">
      <c r="A169" s="14">
        <v>-69</v>
      </c>
      <c r="G169" s="14">
        <v>-34</v>
      </c>
      <c r="H169" s="14">
        <v>118</v>
      </c>
      <c r="I169" s="14">
        <v>190</v>
      </c>
      <c r="L169" s="14">
        <v>962</v>
      </c>
      <c r="M169" s="14">
        <v>-452</v>
      </c>
      <c r="O169" s="14">
        <v>-568</v>
      </c>
      <c r="P169" s="14">
        <v>-10</v>
      </c>
      <c r="W169" s="14">
        <v>221</v>
      </c>
      <c r="X169" s="14">
        <v>-649</v>
      </c>
      <c r="Y169" s="14">
        <v>-239</v>
      </c>
      <c r="Z169" s="14">
        <v>376</v>
      </c>
      <c r="AA169" s="14">
        <v>104</v>
      </c>
      <c r="AB169" s="14">
        <v>297</v>
      </c>
      <c r="AC169" s="14">
        <v>708</v>
      </c>
      <c r="AD169" s="14">
        <v>355</v>
      </c>
      <c r="AE169" s="14">
        <v>139</v>
      </c>
      <c r="AF169" s="14">
        <v>162</v>
      </c>
      <c r="AG169" s="14">
        <v>62</v>
      </c>
      <c r="AI169" s="14">
        <v>62</v>
      </c>
      <c r="AJ169" s="14">
        <v>-171</v>
      </c>
      <c r="AL169" s="14">
        <v>163</v>
      </c>
      <c r="AM169" s="14">
        <v>658</v>
      </c>
      <c r="AN169" s="14">
        <v>86</v>
      </c>
      <c r="AP169" s="14">
        <v>16</v>
      </c>
      <c r="AQ169" s="14">
        <v>92</v>
      </c>
      <c r="AR169" s="14">
        <v>15</v>
      </c>
      <c r="AS169" s="14">
        <v>-249</v>
      </c>
      <c r="AT169" s="14">
        <v>31</v>
      </c>
      <c r="AU169" s="14">
        <v>21</v>
      </c>
      <c r="AV169" s="14">
        <v>1</v>
      </c>
      <c r="AW169" s="14">
        <v>122</v>
      </c>
      <c r="AX169" s="14">
        <v>221</v>
      </c>
      <c r="AY169" s="14">
        <v>-23</v>
      </c>
      <c r="AZ169" s="14">
        <v>369</v>
      </c>
      <c r="BA169" s="14">
        <v>134</v>
      </c>
      <c r="BB169" s="14">
        <v>-2446</v>
      </c>
      <c r="BC169" s="14">
        <v>143</v>
      </c>
      <c r="BD169" s="14">
        <v>1</v>
      </c>
      <c r="BE169" s="14">
        <v>5</v>
      </c>
    </row>
    <row r="170" spans="1:57" x14ac:dyDescent="0.25">
      <c r="A170" s="14">
        <v>166</v>
      </c>
      <c r="G170" s="14">
        <v>742</v>
      </c>
      <c r="H170" s="14">
        <v>928</v>
      </c>
      <c r="I170" s="14">
        <v>886</v>
      </c>
      <c r="L170" s="14">
        <v>509</v>
      </c>
      <c r="M170" s="14">
        <v>-524</v>
      </c>
      <c r="O170" s="14">
        <v>324</v>
      </c>
      <c r="P170" s="14">
        <v>531</v>
      </c>
      <c r="W170" s="14">
        <v>-18</v>
      </c>
      <c r="X170" s="14">
        <v>-425</v>
      </c>
      <c r="Y170" s="14">
        <v>788</v>
      </c>
      <c r="Z170" s="14">
        <v>319</v>
      </c>
      <c r="AA170" s="14">
        <v>155</v>
      </c>
      <c r="AB170" s="14">
        <v>692</v>
      </c>
      <c r="AC170" s="14">
        <v>116</v>
      </c>
      <c r="AD170" s="14">
        <v>383</v>
      </c>
      <c r="AE170" s="14">
        <v>119</v>
      </c>
      <c r="AF170" s="14">
        <v>305</v>
      </c>
      <c r="AG170" s="14">
        <v>28</v>
      </c>
      <c r="AJ170" s="14">
        <v>241</v>
      </c>
      <c r="AL170" s="14">
        <v>70</v>
      </c>
      <c r="AM170" s="14">
        <v>785</v>
      </c>
      <c r="AN170" s="14">
        <v>-45</v>
      </c>
      <c r="AP170" s="14">
        <v>166</v>
      </c>
      <c r="AQ170" s="14">
        <v>99</v>
      </c>
      <c r="AR170" s="14">
        <v>27</v>
      </c>
      <c r="AS170" s="14">
        <v>5</v>
      </c>
      <c r="AT170" s="14">
        <v>104</v>
      </c>
      <c r="AU170" s="14">
        <v>14</v>
      </c>
      <c r="AV170" s="14">
        <v>769</v>
      </c>
      <c r="AW170" s="14">
        <v>-709</v>
      </c>
      <c r="AX170" s="14">
        <v>-419</v>
      </c>
      <c r="AY170" s="14">
        <v>42</v>
      </c>
      <c r="AZ170" s="14">
        <v>163</v>
      </c>
      <c r="BA170" s="14">
        <v>76</v>
      </c>
      <c r="BB170" s="14">
        <v>143</v>
      </c>
      <c r="BC170" s="14">
        <v>536</v>
      </c>
      <c r="BD170" s="14">
        <v>5</v>
      </c>
      <c r="BE170" s="14">
        <v>-4</v>
      </c>
    </row>
    <row r="171" spans="1:57" x14ac:dyDescent="0.25">
      <c r="A171" s="14">
        <v>-64</v>
      </c>
      <c r="G171" s="14">
        <v>309</v>
      </c>
      <c r="H171" s="14">
        <v>107</v>
      </c>
      <c r="I171" s="14">
        <v>110</v>
      </c>
      <c r="L171" s="14">
        <v>222</v>
      </c>
      <c r="M171" s="14">
        <v>-503</v>
      </c>
      <c r="O171" s="14">
        <v>647</v>
      </c>
      <c r="P171" s="14">
        <v>156</v>
      </c>
      <c r="W171" s="14">
        <v>-2</v>
      </c>
      <c r="X171" s="14">
        <v>562</v>
      </c>
      <c r="Y171" s="14">
        <v>-81</v>
      </c>
      <c r="AA171" s="14">
        <v>180</v>
      </c>
      <c r="AB171" s="14">
        <v>996</v>
      </c>
      <c r="AC171" s="14">
        <v>647</v>
      </c>
      <c r="AD171" s="14">
        <v>438</v>
      </c>
      <c r="AE171" s="14">
        <v>101</v>
      </c>
      <c r="AF171" s="14">
        <v>338</v>
      </c>
      <c r="AG171" s="14">
        <v>90</v>
      </c>
      <c r="AJ171" s="14">
        <v>-289</v>
      </c>
      <c r="AL171" s="14">
        <v>-48</v>
      </c>
      <c r="AM171" s="14">
        <v>-325</v>
      </c>
      <c r="AN171" s="14">
        <v>12</v>
      </c>
      <c r="AP171" s="14">
        <v>172</v>
      </c>
      <c r="AQ171" s="14">
        <v>93</v>
      </c>
      <c r="AR171" s="14">
        <v>325</v>
      </c>
      <c r="AS171" s="14">
        <v>-3</v>
      </c>
      <c r="AT171" s="14">
        <v>70</v>
      </c>
      <c r="AU171" s="14">
        <v>33</v>
      </c>
      <c r="AV171" s="14">
        <v>36</v>
      </c>
      <c r="AW171" s="14">
        <v>-722</v>
      </c>
      <c r="AX171" s="14">
        <v>85</v>
      </c>
      <c r="AY171" s="14">
        <v>42</v>
      </c>
      <c r="AZ171" s="14">
        <v>214</v>
      </c>
      <c r="BA171" s="14">
        <v>97</v>
      </c>
      <c r="BB171" s="14">
        <v>5041</v>
      </c>
      <c r="BC171" s="14">
        <v>229</v>
      </c>
      <c r="BD171" s="14">
        <v>11</v>
      </c>
      <c r="BE171" s="14">
        <v>-65</v>
      </c>
    </row>
    <row r="172" spans="1:57" x14ac:dyDescent="0.25">
      <c r="A172" s="14">
        <v>971</v>
      </c>
      <c r="G172" s="14">
        <v>579</v>
      </c>
      <c r="H172" s="14">
        <v>773</v>
      </c>
      <c r="I172" s="14">
        <v>139</v>
      </c>
      <c r="L172" s="14">
        <v>124</v>
      </c>
      <c r="M172" s="14">
        <v>-327</v>
      </c>
      <c r="O172" s="14">
        <v>-359</v>
      </c>
      <c r="P172" s="14">
        <v>790</v>
      </c>
      <c r="X172" s="14">
        <v>-5</v>
      </c>
      <c r="Y172" s="14">
        <v>889</v>
      </c>
      <c r="AA172" s="14">
        <v>86</v>
      </c>
      <c r="AB172" s="14">
        <v>-34</v>
      </c>
      <c r="AC172" s="14">
        <v>642</v>
      </c>
      <c r="AD172" s="14">
        <v>101</v>
      </c>
      <c r="AE172" s="14">
        <v>904</v>
      </c>
      <c r="AF172" s="14">
        <v>468</v>
      </c>
      <c r="AG172" s="14">
        <v>88</v>
      </c>
      <c r="AJ172" s="14">
        <v>-141</v>
      </c>
      <c r="AL172" s="14">
        <v>342</v>
      </c>
      <c r="AM172" s="14">
        <v>132</v>
      </c>
      <c r="AN172" s="14">
        <v>122</v>
      </c>
      <c r="AP172" s="14">
        <v>170</v>
      </c>
      <c r="AQ172" s="14">
        <v>84</v>
      </c>
      <c r="AR172" s="14">
        <v>768</v>
      </c>
      <c r="AS172" s="14">
        <v>5</v>
      </c>
      <c r="AT172" s="14">
        <v>57</v>
      </c>
      <c r="AU172" s="14">
        <v>107</v>
      </c>
      <c r="AV172" s="14">
        <v>359</v>
      </c>
      <c r="AW172" s="14">
        <v>-751</v>
      </c>
      <c r="AX172" s="14">
        <v>115</v>
      </c>
      <c r="AY172" s="14">
        <v>1</v>
      </c>
      <c r="AZ172" s="14">
        <v>592</v>
      </c>
      <c r="BA172" s="14">
        <v>166</v>
      </c>
      <c r="BB172" s="14">
        <v>-1380</v>
      </c>
      <c r="BC172" s="14">
        <v>661</v>
      </c>
      <c r="BD172" s="14">
        <v>16</v>
      </c>
      <c r="BE172" s="14">
        <v>27</v>
      </c>
    </row>
    <row r="173" spans="1:57" x14ac:dyDescent="0.25">
      <c r="A173" s="14">
        <v>-322</v>
      </c>
      <c r="G173" s="14">
        <v>512</v>
      </c>
      <c r="H173" s="14">
        <v>150</v>
      </c>
      <c r="I173" s="14">
        <v>145</v>
      </c>
      <c r="L173" s="14">
        <v>119</v>
      </c>
      <c r="M173" s="14">
        <v>275</v>
      </c>
      <c r="O173" s="14">
        <v>114</v>
      </c>
      <c r="P173" s="14">
        <v>454</v>
      </c>
      <c r="X173" s="14">
        <v>-232</v>
      </c>
      <c r="Y173" s="14">
        <v>109</v>
      </c>
      <c r="AA173" s="14">
        <v>110</v>
      </c>
      <c r="AB173" s="14">
        <v>-918</v>
      </c>
      <c r="AC173" s="14">
        <v>624</v>
      </c>
      <c r="AD173" s="14">
        <v>131</v>
      </c>
      <c r="AE173" s="14">
        <v>652</v>
      </c>
      <c r="AF173" s="14">
        <v>455</v>
      </c>
      <c r="AG173" s="14">
        <v>-105</v>
      </c>
      <c r="AJ173" s="14">
        <v>-505</v>
      </c>
      <c r="AL173" s="14">
        <v>203</v>
      </c>
      <c r="AM173" s="14">
        <v>275</v>
      </c>
      <c r="AN173" s="14">
        <v>237</v>
      </c>
      <c r="AP173" s="14">
        <v>183</v>
      </c>
      <c r="AQ173" s="14">
        <v>103</v>
      </c>
      <c r="AR173" s="14">
        <v>-323</v>
      </c>
      <c r="AS173" s="14">
        <v>2</v>
      </c>
      <c r="AT173" s="14">
        <v>9</v>
      </c>
      <c r="AU173" s="14">
        <v>172</v>
      </c>
      <c r="AV173" s="14">
        <v>836</v>
      </c>
      <c r="AW173" s="14">
        <v>-557</v>
      </c>
      <c r="AX173" s="14">
        <v>55</v>
      </c>
      <c r="AY173" s="14">
        <v>85</v>
      </c>
      <c r="AZ173" s="14">
        <v>-462</v>
      </c>
      <c r="BA173" s="14">
        <v>86</v>
      </c>
      <c r="BB173" s="14">
        <v>-25136</v>
      </c>
      <c r="BC173" s="14">
        <v>-230</v>
      </c>
      <c r="BD173" s="14">
        <v>10</v>
      </c>
      <c r="BE173" s="14">
        <v>128</v>
      </c>
    </row>
    <row r="174" spans="1:57" x14ac:dyDescent="0.25">
      <c r="A174" s="14">
        <v>-6356</v>
      </c>
      <c r="G174" s="14">
        <v>316</v>
      </c>
      <c r="H174" s="14">
        <v>-79</v>
      </c>
      <c r="I174" s="14">
        <v>84</v>
      </c>
      <c r="L174" s="14">
        <v>-454</v>
      </c>
      <c r="M174" s="14">
        <v>141</v>
      </c>
      <c r="O174" s="14">
        <v>647</v>
      </c>
      <c r="P174" s="14">
        <v>900</v>
      </c>
      <c r="X174" s="14">
        <v>-133</v>
      </c>
      <c r="Y174" s="14">
        <v>560</v>
      </c>
      <c r="AA174" s="14">
        <v>-256</v>
      </c>
      <c r="AB174" s="14">
        <v>22</v>
      </c>
      <c r="AC174" s="14">
        <v>340</v>
      </c>
      <c r="AD174" s="14">
        <v>122</v>
      </c>
      <c r="AE174" s="14">
        <v>657</v>
      </c>
      <c r="AF174" s="14">
        <v>511</v>
      </c>
      <c r="AG174" s="14">
        <v>-32</v>
      </c>
      <c r="AJ174" s="14">
        <v>695</v>
      </c>
      <c r="AL174" s="14">
        <v>-53</v>
      </c>
      <c r="AM174" s="14">
        <v>112</v>
      </c>
      <c r="AN174" s="14">
        <v>312</v>
      </c>
      <c r="AP174" s="14">
        <v>-251</v>
      </c>
      <c r="AQ174" s="14">
        <v>102</v>
      </c>
      <c r="AR174" s="14">
        <v>302</v>
      </c>
      <c r="AS174" s="14">
        <v>79</v>
      </c>
      <c r="AT174" s="14">
        <v>7</v>
      </c>
      <c r="AU174" s="14">
        <v>7</v>
      </c>
      <c r="AV174" s="14">
        <v>442</v>
      </c>
      <c r="AW174" s="14">
        <v>-332</v>
      </c>
      <c r="AX174" s="14">
        <v>72</v>
      </c>
      <c r="AY174" s="14">
        <v>-9</v>
      </c>
      <c r="AZ174" s="14">
        <v>167</v>
      </c>
      <c r="BA174" s="14">
        <v>138</v>
      </c>
      <c r="BB174" s="14">
        <v>25</v>
      </c>
      <c r="BC174" s="14">
        <v>-191</v>
      </c>
      <c r="BD174" s="14">
        <v>15</v>
      </c>
      <c r="BE174" s="14">
        <v>-70</v>
      </c>
    </row>
    <row r="175" spans="1:57" x14ac:dyDescent="0.25">
      <c r="A175" s="14">
        <v>161</v>
      </c>
      <c r="G175" s="14">
        <v>489</v>
      </c>
      <c r="H175" s="14">
        <v>-25</v>
      </c>
      <c r="I175" s="14">
        <v>45</v>
      </c>
      <c r="L175" s="14">
        <v>-332</v>
      </c>
      <c r="M175" s="14">
        <v>161</v>
      </c>
      <c r="O175" s="14">
        <v>277</v>
      </c>
      <c r="P175" s="14">
        <v>153</v>
      </c>
      <c r="X175" s="14">
        <v>-267</v>
      </c>
      <c r="Y175" s="14">
        <v>249</v>
      </c>
      <c r="AA175" s="14">
        <v>-315</v>
      </c>
      <c r="AB175" s="14">
        <v>21</v>
      </c>
      <c r="AC175" s="14">
        <v>733</v>
      </c>
      <c r="AD175" s="14">
        <v>219</v>
      </c>
      <c r="AE175" s="14">
        <v>113</v>
      </c>
      <c r="AF175" s="14">
        <v>609</v>
      </c>
      <c r="AG175" s="14">
        <v>40</v>
      </c>
      <c r="AJ175" s="14">
        <v>299</v>
      </c>
      <c r="AL175" s="14">
        <v>13</v>
      </c>
      <c r="AM175" s="14">
        <v>-240</v>
      </c>
      <c r="AN175" s="14">
        <v>2</v>
      </c>
      <c r="AP175" s="14">
        <v>-33</v>
      </c>
      <c r="AQ175" s="14">
        <v>103</v>
      </c>
      <c r="AR175" s="14">
        <v>337</v>
      </c>
      <c r="AS175" s="14">
        <v>-1</v>
      </c>
      <c r="AT175" s="14">
        <v>-15</v>
      </c>
      <c r="AU175" s="14">
        <v>24</v>
      </c>
      <c r="AV175" s="14">
        <v>103</v>
      </c>
      <c r="AW175" s="14">
        <v>-175</v>
      </c>
      <c r="AX175" s="14">
        <v>73</v>
      </c>
      <c r="AY175" s="14">
        <v>-92</v>
      </c>
      <c r="AZ175" s="14">
        <v>792</v>
      </c>
      <c r="BA175" s="14">
        <v>230</v>
      </c>
      <c r="BB175" s="14">
        <v>-610</v>
      </c>
      <c r="BC175" s="14">
        <v>279</v>
      </c>
      <c r="BD175" s="14">
        <v>19</v>
      </c>
      <c r="BE175" s="14">
        <v>1283</v>
      </c>
    </row>
    <row r="176" spans="1:57" x14ac:dyDescent="0.25">
      <c r="A176" s="14">
        <v>116</v>
      </c>
      <c r="G176" s="14">
        <v>428</v>
      </c>
      <c r="H176" s="14">
        <v>-19</v>
      </c>
      <c r="I176" s="14">
        <v>126</v>
      </c>
      <c r="L176" s="14">
        <v>-272</v>
      </c>
      <c r="M176" s="14">
        <v>182</v>
      </c>
      <c r="O176" s="14">
        <v>533</v>
      </c>
      <c r="P176" s="14">
        <v>483</v>
      </c>
      <c r="X176" s="14">
        <v>102</v>
      </c>
      <c r="Y176" s="14">
        <v>-174</v>
      </c>
      <c r="AA176" s="14">
        <v>246</v>
      </c>
      <c r="AB176" s="14">
        <v>21</v>
      </c>
      <c r="AC176" s="14">
        <v>-442</v>
      </c>
      <c r="AD176" s="14">
        <v>140</v>
      </c>
      <c r="AE176" s="14">
        <v>117</v>
      </c>
      <c r="AF176" s="14">
        <v>765</v>
      </c>
      <c r="AG176" s="14">
        <v>1</v>
      </c>
      <c r="AJ176" s="14">
        <v>686</v>
      </c>
      <c r="AL176" s="14">
        <v>-2</v>
      </c>
      <c r="AM176" s="14">
        <v>-146</v>
      </c>
      <c r="AN176" s="14">
        <v>-13</v>
      </c>
      <c r="AP176" s="14">
        <v>-4</v>
      </c>
      <c r="AQ176" s="14">
        <v>100</v>
      </c>
      <c r="AR176" s="14">
        <v>-300</v>
      </c>
      <c r="AS176" s="14">
        <v>5</v>
      </c>
      <c r="AT176" s="14">
        <v>32</v>
      </c>
      <c r="AU176" s="14">
        <v>149</v>
      </c>
      <c r="AV176" s="14">
        <v>398</v>
      </c>
      <c r="AW176" s="14">
        <v>-189</v>
      </c>
      <c r="AX176" s="14">
        <v>143</v>
      </c>
      <c r="AY176" s="14">
        <v>-19</v>
      </c>
      <c r="AZ176" s="14">
        <v>-115</v>
      </c>
      <c r="BA176" s="14">
        <v>155</v>
      </c>
      <c r="BB176" s="14">
        <v>-63</v>
      </c>
      <c r="BC176" s="14">
        <v>178</v>
      </c>
      <c r="BD176" s="14">
        <v>23</v>
      </c>
      <c r="BE176" s="14">
        <v>-16</v>
      </c>
    </row>
    <row r="177" spans="1:57" x14ac:dyDescent="0.25">
      <c r="A177" s="14">
        <v>149</v>
      </c>
      <c r="G177" s="14">
        <v>718</v>
      </c>
      <c r="H177" s="14">
        <v>61</v>
      </c>
      <c r="I177" s="14">
        <v>22</v>
      </c>
      <c r="L177" s="14">
        <v>470</v>
      </c>
      <c r="M177" s="14">
        <v>182</v>
      </c>
      <c r="O177" s="14">
        <v>-454</v>
      </c>
      <c r="P177" s="14">
        <v>248</v>
      </c>
      <c r="X177" s="14">
        <v>12</v>
      </c>
      <c r="Y177" s="14">
        <v>427</v>
      </c>
      <c r="AA177" s="14">
        <v>446</v>
      </c>
      <c r="AB177" s="14">
        <v>156</v>
      </c>
      <c r="AC177" s="14">
        <v>652</v>
      </c>
      <c r="AD177" s="14">
        <v>374</v>
      </c>
      <c r="AE177" s="14">
        <v>105</v>
      </c>
      <c r="AF177" s="14">
        <v>890</v>
      </c>
      <c r="AG177" s="14">
        <v>15</v>
      </c>
      <c r="AJ177" s="14">
        <v>16</v>
      </c>
      <c r="AL177" s="14">
        <v>29</v>
      </c>
      <c r="AM177" s="14">
        <v>-154</v>
      </c>
      <c r="AN177" s="14">
        <v>-279</v>
      </c>
      <c r="AP177" s="14">
        <v>-3</v>
      </c>
      <c r="AQ177" s="14">
        <v>101</v>
      </c>
      <c r="AR177" s="14">
        <v>312</v>
      </c>
      <c r="AS177" s="14">
        <v>13</v>
      </c>
      <c r="AT177" s="14">
        <v>69</v>
      </c>
      <c r="AU177" s="14">
        <v>81</v>
      </c>
      <c r="AV177" s="14">
        <v>147</v>
      </c>
      <c r="AW177" s="14">
        <v>-18</v>
      </c>
      <c r="AX177" s="14">
        <v>180</v>
      </c>
      <c r="AY177" s="14">
        <v>-33</v>
      </c>
      <c r="AZ177" s="14">
        <v>2</v>
      </c>
      <c r="BA177" s="14">
        <v>164</v>
      </c>
      <c r="BB177" s="14">
        <v>-11</v>
      </c>
      <c r="BC177" s="14">
        <v>613</v>
      </c>
      <c r="BD177" s="14">
        <v>18</v>
      </c>
      <c r="BE177" s="14">
        <v>2</v>
      </c>
    </row>
    <row r="178" spans="1:57" x14ac:dyDescent="0.25">
      <c r="A178" s="14">
        <v>141</v>
      </c>
      <c r="G178" s="14">
        <v>785</v>
      </c>
      <c r="H178" s="14">
        <v>-12</v>
      </c>
      <c r="I178" s="14">
        <v>-829</v>
      </c>
      <c r="L178" s="14">
        <v>-927</v>
      </c>
      <c r="M178" s="14">
        <v>175</v>
      </c>
      <c r="O178" s="14">
        <v>135</v>
      </c>
      <c r="P178" s="14">
        <v>28</v>
      </c>
      <c r="X178" s="14">
        <v>-897</v>
      </c>
      <c r="Y178" s="14">
        <v>183</v>
      </c>
      <c r="AA178" s="14">
        <v>-349</v>
      </c>
      <c r="AB178" s="14">
        <v>445</v>
      </c>
      <c r="AC178" s="14">
        <v>-105</v>
      </c>
      <c r="AD178" s="14">
        <v>707</v>
      </c>
      <c r="AE178" s="14">
        <v>989</v>
      </c>
      <c r="AF178" s="14">
        <v>768</v>
      </c>
      <c r="AG178" s="14">
        <v>-33</v>
      </c>
      <c r="AJ178" s="14">
        <v>-191</v>
      </c>
      <c r="AL178" s="14">
        <v>39</v>
      </c>
      <c r="AM178" s="14">
        <v>-213</v>
      </c>
      <c r="AN178" s="14">
        <v>68</v>
      </c>
      <c r="AP178" s="14">
        <v>-254</v>
      </c>
      <c r="AQ178" s="14">
        <v>100</v>
      </c>
      <c r="AR178" s="14">
        <v>816</v>
      </c>
      <c r="AS178" s="14">
        <v>-2</v>
      </c>
      <c r="AT178" s="14">
        <v>56</v>
      </c>
      <c r="AU178" s="14">
        <v>19</v>
      </c>
      <c r="AV178" s="14">
        <v>-166</v>
      </c>
      <c r="AW178" s="14">
        <v>62</v>
      </c>
      <c r="AX178" s="14">
        <v>462</v>
      </c>
      <c r="AY178" s="14">
        <v>53</v>
      </c>
      <c r="AZ178" s="14">
        <v>25</v>
      </c>
      <c r="BA178" s="14">
        <v>147</v>
      </c>
      <c r="BB178" s="14">
        <v>1</v>
      </c>
      <c r="BC178" s="14">
        <v>-980</v>
      </c>
      <c r="BD178" s="14">
        <v>19</v>
      </c>
      <c r="BE178" s="14">
        <v>5461</v>
      </c>
    </row>
    <row r="179" spans="1:57" x14ac:dyDescent="0.25">
      <c r="A179" s="14">
        <v>-179</v>
      </c>
      <c r="G179" s="14">
        <v>265</v>
      </c>
      <c r="H179" s="14">
        <v>-40</v>
      </c>
      <c r="I179" s="14">
        <v>121</v>
      </c>
      <c r="L179" s="14">
        <v>210</v>
      </c>
      <c r="M179" s="14">
        <v>146</v>
      </c>
      <c r="O179" s="14">
        <v>165</v>
      </c>
      <c r="P179" s="14">
        <v>175</v>
      </c>
      <c r="X179" s="14">
        <v>-754</v>
      </c>
      <c r="Y179" s="14">
        <v>147</v>
      </c>
      <c r="AA179" s="14">
        <v>582</v>
      </c>
      <c r="AB179" s="14">
        <v>969</v>
      </c>
      <c r="AC179" s="14">
        <v>652</v>
      </c>
      <c r="AD179" s="14">
        <v>897</v>
      </c>
      <c r="AE179" s="14">
        <v>970</v>
      </c>
      <c r="AF179" s="14">
        <v>933</v>
      </c>
      <c r="AG179" s="14">
        <v>4</v>
      </c>
      <c r="AJ179" s="14">
        <v>-403</v>
      </c>
      <c r="AL179" s="14">
        <v>-54</v>
      </c>
      <c r="AM179" s="14">
        <v>-168</v>
      </c>
      <c r="AN179" s="14">
        <v>67</v>
      </c>
      <c r="AP179" s="14">
        <v>-332</v>
      </c>
      <c r="AQ179" s="14">
        <v>96</v>
      </c>
      <c r="AR179" s="14">
        <v>-329</v>
      </c>
      <c r="AS179" s="14">
        <v>-48</v>
      </c>
      <c r="AT179" s="14">
        <v>8</v>
      </c>
      <c r="AU179" s="14">
        <v>36</v>
      </c>
      <c r="AV179" s="14">
        <v>893</v>
      </c>
      <c r="AW179" s="14">
        <v>-283</v>
      </c>
      <c r="AX179" s="14">
        <v>583</v>
      </c>
      <c r="AY179" s="14">
        <v>36</v>
      </c>
      <c r="AZ179" s="14">
        <v>-32</v>
      </c>
      <c r="BA179" s="14">
        <v>158</v>
      </c>
      <c r="BB179" s="14">
        <v>109</v>
      </c>
      <c r="BC179" s="14">
        <v>674</v>
      </c>
      <c r="BD179" s="14">
        <v>21</v>
      </c>
      <c r="BE179" s="14">
        <v>-179</v>
      </c>
    </row>
    <row r="180" spans="1:57" x14ac:dyDescent="0.25">
      <c r="A180" s="14">
        <v>347</v>
      </c>
      <c r="G180" s="14">
        <v>331</v>
      </c>
      <c r="H180" s="14">
        <v>-66</v>
      </c>
      <c r="I180" s="14">
        <v>523</v>
      </c>
      <c r="L180" s="14">
        <v>-686</v>
      </c>
      <c r="M180" s="14">
        <v>112</v>
      </c>
      <c r="O180" s="14">
        <v>728</v>
      </c>
      <c r="P180" s="14">
        <v>226</v>
      </c>
      <c r="X180" s="14">
        <v>-303</v>
      </c>
      <c r="Y180" s="14">
        <v>458</v>
      </c>
      <c r="AA180" s="14">
        <v>279</v>
      </c>
      <c r="AB180" s="14">
        <v>996</v>
      </c>
      <c r="AC180" s="14">
        <v>-290</v>
      </c>
      <c r="AD180" s="14">
        <v>136</v>
      </c>
      <c r="AE180" s="14">
        <v>101</v>
      </c>
      <c r="AF180" s="14">
        <v>104</v>
      </c>
      <c r="AG180" s="14">
        <v>-83</v>
      </c>
      <c r="AJ180" s="14">
        <v>-533</v>
      </c>
      <c r="AL180" s="14">
        <v>190</v>
      </c>
      <c r="AM180" s="14">
        <v>-156</v>
      </c>
      <c r="AN180" s="14">
        <v>-296</v>
      </c>
      <c r="AP180" s="14">
        <v>-252</v>
      </c>
      <c r="AQ180" s="14">
        <v>-2</v>
      </c>
      <c r="AR180" s="14">
        <v>195</v>
      </c>
      <c r="AS180" s="14">
        <v>53</v>
      </c>
      <c r="AT180" s="14">
        <v>25</v>
      </c>
      <c r="AU180" s="14">
        <v>24</v>
      </c>
      <c r="AV180" s="14">
        <v>610</v>
      </c>
      <c r="AW180" s="14">
        <v>948</v>
      </c>
      <c r="AX180" s="14">
        <v>-14</v>
      </c>
      <c r="AY180" s="14">
        <v>-18</v>
      </c>
      <c r="AZ180" s="14">
        <v>-4</v>
      </c>
      <c r="BA180" s="14">
        <v>194</v>
      </c>
      <c r="BB180" s="14">
        <v>10</v>
      </c>
      <c r="BC180" s="14">
        <v>144</v>
      </c>
      <c r="BD180" s="14">
        <v>17</v>
      </c>
      <c r="BE180" s="14">
        <v>1</v>
      </c>
    </row>
    <row r="181" spans="1:57" x14ac:dyDescent="0.25">
      <c r="A181" s="14">
        <v>3470</v>
      </c>
      <c r="G181" s="14">
        <v>12</v>
      </c>
      <c r="H181" s="14">
        <v>63</v>
      </c>
      <c r="I181" s="14">
        <v>935</v>
      </c>
      <c r="L181" s="14">
        <v>5</v>
      </c>
      <c r="M181" s="14">
        <v>63</v>
      </c>
      <c r="O181" s="14">
        <v>73</v>
      </c>
      <c r="P181" s="14">
        <v>-10</v>
      </c>
      <c r="X181" s="14">
        <v>5</v>
      </c>
      <c r="Y181" s="14">
        <v>739</v>
      </c>
      <c r="AA181" s="14">
        <v>598</v>
      </c>
      <c r="AB181" s="14">
        <v>-51</v>
      </c>
      <c r="AC181" s="14">
        <v>193</v>
      </c>
      <c r="AD181" s="14">
        <v>239</v>
      </c>
      <c r="AE181" s="14">
        <v>429</v>
      </c>
      <c r="AF181" s="14">
        <v>51</v>
      </c>
      <c r="AG181" s="14">
        <v>-13</v>
      </c>
      <c r="AJ181" s="14">
        <v>-147</v>
      </c>
      <c r="AL181" s="14">
        <v>-3</v>
      </c>
      <c r="AM181" s="14">
        <v>-143</v>
      </c>
      <c r="AN181" s="14">
        <v>-219</v>
      </c>
      <c r="AP181" s="14">
        <v>-255</v>
      </c>
      <c r="AQ181" s="14">
        <v>107</v>
      </c>
      <c r="AR181" s="14">
        <v>133</v>
      </c>
      <c r="AS181" s="14">
        <v>202</v>
      </c>
      <c r="AT181" s="14">
        <v>30</v>
      </c>
      <c r="AU181" s="14">
        <v>22</v>
      </c>
      <c r="AV181" s="14">
        <v>684</v>
      </c>
      <c r="AW181" s="14">
        <v>-465</v>
      </c>
      <c r="AX181" s="14">
        <v>-53</v>
      </c>
      <c r="AY181" s="14">
        <v>-31</v>
      </c>
      <c r="AZ181" s="14">
        <v>13</v>
      </c>
      <c r="BA181" s="14">
        <v>116</v>
      </c>
      <c r="BB181" s="14">
        <v>146</v>
      </c>
      <c r="BC181" s="14">
        <v>-195</v>
      </c>
      <c r="BD181" s="14">
        <v>18</v>
      </c>
      <c r="BE181" s="14">
        <v>12</v>
      </c>
    </row>
    <row r="182" spans="1:57" x14ac:dyDescent="0.25">
      <c r="A182" s="14">
        <v>87</v>
      </c>
      <c r="G182" s="14">
        <v>-534</v>
      </c>
      <c r="H182" s="14">
        <v>36</v>
      </c>
      <c r="I182" s="14">
        <v>129</v>
      </c>
      <c r="L182" s="14">
        <v>9</v>
      </c>
      <c r="M182" s="14">
        <v>116</v>
      </c>
      <c r="O182" s="14">
        <v>-221</v>
      </c>
      <c r="P182" s="14">
        <v>530</v>
      </c>
      <c r="X182" s="14">
        <v>66</v>
      </c>
      <c r="Y182" s="14">
        <v>-883</v>
      </c>
      <c r="AA182" s="14">
        <v>-302</v>
      </c>
      <c r="AB182" s="14">
        <v>-139</v>
      </c>
      <c r="AC182" s="14">
        <v>-903</v>
      </c>
      <c r="AD182" s="14">
        <v>165</v>
      </c>
      <c r="AE182" s="14">
        <v>608</v>
      </c>
      <c r="AF182" s="14">
        <v>-1</v>
      </c>
      <c r="AG182" s="14">
        <v>-13</v>
      </c>
      <c r="AJ182" s="14">
        <v>273</v>
      </c>
      <c r="AL182" s="14">
        <v>140</v>
      </c>
      <c r="AM182" s="14">
        <v>-163</v>
      </c>
      <c r="AN182" s="14">
        <v>-513</v>
      </c>
      <c r="AP182" s="14">
        <v>132</v>
      </c>
      <c r="AQ182" s="14">
        <v>245</v>
      </c>
      <c r="AR182" s="14">
        <v>-2</v>
      </c>
      <c r="AS182" s="14">
        <v>-27</v>
      </c>
      <c r="AT182" s="14">
        <v>60</v>
      </c>
      <c r="AU182" s="14">
        <v>18</v>
      </c>
      <c r="AV182" s="14">
        <v>503</v>
      </c>
      <c r="AW182" s="14">
        <v>-167</v>
      </c>
      <c r="AX182" s="14">
        <v>-129</v>
      </c>
      <c r="AY182" s="14">
        <v>49</v>
      </c>
      <c r="AZ182" s="14">
        <v>-71</v>
      </c>
      <c r="BA182" s="14">
        <v>155</v>
      </c>
      <c r="BB182" s="14">
        <v>187</v>
      </c>
      <c r="BC182" s="14">
        <v>285</v>
      </c>
      <c r="BD182" s="14">
        <v>24</v>
      </c>
      <c r="BE182" s="14">
        <v>-9</v>
      </c>
    </row>
    <row r="183" spans="1:57" x14ac:dyDescent="0.25">
      <c r="A183" s="14">
        <v>118</v>
      </c>
      <c r="G183" s="14">
        <v>-155</v>
      </c>
      <c r="H183" s="14">
        <v>-25</v>
      </c>
      <c r="I183" s="14">
        <v>960</v>
      </c>
      <c r="L183" s="14">
        <v>13</v>
      </c>
      <c r="M183" s="14">
        <v>138</v>
      </c>
      <c r="O183" s="14">
        <v>107</v>
      </c>
      <c r="P183" s="14">
        <v>156</v>
      </c>
      <c r="X183" s="14">
        <v>211</v>
      </c>
      <c r="Y183" s="14">
        <v>-335</v>
      </c>
      <c r="AA183" s="14">
        <v>-742</v>
      </c>
      <c r="AB183" s="14">
        <v>26</v>
      </c>
      <c r="AD183" s="14">
        <v>414</v>
      </c>
      <c r="AE183" s="14">
        <v>-116</v>
      </c>
      <c r="AF183" s="14">
        <v>840</v>
      </c>
      <c r="AG183" s="14">
        <v>-185</v>
      </c>
      <c r="AJ183" s="14">
        <v>419</v>
      </c>
      <c r="AL183" s="14">
        <v>243</v>
      </c>
      <c r="AM183" s="14">
        <v>-191</v>
      </c>
      <c r="AN183" s="14">
        <v>-599</v>
      </c>
      <c r="AP183" s="14">
        <v>104</v>
      </c>
      <c r="AQ183" s="14">
        <v>-77</v>
      </c>
      <c r="AR183" s="14">
        <v>-599</v>
      </c>
      <c r="AS183" s="14">
        <v>-59</v>
      </c>
      <c r="AT183" s="14">
        <v>55</v>
      </c>
      <c r="AU183" s="14">
        <v>12</v>
      </c>
      <c r="AV183" s="14">
        <v>-403</v>
      </c>
      <c r="AW183" s="14">
        <v>-640</v>
      </c>
      <c r="AX183" s="14">
        <v>-194</v>
      </c>
      <c r="AY183" s="14">
        <v>134</v>
      </c>
      <c r="AZ183" s="14">
        <v>930</v>
      </c>
      <c r="BA183" s="14">
        <v>144</v>
      </c>
      <c r="BB183" s="14">
        <v>-161</v>
      </c>
      <c r="BC183" s="14">
        <v>182</v>
      </c>
      <c r="BD183" s="14">
        <v>-166</v>
      </c>
      <c r="BE183" s="14">
        <v>-1</v>
      </c>
    </row>
    <row r="184" spans="1:57" x14ac:dyDescent="0.25">
      <c r="A184" s="14">
        <v>67</v>
      </c>
      <c r="G184" s="14">
        <v>291</v>
      </c>
      <c r="H184" s="14">
        <v>-15</v>
      </c>
      <c r="I184" s="14">
        <v>611</v>
      </c>
      <c r="L184" s="14">
        <v>17</v>
      </c>
      <c r="M184" s="14">
        <v>621</v>
      </c>
      <c r="O184" s="14">
        <v>147</v>
      </c>
      <c r="P184" s="14">
        <v>857</v>
      </c>
      <c r="X184" s="14">
        <v>-497</v>
      </c>
      <c r="Y184" s="14">
        <v>140</v>
      </c>
      <c r="AA184" s="14">
        <v>811</v>
      </c>
      <c r="AB184" s="14">
        <v>26</v>
      </c>
      <c r="AD184" s="14">
        <v>782</v>
      </c>
      <c r="AE184" s="14">
        <v>557</v>
      </c>
      <c r="AF184" s="14">
        <v>222</v>
      </c>
      <c r="AG184" s="14">
        <v>-125</v>
      </c>
      <c r="AJ184" s="14">
        <v>-700</v>
      </c>
      <c r="AL184" s="14">
        <v>-17</v>
      </c>
      <c r="AM184" s="14">
        <v>-77</v>
      </c>
      <c r="AN184" s="14">
        <v>-336</v>
      </c>
      <c r="AP184" s="14">
        <v>36</v>
      </c>
      <c r="AQ184" s="14">
        <v>14</v>
      </c>
      <c r="AR184" s="14">
        <v>276</v>
      </c>
      <c r="AS184" s="14">
        <v>-44</v>
      </c>
      <c r="AT184" s="14">
        <v>153</v>
      </c>
      <c r="AU184" s="14">
        <v>26</v>
      </c>
      <c r="AV184" s="14">
        <v>-263</v>
      </c>
      <c r="AW184" s="14">
        <v>-44</v>
      </c>
      <c r="AX184" s="14">
        <v>122</v>
      </c>
      <c r="AY184" s="14">
        <v>22</v>
      </c>
      <c r="AZ184" s="14">
        <v>316</v>
      </c>
      <c r="BA184" s="14">
        <v>88</v>
      </c>
      <c r="BB184" s="14">
        <v>681</v>
      </c>
      <c r="BC184" s="14">
        <v>625</v>
      </c>
      <c r="BD184" s="14">
        <v>5</v>
      </c>
      <c r="BE184" s="14">
        <v>-2</v>
      </c>
    </row>
    <row r="185" spans="1:57" x14ac:dyDescent="0.25">
      <c r="A185" s="14">
        <v>105</v>
      </c>
      <c r="G185" s="14">
        <v>456</v>
      </c>
      <c r="H185" s="14">
        <v>-8</v>
      </c>
      <c r="I185" s="14">
        <v>-204</v>
      </c>
      <c r="L185" s="14">
        <v>19</v>
      </c>
      <c r="M185" s="14">
        <v>152</v>
      </c>
      <c r="O185" s="14">
        <v>506</v>
      </c>
      <c r="P185" s="14">
        <v>418</v>
      </c>
      <c r="X185" s="14">
        <v>-11</v>
      </c>
      <c r="Y185" s="14">
        <v>544</v>
      </c>
      <c r="AA185" s="14">
        <v>-210</v>
      </c>
      <c r="AB185" s="14">
        <v>26</v>
      </c>
      <c r="AD185" s="14">
        <v>996</v>
      </c>
      <c r="AE185" s="14">
        <v>71</v>
      </c>
      <c r="AF185" s="14">
        <v>170</v>
      </c>
      <c r="AG185" s="14">
        <v>-142</v>
      </c>
      <c r="AJ185" s="14">
        <v>-636</v>
      </c>
      <c r="AL185" s="14">
        <v>-10</v>
      </c>
      <c r="AM185" s="14">
        <v>-149</v>
      </c>
      <c r="AN185" s="14">
        <v>-447</v>
      </c>
      <c r="AP185" s="14">
        <v>-324</v>
      </c>
      <c r="AQ185" s="14">
        <v>69</v>
      </c>
      <c r="AR185" s="14">
        <v>355</v>
      </c>
      <c r="AS185" s="14">
        <v>-381</v>
      </c>
      <c r="AT185" s="14">
        <v>103</v>
      </c>
      <c r="AU185" s="14">
        <v>31</v>
      </c>
      <c r="AV185" s="14">
        <v>-651</v>
      </c>
      <c r="AW185" s="14">
        <v>-230</v>
      </c>
      <c r="AX185" s="14">
        <v>-137</v>
      </c>
      <c r="AY185" s="14">
        <v>92</v>
      </c>
      <c r="AZ185" s="14">
        <v>375</v>
      </c>
      <c r="BA185" s="14">
        <v>150</v>
      </c>
      <c r="BB185" s="14">
        <v>37</v>
      </c>
      <c r="BC185" s="14">
        <v>259</v>
      </c>
      <c r="BD185" s="14">
        <v>-899</v>
      </c>
      <c r="BE185" s="14">
        <v>42</v>
      </c>
    </row>
    <row r="186" spans="1:57" x14ac:dyDescent="0.25">
      <c r="A186" s="14">
        <v>351</v>
      </c>
      <c r="G186" s="14">
        <v>202</v>
      </c>
      <c r="H186" s="14">
        <v>-28</v>
      </c>
      <c r="I186" s="14">
        <v>-223</v>
      </c>
      <c r="L186" s="14">
        <v>21</v>
      </c>
      <c r="M186" s="14">
        <v>-193</v>
      </c>
      <c r="O186" s="14">
        <v>67</v>
      </c>
      <c r="P186" s="14">
        <v>881</v>
      </c>
      <c r="X186" s="14">
        <v>-196</v>
      </c>
      <c r="Y186" s="14">
        <v>-357</v>
      </c>
      <c r="AA186" s="14">
        <v>318</v>
      </c>
      <c r="AB186" s="14">
        <v>-69</v>
      </c>
      <c r="AD186" s="14">
        <v>180</v>
      </c>
      <c r="AE186" s="14">
        <v>-737</v>
      </c>
      <c r="AF186" s="14">
        <v>252</v>
      </c>
      <c r="AG186" s="14">
        <v>292</v>
      </c>
      <c r="AJ186" s="14">
        <v>-110</v>
      </c>
      <c r="AL186" s="14">
        <v>-2</v>
      </c>
      <c r="AM186" s="14">
        <v>-39</v>
      </c>
      <c r="AN186" s="14">
        <v>-38</v>
      </c>
      <c r="AP186" s="14">
        <v>-310</v>
      </c>
      <c r="AQ186" s="14">
        <v>2</v>
      </c>
      <c r="AR186" s="14">
        <v>-301</v>
      </c>
      <c r="AS186" s="14">
        <v>-1</v>
      </c>
      <c r="AT186" s="14">
        <v>4</v>
      </c>
      <c r="AU186" s="14">
        <v>33</v>
      </c>
      <c r="AV186" s="14">
        <v>-389</v>
      </c>
      <c r="AW186" s="14">
        <v>-143</v>
      </c>
      <c r="AX186" s="14">
        <v>33</v>
      </c>
      <c r="AY186" s="14">
        <v>193</v>
      </c>
      <c r="AZ186" s="14">
        <v>163</v>
      </c>
      <c r="BA186" s="14">
        <v>136</v>
      </c>
      <c r="BB186" s="14">
        <v>181</v>
      </c>
      <c r="BD186" s="14">
        <v>-13</v>
      </c>
      <c r="BE186" s="14">
        <v>5</v>
      </c>
    </row>
    <row r="187" spans="1:57" x14ac:dyDescent="0.25">
      <c r="A187" s="14">
        <v>327</v>
      </c>
      <c r="G187" s="14">
        <v>129</v>
      </c>
      <c r="H187" s="14">
        <v>45</v>
      </c>
      <c r="I187" s="14">
        <v>514</v>
      </c>
      <c r="L187" s="14">
        <v>17</v>
      </c>
      <c r="M187" s="14">
        <v>-419</v>
      </c>
      <c r="O187" s="14">
        <v>161</v>
      </c>
      <c r="P187" s="14">
        <v>171</v>
      </c>
      <c r="X187" s="14">
        <v>179</v>
      </c>
      <c r="Y187" s="14">
        <v>-322</v>
      </c>
      <c r="AA187" s="14">
        <v>-153</v>
      </c>
      <c r="AB187" s="14">
        <v>965</v>
      </c>
      <c r="AD187" s="14">
        <v>300</v>
      </c>
      <c r="AE187" s="14">
        <v>-928</v>
      </c>
      <c r="AF187" s="14">
        <v>196</v>
      </c>
      <c r="AG187" s="14">
        <v>222</v>
      </c>
      <c r="AJ187" s="14">
        <v>-283</v>
      </c>
      <c r="AL187" s="14">
        <v>78</v>
      </c>
      <c r="AM187" s="14">
        <v>-130</v>
      </c>
      <c r="AN187" s="14">
        <v>-5</v>
      </c>
      <c r="AP187" s="14">
        <v>-307</v>
      </c>
      <c r="AQ187" s="14">
        <v>608</v>
      </c>
      <c r="AR187" s="14">
        <v>195</v>
      </c>
      <c r="AS187" s="14">
        <v>-1</v>
      </c>
      <c r="AT187" s="14">
        <v>-36</v>
      </c>
      <c r="AU187" s="14">
        <v>144</v>
      </c>
      <c r="AV187" s="14">
        <v>-10</v>
      </c>
      <c r="AW187" s="14">
        <v>-503</v>
      </c>
      <c r="AX187" s="14">
        <v>98</v>
      </c>
      <c r="AY187" s="14">
        <v>219</v>
      </c>
      <c r="AZ187" s="14">
        <v>186</v>
      </c>
      <c r="BA187" s="14">
        <v>129</v>
      </c>
      <c r="BB187" s="14">
        <v>111</v>
      </c>
      <c r="BD187" s="14">
        <v>-4</v>
      </c>
      <c r="BE187" s="14">
        <v>-283</v>
      </c>
    </row>
    <row r="188" spans="1:57" x14ac:dyDescent="0.25">
      <c r="A188" s="14">
        <v>529</v>
      </c>
      <c r="G188" s="14">
        <v>-194</v>
      </c>
      <c r="H188" s="14">
        <v>19</v>
      </c>
      <c r="I188" s="14">
        <v>113</v>
      </c>
      <c r="L188" s="14">
        <v>15</v>
      </c>
      <c r="M188" s="14">
        <v>-469</v>
      </c>
      <c r="O188" s="14">
        <v>685</v>
      </c>
      <c r="P188" s="14">
        <v>485</v>
      </c>
      <c r="X188" s="14">
        <v>366</v>
      </c>
      <c r="Y188" s="14">
        <v>125</v>
      </c>
      <c r="AA188" s="14">
        <v>278</v>
      </c>
      <c r="AB188" s="14">
        <v>397</v>
      </c>
      <c r="AD188" s="14">
        <v>99</v>
      </c>
      <c r="AE188" s="14">
        <v>-347</v>
      </c>
      <c r="AF188" s="14">
        <v>283</v>
      </c>
      <c r="AG188" s="14">
        <v>379</v>
      </c>
      <c r="AJ188" s="14">
        <v>127</v>
      </c>
      <c r="AL188" s="14">
        <v>33</v>
      </c>
      <c r="AM188" s="14">
        <v>-99</v>
      </c>
      <c r="AN188" s="14">
        <v>51</v>
      </c>
      <c r="AP188" s="14">
        <v>373</v>
      </c>
      <c r="AQ188" s="14">
        <v>-965</v>
      </c>
      <c r="AR188" s="14">
        <v>133</v>
      </c>
      <c r="AS188" s="14">
        <v>1</v>
      </c>
      <c r="AT188" s="14">
        <v>-15</v>
      </c>
      <c r="AU188" s="14">
        <v>128</v>
      </c>
      <c r="AV188" s="14">
        <v>682</v>
      </c>
      <c r="AW188" s="14">
        <v>-180</v>
      </c>
      <c r="AX188" s="14">
        <v>-7</v>
      </c>
      <c r="AY188" s="14">
        <v>-262</v>
      </c>
      <c r="AZ188" s="14">
        <v>616</v>
      </c>
      <c r="BA188" s="14">
        <v>148</v>
      </c>
      <c r="BB188" s="14">
        <v>45</v>
      </c>
      <c r="BD188" s="14">
        <v>-1</v>
      </c>
      <c r="BE188" s="14">
        <v>266</v>
      </c>
    </row>
    <row r="189" spans="1:57" x14ac:dyDescent="0.25">
      <c r="A189" s="14">
        <v>-6</v>
      </c>
      <c r="G189" s="14">
        <v>-560</v>
      </c>
      <c r="H189" s="14">
        <v>-62</v>
      </c>
      <c r="I189" s="14">
        <v>695</v>
      </c>
      <c r="L189" s="14">
        <v>10</v>
      </c>
      <c r="M189" s="14">
        <v>-439</v>
      </c>
      <c r="O189" s="14">
        <v>86</v>
      </c>
      <c r="P189" s="14">
        <v>209</v>
      </c>
      <c r="X189" s="14">
        <v>111</v>
      </c>
      <c r="Y189" s="14">
        <v>-317</v>
      </c>
      <c r="AA189" s="14">
        <v>685</v>
      </c>
      <c r="AB189" s="14">
        <v>515</v>
      </c>
      <c r="AD189" s="14">
        <v>466</v>
      </c>
      <c r="AE189" s="14">
        <v>596</v>
      </c>
      <c r="AF189" s="14">
        <v>253</v>
      </c>
      <c r="AG189" s="14">
        <v>182</v>
      </c>
      <c r="AJ189" s="14">
        <v>-278</v>
      </c>
      <c r="AL189" s="14">
        <v>-6</v>
      </c>
      <c r="AM189" s="14">
        <v>-142</v>
      </c>
      <c r="AN189" s="14">
        <v>-6</v>
      </c>
      <c r="AP189" s="14">
        <v>699</v>
      </c>
      <c r="AQ189" s="14">
        <v>156</v>
      </c>
      <c r="AR189" s="14">
        <v>-2</v>
      </c>
      <c r="AS189" s="14">
        <v>47</v>
      </c>
      <c r="AT189" s="14">
        <v>4</v>
      </c>
      <c r="AU189" s="14">
        <v>34</v>
      </c>
      <c r="AV189" s="14">
        <v>2</v>
      </c>
      <c r="AW189" s="14">
        <v>-147</v>
      </c>
      <c r="AX189" s="14">
        <v>889</v>
      </c>
      <c r="AY189" s="14">
        <v>-8</v>
      </c>
      <c r="AZ189" s="14">
        <v>-470</v>
      </c>
      <c r="BA189" s="14">
        <v>165</v>
      </c>
      <c r="BB189" s="14">
        <v>53</v>
      </c>
      <c r="BD189" s="14">
        <v>-5</v>
      </c>
      <c r="BE189" s="14">
        <v>-23</v>
      </c>
    </row>
    <row r="190" spans="1:57" x14ac:dyDescent="0.25">
      <c r="A190" s="14">
        <v>4260</v>
      </c>
      <c r="G190" s="14">
        <v>154</v>
      </c>
      <c r="H190" s="14">
        <v>-93</v>
      </c>
      <c r="I190" s="14">
        <v>-552</v>
      </c>
      <c r="L190" s="14">
        <v>-142</v>
      </c>
      <c r="M190" s="14">
        <v>-284</v>
      </c>
      <c r="O190" s="14">
        <v>376</v>
      </c>
      <c r="P190" s="14">
        <v>34</v>
      </c>
      <c r="X190" s="14">
        <v>726</v>
      </c>
      <c r="Y190" s="14">
        <v>482</v>
      </c>
      <c r="AA190" s="14">
        <v>122</v>
      </c>
      <c r="AB190" s="14">
        <v>-31</v>
      </c>
      <c r="AD190" s="14">
        <v>790</v>
      </c>
      <c r="AE190" s="14">
        <v>155</v>
      </c>
      <c r="AF190" s="14">
        <v>286</v>
      </c>
      <c r="AG190" s="14">
        <v>122</v>
      </c>
      <c r="AJ190" s="14">
        <v>-330</v>
      </c>
      <c r="AL190" s="14">
        <v>-58</v>
      </c>
      <c r="AM190" s="14">
        <v>2</v>
      </c>
      <c r="AN190" s="14">
        <v>25</v>
      </c>
      <c r="AP190" s="14">
        <v>-8</v>
      </c>
      <c r="AQ190" s="14">
        <v>65</v>
      </c>
      <c r="AR190" s="14">
        <v>-204</v>
      </c>
      <c r="AS190" s="14">
        <v>-3</v>
      </c>
      <c r="AT190" s="14">
        <v>114</v>
      </c>
      <c r="AU190" s="14">
        <v>2</v>
      </c>
      <c r="AV190" s="14">
        <v>685</v>
      </c>
      <c r="AW190" s="14">
        <v>-541</v>
      </c>
      <c r="AX190" s="14">
        <v>128</v>
      </c>
      <c r="AY190" s="14">
        <v>76</v>
      </c>
      <c r="AZ190" s="14">
        <v>-188</v>
      </c>
      <c r="BA190" s="14">
        <v>180</v>
      </c>
      <c r="BB190" s="14">
        <v>-34</v>
      </c>
      <c r="BD190" s="14">
        <v>-5</v>
      </c>
      <c r="BE190" s="14">
        <v>1</v>
      </c>
    </row>
    <row r="191" spans="1:57" x14ac:dyDescent="0.25">
      <c r="A191" s="14">
        <v>162</v>
      </c>
      <c r="G191" s="14">
        <v>118</v>
      </c>
      <c r="H191" s="14">
        <v>-79</v>
      </c>
      <c r="I191" s="14">
        <v>-494</v>
      </c>
      <c r="L191" s="14">
        <v>-102</v>
      </c>
      <c r="M191" s="14">
        <v>321</v>
      </c>
      <c r="O191" s="14">
        <v>46</v>
      </c>
      <c r="P191" s="14">
        <v>159</v>
      </c>
      <c r="X191" s="14">
        <v>-760</v>
      </c>
      <c r="Y191" s="14">
        <v>496</v>
      </c>
      <c r="AA191" s="14">
        <v>673</v>
      </c>
      <c r="AB191" s="14">
        <v>-698</v>
      </c>
      <c r="AD191" s="14">
        <v>117</v>
      </c>
      <c r="AE191" s="14">
        <v>-128</v>
      </c>
      <c r="AF191" s="14">
        <v>316</v>
      </c>
      <c r="AG191" s="14">
        <v>216</v>
      </c>
      <c r="AJ191" s="14">
        <v>20</v>
      </c>
      <c r="AL191" s="14">
        <v>162</v>
      </c>
      <c r="AM191" s="14">
        <v>-23</v>
      </c>
      <c r="AN191" s="14">
        <v>-49</v>
      </c>
      <c r="AP191" s="14">
        <v>8</v>
      </c>
      <c r="AQ191" s="14">
        <v>-625</v>
      </c>
      <c r="AR191" s="14">
        <v>410</v>
      </c>
      <c r="AS191" s="14">
        <v>-1</v>
      </c>
      <c r="AT191" s="14">
        <v>78</v>
      </c>
      <c r="AU191" s="14">
        <v>77</v>
      </c>
      <c r="AV191" s="14">
        <v>503</v>
      </c>
      <c r="AW191" s="14">
        <v>-147</v>
      </c>
      <c r="AX191" s="14">
        <v>172</v>
      </c>
      <c r="AY191" s="14">
        <v>141</v>
      </c>
      <c r="AZ191" s="14">
        <v>20</v>
      </c>
      <c r="BA191" s="14">
        <v>176</v>
      </c>
      <c r="BB191" s="14">
        <v>47</v>
      </c>
      <c r="BD191" s="14">
        <v>-1</v>
      </c>
      <c r="BE191" s="14">
        <v>1876</v>
      </c>
    </row>
    <row r="192" spans="1:57" x14ac:dyDescent="0.25">
      <c r="A192" s="14">
        <v>65</v>
      </c>
      <c r="G192" s="14">
        <v>631</v>
      </c>
      <c r="H192" s="14">
        <v>-82</v>
      </c>
      <c r="I192" s="14">
        <v>-167</v>
      </c>
      <c r="L192" s="14">
        <v>-94</v>
      </c>
      <c r="M192" s="14">
        <v>339</v>
      </c>
      <c r="O192" s="14">
        <v>-285</v>
      </c>
      <c r="P192" s="14">
        <v>209</v>
      </c>
      <c r="X192" s="14">
        <v>-199</v>
      </c>
      <c r="Y192" s="14">
        <v>189</v>
      </c>
      <c r="AA192" s="14">
        <v>-394</v>
      </c>
      <c r="AB192" s="14">
        <v>106</v>
      </c>
      <c r="AD192" s="14">
        <v>179</v>
      </c>
      <c r="AE192" s="14">
        <v>406</v>
      </c>
      <c r="AF192" s="14">
        <v>387</v>
      </c>
      <c r="AG192" s="14">
        <v>266</v>
      </c>
      <c r="AJ192" s="14">
        <v>-410</v>
      </c>
      <c r="AL192" s="14">
        <v>287</v>
      </c>
      <c r="AM192" s="14">
        <v>49</v>
      </c>
      <c r="AN192" s="14">
        <v>50</v>
      </c>
      <c r="AP192" s="14">
        <v>165</v>
      </c>
      <c r="AQ192" s="14">
        <v>-927</v>
      </c>
      <c r="AR192" s="14">
        <v>980</v>
      </c>
      <c r="AS192" s="14">
        <v>21</v>
      </c>
      <c r="AT192" s="14">
        <v>40</v>
      </c>
      <c r="AU192" s="14">
        <v>39</v>
      </c>
      <c r="AV192" s="14">
        <v>-425</v>
      </c>
      <c r="AW192" s="14">
        <v>-453</v>
      </c>
      <c r="AX192" s="14">
        <v>147</v>
      </c>
      <c r="AY192" s="14">
        <v>288</v>
      </c>
      <c r="AZ192" s="14">
        <v>-1</v>
      </c>
      <c r="BA192" s="14">
        <v>164</v>
      </c>
      <c r="BB192" s="14">
        <v>48</v>
      </c>
      <c r="BD192" s="14">
        <v>-9</v>
      </c>
      <c r="BE192" s="14">
        <v>231</v>
      </c>
    </row>
    <row r="193" spans="1:57" x14ac:dyDescent="0.25">
      <c r="A193" s="14">
        <v>62</v>
      </c>
      <c r="G193" s="14">
        <v>-823</v>
      </c>
      <c r="H193" s="14">
        <v>-78</v>
      </c>
      <c r="I193" s="14">
        <v>-304</v>
      </c>
      <c r="L193" s="14">
        <v>-4</v>
      </c>
      <c r="M193" s="14">
        <v>277</v>
      </c>
      <c r="O193" s="14">
        <v>146</v>
      </c>
      <c r="P193" s="14">
        <v>-14</v>
      </c>
      <c r="X193" s="14">
        <v>-287</v>
      </c>
      <c r="Y193" s="14">
        <v>129</v>
      </c>
      <c r="AA193" s="14">
        <v>-434</v>
      </c>
      <c r="AB193" s="14">
        <v>24</v>
      </c>
      <c r="AD193" s="14">
        <v>320</v>
      </c>
      <c r="AE193" s="14">
        <v>-319</v>
      </c>
      <c r="AF193" s="14">
        <v>464</v>
      </c>
      <c r="AG193" s="14">
        <v>285</v>
      </c>
      <c r="AJ193" s="14">
        <v>-141</v>
      </c>
      <c r="AL193" s="14">
        <v>196</v>
      </c>
      <c r="AM193" s="14">
        <v>44</v>
      </c>
      <c r="AN193" s="14">
        <v>-5</v>
      </c>
      <c r="AP193" s="14">
        <v>179</v>
      </c>
      <c r="AQ193" s="14">
        <v>-70</v>
      </c>
      <c r="AR193" s="14">
        <v>-413</v>
      </c>
      <c r="AS193" s="14">
        <v>1</v>
      </c>
      <c r="AT193" s="14">
        <v>15</v>
      </c>
      <c r="AU193" s="14">
        <v>24</v>
      </c>
      <c r="AV193" s="14">
        <v>-280</v>
      </c>
      <c r="AW193" s="14">
        <v>267</v>
      </c>
      <c r="AX193" s="14">
        <v>448</v>
      </c>
      <c r="AY193" s="14">
        <v>-199</v>
      </c>
      <c r="AZ193" s="14">
        <v>1</v>
      </c>
      <c r="BA193" s="14">
        <v>163</v>
      </c>
      <c r="BB193" s="14">
        <v>1973</v>
      </c>
      <c r="BD193" s="14">
        <v>-5</v>
      </c>
      <c r="BE193" s="14">
        <v>3</v>
      </c>
    </row>
    <row r="194" spans="1:57" x14ac:dyDescent="0.25">
      <c r="A194" s="14">
        <v>322</v>
      </c>
      <c r="G194" s="14">
        <v>-351</v>
      </c>
      <c r="H194" s="14">
        <v>-88</v>
      </c>
      <c r="I194" s="14">
        <v>277</v>
      </c>
      <c r="L194" s="14">
        <v>6</v>
      </c>
      <c r="M194" s="14">
        <v>239</v>
      </c>
      <c r="O194" s="14">
        <v>170</v>
      </c>
      <c r="P194" s="14">
        <v>506</v>
      </c>
      <c r="X194" s="14">
        <v>-463</v>
      </c>
      <c r="Y194" s="14">
        <v>741</v>
      </c>
      <c r="AA194" s="14">
        <v>176</v>
      </c>
      <c r="AB194" s="14">
        <v>52</v>
      </c>
      <c r="AD194" s="14">
        <v>152</v>
      </c>
      <c r="AE194" s="14">
        <v>105</v>
      </c>
      <c r="AF194" s="14">
        <v>305</v>
      </c>
      <c r="AG194" s="14">
        <v>103</v>
      </c>
      <c r="AJ194" s="14">
        <v>689</v>
      </c>
      <c r="AL194" s="14">
        <v>-57</v>
      </c>
      <c r="AM194" s="14">
        <v>27</v>
      </c>
      <c r="AN194" s="14">
        <v>31</v>
      </c>
      <c r="AP194" s="14">
        <v>146</v>
      </c>
      <c r="AQ194" s="14">
        <v>216</v>
      </c>
      <c r="AR194" s="14">
        <v>375</v>
      </c>
      <c r="AS194" s="14">
        <v>1</v>
      </c>
      <c r="AT194" s="14">
        <v>30</v>
      </c>
      <c r="AU194" s="14">
        <v>19</v>
      </c>
      <c r="AV194" s="14">
        <v>-659</v>
      </c>
      <c r="AW194" s="14">
        <v>728</v>
      </c>
      <c r="AX194" s="14">
        <v>562</v>
      </c>
      <c r="AY194" s="14">
        <v>-64</v>
      </c>
      <c r="AZ194" s="14">
        <v>15</v>
      </c>
      <c r="BA194" s="14">
        <v>181</v>
      </c>
      <c r="BB194" s="14">
        <v>1488</v>
      </c>
      <c r="BD194" s="14">
        <v>1</v>
      </c>
      <c r="BE194" s="14">
        <v>11</v>
      </c>
    </row>
    <row r="195" spans="1:57" x14ac:dyDescent="0.25">
      <c r="A195" s="14">
        <v>338</v>
      </c>
      <c r="G195" s="14">
        <v>-2</v>
      </c>
      <c r="H195" s="14">
        <v>-91</v>
      </c>
      <c r="I195" s="14">
        <v>134</v>
      </c>
      <c r="L195" s="14">
        <v>12</v>
      </c>
      <c r="M195" s="14">
        <v>191</v>
      </c>
      <c r="O195" s="14">
        <v>209</v>
      </c>
      <c r="P195" s="14">
        <v>152</v>
      </c>
      <c r="X195" s="14">
        <v>-84</v>
      </c>
      <c r="Y195" s="14">
        <v>-483</v>
      </c>
      <c r="AA195" s="14">
        <v>101</v>
      </c>
      <c r="AB195" s="14">
        <v>-42</v>
      </c>
      <c r="AD195" s="14">
        <v>563</v>
      </c>
      <c r="AE195" s="14">
        <v>69</v>
      </c>
      <c r="AF195" s="14">
        <v>427</v>
      </c>
      <c r="AG195" s="14">
        <v>271</v>
      </c>
      <c r="AJ195" s="14">
        <v>-818</v>
      </c>
      <c r="AL195" s="14">
        <v>1</v>
      </c>
      <c r="AM195" s="14">
        <v>-16</v>
      </c>
      <c r="AN195" s="14">
        <v>40</v>
      </c>
      <c r="AP195" s="14">
        <v>176</v>
      </c>
      <c r="AQ195" s="14">
        <v>187</v>
      </c>
      <c r="AR195" s="14">
        <v>459</v>
      </c>
      <c r="AS195" s="14">
        <v>9</v>
      </c>
      <c r="AT195" s="14">
        <v>52</v>
      </c>
      <c r="AU195" s="14">
        <v>4</v>
      </c>
      <c r="AV195" s="14">
        <v>-306</v>
      </c>
      <c r="AW195" s="14">
        <v>702</v>
      </c>
      <c r="AX195" s="14">
        <v>-59</v>
      </c>
      <c r="AY195" s="14">
        <v>88</v>
      </c>
      <c r="AZ195" s="14">
        <v>-19</v>
      </c>
      <c r="BA195" s="14">
        <v>178</v>
      </c>
      <c r="BB195" s="14">
        <v>997</v>
      </c>
      <c r="BD195" s="14">
        <v>-4</v>
      </c>
      <c r="BE195" s="14">
        <v>-6</v>
      </c>
    </row>
    <row r="196" spans="1:57" x14ac:dyDescent="0.25">
      <c r="A196" s="14">
        <v>4309</v>
      </c>
      <c r="G196" s="14">
        <v>34</v>
      </c>
      <c r="H196" s="14">
        <v>-88</v>
      </c>
      <c r="I196" s="14">
        <v>-55</v>
      </c>
      <c r="L196" s="14">
        <v>17</v>
      </c>
      <c r="M196" s="14">
        <v>148</v>
      </c>
      <c r="O196" s="14">
        <v>65</v>
      </c>
      <c r="P196" s="14">
        <v>938</v>
      </c>
      <c r="X196" s="14">
        <v>4</v>
      </c>
      <c r="Y196" s="14">
        <v>-561</v>
      </c>
      <c r="AA196" s="14">
        <v>959</v>
      </c>
      <c r="AB196" s="14">
        <v>993</v>
      </c>
      <c r="AD196" s="14">
        <v>107</v>
      </c>
      <c r="AE196" s="14">
        <v>863</v>
      </c>
      <c r="AF196" s="14">
        <v>504</v>
      </c>
      <c r="AG196" s="14">
        <v>143</v>
      </c>
      <c r="AJ196" s="14">
        <v>790</v>
      </c>
      <c r="AL196" s="14">
        <v>2</v>
      </c>
      <c r="AM196" s="14">
        <v>49</v>
      </c>
      <c r="AN196" s="14">
        <v>2</v>
      </c>
      <c r="AP196" s="14">
        <v>-398</v>
      </c>
      <c r="AQ196" s="14">
        <v>222</v>
      </c>
      <c r="AR196" s="14">
        <v>-376</v>
      </c>
      <c r="AS196" s="14">
        <v>52</v>
      </c>
      <c r="AT196" s="14">
        <v>145</v>
      </c>
      <c r="AU196" s="14">
        <v>16</v>
      </c>
      <c r="AV196" s="14">
        <v>-11</v>
      </c>
      <c r="AW196" s="14">
        <v>294</v>
      </c>
      <c r="AX196" s="14">
        <v>-151</v>
      </c>
      <c r="AY196" s="14">
        <v>-98</v>
      </c>
      <c r="AZ196" s="14">
        <v>-6</v>
      </c>
      <c r="BA196" s="14">
        <v>157</v>
      </c>
      <c r="BB196" s="14">
        <v>-344</v>
      </c>
      <c r="BD196" s="14">
        <v>2</v>
      </c>
      <c r="BE196" s="14">
        <v>6</v>
      </c>
    </row>
    <row r="197" spans="1:57" x14ac:dyDescent="0.25">
      <c r="A197" s="14">
        <v>4253</v>
      </c>
      <c r="G197" s="14">
        <v>-276</v>
      </c>
      <c r="H197" s="14">
        <v>1706</v>
      </c>
      <c r="I197" s="14">
        <v>-868</v>
      </c>
      <c r="L197" s="14">
        <v>16</v>
      </c>
      <c r="M197" s="14">
        <v>105</v>
      </c>
      <c r="O197" s="14">
        <v>-655</v>
      </c>
      <c r="P197" s="14">
        <v>418</v>
      </c>
      <c r="X197" s="14">
        <v>4</v>
      </c>
      <c r="Y197" s="14">
        <v>-711</v>
      </c>
      <c r="AA197" s="14">
        <v>-620</v>
      </c>
      <c r="AB197" s="14">
        <v>114</v>
      </c>
      <c r="AD197" s="14">
        <v>157</v>
      </c>
      <c r="AE197" s="14">
        <v>143</v>
      </c>
      <c r="AF197" s="14">
        <v>154</v>
      </c>
      <c r="AG197" s="14">
        <v>-53</v>
      </c>
      <c r="AJ197" s="14">
        <v>114</v>
      </c>
      <c r="AL197" s="14">
        <v>-2</v>
      </c>
      <c r="AM197" s="14">
        <v>40</v>
      </c>
      <c r="AN197" s="14">
        <v>377</v>
      </c>
      <c r="AP197" s="14">
        <v>-416</v>
      </c>
      <c r="AQ197" s="14">
        <v>-606</v>
      </c>
      <c r="AR197" s="14">
        <v>392</v>
      </c>
      <c r="AS197" s="14">
        <v>82</v>
      </c>
      <c r="AT197" s="14">
        <v>89</v>
      </c>
      <c r="AU197" s="14">
        <v>12</v>
      </c>
      <c r="AV197" s="14">
        <v>684</v>
      </c>
      <c r="AW197" s="14">
        <v>736</v>
      </c>
      <c r="AX197" s="14">
        <v>-184</v>
      </c>
      <c r="AY197" s="14">
        <v>11</v>
      </c>
      <c r="AZ197" s="14">
        <v>63</v>
      </c>
      <c r="BA197" s="14">
        <v>125</v>
      </c>
      <c r="BB197" s="14">
        <v>-102</v>
      </c>
      <c r="BD197" s="14">
        <v>-1</v>
      </c>
      <c r="BE197" s="14">
        <v>-9</v>
      </c>
    </row>
    <row r="198" spans="1:57" x14ac:dyDescent="0.25">
      <c r="A198" s="14">
        <v>-14</v>
      </c>
      <c r="G198" s="14">
        <v>-551</v>
      </c>
      <c r="H198" s="14">
        <v>-19</v>
      </c>
      <c r="I198" s="14">
        <v>-440</v>
      </c>
      <c r="L198" s="14">
        <v>13</v>
      </c>
      <c r="M198" s="14">
        <v>67</v>
      </c>
      <c r="O198" s="14">
        <v>139</v>
      </c>
      <c r="P198" s="14">
        <v>878</v>
      </c>
      <c r="X198" s="14">
        <v>-4</v>
      </c>
      <c r="Y198" s="14">
        <v>-391</v>
      </c>
      <c r="AA198" s="14">
        <v>-650</v>
      </c>
      <c r="AB198" s="14">
        <v>15</v>
      </c>
      <c r="AD198" s="14">
        <v>182</v>
      </c>
      <c r="AE198" s="14">
        <v>-702</v>
      </c>
      <c r="AF198" s="14">
        <v>232</v>
      </c>
      <c r="AG198" s="14">
        <v>-56</v>
      </c>
      <c r="AJ198" s="14">
        <v>173</v>
      </c>
      <c r="AL198" s="14">
        <v>7</v>
      </c>
      <c r="AM198" s="14">
        <v>27</v>
      </c>
      <c r="AN198" s="14">
        <v>410</v>
      </c>
      <c r="AP198" s="14">
        <v>-34</v>
      </c>
      <c r="AQ198" s="14">
        <v>-18</v>
      </c>
      <c r="AR198" s="14">
        <v>109</v>
      </c>
      <c r="AS198" s="14">
        <v>43</v>
      </c>
      <c r="AT198" s="14">
        <v>45</v>
      </c>
      <c r="AU198" s="14">
        <v>12</v>
      </c>
      <c r="AV198" s="14">
        <v>-194</v>
      </c>
      <c r="AW198" s="14">
        <v>163</v>
      </c>
      <c r="AX198" s="14">
        <v>-116</v>
      </c>
      <c r="AY198" s="14">
        <v>114</v>
      </c>
      <c r="AZ198" s="14">
        <v>-161</v>
      </c>
      <c r="BA198" s="14">
        <v>99</v>
      </c>
      <c r="BB198" s="14">
        <v>377</v>
      </c>
      <c r="BD198" s="14">
        <v>-13</v>
      </c>
      <c r="BE198" s="14">
        <v>-17</v>
      </c>
    </row>
    <row r="199" spans="1:57" x14ac:dyDescent="0.25">
      <c r="A199" s="14">
        <v>4</v>
      </c>
      <c r="G199" s="14">
        <v>400</v>
      </c>
      <c r="H199" s="14">
        <v>-23</v>
      </c>
      <c r="I199" s="14">
        <v>-161</v>
      </c>
      <c r="L199" s="14">
        <v>5</v>
      </c>
      <c r="M199" s="14">
        <v>32</v>
      </c>
      <c r="O199" s="14">
        <v>261</v>
      </c>
      <c r="P199" s="14">
        <v>173</v>
      </c>
      <c r="X199" s="14">
        <v>-382</v>
      </c>
      <c r="Y199" s="14">
        <v>818</v>
      </c>
      <c r="AA199" s="14">
        <v>293</v>
      </c>
      <c r="AB199" s="14">
        <v>-160</v>
      </c>
      <c r="AD199" s="14">
        <v>263</v>
      </c>
      <c r="AE199" s="14">
        <v>-286</v>
      </c>
      <c r="AF199" s="14">
        <v>20</v>
      </c>
      <c r="AG199" s="14">
        <v>-9</v>
      </c>
      <c r="AJ199" s="14">
        <v>340</v>
      </c>
      <c r="AL199" s="14">
        <v>-2</v>
      </c>
      <c r="AM199" s="14">
        <v>-46</v>
      </c>
      <c r="AN199" s="14">
        <v>186</v>
      </c>
      <c r="AP199" s="14">
        <v>-36</v>
      </c>
      <c r="AQ199" s="14">
        <v>444</v>
      </c>
      <c r="AR199" s="14">
        <v>-456</v>
      </c>
      <c r="AS199" s="14">
        <v>-17</v>
      </c>
      <c r="AT199" s="14">
        <v>-22</v>
      </c>
      <c r="AU199" s="14">
        <v>28</v>
      </c>
      <c r="AV199" s="14">
        <v>-448</v>
      </c>
      <c r="AW199" s="14">
        <v>3</v>
      </c>
      <c r="AX199" s="14">
        <v>225</v>
      </c>
      <c r="AY199" s="14">
        <v>132</v>
      </c>
      <c r="AZ199" s="14">
        <v>32</v>
      </c>
      <c r="BA199" s="14">
        <v>506</v>
      </c>
      <c r="BB199" s="14">
        <v>854</v>
      </c>
      <c r="BD199" s="14">
        <v>-11</v>
      </c>
      <c r="BE199" s="14">
        <v>19</v>
      </c>
    </row>
    <row r="200" spans="1:57" x14ac:dyDescent="0.25">
      <c r="A200" s="14">
        <v>669</v>
      </c>
      <c r="G200" s="14">
        <v>257</v>
      </c>
      <c r="H200" s="14">
        <v>-19</v>
      </c>
      <c r="I200" s="14">
        <v>-281</v>
      </c>
      <c r="L200" s="14">
        <v>1</v>
      </c>
      <c r="M200" s="14">
        <v>139</v>
      </c>
      <c r="O200" s="14">
        <v>461</v>
      </c>
      <c r="P200" s="14">
        <v>487</v>
      </c>
      <c r="X200" s="14">
        <v>188</v>
      </c>
      <c r="Y200" s="14">
        <v>-550</v>
      </c>
      <c r="AA200" s="14">
        <v>258</v>
      </c>
      <c r="AB200" s="14">
        <v>101</v>
      </c>
      <c r="AD200" s="14">
        <v>192</v>
      </c>
      <c r="AE200" s="14">
        <v>-258</v>
      </c>
      <c r="AF200" s="14">
        <v>274</v>
      </c>
      <c r="AG200" s="14">
        <v>8</v>
      </c>
      <c r="AJ200" s="14">
        <v>131</v>
      </c>
      <c r="AL200" s="14">
        <v>5</v>
      </c>
      <c r="AM200" s="14">
        <v>110</v>
      </c>
      <c r="AN200" s="14">
        <v>309</v>
      </c>
      <c r="AP200" s="14">
        <v>-226</v>
      </c>
      <c r="AQ200" s="14">
        <v>-569</v>
      </c>
      <c r="AR200" s="14">
        <v>227</v>
      </c>
      <c r="AS200" s="14">
        <v>-49</v>
      </c>
      <c r="AT200" s="14">
        <v>16</v>
      </c>
      <c r="AU200" s="14">
        <v>99</v>
      </c>
      <c r="AV200" s="14">
        <v>686</v>
      </c>
      <c r="AW200" s="14">
        <v>-280</v>
      </c>
      <c r="AX200" s="14">
        <v>-423</v>
      </c>
      <c r="AY200" s="14">
        <v>162</v>
      </c>
      <c r="AZ200" s="14">
        <v>950</v>
      </c>
      <c r="BA200" s="14">
        <v>139</v>
      </c>
      <c r="BB200" s="14">
        <v>-327</v>
      </c>
      <c r="BD200" s="14">
        <v>-10</v>
      </c>
      <c r="BE200" s="14">
        <v>-111</v>
      </c>
    </row>
    <row r="201" spans="1:57" x14ac:dyDescent="0.25">
      <c r="A201" s="14">
        <v>3274</v>
      </c>
      <c r="G201" s="14">
        <v>515</v>
      </c>
      <c r="H201" s="14">
        <v>-17</v>
      </c>
      <c r="I201" s="14">
        <v>144</v>
      </c>
      <c r="L201" s="14">
        <v>-148</v>
      </c>
      <c r="M201" s="14">
        <v>374</v>
      </c>
      <c r="O201" s="14">
        <v>27</v>
      </c>
      <c r="P201" s="14">
        <v>209</v>
      </c>
      <c r="X201" s="14">
        <v>-49</v>
      </c>
      <c r="Y201" s="14">
        <v>-617</v>
      </c>
      <c r="AA201" s="14">
        <v>433</v>
      </c>
      <c r="AB201" s="14">
        <v>-1</v>
      </c>
      <c r="AD201" s="14">
        <v>371</v>
      </c>
      <c r="AE201" s="14">
        <v>-266</v>
      </c>
      <c r="AF201" s="14">
        <v>497</v>
      </c>
      <c r="AG201" s="14">
        <v>-48</v>
      </c>
      <c r="AJ201" s="14">
        <v>147</v>
      </c>
      <c r="AL201" s="14">
        <v>-3</v>
      </c>
      <c r="AM201" s="14">
        <v>38</v>
      </c>
      <c r="AN201" s="14">
        <v>195</v>
      </c>
      <c r="AP201" s="14">
        <v>-219</v>
      </c>
      <c r="AQ201" s="14">
        <v>119</v>
      </c>
      <c r="AR201" s="14">
        <v>388</v>
      </c>
      <c r="AS201" s="14">
        <v>-82</v>
      </c>
      <c r="AT201" s="14">
        <v>-2</v>
      </c>
      <c r="AU201" s="14">
        <v>85</v>
      </c>
      <c r="AV201" s="14">
        <v>497</v>
      </c>
      <c r="AW201" s="14">
        <v>-273</v>
      </c>
      <c r="AX201" s="14">
        <v>86</v>
      </c>
      <c r="AY201" s="14">
        <v>33</v>
      </c>
      <c r="AZ201" s="14">
        <v>329</v>
      </c>
      <c r="BA201" s="14">
        <v>143</v>
      </c>
      <c r="BB201" s="14">
        <v>413</v>
      </c>
      <c r="BD201" s="14">
        <v>-10</v>
      </c>
      <c r="BE201" s="14">
        <v>3065</v>
      </c>
    </row>
    <row r="202" spans="1:57" x14ac:dyDescent="0.25">
      <c r="A202" s="14">
        <v>42596</v>
      </c>
      <c r="G202" s="14">
        <v>-545</v>
      </c>
      <c r="H202" s="14">
        <v>-25</v>
      </c>
      <c r="I202" s="14">
        <v>156</v>
      </c>
      <c r="L202" s="14">
        <v>-105</v>
      </c>
      <c r="M202" s="14">
        <v>192</v>
      </c>
      <c r="O202" s="14">
        <v>-462</v>
      </c>
      <c r="P202" s="14">
        <v>34</v>
      </c>
      <c r="X202" s="14">
        <v>-219</v>
      </c>
      <c r="Y202" s="14">
        <v>-789</v>
      </c>
      <c r="AA202" s="14">
        <v>329</v>
      </c>
      <c r="AB202" s="14">
        <v>100</v>
      </c>
      <c r="AD202" s="14">
        <v>667</v>
      </c>
      <c r="AE202" s="14">
        <v>943</v>
      </c>
      <c r="AF202" s="14">
        <v>652</v>
      </c>
      <c r="AG202" s="14">
        <v>1</v>
      </c>
      <c r="AJ202" s="14">
        <v>678</v>
      </c>
      <c r="AL202" s="14">
        <v>298</v>
      </c>
      <c r="AM202" s="14">
        <v>-30</v>
      </c>
      <c r="AN202" s="14">
        <v>122</v>
      </c>
      <c r="AP202" s="14">
        <v>823</v>
      </c>
      <c r="AQ202" s="14">
        <v>326</v>
      </c>
      <c r="AR202" s="14">
        <v>-55</v>
      </c>
      <c r="AS202" s="14">
        <v>-1</v>
      </c>
      <c r="AT202" s="14">
        <v>158</v>
      </c>
      <c r="AU202" s="14">
        <v>-21</v>
      </c>
      <c r="AV202" s="14">
        <v>-417</v>
      </c>
      <c r="AW202" s="14">
        <v>3210</v>
      </c>
      <c r="AX202" s="14">
        <v>120</v>
      </c>
      <c r="AY202" s="14">
        <v>189</v>
      </c>
      <c r="AZ202" s="14">
        <v>375</v>
      </c>
      <c r="BA202" s="14">
        <v>58</v>
      </c>
      <c r="BB202" s="14">
        <v>1326</v>
      </c>
      <c r="BD202" s="14">
        <v>-11</v>
      </c>
      <c r="BE202" s="14">
        <v>3092</v>
      </c>
    </row>
    <row r="203" spans="1:57" x14ac:dyDescent="0.25">
      <c r="A203" s="14">
        <v>211</v>
      </c>
      <c r="G203" s="14">
        <v>477</v>
      </c>
      <c r="H203" s="14">
        <v>-14</v>
      </c>
      <c r="I203" s="14">
        <v>976</v>
      </c>
      <c r="L203" s="14">
        <v>-96</v>
      </c>
      <c r="M203" s="14">
        <v>63</v>
      </c>
      <c r="O203" s="14">
        <v>132</v>
      </c>
      <c r="P203" s="14">
        <v>158</v>
      </c>
      <c r="X203" s="14">
        <v>351</v>
      </c>
      <c r="Y203" s="14">
        <v>-390</v>
      </c>
      <c r="AA203" s="14">
        <v>216</v>
      </c>
      <c r="AB203" s="14">
        <v>822</v>
      </c>
      <c r="AD203" s="14">
        <v>873</v>
      </c>
      <c r="AE203" s="14">
        <v>81</v>
      </c>
      <c r="AF203" s="14">
        <v>45</v>
      </c>
      <c r="AG203" s="14">
        <v>9</v>
      </c>
      <c r="AJ203" s="14">
        <v>686</v>
      </c>
      <c r="AL203" s="14">
        <v>5</v>
      </c>
      <c r="AM203" s="14">
        <v>-14</v>
      </c>
      <c r="AN203" s="14">
        <v>532</v>
      </c>
      <c r="AP203" s="14">
        <v>-232</v>
      </c>
      <c r="AQ203" s="14">
        <v>181</v>
      </c>
      <c r="AR203" s="14">
        <v>-275</v>
      </c>
      <c r="AS203" s="14">
        <v>-1</v>
      </c>
      <c r="AT203" s="14">
        <v>94</v>
      </c>
      <c r="AU203" s="14">
        <v>69</v>
      </c>
      <c r="AV203" s="14">
        <v>-243</v>
      </c>
      <c r="AW203" s="14">
        <v>-929</v>
      </c>
      <c r="AX203" s="14">
        <v>49</v>
      </c>
      <c r="AY203" s="14">
        <v>-133</v>
      </c>
      <c r="AZ203" s="14">
        <v>157</v>
      </c>
      <c r="BA203" s="14">
        <v>158</v>
      </c>
      <c r="BB203" s="14">
        <v>-120</v>
      </c>
      <c r="BD203" s="14">
        <v>-10</v>
      </c>
      <c r="BE203" s="14">
        <v>2721</v>
      </c>
    </row>
    <row r="204" spans="1:57" x14ac:dyDescent="0.25">
      <c r="A204" s="14">
        <v>143</v>
      </c>
      <c r="G204" s="14">
        <v>4</v>
      </c>
      <c r="H204" s="14">
        <v>-12</v>
      </c>
      <c r="I204" s="14">
        <v>-114</v>
      </c>
      <c r="L204" s="14">
        <v>24</v>
      </c>
      <c r="M204" s="14">
        <v>-31</v>
      </c>
      <c r="O204" s="14">
        <v>85</v>
      </c>
      <c r="P204" s="14">
        <v>206</v>
      </c>
      <c r="X204" s="14">
        <v>-1</v>
      </c>
      <c r="Y204" s="14">
        <v>283</v>
      </c>
      <c r="AA204" s="14">
        <v>-128</v>
      </c>
      <c r="AB204" s="14">
        <v>668</v>
      </c>
      <c r="AD204" s="14">
        <v>202</v>
      </c>
      <c r="AE204" s="14">
        <v>-415</v>
      </c>
      <c r="AF204" s="14">
        <v>-1</v>
      </c>
      <c r="AG204" s="14">
        <v>-122</v>
      </c>
      <c r="AJ204" s="14">
        <v>46</v>
      </c>
      <c r="AL204" s="14">
        <v>-2</v>
      </c>
      <c r="AM204" s="14">
        <v>122</v>
      </c>
      <c r="AN204" s="14">
        <v>704</v>
      </c>
      <c r="AP204" s="14">
        <v>-179</v>
      </c>
      <c r="AQ204" s="14">
        <v>7</v>
      </c>
      <c r="AR204" s="14">
        <v>329</v>
      </c>
      <c r="AS204" s="14">
        <v>-7</v>
      </c>
      <c r="AT204" s="14">
        <v>80</v>
      </c>
      <c r="AU204" s="14">
        <v>-151</v>
      </c>
      <c r="AV204" s="14">
        <v>-663</v>
      </c>
      <c r="AW204" s="14">
        <v>238</v>
      </c>
      <c r="AX204" s="14">
        <v>75</v>
      </c>
      <c r="AY204" s="14">
        <v>2</v>
      </c>
      <c r="AZ204" s="14">
        <v>176</v>
      </c>
      <c r="BA204" s="14">
        <v>103</v>
      </c>
      <c r="BB204" s="14">
        <v>25</v>
      </c>
      <c r="BD204" s="14">
        <v>-13</v>
      </c>
      <c r="BE204" s="14">
        <v>2719</v>
      </c>
    </row>
    <row r="205" spans="1:57" x14ac:dyDescent="0.25">
      <c r="A205" s="14">
        <v>-14</v>
      </c>
      <c r="G205" s="14">
        <v>-283</v>
      </c>
      <c r="H205" s="14">
        <v>-17</v>
      </c>
      <c r="I205" s="14">
        <v>840</v>
      </c>
      <c r="L205" s="14">
        <v>29</v>
      </c>
      <c r="M205" s="14">
        <v>-91</v>
      </c>
      <c r="O205" s="14">
        <v>847</v>
      </c>
      <c r="P205" s="14">
        <v>-15</v>
      </c>
      <c r="X205" s="14">
        <v>1</v>
      </c>
      <c r="Y205" s="14">
        <v>-302</v>
      </c>
      <c r="AA205" s="14">
        <v>-2</v>
      </c>
      <c r="AB205" s="14">
        <v>444</v>
      </c>
      <c r="AD205" s="14">
        <v>302</v>
      </c>
      <c r="AE205" s="14">
        <v>916</v>
      </c>
      <c r="AF205" s="14">
        <v>851</v>
      </c>
      <c r="AG205" s="14">
        <v>32</v>
      </c>
      <c r="AJ205" s="14">
        <v>167</v>
      </c>
      <c r="AL205" s="14">
        <v>3</v>
      </c>
      <c r="AM205" s="14">
        <v>76</v>
      </c>
      <c r="AN205" s="14">
        <v>801</v>
      </c>
      <c r="AP205" s="14">
        <v>-211</v>
      </c>
      <c r="AQ205" s="14">
        <v>536</v>
      </c>
      <c r="AR205" s="14">
        <v>519</v>
      </c>
      <c r="AS205" s="14">
        <v>-9</v>
      </c>
      <c r="AT205" s="14">
        <v>-40</v>
      </c>
      <c r="AU205" s="14">
        <v>-157</v>
      </c>
      <c r="AV205" s="14">
        <v>-314</v>
      </c>
      <c r="AW205" s="14">
        <v>180</v>
      </c>
      <c r="AX205" s="14">
        <v>79</v>
      </c>
      <c r="AY205" s="14">
        <v>569</v>
      </c>
      <c r="AZ205" s="14">
        <v>617</v>
      </c>
      <c r="BA205" s="14">
        <v>191</v>
      </c>
      <c r="BB205" s="14">
        <v>14</v>
      </c>
      <c r="BD205" s="14">
        <v>-194</v>
      </c>
      <c r="BE205" s="14">
        <v>2819</v>
      </c>
    </row>
    <row r="206" spans="1:57" x14ac:dyDescent="0.25">
      <c r="A206" s="14">
        <v>150</v>
      </c>
      <c r="G206" s="14">
        <v>-227</v>
      </c>
      <c r="H206" s="14">
        <v>-17</v>
      </c>
      <c r="I206" s="14">
        <v>-136</v>
      </c>
      <c r="L206" s="14">
        <v>22</v>
      </c>
      <c r="M206" s="14">
        <v>-117</v>
      </c>
      <c r="O206" s="14">
        <v>102</v>
      </c>
      <c r="P206" s="14">
        <v>504</v>
      </c>
      <c r="X206" s="14">
        <v>1</v>
      </c>
      <c r="Y206" s="14">
        <v>-125</v>
      </c>
      <c r="AA206" s="14">
        <v>889</v>
      </c>
      <c r="AB206" s="14">
        <v>725</v>
      </c>
      <c r="AD206" s="14">
        <v>249</v>
      </c>
      <c r="AE206" s="14">
        <v>-216</v>
      </c>
      <c r="AF206" s="14">
        <v>79</v>
      </c>
      <c r="AG206" s="14">
        <v>-116</v>
      </c>
      <c r="AJ206" s="14">
        <v>-474</v>
      </c>
      <c r="AL206" s="14">
        <v>-1</v>
      </c>
      <c r="AM206" s="14">
        <v>24</v>
      </c>
      <c r="AN206" s="14">
        <v>-28</v>
      </c>
      <c r="AP206" s="14">
        <v>-18</v>
      </c>
      <c r="AQ206" s="14">
        <v>-723</v>
      </c>
      <c r="AR206" s="14">
        <v>-389</v>
      </c>
      <c r="AS206" s="14">
        <v>1</v>
      </c>
      <c r="AT206" s="14">
        <v>-36</v>
      </c>
      <c r="AU206" s="14">
        <v>-209</v>
      </c>
      <c r="AV206" s="14">
        <v>-10</v>
      </c>
      <c r="AW206" s="14">
        <v>217</v>
      </c>
      <c r="AX206" s="14">
        <v>147</v>
      </c>
      <c r="AY206" s="14">
        <v>131</v>
      </c>
      <c r="AZ206" s="14">
        <v>-470</v>
      </c>
      <c r="BA206" s="14">
        <v>240</v>
      </c>
      <c r="BB206" s="14">
        <v>-1</v>
      </c>
      <c r="BD206" s="14">
        <v>6</v>
      </c>
      <c r="BE206" s="14">
        <v>2813</v>
      </c>
    </row>
    <row r="207" spans="1:57" x14ac:dyDescent="0.25">
      <c r="A207" s="14">
        <v>14</v>
      </c>
      <c r="G207" s="14">
        <v>264</v>
      </c>
      <c r="H207" s="14">
        <v>-17</v>
      </c>
      <c r="I207" s="14">
        <v>352</v>
      </c>
      <c r="L207" s="14">
        <v>15</v>
      </c>
      <c r="M207" s="14">
        <v>-111</v>
      </c>
      <c r="O207" s="14">
        <v>-246</v>
      </c>
      <c r="P207" s="14">
        <v>151</v>
      </c>
      <c r="X207" s="14">
        <v>-4</v>
      </c>
      <c r="Y207" s="14">
        <v>-508</v>
      </c>
      <c r="AA207" s="14">
        <v>-360</v>
      </c>
      <c r="AB207" s="14">
        <v>620</v>
      </c>
      <c r="AD207" s="14">
        <v>447</v>
      </c>
      <c r="AE207" s="14">
        <v>255</v>
      </c>
      <c r="AF207" s="14">
        <v>108</v>
      </c>
      <c r="AG207" s="14">
        <v>-208</v>
      </c>
      <c r="AJ207" s="14">
        <v>180</v>
      </c>
      <c r="AL207" s="14">
        <v>27</v>
      </c>
      <c r="AM207" s="14">
        <v>30</v>
      </c>
      <c r="AN207" s="14">
        <v>4</v>
      </c>
      <c r="AP207" s="14">
        <v>-17</v>
      </c>
      <c r="AQ207" s="14">
        <v>129</v>
      </c>
      <c r="AR207" s="14">
        <v>771</v>
      </c>
      <c r="AS207" s="14">
        <v>-23</v>
      </c>
      <c r="AT207" s="14">
        <v>16</v>
      </c>
      <c r="AU207" s="14">
        <v>-221</v>
      </c>
      <c r="AV207" s="14">
        <v>689</v>
      </c>
      <c r="AW207" s="14">
        <v>-146</v>
      </c>
      <c r="AX207" s="14">
        <v>185</v>
      </c>
      <c r="AY207" s="14">
        <v>-38</v>
      </c>
      <c r="AZ207" s="14">
        <v>188</v>
      </c>
      <c r="BA207" s="14">
        <v>162</v>
      </c>
      <c r="BB207" s="14">
        <v>-37</v>
      </c>
      <c r="BD207" s="14">
        <v>-201</v>
      </c>
      <c r="BE207" s="14">
        <v>2787</v>
      </c>
    </row>
    <row r="208" spans="1:57" x14ac:dyDescent="0.25">
      <c r="A208" s="14">
        <v>-4</v>
      </c>
      <c r="G208" s="14">
        <v>505</v>
      </c>
      <c r="H208" s="14">
        <v>-301</v>
      </c>
      <c r="I208" s="14">
        <v>-322</v>
      </c>
      <c r="L208" s="14">
        <v>8</v>
      </c>
      <c r="M208" s="14">
        <v>-75</v>
      </c>
      <c r="O208" s="14">
        <v>825</v>
      </c>
      <c r="P208" s="14">
        <v>918</v>
      </c>
      <c r="X208" s="14">
        <v>3</v>
      </c>
      <c r="Y208" s="14">
        <v>-364</v>
      </c>
      <c r="AA208" s="14">
        <v>141</v>
      </c>
      <c r="AB208" s="14">
        <v>890</v>
      </c>
      <c r="AD208" s="14">
        <v>837</v>
      </c>
      <c r="AE208" s="14">
        <v>586</v>
      </c>
      <c r="AF208" s="14">
        <v>211</v>
      </c>
      <c r="AG208" s="14">
        <v>-148</v>
      </c>
      <c r="AJ208" s="14">
        <v>-799</v>
      </c>
      <c r="AL208" s="14">
        <v>-284</v>
      </c>
      <c r="AM208" s="14">
        <v>-9</v>
      </c>
      <c r="AN208" s="14">
        <v>-131</v>
      </c>
      <c r="AP208" s="14">
        <v>-175</v>
      </c>
      <c r="AQ208" s="14">
        <v>58</v>
      </c>
      <c r="AR208" s="14">
        <v>366</v>
      </c>
      <c r="AS208" s="14">
        <v>11</v>
      </c>
      <c r="AT208" s="14">
        <v>28</v>
      </c>
      <c r="AU208" s="14">
        <v>-458</v>
      </c>
      <c r="AV208" s="14">
        <v>-371</v>
      </c>
      <c r="AW208" s="14">
        <v>-9</v>
      </c>
      <c r="AX208" s="14">
        <v>465</v>
      </c>
      <c r="AY208" s="14">
        <v>-6</v>
      </c>
      <c r="AZ208" s="14">
        <v>29</v>
      </c>
      <c r="BA208" s="14">
        <v>153</v>
      </c>
      <c r="BB208" s="14">
        <v>48</v>
      </c>
      <c r="BD208" s="14">
        <v>-13</v>
      </c>
      <c r="BE208" s="14">
        <v>2778</v>
      </c>
    </row>
    <row r="209" spans="1:57" x14ac:dyDescent="0.25">
      <c r="A209" s="14">
        <v>-8</v>
      </c>
      <c r="G209" s="14">
        <v>-510</v>
      </c>
      <c r="H209" s="14">
        <v>-251</v>
      </c>
      <c r="I209" s="14">
        <v>172</v>
      </c>
      <c r="L209" s="14">
        <v>3</v>
      </c>
      <c r="M209" s="14">
        <v>204</v>
      </c>
      <c r="O209" s="14">
        <v>138</v>
      </c>
      <c r="P209" s="14">
        <v>527</v>
      </c>
      <c r="X209" s="14">
        <v>451</v>
      </c>
      <c r="Y209" s="14">
        <v>101</v>
      </c>
      <c r="AA209" s="14">
        <v>193</v>
      </c>
      <c r="AB209" s="14">
        <v>644</v>
      </c>
      <c r="AD209" s="14">
        <v>107</v>
      </c>
      <c r="AE209" s="14">
        <v>-112</v>
      </c>
      <c r="AF209" s="14">
        <v>203</v>
      </c>
      <c r="AG209" s="14">
        <v>-306</v>
      </c>
      <c r="AJ209" s="14">
        <v>-191</v>
      </c>
      <c r="AL209" s="14">
        <v>3</v>
      </c>
      <c r="AM209" s="14">
        <v>11</v>
      </c>
      <c r="AN209" s="14">
        <v>-559</v>
      </c>
      <c r="AP209" s="14">
        <v>-203</v>
      </c>
      <c r="AQ209" s="14">
        <v>-850</v>
      </c>
      <c r="AR209" s="14">
        <v>-52</v>
      </c>
      <c r="AS209" s="14">
        <v>2</v>
      </c>
      <c r="AT209" s="14">
        <v>7</v>
      </c>
      <c r="AU209" s="14">
        <v>-60</v>
      </c>
      <c r="AV209" s="14">
        <v>851</v>
      </c>
      <c r="AW209" s="14">
        <v>-78</v>
      </c>
      <c r="AX209" s="14">
        <v>589</v>
      </c>
      <c r="AY209" s="14">
        <v>-355</v>
      </c>
      <c r="AZ209" s="14">
        <v>-5</v>
      </c>
      <c r="BA209" s="14">
        <v>155</v>
      </c>
      <c r="BB209" s="14">
        <v>50</v>
      </c>
      <c r="BD209" s="14">
        <v>-5</v>
      </c>
      <c r="BE209" s="14">
        <v>2279</v>
      </c>
    </row>
    <row r="210" spans="1:57" x14ac:dyDescent="0.25">
      <c r="A210" s="14">
        <v>-9</v>
      </c>
      <c r="G210" s="14">
        <v>-146</v>
      </c>
      <c r="H210" s="14">
        <v>-338</v>
      </c>
      <c r="I210" s="14">
        <v>420</v>
      </c>
      <c r="L210" s="14">
        <v>3</v>
      </c>
      <c r="M210" s="14">
        <v>433</v>
      </c>
      <c r="O210" s="14">
        <v>685</v>
      </c>
      <c r="P210" s="14">
        <v>527</v>
      </c>
      <c r="X210" s="14">
        <v>314</v>
      </c>
      <c r="Y210" s="14">
        <v>500</v>
      </c>
      <c r="AA210" s="14">
        <v>-435</v>
      </c>
      <c r="AB210" s="14">
        <v>783</v>
      </c>
      <c r="AD210" s="14">
        <v>242</v>
      </c>
      <c r="AE210" s="14">
        <v>523</v>
      </c>
      <c r="AF210" s="14">
        <v>247</v>
      </c>
      <c r="AG210" s="14">
        <v>856</v>
      </c>
      <c r="AJ210" s="14">
        <v>753</v>
      </c>
      <c r="AL210" s="14">
        <v>59</v>
      </c>
      <c r="AM210" s="14">
        <v>25</v>
      </c>
      <c r="AN210" s="14">
        <v>100</v>
      </c>
      <c r="AP210" s="14">
        <v>-129</v>
      </c>
      <c r="AQ210" s="14">
        <v>-901</v>
      </c>
      <c r="AR210" s="14">
        <v>-180</v>
      </c>
      <c r="AS210" s="14">
        <v>5</v>
      </c>
      <c r="AT210" s="14">
        <v>49</v>
      </c>
      <c r="AU210" s="14">
        <v>166</v>
      </c>
      <c r="AV210" s="14">
        <v>-734</v>
      </c>
      <c r="AW210" s="14">
        <v>112</v>
      </c>
      <c r="AX210" s="14">
        <v>-16</v>
      </c>
      <c r="AY210" s="14">
        <v>159</v>
      </c>
      <c r="AZ210" s="14">
        <v>1</v>
      </c>
      <c r="BA210" s="14">
        <v>139</v>
      </c>
      <c r="BB210" s="14">
        <v>2095</v>
      </c>
      <c r="BD210" s="14">
        <v>-3</v>
      </c>
      <c r="BE210" s="14">
        <v>2503</v>
      </c>
    </row>
    <row r="211" spans="1:57" x14ac:dyDescent="0.25">
      <c r="G211" s="14">
        <v>-993</v>
      </c>
      <c r="H211" s="14">
        <v>-374</v>
      </c>
      <c r="I211" s="14">
        <v>-275</v>
      </c>
      <c r="L211" s="14">
        <v>3</v>
      </c>
      <c r="M211" s="14">
        <v>328</v>
      </c>
      <c r="O211" s="14">
        <v>81</v>
      </c>
      <c r="P211" s="14">
        <v>-64</v>
      </c>
      <c r="X211" s="14">
        <v>265</v>
      </c>
      <c r="Y211" s="14">
        <v>525</v>
      </c>
      <c r="AA211" s="14">
        <v>-472</v>
      </c>
      <c r="AB211" s="14">
        <v>605</v>
      </c>
      <c r="AD211" s="14">
        <v>438</v>
      </c>
      <c r="AE211" s="14">
        <v>-657</v>
      </c>
      <c r="AF211" s="14">
        <v>223</v>
      </c>
      <c r="AG211" s="14">
        <v>318</v>
      </c>
      <c r="AJ211" s="14">
        <v>-230</v>
      </c>
      <c r="AL211" s="14">
        <v>-68</v>
      </c>
      <c r="AM211" s="14">
        <v>10</v>
      </c>
      <c r="AN211" s="14">
        <v>-399</v>
      </c>
      <c r="AP211" s="14">
        <v>-153</v>
      </c>
      <c r="AQ211" s="14">
        <v>-56</v>
      </c>
      <c r="AR211" s="14">
        <v>-437</v>
      </c>
      <c r="AS211" s="14">
        <v>-40</v>
      </c>
      <c r="AT211" s="14">
        <v>-17</v>
      </c>
      <c r="AU211" s="14">
        <v>-164</v>
      </c>
      <c r="AV211" s="14">
        <v>922</v>
      </c>
      <c r="AW211" s="14">
        <v>572</v>
      </c>
      <c r="AX211" s="14">
        <v>-559</v>
      </c>
      <c r="AY211" s="14">
        <v>252</v>
      </c>
      <c r="AZ211" s="14">
        <v>14</v>
      </c>
      <c r="BA211" s="14">
        <v>107</v>
      </c>
      <c r="BB211" s="14">
        <v>1571</v>
      </c>
      <c r="BD211" s="14">
        <v>-5</v>
      </c>
      <c r="BE211" s="14">
        <v>2388</v>
      </c>
    </row>
    <row r="212" spans="1:57" x14ac:dyDescent="0.25">
      <c r="G212" s="14">
        <v>-104</v>
      </c>
      <c r="H212" s="14">
        <v>-298</v>
      </c>
      <c r="I212" s="14">
        <v>-110</v>
      </c>
      <c r="L212" s="14">
        <v>-146</v>
      </c>
      <c r="M212" s="14">
        <v>257</v>
      </c>
      <c r="O212" s="14">
        <v>166</v>
      </c>
      <c r="P212" s="14">
        <v>-64</v>
      </c>
      <c r="X212" s="14">
        <v>-138</v>
      </c>
      <c r="Y212" s="14">
        <v>-417</v>
      </c>
      <c r="AA212" s="14">
        <v>375</v>
      </c>
      <c r="AB212" s="14">
        <v>821</v>
      </c>
      <c r="AD212" s="14">
        <v>280</v>
      </c>
      <c r="AE212" s="14">
        <v>332</v>
      </c>
      <c r="AF212" s="14">
        <v>269</v>
      </c>
      <c r="AG212" s="14">
        <v>419</v>
      </c>
      <c r="AJ212" s="14">
        <v>-104</v>
      </c>
      <c r="AL212" s="14">
        <v>217</v>
      </c>
      <c r="AM212" s="14">
        <v>-13</v>
      </c>
      <c r="AN212" s="14">
        <v>6</v>
      </c>
      <c r="AP212" s="14">
        <v>255</v>
      </c>
      <c r="AQ212" s="14">
        <v>211</v>
      </c>
      <c r="AR212" s="14">
        <v>53</v>
      </c>
      <c r="AS212" s="14">
        <v>8</v>
      </c>
      <c r="AT212" s="14">
        <v>-27</v>
      </c>
      <c r="AU212" s="14">
        <v>-224</v>
      </c>
      <c r="AV212" s="14">
        <v>672</v>
      </c>
      <c r="AW212" s="14">
        <v>411</v>
      </c>
      <c r="AX212" s="14">
        <v>-126</v>
      </c>
      <c r="AY212" s="14">
        <v>85</v>
      </c>
      <c r="AZ212" s="14">
        <v>-17</v>
      </c>
      <c r="BA212" s="14">
        <v>289</v>
      </c>
      <c r="BB212" s="14">
        <v>1052</v>
      </c>
      <c r="BD212" s="14">
        <v>1</v>
      </c>
      <c r="BE212" s="14">
        <v>2571</v>
      </c>
    </row>
    <row r="213" spans="1:57" x14ac:dyDescent="0.25">
      <c r="G213" s="14">
        <v>-307</v>
      </c>
      <c r="H213" s="14">
        <v>-426</v>
      </c>
      <c r="I213" s="14">
        <v>380</v>
      </c>
      <c r="L213" s="14">
        <v>-98</v>
      </c>
      <c r="M213" s="14">
        <v>184</v>
      </c>
      <c r="O213" s="14">
        <v>88</v>
      </c>
      <c r="P213" s="14">
        <v>130</v>
      </c>
      <c r="X213" s="14">
        <v>-16</v>
      </c>
      <c r="Y213" s="14">
        <v>899</v>
      </c>
      <c r="AA213" s="14">
        <v>750</v>
      </c>
      <c r="AB213" s="14">
        <v>988</v>
      </c>
      <c r="AD213" s="14">
        <v>421</v>
      </c>
      <c r="AE213" s="14">
        <v>998</v>
      </c>
      <c r="AF213" s="14">
        <v>310</v>
      </c>
      <c r="AG213" s="14">
        <v>179</v>
      </c>
      <c r="AJ213" s="14">
        <v>-156</v>
      </c>
      <c r="AL213" s="14">
        <v>179</v>
      </c>
      <c r="AM213" s="14">
        <v>12</v>
      </c>
      <c r="AN213" s="14">
        <v>409</v>
      </c>
      <c r="AP213" s="14">
        <v>289</v>
      </c>
      <c r="AQ213" s="14">
        <v>183</v>
      </c>
      <c r="AR213" s="14">
        <v>570</v>
      </c>
      <c r="AS213" s="14">
        <v>-74</v>
      </c>
      <c r="AT213" s="14">
        <v>-66</v>
      </c>
      <c r="AU213" s="14">
        <v>843</v>
      </c>
      <c r="AV213" s="14">
        <v>492</v>
      </c>
      <c r="AW213" s="14">
        <v>321</v>
      </c>
      <c r="AX213" s="14">
        <v>58</v>
      </c>
      <c r="AY213" s="14">
        <v>-15</v>
      </c>
      <c r="AZ213" s="14">
        <v>-6</v>
      </c>
      <c r="BA213" s="14">
        <v>64</v>
      </c>
      <c r="BB213" s="14">
        <v>363</v>
      </c>
      <c r="BD213" s="14">
        <v>7</v>
      </c>
      <c r="BE213" s="14">
        <v>2804</v>
      </c>
    </row>
    <row r="214" spans="1:57" x14ac:dyDescent="0.25">
      <c r="G214" s="14">
        <v>-70</v>
      </c>
      <c r="H214" s="14">
        <v>-406</v>
      </c>
      <c r="I214" s="14">
        <v>134</v>
      </c>
      <c r="L214" s="14">
        <v>-83</v>
      </c>
      <c r="M214" s="14">
        <v>124</v>
      </c>
      <c r="O214" s="14">
        <v>113</v>
      </c>
      <c r="P214" s="14">
        <v>130</v>
      </c>
      <c r="X214" s="14">
        <v>557</v>
      </c>
      <c r="Y214" s="14">
        <v>412</v>
      </c>
      <c r="AA214" s="14">
        <v>-770</v>
      </c>
      <c r="AB214" s="14">
        <v>781</v>
      </c>
      <c r="AD214" s="14">
        <v>721</v>
      </c>
      <c r="AE214" s="14">
        <v>-144</v>
      </c>
      <c r="AF214" s="14">
        <v>383</v>
      </c>
      <c r="AG214" s="14">
        <v>157</v>
      </c>
      <c r="AJ214" s="14">
        <v>133</v>
      </c>
      <c r="AL214" s="14">
        <v>46</v>
      </c>
      <c r="AM214" s="14">
        <v>17</v>
      </c>
      <c r="AN214" s="14">
        <v>513</v>
      </c>
      <c r="AP214" s="14">
        <v>35</v>
      </c>
      <c r="AQ214" s="14">
        <v>194</v>
      </c>
      <c r="AR214" s="14">
        <v>207</v>
      </c>
      <c r="AS214" s="14">
        <v>3</v>
      </c>
      <c r="AT214" s="14">
        <v>25</v>
      </c>
      <c r="AU214" s="14">
        <v>227</v>
      </c>
      <c r="AV214" s="14">
        <v>-403</v>
      </c>
      <c r="AW214" s="14">
        <v>-27</v>
      </c>
      <c r="AX214" s="14">
        <v>-1</v>
      </c>
      <c r="AY214" s="14">
        <v>-143</v>
      </c>
      <c r="AZ214" s="14">
        <v>64</v>
      </c>
      <c r="BA214" s="14">
        <v>142</v>
      </c>
      <c r="BB214" s="14">
        <v>-11</v>
      </c>
      <c r="BD214" s="14">
        <v>-5</v>
      </c>
      <c r="BE214" s="14">
        <v>2962</v>
      </c>
    </row>
    <row r="215" spans="1:57" x14ac:dyDescent="0.25">
      <c r="G215" s="14">
        <v>1</v>
      </c>
      <c r="H215" s="14">
        <v>-396</v>
      </c>
      <c r="I215" s="14">
        <v>262</v>
      </c>
      <c r="M215" s="14">
        <v>74</v>
      </c>
      <c r="O215" s="14">
        <v>-14</v>
      </c>
      <c r="P215" s="14">
        <v>2</v>
      </c>
      <c r="X215" s="14">
        <v>442</v>
      </c>
      <c r="Y215" s="14">
        <v>-429</v>
      </c>
      <c r="AA215" s="14">
        <v>-217</v>
      </c>
      <c r="AB215" s="14">
        <v>695</v>
      </c>
      <c r="AD215" s="14">
        <v>103</v>
      </c>
      <c r="AE215" s="14">
        <v>-9</v>
      </c>
      <c r="AF215" s="14">
        <v>391</v>
      </c>
      <c r="AG215" s="14">
        <v>319</v>
      </c>
      <c r="AJ215" s="14">
        <v>606</v>
      </c>
      <c r="AL215" s="14">
        <v>-6</v>
      </c>
      <c r="AM215" s="14">
        <v>-510</v>
      </c>
      <c r="AN215" s="14">
        <v>684</v>
      </c>
      <c r="AP215" s="14">
        <v>-178</v>
      </c>
      <c r="AQ215" s="14">
        <v>-893</v>
      </c>
      <c r="AR215" s="14">
        <v>-193</v>
      </c>
      <c r="AS215" s="14">
        <v>20</v>
      </c>
      <c r="AT215" s="14">
        <v>2</v>
      </c>
      <c r="AU215" s="14">
        <v>387</v>
      </c>
      <c r="AV215" s="14">
        <v>-212</v>
      </c>
      <c r="AW215" s="14">
        <v>-79</v>
      </c>
      <c r="AX215" s="14">
        <v>-10</v>
      </c>
      <c r="AY215" s="14">
        <v>-125</v>
      </c>
      <c r="AZ215" s="14">
        <v>-155</v>
      </c>
      <c r="BA215" s="14">
        <v>29</v>
      </c>
      <c r="BB215" s="14">
        <v>392</v>
      </c>
      <c r="BD215" s="14">
        <v>1</v>
      </c>
      <c r="BE215" s="14">
        <v>3034</v>
      </c>
    </row>
    <row r="216" spans="1:57" x14ac:dyDescent="0.25">
      <c r="G216" s="14">
        <v>-122</v>
      </c>
      <c r="H216" s="14">
        <v>-194</v>
      </c>
      <c r="I216" s="14">
        <v>627</v>
      </c>
      <c r="M216" s="14">
        <v>37</v>
      </c>
      <c r="O216" s="14">
        <v>73</v>
      </c>
      <c r="P216" s="14">
        <v>2</v>
      </c>
      <c r="X216" s="14">
        <v>146</v>
      </c>
      <c r="Y216" s="14">
        <v>480</v>
      </c>
      <c r="AA216" s="14">
        <v>456</v>
      </c>
      <c r="AB216" s="14">
        <v>729</v>
      </c>
      <c r="AD216" s="14">
        <v>247</v>
      </c>
      <c r="AE216" s="14">
        <v>211</v>
      </c>
      <c r="AF216" s="14">
        <v>370</v>
      </c>
      <c r="AG216" s="14">
        <v>383</v>
      </c>
      <c r="AJ216" s="14">
        <v>229</v>
      </c>
      <c r="AL216" s="14">
        <v>2</v>
      </c>
      <c r="AM216" s="14">
        <v>-506</v>
      </c>
      <c r="AN216" s="14">
        <v>371</v>
      </c>
      <c r="AP216" s="14">
        <v>-507</v>
      </c>
      <c r="AQ216" s="14">
        <v>-22</v>
      </c>
      <c r="AR216" s="14">
        <v>-104</v>
      </c>
      <c r="AS216" s="14">
        <v>-25</v>
      </c>
      <c r="AT216" s="14">
        <v>28</v>
      </c>
      <c r="AU216" s="14">
        <v>123</v>
      </c>
      <c r="AV216" s="14">
        <v>-656</v>
      </c>
      <c r="AW216" s="14">
        <v>451</v>
      </c>
      <c r="AX216" s="14">
        <v>132</v>
      </c>
      <c r="AY216" s="14">
        <v>-244</v>
      </c>
      <c r="AZ216" s="14">
        <v>29</v>
      </c>
      <c r="BA216" s="14">
        <v>121</v>
      </c>
      <c r="BB216" s="14">
        <v>893</v>
      </c>
      <c r="BD216" s="14">
        <v>7</v>
      </c>
      <c r="BE216" s="14">
        <v>3051</v>
      </c>
    </row>
    <row r="217" spans="1:57" x14ac:dyDescent="0.25">
      <c r="G217" s="14">
        <v>-771</v>
      </c>
      <c r="H217" s="14">
        <v>-368</v>
      </c>
      <c r="I217" s="14">
        <v>275</v>
      </c>
      <c r="M217" s="14">
        <v>12</v>
      </c>
      <c r="O217" s="14">
        <v>-688</v>
      </c>
      <c r="P217" s="14">
        <v>101</v>
      </c>
      <c r="X217" s="14">
        <v>125</v>
      </c>
      <c r="Y217" s="14">
        <v>126</v>
      </c>
      <c r="AA217" s="14">
        <v>16</v>
      </c>
      <c r="AB217" s="14">
        <v>896</v>
      </c>
      <c r="AD217" s="14">
        <v>460</v>
      </c>
      <c r="AE217" s="14">
        <v>-332</v>
      </c>
      <c r="AF217" s="14">
        <v>469</v>
      </c>
      <c r="AG217" s="14">
        <v>472</v>
      </c>
      <c r="AJ217" s="14">
        <v>75</v>
      </c>
      <c r="AL217" s="14">
        <v>131</v>
      </c>
      <c r="AM217" s="14">
        <v>-471</v>
      </c>
      <c r="AN217" s="14">
        <v>494</v>
      </c>
      <c r="AP217" s="14">
        <v>-148</v>
      </c>
      <c r="AQ217" s="14">
        <v>395</v>
      </c>
      <c r="AR217" s="14">
        <v>-120</v>
      </c>
      <c r="AS217" s="14">
        <v>1</v>
      </c>
      <c r="AT217" s="14">
        <v>-10</v>
      </c>
      <c r="AU217" s="14">
        <v>266</v>
      </c>
      <c r="AV217" s="14">
        <v>-54</v>
      </c>
      <c r="AW217" s="14">
        <v>52</v>
      </c>
      <c r="AX217" s="14">
        <v>-142</v>
      </c>
      <c r="AY217" s="14">
        <v>-120</v>
      </c>
      <c r="AZ217" s="14">
        <v>291</v>
      </c>
      <c r="BA217" s="14">
        <v>84</v>
      </c>
      <c r="BB217" s="14">
        <v>-381</v>
      </c>
      <c r="BD217" s="14">
        <v>8</v>
      </c>
      <c r="BE217" s="14">
        <v>3659</v>
      </c>
    </row>
    <row r="218" spans="1:57" x14ac:dyDescent="0.25">
      <c r="G218" s="14">
        <v>-742</v>
      </c>
      <c r="H218" s="14">
        <v>146</v>
      </c>
      <c r="I218" s="14">
        <v>-166</v>
      </c>
      <c r="M218" s="14">
        <v>139</v>
      </c>
      <c r="O218" s="14">
        <v>530</v>
      </c>
      <c r="P218" s="14">
        <v>102</v>
      </c>
      <c r="X218" s="14">
        <v>165</v>
      </c>
      <c r="Y218" s="14">
        <v>-818</v>
      </c>
      <c r="AA218" s="14">
        <v>-399</v>
      </c>
      <c r="AB218" s="14">
        <v>726</v>
      </c>
      <c r="AD218" s="14">
        <v>322</v>
      </c>
      <c r="AE218" s="14">
        <v>174</v>
      </c>
      <c r="AF218" s="14">
        <v>463</v>
      </c>
      <c r="AG218" s="14">
        <v>686</v>
      </c>
      <c r="AJ218" s="14">
        <v>-537</v>
      </c>
      <c r="AL218" s="14">
        <v>-226</v>
      </c>
      <c r="AM218" s="14">
        <v>-471</v>
      </c>
      <c r="AN218" s="14">
        <v>163</v>
      </c>
      <c r="AP218" s="14">
        <v>-157</v>
      </c>
      <c r="AQ218" s="14">
        <v>-539</v>
      </c>
      <c r="AR218" s="14">
        <v>188</v>
      </c>
      <c r="AS218" s="14">
        <v>1</v>
      </c>
      <c r="AT218" s="14">
        <v>4</v>
      </c>
      <c r="AU218" s="14">
        <v>-174</v>
      </c>
      <c r="AV218" s="14">
        <v>-11</v>
      </c>
      <c r="AW218" s="14">
        <v>960</v>
      </c>
      <c r="AX218" s="14">
        <v>-20</v>
      </c>
      <c r="AY218" s="14">
        <v>194</v>
      </c>
      <c r="AZ218" s="14">
        <v>343</v>
      </c>
      <c r="BA218" s="14">
        <v>131</v>
      </c>
      <c r="BB218" s="14">
        <v>442</v>
      </c>
      <c r="BD218" s="14">
        <v>3</v>
      </c>
      <c r="BE218" s="14">
        <v>2764</v>
      </c>
    </row>
    <row r="219" spans="1:57" x14ac:dyDescent="0.25">
      <c r="G219" s="14">
        <v>-657</v>
      </c>
      <c r="H219" s="14">
        <v>199</v>
      </c>
      <c r="I219" s="14">
        <v>-79</v>
      </c>
      <c r="M219" s="14">
        <v>399</v>
      </c>
      <c r="O219" s="14">
        <v>555</v>
      </c>
      <c r="P219" s="14">
        <v>60</v>
      </c>
      <c r="X219" s="14">
        <v>143</v>
      </c>
      <c r="Y219" s="14">
        <v>-347</v>
      </c>
      <c r="AA219" s="14">
        <v>-115</v>
      </c>
      <c r="AB219" s="14">
        <v>794</v>
      </c>
      <c r="AD219" s="14">
        <v>503</v>
      </c>
      <c r="AE219" s="14">
        <v>81</v>
      </c>
      <c r="AF219" s="14">
        <v>144</v>
      </c>
      <c r="AG219" s="14">
        <v>97</v>
      </c>
      <c r="AJ219" s="14">
        <v>534</v>
      </c>
      <c r="AL219" s="14">
        <v>-69</v>
      </c>
      <c r="AM219" s="14">
        <v>-42</v>
      </c>
      <c r="AN219" s="14">
        <v>454</v>
      </c>
      <c r="AP219" s="14">
        <v>-656</v>
      </c>
      <c r="AQ219" s="14">
        <v>117</v>
      </c>
      <c r="AR219" s="14">
        <v>138</v>
      </c>
      <c r="AS219" s="14">
        <v>-2</v>
      </c>
      <c r="AT219" s="14">
        <v>38</v>
      </c>
      <c r="AU219" s="14">
        <v>-126</v>
      </c>
      <c r="AV219" s="14">
        <v>680</v>
      </c>
      <c r="AW219" s="14">
        <v>78</v>
      </c>
      <c r="AX219" s="14">
        <v>24</v>
      </c>
      <c r="AY219" s="14">
        <v>16</v>
      </c>
      <c r="AZ219" s="14">
        <v>196</v>
      </c>
      <c r="BA219" s="14">
        <v>172</v>
      </c>
      <c r="BB219" s="14">
        <v>1359</v>
      </c>
      <c r="BD219" s="14">
        <v>10</v>
      </c>
      <c r="BE219" s="14">
        <v>2835</v>
      </c>
    </row>
    <row r="220" spans="1:57" x14ac:dyDescent="0.25">
      <c r="G220" s="14">
        <v>-317</v>
      </c>
      <c r="H220" s="14">
        <v>114</v>
      </c>
      <c r="I220" s="14">
        <v>-87</v>
      </c>
      <c r="M220" s="14">
        <v>216</v>
      </c>
      <c r="O220" s="14">
        <v>580</v>
      </c>
      <c r="P220" s="14">
        <v>61</v>
      </c>
      <c r="X220" s="14">
        <v>174</v>
      </c>
      <c r="Y220" s="14">
        <v>312</v>
      </c>
      <c r="AA220" s="14">
        <v>151</v>
      </c>
      <c r="AB220" s="14">
        <v>820</v>
      </c>
      <c r="AD220" s="14">
        <v>957</v>
      </c>
      <c r="AE220" s="14">
        <v>259</v>
      </c>
      <c r="AF220" s="14">
        <v>221</v>
      </c>
      <c r="AG220" s="14">
        <v>-72</v>
      </c>
      <c r="AJ220" s="14">
        <v>900</v>
      </c>
      <c r="AL220" s="14">
        <v>-19</v>
      </c>
      <c r="AM220" s="14">
        <v>-258</v>
      </c>
      <c r="AN220" s="14">
        <v>-12</v>
      </c>
      <c r="AP220" s="14">
        <v>-123</v>
      </c>
      <c r="AQ220" s="14">
        <v>399</v>
      </c>
      <c r="AR220" s="14">
        <v>-301</v>
      </c>
      <c r="AS220" s="14">
        <v>-28</v>
      </c>
      <c r="AT220" s="14">
        <v>7</v>
      </c>
      <c r="AU220" s="14">
        <v>168</v>
      </c>
      <c r="AV220" s="14">
        <v>-793</v>
      </c>
      <c r="AW220" s="14">
        <v>123</v>
      </c>
      <c r="AX220" s="14">
        <v>8</v>
      </c>
      <c r="AY220" s="14">
        <v>-163</v>
      </c>
      <c r="AZ220" s="14">
        <v>-656</v>
      </c>
      <c r="BA220" s="14">
        <v>193</v>
      </c>
      <c r="BB220" s="14">
        <v>-133</v>
      </c>
      <c r="BD220" s="14">
        <v>-5</v>
      </c>
      <c r="BE220" s="14">
        <v>2747</v>
      </c>
    </row>
    <row r="221" spans="1:57" x14ac:dyDescent="0.25">
      <c r="G221" s="14">
        <v>-361</v>
      </c>
      <c r="H221" s="14">
        <v>-48</v>
      </c>
      <c r="I221" s="14">
        <v>559</v>
      </c>
      <c r="M221" s="14">
        <v>67</v>
      </c>
      <c r="O221" s="14">
        <v>571</v>
      </c>
      <c r="P221" s="14">
        <v>394</v>
      </c>
      <c r="X221" s="14">
        <v>-499</v>
      </c>
      <c r="Y221" s="14">
        <v>-129</v>
      </c>
      <c r="AA221" s="14">
        <v>383</v>
      </c>
      <c r="AB221" s="14">
        <v>101</v>
      </c>
      <c r="AD221" s="14">
        <v>135</v>
      </c>
      <c r="AE221" s="14">
        <v>773</v>
      </c>
      <c r="AF221" s="14">
        <v>51</v>
      </c>
      <c r="AG221" s="14">
        <v>-6</v>
      </c>
      <c r="AJ221" s="14">
        <v>115</v>
      </c>
      <c r="AL221" s="14">
        <v>-37</v>
      </c>
      <c r="AM221" s="14">
        <v>-260</v>
      </c>
      <c r="AN221" s="14">
        <v>-4</v>
      </c>
      <c r="AP221" s="14">
        <v>-471</v>
      </c>
      <c r="AQ221" s="14">
        <v>465</v>
      </c>
      <c r="AR221" s="14">
        <v>-134</v>
      </c>
      <c r="AS221" s="14">
        <v>10</v>
      </c>
      <c r="AT221" s="14">
        <v>21</v>
      </c>
      <c r="AU221" s="14">
        <v>911</v>
      </c>
      <c r="AV221" s="14">
        <v>128</v>
      </c>
      <c r="AW221" s="14">
        <v>113</v>
      </c>
      <c r="AX221" s="14">
        <v>53</v>
      </c>
      <c r="AY221" s="14">
        <v>-109</v>
      </c>
      <c r="AZ221" s="14">
        <v>548</v>
      </c>
      <c r="BA221" s="14">
        <v>147</v>
      </c>
      <c r="BB221" s="14">
        <v>23</v>
      </c>
      <c r="BD221" s="14">
        <v>-9</v>
      </c>
      <c r="BE221" s="14">
        <v>2370</v>
      </c>
    </row>
    <row r="222" spans="1:57" x14ac:dyDescent="0.25">
      <c r="G222" s="14">
        <v>-969</v>
      </c>
      <c r="H222" s="14">
        <v>-53</v>
      </c>
      <c r="I222" s="14">
        <v>985</v>
      </c>
      <c r="M222" s="14">
        <v>-35</v>
      </c>
      <c r="O222" s="14">
        <v>548</v>
      </c>
      <c r="P222" s="14">
        <v>-761</v>
      </c>
      <c r="X222" s="14">
        <v>79</v>
      </c>
      <c r="Y222" s="14">
        <v>-220</v>
      </c>
      <c r="AA222" s="14">
        <v>489</v>
      </c>
      <c r="AB222" s="14">
        <v>625</v>
      </c>
      <c r="AE222" s="14">
        <v>121</v>
      </c>
      <c r="AF222" s="14">
        <v>238</v>
      </c>
      <c r="AG222" s="14">
        <v>37</v>
      </c>
      <c r="AJ222" s="14">
        <v>782</v>
      </c>
      <c r="AL222" s="14">
        <v>-955</v>
      </c>
      <c r="AM222" s="14">
        <v>-258</v>
      </c>
      <c r="AN222" s="14">
        <v>-23</v>
      </c>
      <c r="AP222" s="14">
        <v>-700</v>
      </c>
      <c r="AQ222" s="14">
        <v>167</v>
      </c>
      <c r="AR222" s="14">
        <v>447</v>
      </c>
      <c r="AS222" s="14">
        <v>1</v>
      </c>
      <c r="AT222" s="14">
        <v>26</v>
      </c>
      <c r="AU222" s="14">
        <v>601</v>
      </c>
      <c r="AV222" s="14">
        <v>-110</v>
      </c>
      <c r="AW222" s="14">
        <v>824</v>
      </c>
      <c r="AX222" s="14">
        <v>61</v>
      </c>
      <c r="AY222" s="14">
        <v>175</v>
      </c>
      <c r="AZ222" s="14">
        <v>252</v>
      </c>
      <c r="BA222" s="14">
        <v>126</v>
      </c>
      <c r="BB222" s="14">
        <v>16</v>
      </c>
      <c r="BD222" s="14">
        <v>-9</v>
      </c>
      <c r="BE222" s="14">
        <v>2568</v>
      </c>
    </row>
    <row r="223" spans="1:57" x14ac:dyDescent="0.25">
      <c r="G223" s="14">
        <v>-128</v>
      </c>
      <c r="H223" s="14">
        <v>-21</v>
      </c>
      <c r="I223" s="14">
        <v>459</v>
      </c>
      <c r="M223" s="14">
        <v>-103</v>
      </c>
      <c r="O223" s="14">
        <v>548</v>
      </c>
      <c r="P223" s="14">
        <v>389</v>
      </c>
      <c r="X223" s="14">
        <v>497</v>
      </c>
      <c r="Y223" s="14">
        <v>320</v>
      </c>
      <c r="AA223" s="14">
        <v>-298</v>
      </c>
      <c r="AB223" s="14">
        <v>817</v>
      </c>
      <c r="AE223" s="14">
        <v>-319</v>
      </c>
      <c r="AF223" s="14">
        <v>449</v>
      </c>
      <c r="AG223" s="14">
        <v>13</v>
      </c>
      <c r="AJ223" s="14">
        <v>548</v>
      </c>
      <c r="AL223" s="14">
        <v>34</v>
      </c>
      <c r="AM223" s="14">
        <v>-38</v>
      </c>
      <c r="AN223" s="14">
        <v>-856</v>
      </c>
      <c r="AP223" s="14">
        <v>-599</v>
      </c>
      <c r="AQ223" s="14">
        <v>233</v>
      </c>
      <c r="AR223" s="14">
        <v>-108</v>
      </c>
      <c r="AS223" s="14">
        <v>-60</v>
      </c>
      <c r="AT223" s="14">
        <v>8</v>
      </c>
      <c r="AU223" s="14">
        <v>753</v>
      </c>
      <c r="AV223" s="14">
        <v>-364</v>
      </c>
      <c r="AW223" s="14">
        <v>-539</v>
      </c>
      <c r="AX223" s="14">
        <v>71</v>
      </c>
      <c r="AY223" s="14">
        <v>98</v>
      </c>
      <c r="AZ223" s="14">
        <v>-262</v>
      </c>
      <c r="BA223" s="14">
        <v>170</v>
      </c>
      <c r="BB223" s="14">
        <v>95</v>
      </c>
      <c r="BD223" s="14">
        <v>-5</v>
      </c>
      <c r="BE223" s="14">
        <v>3296</v>
      </c>
    </row>
    <row r="224" spans="1:57" x14ac:dyDescent="0.25">
      <c r="G224" s="14">
        <v>144</v>
      </c>
      <c r="H224" s="14">
        <v>15</v>
      </c>
      <c r="I224" s="14">
        <v>614</v>
      </c>
      <c r="M224" s="14">
        <v>-128</v>
      </c>
      <c r="O224" s="14">
        <v>545</v>
      </c>
      <c r="P224" s="14">
        <v>134</v>
      </c>
      <c r="X224" s="14">
        <v>999</v>
      </c>
      <c r="Y224" s="14">
        <v>-117</v>
      </c>
      <c r="AA224" s="14">
        <v>458</v>
      </c>
      <c r="AB224" s="14">
        <v>811</v>
      </c>
      <c r="AE224" s="14">
        <v>66</v>
      </c>
      <c r="AF224" s="14">
        <v>570</v>
      </c>
      <c r="AG224" s="14">
        <v>-54</v>
      </c>
      <c r="AJ224" s="14">
        <v>-638</v>
      </c>
      <c r="AL224" s="14">
        <v>216</v>
      </c>
      <c r="AM224" s="14">
        <v>-250</v>
      </c>
      <c r="AN224" s="14">
        <v>100</v>
      </c>
      <c r="AP224" s="14">
        <v>-321</v>
      </c>
      <c r="AQ224" s="14">
        <v>140</v>
      </c>
      <c r="AR224" s="14">
        <v>-440</v>
      </c>
      <c r="AS224" s="14">
        <v>9</v>
      </c>
      <c r="AT224" s="14">
        <v>-9</v>
      </c>
      <c r="AU224" s="14">
        <v>13</v>
      </c>
      <c r="AV224" s="14">
        <v>-894</v>
      </c>
      <c r="AW224" s="14">
        <v>515</v>
      </c>
      <c r="AX224" s="14">
        <v>74</v>
      </c>
      <c r="AY224" s="14">
        <v>90</v>
      </c>
      <c r="AZ224" s="14">
        <v>-145</v>
      </c>
      <c r="BA224" s="14">
        <v>27</v>
      </c>
      <c r="BB224" s="14">
        <v>774</v>
      </c>
      <c r="BD224" s="14">
        <v>-5</v>
      </c>
      <c r="BE224" s="14">
        <v>2918</v>
      </c>
    </row>
    <row r="225" spans="7:57" x14ac:dyDescent="0.25">
      <c r="G225" s="14">
        <v>104</v>
      </c>
      <c r="H225" s="14">
        <v>20</v>
      </c>
      <c r="I225" s="14">
        <v>901</v>
      </c>
      <c r="M225" s="14">
        <v>-122</v>
      </c>
      <c r="O225" s="14">
        <v>646</v>
      </c>
      <c r="P225" s="14">
        <v>-378</v>
      </c>
      <c r="X225" s="14">
        <v>446</v>
      </c>
      <c r="Y225" s="14">
        <v>-218</v>
      </c>
      <c r="AA225" s="14">
        <v>142</v>
      </c>
      <c r="AB225" s="14">
        <v>531</v>
      </c>
      <c r="AE225" s="14">
        <v>58</v>
      </c>
      <c r="AF225" s="14">
        <v>47</v>
      </c>
      <c r="AG225" s="14">
        <v>3</v>
      </c>
      <c r="AJ225" s="14">
        <v>927</v>
      </c>
      <c r="AL225" s="14">
        <v>-9</v>
      </c>
      <c r="AM225" s="14">
        <v>-260</v>
      </c>
      <c r="AN225" s="14">
        <v>852</v>
      </c>
      <c r="AP225" s="14">
        <v>-156</v>
      </c>
      <c r="AQ225" s="14">
        <v>-110</v>
      </c>
      <c r="AR225" s="14">
        <v>804</v>
      </c>
      <c r="AS225" s="14">
        <v>-5</v>
      </c>
      <c r="AT225" s="14">
        <v>7</v>
      </c>
      <c r="AU225" s="14">
        <v>61</v>
      </c>
      <c r="AV225" s="14">
        <v>692</v>
      </c>
      <c r="AW225" s="14">
        <v>45</v>
      </c>
      <c r="AX225" s="14">
        <v>233</v>
      </c>
      <c r="AY225" s="14">
        <v>-153</v>
      </c>
      <c r="AZ225" s="14">
        <v>-13</v>
      </c>
      <c r="BA225" s="14">
        <v>19</v>
      </c>
      <c r="BB225" s="14">
        <v>163</v>
      </c>
      <c r="BD225" s="14">
        <v>-9</v>
      </c>
      <c r="BE225" s="14">
        <v>2850</v>
      </c>
    </row>
    <row r="226" spans="7:57" x14ac:dyDescent="0.25">
      <c r="G226" s="14">
        <v>-338</v>
      </c>
      <c r="H226" s="14">
        <v>-41</v>
      </c>
      <c r="I226" s="14">
        <v>-801</v>
      </c>
      <c r="M226" s="14">
        <v>-81</v>
      </c>
      <c r="O226" s="14">
        <v>303</v>
      </c>
      <c r="P226" s="14">
        <v>-178</v>
      </c>
      <c r="X226" s="14">
        <v>112</v>
      </c>
      <c r="Y226" s="14">
        <v>355</v>
      </c>
      <c r="AA226" s="14">
        <v>-443</v>
      </c>
      <c r="AB226" s="14">
        <v>218</v>
      </c>
      <c r="AE226" s="14">
        <v>-711</v>
      </c>
      <c r="AF226" s="14">
        <v>74</v>
      </c>
      <c r="AG226" s="14">
        <v>-65</v>
      </c>
      <c r="AJ226" s="14">
        <v>987</v>
      </c>
      <c r="AL226" s="14">
        <v>352</v>
      </c>
      <c r="AM226" s="14">
        <v>-239</v>
      </c>
      <c r="AN226" s="14">
        <v>-10</v>
      </c>
      <c r="AP226" s="14">
        <v>-174</v>
      </c>
      <c r="AQ226" s="14">
        <v>166</v>
      </c>
      <c r="AR226" s="14">
        <v>139</v>
      </c>
      <c r="AS226" s="14">
        <v>-32</v>
      </c>
      <c r="AT226" s="14">
        <v>-15</v>
      </c>
      <c r="AU226" s="14">
        <v>155</v>
      </c>
      <c r="AV226" s="14">
        <v>-750</v>
      </c>
      <c r="AW226" s="14">
        <v>92</v>
      </c>
      <c r="AX226" s="14">
        <v>320</v>
      </c>
      <c r="AY226" s="14">
        <v>33</v>
      </c>
      <c r="AZ226" s="14">
        <v>5</v>
      </c>
      <c r="BA226" s="14">
        <v>70</v>
      </c>
      <c r="BB226" s="14">
        <v>12743</v>
      </c>
      <c r="BD226" s="14">
        <v>-9</v>
      </c>
      <c r="BE226" s="14">
        <v>2875</v>
      </c>
    </row>
    <row r="227" spans="7:57" x14ac:dyDescent="0.25">
      <c r="G227" s="14">
        <v>-407</v>
      </c>
      <c r="H227" s="14">
        <v>-25</v>
      </c>
      <c r="I227" s="14">
        <v>-119</v>
      </c>
      <c r="M227" s="14">
        <v>212</v>
      </c>
      <c r="O227" s="14">
        <v>160</v>
      </c>
      <c r="P227" s="14">
        <v>-105</v>
      </c>
      <c r="X227" s="14">
        <v>134</v>
      </c>
      <c r="Y227" s="14">
        <v>345</v>
      </c>
      <c r="AA227" s="14">
        <v>129</v>
      </c>
      <c r="AB227" s="14">
        <v>266</v>
      </c>
      <c r="AE227" s="14">
        <v>180</v>
      </c>
      <c r="AF227" s="14">
        <v>-1</v>
      </c>
      <c r="AG227" s="14">
        <v>10</v>
      </c>
      <c r="AJ227" s="14">
        <v>120</v>
      </c>
      <c r="AL227" s="14">
        <v>63</v>
      </c>
      <c r="AM227" s="14">
        <v>-6</v>
      </c>
      <c r="AN227" s="14">
        <v>-812</v>
      </c>
      <c r="AP227" s="14">
        <v>410</v>
      </c>
      <c r="AQ227" s="14">
        <v>-295</v>
      </c>
      <c r="AR227" s="14">
        <v>-575</v>
      </c>
      <c r="AS227" s="14">
        <v>-80</v>
      </c>
      <c r="AT227" s="14">
        <v>-31</v>
      </c>
      <c r="AU227" s="14">
        <v>-119</v>
      </c>
      <c r="AV227" s="14">
        <v>-928</v>
      </c>
      <c r="AW227" s="14">
        <v>193</v>
      </c>
      <c r="AX227" s="14">
        <v>-38</v>
      </c>
      <c r="AY227" s="14">
        <v>29</v>
      </c>
      <c r="AZ227" s="14">
        <v>3</v>
      </c>
      <c r="BA227" s="14">
        <v>23</v>
      </c>
      <c r="BB227" s="14">
        <v>5380</v>
      </c>
      <c r="BD227" s="14">
        <v>-6</v>
      </c>
      <c r="BE227" s="14">
        <v>910</v>
      </c>
    </row>
    <row r="228" spans="7:57" x14ac:dyDescent="0.25">
      <c r="G228" s="14">
        <v>99</v>
      </c>
      <c r="H228" s="14">
        <v>-53</v>
      </c>
      <c r="I228" s="14">
        <v>-76</v>
      </c>
      <c r="M228" s="14">
        <v>383</v>
      </c>
      <c r="O228" s="14">
        <v>-325</v>
      </c>
      <c r="P228" s="14">
        <v>-118</v>
      </c>
      <c r="X228" s="14">
        <v>119</v>
      </c>
      <c r="Y228" s="14">
        <v>134</v>
      </c>
      <c r="AA228" s="14">
        <v>-659</v>
      </c>
      <c r="AB228" s="14">
        <v>663</v>
      </c>
      <c r="AE228" s="14">
        <v>113</v>
      </c>
      <c r="AF228" s="14">
        <v>-1</v>
      </c>
      <c r="AG228" s="14">
        <v>87</v>
      </c>
      <c r="AJ228" s="14">
        <v>507</v>
      </c>
      <c r="AL228" s="14">
        <v>-102</v>
      </c>
      <c r="AM228" s="14">
        <v>-105</v>
      </c>
      <c r="AN228" s="14">
        <v>127</v>
      </c>
      <c r="AP228" s="14">
        <v>611</v>
      </c>
      <c r="AQ228" s="14">
        <v>-155</v>
      </c>
      <c r="AR228" s="14">
        <v>-143</v>
      </c>
      <c r="AS228" s="14">
        <v>-15</v>
      </c>
      <c r="AT228" s="14">
        <v>16</v>
      </c>
      <c r="AU228" s="14">
        <v>-7</v>
      </c>
      <c r="AV228" s="14">
        <v>643</v>
      </c>
      <c r="AW228" s="14">
        <v>-334</v>
      </c>
      <c r="AX228" s="14">
        <v>-157</v>
      </c>
      <c r="AY228" s="14">
        <v>-43</v>
      </c>
      <c r="AZ228" s="14">
        <v>14</v>
      </c>
      <c r="BA228" s="14">
        <v>-52</v>
      </c>
      <c r="BB228" s="14">
        <v>3638</v>
      </c>
      <c r="BD228" s="14">
        <v>-109</v>
      </c>
      <c r="BE228" s="14">
        <v>906</v>
      </c>
    </row>
    <row r="229" spans="7:57" x14ac:dyDescent="0.25">
      <c r="G229" s="14">
        <v>108</v>
      </c>
      <c r="H229" s="14">
        <v>-51</v>
      </c>
      <c r="I229" s="14">
        <v>-647</v>
      </c>
      <c r="M229" s="14">
        <v>271</v>
      </c>
      <c r="P229" s="14">
        <v>413</v>
      </c>
      <c r="X229" s="14">
        <v>491</v>
      </c>
      <c r="Y229" s="14">
        <v>-168</v>
      </c>
      <c r="AA229" s="14">
        <v>-51</v>
      </c>
      <c r="AB229" s="14">
        <v>199</v>
      </c>
      <c r="AE229" s="14">
        <v>109</v>
      </c>
      <c r="AF229" s="14">
        <v>-970</v>
      </c>
      <c r="AG229" s="14">
        <v>-122</v>
      </c>
      <c r="AJ229" s="14">
        <v>286</v>
      </c>
      <c r="AL229" s="14">
        <v>38</v>
      </c>
      <c r="AM229" s="14">
        <v>-89</v>
      </c>
      <c r="AN229" s="14">
        <v>-188</v>
      </c>
      <c r="AP229" s="14">
        <v>630</v>
      </c>
      <c r="AQ229" s="14">
        <v>-365</v>
      </c>
      <c r="AR229" s="14">
        <v>348</v>
      </c>
      <c r="AS229" s="14">
        <v>35</v>
      </c>
      <c r="AT229" s="14">
        <v>3</v>
      </c>
      <c r="AU229" s="14">
        <v>-141</v>
      </c>
      <c r="AV229" s="14">
        <v>565</v>
      </c>
      <c r="AW229" s="14">
        <v>152</v>
      </c>
      <c r="AX229" s="14">
        <v>-129</v>
      </c>
      <c r="AY229" s="14">
        <v>-208</v>
      </c>
      <c r="AZ229" s="14">
        <v>-44</v>
      </c>
      <c r="BA229" s="14">
        <v>-71</v>
      </c>
      <c r="BB229" s="14">
        <v>-2138</v>
      </c>
      <c r="BD229" s="14">
        <v>6</v>
      </c>
      <c r="BE229" s="14">
        <v>2370</v>
      </c>
    </row>
    <row r="230" spans="7:57" x14ac:dyDescent="0.25">
      <c r="G230" s="14">
        <v>247</v>
      </c>
      <c r="H230" s="14">
        <v>-75</v>
      </c>
      <c r="I230" s="14">
        <v>372</v>
      </c>
      <c r="M230" s="14">
        <v>176</v>
      </c>
      <c r="P230" s="14">
        <v>-743</v>
      </c>
      <c r="X230" s="14">
        <v>-857</v>
      </c>
      <c r="Y230" s="14">
        <v>745</v>
      </c>
      <c r="AA230" s="14">
        <v>292</v>
      </c>
      <c r="AB230" s="14">
        <v>-492</v>
      </c>
      <c r="AE230" s="14">
        <v>-112</v>
      </c>
      <c r="AF230" s="14">
        <v>852</v>
      </c>
      <c r="AG230" s="14">
        <v>-79</v>
      </c>
      <c r="AJ230" s="14">
        <v>121</v>
      </c>
      <c r="AL230" s="14">
        <v>-71</v>
      </c>
      <c r="AM230" s="14">
        <v>-92</v>
      </c>
      <c r="AN230" s="14">
        <v>-240</v>
      </c>
      <c r="AP230" s="14">
        <v>-635</v>
      </c>
      <c r="AQ230" s="14">
        <v>634</v>
      </c>
      <c r="AR230" s="14">
        <v>-106</v>
      </c>
      <c r="AS230" s="14">
        <v>9</v>
      </c>
      <c r="AT230" s="14">
        <v>33</v>
      </c>
      <c r="AU230" s="14">
        <v>8</v>
      </c>
      <c r="AV230" s="14">
        <v>-58</v>
      </c>
      <c r="AW230" s="14">
        <v>96</v>
      </c>
      <c r="AX230" s="14">
        <v>-130</v>
      </c>
      <c r="AY230" s="14">
        <v>173</v>
      </c>
      <c r="AZ230" s="14">
        <v>-3</v>
      </c>
      <c r="BA230" s="14">
        <v>43</v>
      </c>
      <c r="BB230" s="14">
        <v>783</v>
      </c>
      <c r="BD230" s="14">
        <v>-614</v>
      </c>
      <c r="BE230" s="14">
        <v>2324</v>
      </c>
    </row>
    <row r="231" spans="7:57" x14ac:dyDescent="0.25">
      <c r="G231" s="14">
        <v>247</v>
      </c>
      <c r="H231" s="14">
        <v>25</v>
      </c>
      <c r="I231" s="14">
        <v>431</v>
      </c>
      <c r="M231" s="14">
        <v>100</v>
      </c>
      <c r="P231" s="14">
        <v>306</v>
      </c>
      <c r="X231" s="14">
        <v>-110</v>
      </c>
      <c r="Y231" s="14">
        <v>169</v>
      </c>
      <c r="AA231" s="14">
        <v>166</v>
      </c>
      <c r="AB231" s="14">
        <v>187</v>
      </c>
      <c r="AE231" s="14">
        <v>366</v>
      </c>
      <c r="AF231" s="14">
        <v>63</v>
      </c>
      <c r="AG231" s="14">
        <v>-79</v>
      </c>
      <c r="AJ231" s="14">
        <v>827</v>
      </c>
      <c r="AL231" s="14">
        <v>177</v>
      </c>
      <c r="AM231" s="14">
        <v>6</v>
      </c>
      <c r="AN231" s="14">
        <v>-538</v>
      </c>
      <c r="AP231" s="14">
        <v>-394</v>
      </c>
      <c r="AQ231" s="14">
        <v>-405</v>
      </c>
      <c r="AR231" s="14">
        <v>-231</v>
      </c>
      <c r="AS231" s="14">
        <v>66</v>
      </c>
      <c r="AT231" s="14">
        <v>-48</v>
      </c>
      <c r="AU231" s="14">
        <v>-16</v>
      </c>
      <c r="AV231" s="14">
        <v>161</v>
      </c>
      <c r="AW231" s="14">
        <v>87</v>
      </c>
      <c r="AX231" s="14">
        <v>-94</v>
      </c>
      <c r="AY231" s="14">
        <v>-209</v>
      </c>
      <c r="AZ231" s="14">
        <v>134</v>
      </c>
      <c r="BA231" s="14">
        <v>25</v>
      </c>
      <c r="BB231" s="14">
        <v>1602</v>
      </c>
      <c r="BD231" s="14">
        <v>-4</v>
      </c>
      <c r="BE231" s="14">
        <v>2568</v>
      </c>
    </row>
    <row r="232" spans="7:57" x14ac:dyDescent="0.25">
      <c r="G232" s="14">
        <v>-753</v>
      </c>
      <c r="H232" s="14">
        <v>-13</v>
      </c>
      <c r="I232" s="14">
        <v>380</v>
      </c>
      <c r="M232" s="14">
        <v>46</v>
      </c>
      <c r="P232" s="14">
        <v>127</v>
      </c>
      <c r="X232" s="14">
        <v>628</v>
      </c>
      <c r="Y232" s="14">
        <v>-139</v>
      </c>
      <c r="AA232" s="14">
        <v>108</v>
      </c>
      <c r="AB232" s="14">
        <v>115</v>
      </c>
      <c r="AE232" s="14">
        <v>-128</v>
      </c>
      <c r="AF232" s="14">
        <v>13</v>
      </c>
      <c r="AG232" s="14">
        <v>264</v>
      </c>
      <c r="AJ232" s="14">
        <v>517</v>
      </c>
      <c r="AL232" s="14">
        <v>191</v>
      </c>
      <c r="AM232" s="14">
        <v>29</v>
      </c>
      <c r="AN232" s="14">
        <v>287</v>
      </c>
      <c r="AP232" s="14">
        <v>-476</v>
      </c>
      <c r="AQ232" s="14">
        <v>182</v>
      </c>
      <c r="AR232" s="14">
        <v>128</v>
      </c>
      <c r="AS232" s="14">
        <v>-268</v>
      </c>
      <c r="AT232" s="14">
        <v>99</v>
      </c>
      <c r="AU232" s="14">
        <v>60</v>
      </c>
      <c r="AV232" s="14">
        <v>-143</v>
      </c>
      <c r="AW232" s="14">
        <v>245</v>
      </c>
      <c r="AX232" s="14">
        <v>-93</v>
      </c>
      <c r="AY232" s="14">
        <v>-144</v>
      </c>
      <c r="AZ232" s="14">
        <v>-153</v>
      </c>
      <c r="BA232" s="14">
        <v>-1</v>
      </c>
      <c r="BB232" s="14">
        <v>3324</v>
      </c>
      <c r="BD232" s="14">
        <v>-4</v>
      </c>
      <c r="BE232" s="14">
        <v>2546</v>
      </c>
    </row>
    <row r="233" spans="7:57" x14ac:dyDescent="0.25">
      <c r="G233" s="14">
        <v>720</v>
      </c>
      <c r="H233" s="14">
        <v>-35</v>
      </c>
      <c r="I233" s="14">
        <v>208</v>
      </c>
      <c r="M233" s="14">
        <v>13</v>
      </c>
      <c r="P233" s="14">
        <v>-343</v>
      </c>
      <c r="X233" s="14">
        <v>912</v>
      </c>
      <c r="Y233" s="14">
        <v>-327</v>
      </c>
      <c r="AA233" s="14">
        <v>-171</v>
      </c>
      <c r="AB233" s="14">
        <v>275</v>
      </c>
      <c r="AE233" s="14">
        <v>-385</v>
      </c>
      <c r="AF233" s="14">
        <v>87</v>
      </c>
      <c r="AG233" s="14">
        <v>226</v>
      </c>
      <c r="AJ233" s="14">
        <v>121</v>
      </c>
      <c r="AL233" s="14">
        <v>-33</v>
      </c>
      <c r="AM233" s="14">
        <v>42</v>
      </c>
      <c r="AN233" s="14">
        <v>595</v>
      </c>
      <c r="AP233" s="14">
        <v>-551</v>
      </c>
      <c r="AQ233" s="14">
        <v>586</v>
      </c>
      <c r="AR233" s="14">
        <v>-573</v>
      </c>
      <c r="AS233" s="14">
        <v>-513</v>
      </c>
      <c r="AT233" s="14">
        <v>99</v>
      </c>
      <c r="AU233" s="14">
        <v>-24</v>
      </c>
      <c r="AV233" s="14">
        <v>-594</v>
      </c>
      <c r="AW233" s="14">
        <v>-17</v>
      </c>
      <c r="AX233" s="14">
        <v>-100</v>
      </c>
      <c r="AY233" s="14">
        <v>2</v>
      </c>
      <c r="AZ233" s="14">
        <v>72</v>
      </c>
      <c r="BA233" s="14">
        <v>-72</v>
      </c>
      <c r="BB233" s="14">
        <v>-5702</v>
      </c>
      <c r="BD233" s="14">
        <v>-3</v>
      </c>
      <c r="BE233" s="14">
        <v>3296</v>
      </c>
    </row>
    <row r="234" spans="7:57" x14ac:dyDescent="0.25">
      <c r="G234" s="14">
        <v>377</v>
      </c>
      <c r="H234" s="14">
        <v>-33</v>
      </c>
      <c r="I234" s="14">
        <v>-788</v>
      </c>
      <c r="M234" s="14">
        <v>-1</v>
      </c>
      <c r="P234" s="14">
        <v>-230</v>
      </c>
      <c r="X234" s="14">
        <v>106</v>
      </c>
      <c r="Y234" s="14">
        <v>789</v>
      </c>
      <c r="AA234" s="14">
        <v>-115</v>
      </c>
      <c r="AB234" s="14">
        <v>119</v>
      </c>
      <c r="AE234" s="14">
        <v>-275</v>
      </c>
      <c r="AF234" s="14">
        <v>104</v>
      </c>
      <c r="AG234" s="14">
        <v>344</v>
      </c>
      <c r="AJ234" s="14">
        <v>-42</v>
      </c>
      <c r="AL234" s="14">
        <v>3</v>
      </c>
      <c r="AM234" s="14">
        <v>27</v>
      </c>
      <c r="AN234" s="14">
        <v>166</v>
      </c>
      <c r="AP234" s="14">
        <v>-314</v>
      </c>
      <c r="AQ234" s="14">
        <v>535</v>
      </c>
      <c r="AR234" s="14">
        <v>-122</v>
      </c>
      <c r="AS234" s="14">
        <v>142</v>
      </c>
      <c r="AT234" s="14">
        <v>36</v>
      </c>
      <c r="AU234" s="14">
        <v>-340</v>
      </c>
      <c r="AV234" s="14">
        <v>25</v>
      </c>
      <c r="AW234" s="14">
        <v>2</v>
      </c>
      <c r="AX234" s="14">
        <v>-122</v>
      </c>
      <c r="AY234" s="14">
        <v>115</v>
      </c>
      <c r="AZ234" s="14">
        <v>153</v>
      </c>
      <c r="BA234" s="14">
        <v>33</v>
      </c>
      <c r="BB234" s="14">
        <v>609</v>
      </c>
      <c r="BD234" s="14">
        <v>-1</v>
      </c>
      <c r="BE234" s="14">
        <v>2991</v>
      </c>
    </row>
    <row r="235" spans="7:57" x14ac:dyDescent="0.25">
      <c r="G235" s="14">
        <v>430</v>
      </c>
      <c r="H235" s="14">
        <v>-40</v>
      </c>
      <c r="I235" s="14">
        <v>-240</v>
      </c>
      <c r="M235" s="14">
        <v>-11</v>
      </c>
      <c r="P235" s="14">
        <v>-974</v>
      </c>
      <c r="X235" s="14">
        <v>129</v>
      </c>
      <c r="Y235" s="14">
        <v>-237</v>
      </c>
      <c r="AA235" s="14">
        <v>379</v>
      </c>
      <c r="AB235" s="14">
        <v>-136</v>
      </c>
      <c r="AE235" s="14">
        <v>286</v>
      </c>
      <c r="AF235" s="14">
        <v>73</v>
      </c>
      <c r="AG235" s="14">
        <v>192</v>
      </c>
      <c r="AJ235" s="14">
        <v>-470</v>
      </c>
      <c r="AL235" s="14">
        <v>71</v>
      </c>
      <c r="AM235" s="14">
        <v>-250</v>
      </c>
      <c r="AN235" s="14">
        <v>-315</v>
      </c>
      <c r="AP235" s="14">
        <v>-358</v>
      </c>
      <c r="AQ235" s="14">
        <v>581</v>
      </c>
      <c r="AR235" s="14">
        <v>107</v>
      </c>
      <c r="AS235" s="14">
        <v>122</v>
      </c>
      <c r="AT235" s="14">
        <v>-19</v>
      </c>
      <c r="AU235" s="14">
        <v>-79</v>
      </c>
      <c r="AV235" s="14">
        <v>-2</v>
      </c>
      <c r="AW235" s="14">
        <v>169</v>
      </c>
      <c r="AX235" s="14">
        <v>-78</v>
      </c>
      <c r="AY235" s="14">
        <v>35</v>
      </c>
      <c r="AZ235" s="14">
        <v>126</v>
      </c>
      <c r="BA235" s="14">
        <v>28</v>
      </c>
      <c r="BB235" s="14">
        <v>4214</v>
      </c>
      <c r="BD235" s="14">
        <v>3</v>
      </c>
      <c r="BE235" s="14">
        <v>2918</v>
      </c>
    </row>
    <row r="236" spans="7:57" x14ac:dyDescent="0.25">
      <c r="G236" s="14">
        <v>427</v>
      </c>
      <c r="H236" s="14">
        <v>-42</v>
      </c>
      <c r="I236" s="14">
        <v>-716</v>
      </c>
      <c r="M236" s="14">
        <v>973</v>
      </c>
      <c r="P236" s="14">
        <v>-104</v>
      </c>
      <c r="X236" s="14">
        <v>840</v>
      </c>
      <c r="Y236" s="14">
        <v>818</v>
      </c>
      <c r="AA236" s="14">
        <v>168</v>
      </c>
      <c r="AB236" s="14">
        <v>143</v>
      </c>
      <c r="AE236" s="14">
        <v>721</v>
      </c>
      <c r="AF236" s="14">
        <v>134</v>
      </c>
      <c r="AG236" s="14">
        <v>131</v>
      </c>
      <c r="AJ236" s="14">
        <v>-938</v>
      </c>
      <c r="AL236" s="14">
        <v>235</v>
      </c>
      <c r="AM236" s="14">
        <v>-615</v>
      </c>
      <c r="AN236" s="14">
        <v>-225</v>
      </c>
      <c r="AP236" s="14">
        <v>-530</v>
      </c>
      <c r="AQ236" s="14">
        <v>-704</v>
      </c>
      <c r="AR236" s="14">
        <v>941</v>
      </c>
      <c r="AS236" s="14">
        <v>-135</v>
      </c>
      <c r="AT236" s="14">
        <v>-42</v>
      </c>
      <c r="AU236" s="14">
        <v>-307</v>
      </c>
      <c r="AV236" s="14">
        <v>73</v>
      </c>
      <c r="AW236" s="14">
        <v>-154</v>
      </c>
      <c r="AX236" s="14">
        <v>-140</v>
      </c>
      <c r="AY236" s="14">
        <v>17</v>
      </c>
      <c r="AZ236" s="14">
        <v>115</v>
      </c>
      <c r="BA236" s="14">
        <v>-16</v>
      </c>
      <c r="BB236" s="14">
        <v>-1825</v>
      </c>
      <c r="BD236" s="14">
        <v>7</v>
      </c>
      <c r="BE236" s="14">
        <v>2895</v>
      </c>
    </row>
    <row r="237" spans="7:57" x14ac:dyDescent="0.25">
      <c r="G237" s="14">
        <v>260</v>
      </c>
      <c r="H237" s="14">
        <v>-48</v>
      </c>
      <c r="I237" s="14">
        <v>-296</v>
      </c>
      <c r="M237" s="14">
        <v>862</v>
      </c>
      <c r="P237" s="14">
        <v>176</v>
      </c>
      <c r="X237" s="14">
        <v>-127</v>
      </c>
      <c r="Y237" s="14">
        <v>-270</v>
      </c>
      <c r="AA237" s="14">
        <v>441</v>
      </c>
      <c r="AB237" s="14">
        <v>287</v>
      </c>
      <c r="AE237" s="14">
        <v>-246</v>
      </c>
      <c r="AF237" s="14">
        <v>63</v>
      </c>
      <c r="AG237" s="14">
        <v>204</v>
      </c>
      <c r="AJ237" s="14">
        <v>-763</v>
      </c>
      <c r="AL237" s="14">
        <v>-25</v>
      </c>
      <c r="AM237" s="14">
        <v>-739</v>
      </c>
      <c r="AN237" s="14">
        <v>62</v>
      </c>
      <c r="AP237" s="14">
        <v>-535</v>
      </c>
      <c r="AQ237" s="14">
        <v>307</v>
      </c>
      <c r="AR237" s="14">
        <v>-321</v>
      </c>
      <c r="AS237" s="14">
        <v>-543</v>
      </c>
      <c r="AT237" s="14">
        <v>-48</v>
      </c>
      <c r="AU237" s="14">
        <v>-123</v>
      </c>
      <c r="AV237" s="14">
        <v>-17</v>
      </c>
      <c r="AW237" s="14">
        <v>132</v>
      </c>
      <c r="AX237" s="14">
        <v>-61</v>
      </c>
      <c r="AY237" s="14">
        <v>80</v>
      </c>
      <c r="AZ237" s="14">
        <v>384</v>
      </c>
      <c r="BA237" s="14">
        <v>44</v>
      </c>
      <c r="BB237" s="14">
        <v>33</v>
      </c>
      <c r="BD237" s="14">
        <v>-1</v>
      </c>
      <c r="BE237" s="14">
        <v>2850</v>
      </c>
    </row>
    <row r="238" spans="7:57" x14ac:dyDescent="0.25">
      <c r="G238" s="14">
        <v>283</v>
      </c>
      <c r="H238" s="14">
        <v>-28</v>
      </c>
      <c r="I238" s="14">
        <v>-379</v>
      </c>
      <c r="M238" s="14">
        <v>466</v>
      </c>
      <c r="P238" s="14">
        <v>-132</v>
      </c>
      <c r="X238" s="14">
        <v>114</v>
      </c>
      <c r="Y238" s="14">
        <v>686</v>
      </c>
      <c r="AA238" s="14">
        <v>500</v>
      </c>
      <c r="AB238" s="14">
        <v>243</v>
      </c>
      <c r="AE238" s="14">
        <v>-157</v>
      </c>
      <c r="AF238" s="14">
        <v>135</v>
      </c>
      <c r="AG238" s="14">
        <v>260</v>
      </c>
      <c r="AJ238" s="14">
        <v>984</v>
      </c>
      <c r="AL238" s="14">
        <v>-51</v>
      </c>
      <c r="AM238" s="14">
        <v>470</v>
      </c>
      <c r="AN238" s="14">
        <v>904</v>
      </c>
      <c r="AP238" s="14">
        <v>-532</v>
      </c>
      <c r="AQ238" s="14">
        <v>384</v>
      </c>
      <c r="AR238" s="14">
        <v>-674</v>
      </c>
      <c r="AS238" s="14">
        <v>784</v>
      </c>
      <c r="AT238" s="14">
        <v>70</v>
      </c>
      <c r="AU238" s="14">
        <v>70</v>
      </c>
      <c r="AV238" s="14">
        <v>-137</v>
      </c>
      <c r="AW238" s="14">
        <v>174</v>
      </c>
      <c r="AX238" s="14">
        <v>-104</v>
      </c>
      <c r="AY238" s="14">
        <v>4</v>
      </c>
      <c r="AZ238" s="14">
        <v>156</v>
      </c>
      <c r="BA238" s="14">
        <v>20</v>
      </c>
      <c r="BB238" s="14">
        <v>20</v>
      </c>
      <c r="BD238" s="14">
        <v>3</v>
      </c>
      <c r="BE238" s="14">
        <v>2730</v>
      </c>
    </row>
    <row r="239" spans="7:57" x14ac:dyDescent="0.25">
      <c r="G239" s="14">
        <v>-204</v>
      </c>
      <c r="H239" s="14">
        <v>-23</v>
      </c>
      <c r="I239" s="14">
        <v>555</v>
      </c>
      <c r="M239" s="14">
        <v>213</v>
      </c>
      <c r="P239" s="14">
        <v>77</v>
      </c>
      <c r="X239" s="14">
        <v>-185</v>
      </c>
      <c r="Y239" s="14">
        <v>661</v>
      </c>
      <c r="AA239" s="14">
        <v>309</v>
      </c>
      <c r="AB239" s="14">
        <v>877</v>
      </c>
      <c r="AE239" s="14">
        <v>263</v>
      </c>
      <c r="AF239" s="14">
        <v>76</v>
      </c>
      <c r="AG239" s="14">
        <v>253</v>
      </c>
      <c r="AJ239" s="14">
        <v>-108</v>
      </c>
      <c r="AL239" s="14">
        <v>-10</v>
      </c>
      <c r="AM239" s="14">
        <v>-136</v>
      </c>
      <c r="AN239" s="14">
        <v>-321</v>
      </c>
      <c r="AP239" s="14">
        <v>-615</v>
      </c>
      <c r="AQ239" s="14">
        <v>-216</v>
      </c>
      <c r="AR239" s="14">
        <v>852</v>
      </c>
      <c r="AS239" s="14">
        <v>904</v>
      </c>
      <c r="AT239" s="14">
        <v>53</v>
      </c>
      <c r="AU239" s="14">
        <v>-238</v>
      </c>
      <c r="AV239" s="14">
        <v>-364</v>
      </c>
      <c r="AW239" s="14">
        <v>212</v>
      </c>
      <c r="AX239" s="14">
        <v>-89</v>
      </c>
      <c r="AY239" s="14">
        <v>64</v>
      </c>
      <c r="AZ239" s="14">
        <v>629</v>
      </c>
      <c r="BA239" s="14">
        <v>69</v>
      </c>
      <c r="BB239" s="14">
        <v>224</v>
      </c>
      <c r="BD239" s="14">
        <v>4</v>
      </c>
      <c r="BE239" s="14">
        <v>2875</v>
      </c>
    </row>
    <row r="240" spans="7:57" x14ac:dyDescent="0.25">
      <c r="G240" s="14">
        <v>-204</v>
      </c>
      <c r="H240" s="14">
        <v>-41</v>
      </c>
      <c r="I240" s="14">
        <v>286</v>
      </c>
      <c r="M240" s="14">
        <v>5</v>
      </c>
      <c r="P240" s="14">
        <v>96</v>
      </c>
      <c r="X240" s="14">
        <v>-168</v>
      </c>
      <c r="AA240" s="14">
        <v>-138</v>
      </c>
      <c r="AB240" s="14">
        <v>189</v>
      </c>
      <c r="AE240" s="14">
        <v>-121</v>
      </c>
      <c r="AF240" s="14">
        <v>-25</v>
      </c>
      <c r="AG240" s="14">
        <v>367</v>
      </c>
      <c r="AJ240" s="14">
        <v>-485</v>
      </c>
      <c r="AL240" s="14">
        <v>163</v>
      </c>
      <c r="AM240" s="14">
        <v>-167</v>
      </c>
      <c r="AN240" s="14">
        <v>-147</v>
      </c>
      <c r="AP240" s="14">
        <v>-464</v>
      </c>
      <c r="AQ240" s="14">
        <v>-1</v>
      </c>
      <c r="AR240" s="14">
        <v>175</v>
      </c>
      <c r="AS240" s="14">
        <v>171</v>
      </c>
      <c r="AT240" s="14">
        <v>12</v>
      </c>
      <c r="AU240" s="14">
        <v>-118</v>
      </c>
      <c r="AV240" s="14">
        <v>232</v>
      </c>
      <c r="AW240" s="14">
        <v>-12</v>
      </c>
      <c r="AX240" s="14">
        <v>-123</v>
      </c>
      <c r="AY240" s="14">
        <v>-179</v>
      </c>
      <c r="AZ240" s="14">
        <v>-153</v>
      </c>
      <c r="BA240" s="14">
        <v>47</v>
      </c>
      <c r="BB240" s="14">
        <v>-136</v>
      </c>
      <c r="BD240" s="14">
        <v>9</v>
      </c>
      <c r="BE240" s="14">
        <v>2870</v>
      </c>
    </row>
    <row r="241" spans="7:57" x14ac:dyDescent="0.25">
      <c r="G241" s="14">
        <v>132</v>
      </c>
      <c r="H241" s="14">
        <v>-42</v>
      </c>
      <c r="I241" s="14">
        <v>397</v>
      </c>
      <c r="M241" s="14">
        <v>-127</v>
      </c>
      <c r="P241" s="14">
        <v>-208</v>
      </c>
      <c r="X241" s="14">
        <v>475</v>
      </c>
      <c r="AA241" s="14">
        <v>-87</v>
      </c>
      <c r="AB241" s="14">
        <v>250</v>
      </c>
      <c r="AE241" s="14">
        <v>670</v>
      </c>
      <c r="AF241" s="14">
        <v>160</v>
      </c>
      <c r="AG241" s="14">
        <v>-145</v>
      </c>
      <c r="AJ241" s="14">
        <v>-24</v>
      </c>
      <c r="AL241" s="14">
        <v>163</v>
      </c>
      <c r="AM241" s="14">
        <v>-146</v>
      </c>
      <c r="AN241" s="14">
        <v>-111</v>
      </c>
      <c r="AP241" s="14">
        <v>-502</v>
      </c>
      <c r="AQ241" s="14">
        <v>21</v>
      </c>
      <c r="AR241" s="14">
        <v>600</v>
      </c>
      <c r="AS241" s="14">
        <v>-275</v>
      </c>
      <c r="AT241" s="14">
        <v>30</v>
      </c>
      <c r="AU241" s="14">
        <v>6</v>
      </c>
      <c r="AV241" s="14">
        <v>-42</v>
      </c>
      <c r="AW241" s="14">
        <v>237</v>
      </c>
      <c r="AX241" s="14">
        <v>-138</v>
      </c>
      <c r="AY241" s="14">
        <v>-24</v>
      </c>
      <c r="AZ241" s="14">
        <v>-341</v>
      </c>
      <c r="BA241" s="14">
        <v>-84</v>
      </c>
      <c r="BB241" s="14">
        <v>774</v>
      </c>
      <c r="BD241" s="14">
        <v>7</v>
      </c>
      <c r="BE241" s="14">
        <v>5372</v>
      </c>
    </row>
    <row r="242" spans="7:57" x14ac:dyDescent="0.25">
      <c r="G242" s="14">
        <v>134</v>
      </c>
      <c r="H242" s="14">
        <v>-50</v>
      </c>
      <c r="I242" s="14">
        <v>116</v>
      </c>
      <c r="M242" s="14">
        <v>-185</v>
      </c>
      <c r="P242" s="14">
        <v>136</v>
      </c>
      <c r="X242" s="14">
        <v>101</v>
      </c>
      <c r="AA242" s="14">
        <v>513</v>
      </c>
      <c r="AB242" s="14">
        <v>140</v>
      </c>
      <c r="AE242" s="14">
        <v>-29</v>
      </c>
      <c r="AF242" s="14">
        <v>18</v>
      </c>
      <c r="AG242" s="14">
        <v>301</v>
      </c>
      <c r="AJ242" s="14">
        <v>240</v>
      </c>
      <c r="AL242" s="14">
        <v>-94</v>
      </c>
      <c r="AM242" s="14">
        <v>-148</v>
      </c>
      <c r="AN242" s="14">
        <v>-456</v>
      </c>
      <c r="AP242" s="14">
        <v>-297</v>
      </c>
      <c r="AQ242" s="14">
        <v>-43</v>
      </c>
      <c r="AR242" s="14">
        <v>161</v>
      </c>
      <c r="AS242" s="14">
        <v>-367</v>
      </c>
      <c r="AT242" s="14">
        <v>79</v>
      </c>
      <c r="AU242" s="14">
        <v>-6</v>
      </c>
      <c r="AV242" s="14">
        <v>810</v>
      </c>
      <c r="AW242" s="14">
        <v>228</v>
      </c>
      <c r="AX242" s="14">
        <v>11</v>
      </c>
      <c r="AY242" s="14">
        <v>-49</v>
      </c>
      <c r="AZ242" s="14">
        <v>67</v>
      </c>
      <c r="BA242" s="14">
        <v>67</v>
      </c>
      <c r="BB242" s="14">
        <v>163</v>
      </c>
      <c r="BD242" s="14">
        <v>5</v>
      </c>
      <c r="BE242" s="14">
        <v>1823</v>
      </c>
    </row>
    <row r="243" spans="7:57" x14ac:dyDescent="0.25">
      <c r="G243" s="14">
        <v>315</v>
      </c>
      <c r="H243" s="14">
        <v>-146</v>
      </c>
      <c r="I243" s="14">
        <v>-588</v>
      </c>
      <c r="M243" s="14">
        <v>-193</v>
      </c>
      <c r="P243" s="14">
        <v>-421</v>
      </c>
      <c r="X243" s="14">
        <v>990</v>
      </c>
      <c r="AB243" s="14">
        <v>10</v>
      </c>
      <c r="AE243" s="14">
        <v>119</v>
      </c>
      <c r="AF243" s="14">
        <v>177</v>
      </c>
      <c r="AG243" s="14">
        <v>204</v>
      </c>
      <c r="AJ243" s="14">
        <v>140</v>
      </c>
      <c r="AL243" s="14">
        <v>-8</v>
      </c>
      <c r="AM243" s="14">
        <v>-117</v>
      </c>
      <c r="AN243" s="14">
        <v>-452</v>
      </c>
      <c r="AP243" s="14">
        <v>258</v>
      </c>
      <c r="AQ243" s="14">
        <v>-13</v>
      </c>
      <c r="AR243" s="14">
        <v>-472</v>
      </c>
      <c r="AS243" s="14">
        <v>688</v>
      </c>
      <c r="AT243" s="14">
        <v>-66</v>
      </c>
      <c r="AU243" s="14">
        <v>-24</v>
      </c>
      <c r="AV243" s="14">
        <v>-376</v>
      </c>
      <c r="AW243" s="14">
        <v>-503</v>
      </c>
      <c r="AX243" s="14">
        <v>-223</v>
      </c>
      <c r="AY243" s="14">
        <v>-68</v>
      </c>
      <c r="AZ243" s="14">
        <v>6</v>
      </c>
      <c r="BA243" s="14">
        <v>63</v>
      </c>
      <c r="BB243" s="14">
        <v>12875</v>
      </c>
      <c r="BD243" s="14">
        <v>13</v>
      </c>
      <c r="BE243" s="14">
        <v>1002</v>
      </c>
    </row>
    <row r="244" spans="7:57" x14ac:dyDescent="0.25">
      <c r="G244" s="14">
        <v>728</v>
      </c>
      <c r="H244" s="14">
        <v>-10</v>
      </c>
      <c r="I244" s="14">
        <v>-186</v>
      </c>
      <c r="M244" s="14">
        <v>-132</v>
      </c>
      <c r="P244" s="14">
        <v>-179</v>
      </c>
      <c r="X244" s="14">
        <v>400</v>
      </c>
      <c r="AB244" s="14">
        <v>27</v>
      </c>
      <c r="AE244" s="14">
        <v>-463</v>
      </c>
      <c r="AF244" s="14">
        <v>92</v>
      </c>
      <c r="AG244" s="14">
        <v>-5</v>
      </c>
      <c r="AJ244" s="14">
        <v>457</v>
      </c>
      <c r="AL244" s="14">
        <v>104</v>
      </c>
      <c r="AM244" s="14">
        <v>-117</v>
      </c>
      <c r="AN244" s="14">
        <v>175</v>
      </c>
      <c r="AP244" s="14">
        <v>665</v>
      </c>
      <c r="AQ244" s="14">
        <v>3</v>
      </c>
      <c r="AR244" s="14">
        <v>408</v>
      </c>
      <c r="AS244" s="14">
        <v>-192</v>
      </c>
      <c r="AT244" s="14">
        <v>140</v>
      </c>
      <c r="AU244" s="14">
        <v>197</v>
      </c>
      <c r="AV244" s="14">
        <v>-428</v>
      </c>
      <c r="AW244" s="14">
        <v>-101</v>
      </c>
      <c r="AX244" s="14">
        <v>-334</v>
      </c>
      <c r="AY244" s="14">
        <v>-22</v>
      </c>
      <c r="AZ244" s="14">
        <v>17</v>
      </c>
      <c r="BA244" s="14">
        <v>68</v>
      </c>
      <c r="BB244" s="14">
        <v>5423</v>
      </c>
      <c r="BD244" s="14">
        <v>15</v>
      </c>
      <c r="BE244" s="14">
        <v>2293</v>
      </c>
    </row>
    <row r="245" spans="7:57" x14ac:dyDescent="0.25">
      <c r="G245" s="14">
        <v>284</v>
      </c>
      <c r="H245" s="14">
        <v>-1</v>
      </c>
      <c r="I245" s="14">
        <v>-560</v>
      </c>
      <c r="M245" s="14">
        <v>911</v>
      </c>
      <c r="P245" s="14">
        <v>-77</v>
      </c>
      <c r="X245" s="14">
        <v>-101</v>
      </c>
      <c r="AB245" s="14">
        <v>64</v>
      </c>
      <c r="AE245" s="14">
        <v>103</v>
      </c>
      <c r="AF245" s="14">
        <v>146</v>
      </c>
      <c r="AG245" s="14">
        <v>-69</v>
      </c>
      <c r="AJ245" s="14">
        <v>-295</v>
      </c>
      <c r="AL245" s="14">
        <v>-37</v>
      </c>
      <c r="AM245" s="14">
        <v>-136</v>
      </c>
      <c r="AN245" s="14">
        <v>-346</v>
      </c>
      <c r="AP245" s="14">
        <v>-155</v>
      </c>
      <c r="AQ245" s="14">
        <v>1</v>
      </c>
      <c r="AR245" s="14">
        <v>-146</v>
      </c>
      <c r="AS245" s="14">
        <v>-174</v>
      </c>
      <c r="AT245" s="14">
        <v>114</v>
      </c>
      <c r="AU245" s="14">
        <v>148</v>
      </c>
      <c r="AV245" s="14">
        <v>381</v>
      </c>
      <c r="AW245" s="14">
        <v>136</v>
      </c>
      <c r="AX245" s="14">
        <v>-203</v>
      </c>
      <c r="AY245" s="14">
        <v>19</v>
      </c>
      <c r="AZ245" s="14">
        <v>-32</v>
      </c>
      <c r="BA245" s="14">
        <v>-16</v>
      </c>
      <c r="BB245" s="14">
        <v>3661</v>
      </c>
      <c r="BD245" s="14">
        <v>12</v>
      </c>
      <c r="BE245" s="14">
        <v>1961</v>
      </c>
    </row>
    <row r="246" spans="7:57" x14ac:dyDescent="0.25">
      <c r="G246" s="14">
        <v>327</v>
      </c>
      <c r="H246" s="14">
        <v>-1</v>
      </c>
      <c r="I246" s="14">
        <v>-245</v>
      </c>
      <c r="M246" s="14">
        <v>377</v>
      </c>
      <c r="P246" s="14">
        <v>168</v>
      </c>
      <c r="X246" s="14">
        <v>-522</v>
      </c>
      <c r="AB246" s="14">
        <v>-286</v>
      </c>
      <c r="AE246" s="14">
        <v>-839</v>
      </c>
      <c r="AF246" s="14">
        <v>-56</v>
      </c>
      <c r="AG246" s="14">
        <v>16</v>
      </c>
      <c r="AJ246" s="14">
        <v>-619</v>
      </c>
      <c r="AL246" s="14">
        <v>163</v>
      </c>
      <c r="AM246" s="14">
        <v>28</v>
      </c>
      <c r="AN246" s="14">
        <v>117</v>
      </c>
      <c r="AP246" s="14">
        <v>-173</v>
      </c>
      <c r="AQ246" s="14">
        <v>-20</v>
      </c>
      <c r="AR246" s="14">
        <v>-112</v>
      </c>
      <c r="AS246" s="14">
        <v>158</v>
      </c>
      <c r="AT246" s="14">
        <v>68</v>
      </c>
      <c r="AU246" s="14">
        <v>76</v>
      </c>
      <c r="AV246" s="14">
        <v>156</v>
      </c>
      <c r="AW246" s="14">
        <v>-27</v>
      </c>
      <c r="AX246" s="14">
        <v>-256</v>
      </c>
      <c r="AY246" s="14">
        <v>-41</v>
      </c>
      <c r="AZ246" s="14">
        <v>-8</v>
      </c>
      <c r="BA246" s="14">
        <v>23</v>
      </c>
      <c r="BB246" s="14">
        <v>-2148</v>
      </c>
      <c r="BD246" s="14">
        <v>14</v>
      </c>
      <c r="BE246" s="14">
        <v>4200</v>
      </c>
    </row>
    <row r="247" spans="7:57" x14ac:dyDescent="0.25">
      <c r="G247" s="14">
        <v>312</v>
      </c>
      <c r="H247" s="14">
        <v>-1</v>
      </c>
      <c r="I247" s="14">
        <v>-275</v>
      </c>
      <c r="M247" s="14">
        <v>269</v>
      </c>
      <c r="P247" s="14">
        <v>-129</v>
      </c>
      <c r="X247" s="14">
        <v>-713</v>
      </c>
      <c r="AB247" s="14">
        <v>883</v>
      </c>
      <c r="AE247" s="14">
        <v>229</v>
      </c>
      <c r="AF247" s="14">
        <v>201</v>
      </c>
      <c r="AG247" s="14">
        <v>-115</v>
      </c>
      <c r="AJ247" s="14">
        <v>134</v>
      </c>
      <c r="AL247" s="14">
        <v>70</v>
      </c>
      <c r="AM247" s="14">
        <v>-44</v>
      </c>
      <c r="AN247" s="14">
        <v>234</v>
      </c>
      <c r="AP247" s="14">
        <v>-137</v>
      </c>
      <c r="AQ247" s="14">
        <v>6</v>
      </c>
      <c r="AR247" s="14">
        <v>286</v>
      </c>
      <c r="AS247" s="14">
        <v>-159</v>
      </c>
      <c r="AT247" s="14">
        <v>61</v>
      </c>
      <c r="AU247" s="14">
        <v>519</v>
      </c>
      <c r="AV247" s="14">
        <v>-31</v>
      </c>
      <c r="AW247" s="14">
        <v>272</v>
      </c>
      <c r="AX247" s="14">
        <v>176</v>
      </c>
      <c r="AY247" s="14">
        <v>-1</v>
      </c>
      <c r="AZ247" s="14">
        <v>124</v>
      </c>
      <c r="BA247" s="14">
        <v>-9</v>
      </c>
      <c r="BB247" s="14">
        <v>774</v>
      </c>
      <c r="BD247" s="14">
        <v>13</v>
      </c>
      <c r="BE247" s="14">
        <v>3428</v>
      </c>
    </row>
    <row r="248" spans="7:57" x14ac:dyDescent="0.25">
      <c r="G248" s="14">
        <v>348</v>
      </c>
      <c r="H248" s="14">
        <v>6</v>
      </c>
      <c r="I248" s="14">
        <v>113</v>
      </c>
      <c r="M248" s="14">
        <v>177</v>
      </c>
      <c r="P248" s="14">
        <v>74</v>
      </c>
      <c r="X248" s="14">
        <v>-69</v>
      </c>
      <c r="AB248" s="14">
        <v>909</v>
      </c>
      <c r="AE248" s="14">
        <v>727</v>
      </c>
      <c r="AF248" s="14">
        <v>318</v>
      </c>
      <c r="AG248" s="14">
        <v>7</v>
      </c>
      <c r="AJ248" s="14">
        <v>451</v>
      </c>
      <c r="AL248" s="14">
        <v>-44</v>
      </c>
      <c r="AM248" s="14">
        <v>89</v>
      </c>
      <c r="AN248" s="14">
        <v>50</v>
      </c>
      <c r="AP248" s="14">
        <v>-88</v>
      </c>
      <c r="AQ248" s="14">
        <v>-110</v>
      </c>
      <c r="AR248" s="14">
        <v>-628</v>
      </c>
      <c r="AS248" s="14">
        <v>-262</v>
      </c>
      <c r="AT248" s="14">
        <v>98</v>
      </c>
      <c r="AU248" s="14">
        <v>140</v>
      </c>
      <c r="AV248" s="14">
        <v>194</v>
      </c>
      <c r="AW248" s="14">
        <v>131</v>
      </c>
      <c r="AX248" s="14">
        <v>82</v>
      </c>
      <c r="AY248" s="14">
        <v>-53</v>
      </c>
      <c r="AZ248" s="14">
        <v>-152</v>
      </c>
      <c r="BA248" s="14">
        <v>21</v>
      </c>
      <c r="BB248" s="14">
        <v>1608</v>
      </c>
      <c r="BD248" s="14">
        <v>11</v>
      </c>
      <c r="BE248" s="14">
        <v>2545</v>
      </c>
    </row>
    <row r="249" spans="7:57" x14ac:dyDescent="0.25">
      <c r="G249" s="14">
        <v>598</v>
      </c>
      <c r="H249" s="14">
        <v>-5</v>
      </c>
      <c r="I249" s="14">
        <v>522</v>
      </c>
      <c r="M249" s="14">
        <v>103</v>
      </c>
      <c r="P249" s="14">
        <v>93</v>
      </c>
      <c r="X249" s="14">
        <v>125</v>
      </c>
      <c r="AB249" s="14">
        <v>784</v>
      </c>
      <c r="AE249" s="14">
        <v>118</v>
      </c>
      <c r="AF249" s="14">
        <v>928</v>
      </c>
      <c r="AG249" s="14">
        <v>-97</v>
      </c>
      <c r="AJ249" s="14">
        <v>-438</v>
      </c>
      <c r="AL249" s="14">
        <v>313</v>
      </c>
      <c r="AM249" s="14">
        <v>67</v>
      </c>
      <c r="AN249" s="14">
        <v>105</v>
      </c>
      <c r="AP249" s="14">
        <v>-145</v>
      </c>
      <c r="AQ249" s="14">
        <v>64</v>
      </c>
      <c r="AR249" s="14">
        <v>-176</v>
      </c>
      <c r="AS249" s="14">
        <v>404</v>
      </c>
      <c r="AT249" s="14">
        <v>-49</v>
      </c>
      <c r="AU249" s="14">
        <v>352</v>
      </c>
      <c r="AV249" s="14">
        <v>-976</v>
      </c>
      <c r="AW249" s="14">
        <v>366</v>
      </c>
      <c r="AX249" s="14">
        <v>-126</v>
      </c>
      <c r="AY249" s="14">
        <v>25</v>
      </c>
      <c r="AZ249" s="14">
        <v>97</v>
      </c>
      <c r="BA249" s="14">
        <v>11</v>
      </c>
      <c r="BB249" s="14">
        <v>3331</v>
      </c>
      <c r="BD249" s="14">
        <v>12</v>
      </c>
      <c r="BE249" s="14">
        <v>-907</v>
      </c>
    </row>
    <row r="250" spans="7:57" x14ac:dyDescent="0.25">
      <c r="G250" s="14">
        <v>731</v>
      </c>
      <c r="H250" s="14">
        <v>6</v>
      </c>
      <c r="I250" s="14">
        <v>329</v>
      </c>
      <c r="M250" s="14">
        <v>49</v>
      </c>
      <c r="P250" s="14">
        <v>-201</v>
      </c>
      <c r="X250" s="14">
        <v>162</v>
      </c>
      <c r="AB250" s="14">
        <v>808</v>
      </c>
      <c r="AE250" s="14">
        <v>692</v>
      </c>
      <c r="AF250" s="14">
        <v>11</v>
      </c>
      <c r="AG250" s="14">
        <v>68</v>
      </c>
      <c r="AJ250" s="14">
        <v>793</v>
      </c>
      <c r="AL250" s="14">
        <v>213</v>
      </c>
      <c r="AM250" s="14">
        <v>45</v>
      </c>
      <c r="AN250" s="14">
        <v>-39</v>
      </c>
      <c r="AP250" s="14">
        <v>-140</v>
      </c>
      <c r="AQ250" s="14">
        <v>66</v>
      </c>
      <c r="AR250" s="14">
        <v>323</v>
      </c>
      <c r="AS250" s="14">
        <v>-192</v>
      </c>
      <c r="AT250" s="14">
        <v>122</v>
      </c>
      <c r="AU250" s="14">
        <v>28</v>
      </c>
      <c r="AV250" s="14">
        <v>119</v>
      </c>
      <c r="AW250" s="14">
        <v>3</v>
      </c>
      <c r="AX250" s="14">
        <v>139</v>
      </c>
      <c r="AY250" s="14">
        <v>-126</v>
      </c>
      <c r="AZ250" s="14">
        <v>-546</v>
      </c>
      <c r="BA250" s="14">
        <v>29</v>
      </c>
      <c r="BB250" s="14">
        <v>-5782</v>
      </c>
      <c r="BD250" s="14">
        <v>15</v>
      </c>
      <c r="BE250" s="14">
        <v>3347</v>
      </c>
    </row>
    <row r="251" spans="7:57" x14ac:dyDescent="0.25">
      <c r="G251" s="14">
        <v>-294</v>
      </c>
      <c r="H251" s="14">
        <v>6</v>
      </c>
      <c r="I251" s="14">
        <v>609</v>
      </c>
      <c r="M251" s="14">
        <v>17</v>
      </c>
      <c r="P251" s="14">
        <v>171</v>
      </c>
      <c r="X251" s="14">
        <v>164</v>
      </c>
      <c r="AB251" s="14">
        <v>854</v>
      </c>
      <c r="AE251" s="14">
        <v>314</v>
      </c>
      <c r="AF251" s="14">
        <v>60</v>
      </c>
      <c r="AG251" s="14">
        <v>-22</v>
      </c>
      <c r="AJ251" s="14">
        <v>774</v>
      </c>
      <c r="AL251" s="14">
        <v>-74</v>
      </c>
      <c r="AM251" s="14">
        <v>5</v>
      </c>
      <c r="AN251" s="14">
        <v>327</v>
      </c>
      <c r="AP251" s="14">
        <v>-174</v>
      </c>
      <c r="AQ251" s="14">
        <v>-22</v>
      </c>
      <c r="AR251" s="14">
        <v>869</v>
      </c>
      <c r="AS251" s="14">
        <v>-207</v>
      </c>
      <c r="AT251" s="14">
        <v>51</v>
      </c>
      <c r="AU251" s="14">
        <v>296</v>
      </c>
      <c r="AV251" s="14">
        <v>112</v>
      </c>
      <c r="AW251" s="14">
        <v>258</v>
      </c>
      <c r="AX251" s="14">
        <v>-228</v>
      </c>
      <c r="AY251" s="14">
        <v>-74</v>
      </c>
      <c r="AZ251" s="14">
        <v>-316</v>
      </c>
      <c r="BA251" s="14">
        <v>48</v>
      </c>
      <c r="BB251" s="14">
        <v>638</v>
      </c>
      <c r="BD251" s="14">
        <v>-11</v>
      </c>
      <c r="BE251" s="14">
        <v>4079</v>
      </c>
    </row>
    <row r="252" spans="7:57" x14ac:dyDescent="0.25">
      <c r="G252" s="14">
        <v>-366</v>
      </c>
      <c r="H252" s="14">
        <v>6</v>
      </c>
      <c r="I252" s="14">
        <v>859</v>
      </c>
      <c r="M252" s="14">
        <v>-3</v>
      </c>
      <c r="P252" s="14">
        <v>-398</v>
      </c>
      <c r="X252" s="14">
        <v>115</v>
      </c>
      <c r="AB252" s="14">
        <v>831</v>
      </c>
      <c r="AE252" s="14">
        <v>-271</v>
      </c>
      <c r="AF252" s="14">
        <v>-1</v>
      </c>
      <c r="AG252" s="14">
        <v>-140</v>
      </c>
      <c r="AJ252" s="14">
        <v>-119</v>
      </c>
      <c r="AL252" s="14">
        <v>15</v>
      </c>
      <c r="AM252" s="14">
        <v>8</v>
      </c>
      <c r="AN252" s="14">
        <v>952</v>
      </c>
      <c r="AP252" s="14">
        <v>253</v>
      </c>
      <c r="AQ252" s="14">
        <v>1</v>
      </c>
      <c r="AR252" s="14">
        <v>210</v>
      </c>
      <c r="AS252" s="14">
        <v>-432</v>
      </c>
      <c r="AT252" s="14">
        <v>74</v>
      </c>
      <c r="AU252" s="14">
        <v>-18</v>
      </c>
      <c r="AV252" s="14">
        <v>-9</v>
      </c>
      <c r="AW252" s="14">
        <v>183</v>
      </c>
      <c r="AX252" s="14">
        <v>-52</v>
      </c>
      <c r="AY252" s="14">
        <v>82</v>
      </c>
      <c r="AZ252" s="14">
        <v>701</v>
      </c>
      <c r="BA252" s="14">
        <v>82</v>
      </c>
      <c r="BB252" s="14">
        <v>4142</v>
      </c>
      <c r="BD252" s="14">
        <v>4</v>
      </c>
      <c r="BE252" s="14">
        <v>-4843</v>
      </c>
    </row>
    <row r="253" spans="7:57" x14ac:dyDescent="0.25">
      <c r="G253" s="14">
        <v>247</v>
      </c>
      <c r="H253" s="14">
        <v>2</v>
      </c>
      <c r="I253" s="14">
        <v>101</v>
      </c>
      <c r="M253" s="14">
        <v>-9</v>
      </c>
      <c r="P253" s="14">
        <v>-190</v>
      </c>
      <c r="X253" s="14">
        <v>100</v>
      </c>
      <c r="AB253" s="14">
        <v>862</v>
      </c>
      <c r="AE253" s="14">
        <v>-77</v>
      </c>
      <c r="AF253" s="14">
        <v>-762</v>
      </c>
      <c r="AG253" s="14">
        <v>-96</v>
      </c>
      <c r="AJ253" s="14">
        <v>556</v>
      </c>
      <c r="AL253" s="14">
        <v>27</v>
      </c>
      <c r="AM253" s="14">
        <v>29</v>
      </c>
      <c r="AN253" s="14">
        <v>-650</v>
      </c>
      <c r="AP253" s="14">
        <v>154</v>
      </c>
      <c r="AQ253" s="14">
        <v>108</v>
      </c>
      <c r="AR253" s="14">
        <v>145</v>
      </c>
      <c r="AS253" s="14">
        <v>-404</v>
      </c>
      <c r="AT253" s="14">
        <v>-9</v>
      </c>
      <c r="AU253" s="14">
        <v>-30</v>
      </c>
      <c r="AV253" s="14">
        <v>-499</v>
      </c>
      <c r="AW253" s="14">
        <v>-33</v>
      </c>
      <c r="AX253" s="14">
        <v>65</v>
      </c>
      <c r="AY253" s="14">
        <v>-126</v>
      </c>
      <c r="AZ253" s="14">
        <v>284</v>
      </c>
      <c r="BA253" s="14">
        <v>60</v>
      </c>
      <c r="BB253" s="14">
        <v>-1843</v>
      </c>
      <c r="BD253" s="14">
        <v>-2876</v>
      </c>
      <c r="BE253" s="14">
        <v>2486</v>
      </c>
    </row>
    <row r="254" spans="7:57" x14ac:dyDescent="0.25">
      <c r="G254" s="14">
        <v>131</v>
      </c>
      <c r="H254" s="14">
        <v>-6</v>
      </c>
      <c r="I254" s="14">
        <v>-569</v>
      </c>
      <c r="M254" s="14">
        <v>980</v>
      </c>
      <c r="P254" s="14">
        <v>-73</v>
      </c>
      <c r="X254" s="14">
        <v>21</v>
      </c>
      <c r="AB254" s="14">
        <v>910</v>
      </c>
      <c r="AE254" s="14">
        <v>697</v>
      </c>
      <c r="AF254" s="14">
        <v>931</v>
      </c>
      <c r="AG254" s="14">
        <v>-238</v>
      </c>
      <c r="AJ254" s="14">
        <v>769</v>
      </c>
      <c r="AL254" s="14">
        <v>51</v>
      </c>
      <c r="AM254" s="14">
        <v>28</v>
      </c>
      <c r="AN254" s="14">
        <v>-733</v>
      </c>
      <c r="AP254" s="14">
        <v>426</v>
      </c>
      <c r="AQ254" s="14">
        <v>-117</v>
      </c>
      <c r="AR254" s="14">
        <v>215</v>
      </c>
      <c r="AS254" s="14">
        <v>-314</v>
      </c>
      <c r="AT254" s="14">
        <v>-23</v>
      </c>
      <c r="AU254" s="14">
        <v>585</v>
      </c>
      <c r="AV254" s="14">
        <v>358</v>
      </c>
      <c r="AW254" s="14">
        <v>213</v>
      </c>
      <c r="AX254" s="14">
        <v>72</v>
      </c>
      <c r="AY254" s="14">
        <v>18</v>
      </c>
      <c r="AZ254" s="14">
        <v>121</v>
      </c>
      <c r="BA254" s="14">
        <v>214</v>
      </c>
      <c r="BB254" s="14">
        <v>33</v>
      </c>
      <c r="BD254" s="14">
        <v>-4</v>
      </c>
      <c r="BE254" s="14">
        <v>1942</v>
      </c>
    </row>
    <row r="255" spans="7:57" x14ac:dyDescent="0.25">
      <c r="G255" s="14">
        <v>212</v>
      </c>
      <c r="H255" s="14">
        <v>2</v>
      </c>
      <c r="I255" s="14">
        <v>-485</v>
      </c>
      <c r="M255" s="14">
        <v>999</v>
      </c>
      <c r="X255" s="14">
        <v>-162</v>
      </c>
      <c r="AB255" s="14">
        <v>909</v>
      </c>
      <c r="AE255" s="14">
        <v>678</v>
      </c>
      <c r="AF255" s="14">
        <v>-126</v>
      </c>
      <c r="AG255" s="14">
        <v>824</v>
      </c>
      <c r="AJ255" s="14">
        <v>102</v>
      </c>
      <c r="AL255" s="14">
        <v>-54</v>
      </c>
      <c r="AM255" s="14">
        <v>84</v>
      </c>
      <c r="AN255" s="14">
        <v>166</v>
      </c>
      <c r="AP255" s="14">
        <v>-371</v>
      </c>
      <c r="AQ255" s="14">
        <v>23</v>
      </c>
      <c r="AR255" s="14">
        <v>634</v>
      </c>
      <c r="AS255" s="14">
        <v>437</v>
      </c>
      <c r="AT255" s="14">
        <v>-49</v>
      </c>
      <c r="AU255" s="14">
        <v>164</v>
      </c>
      <c r="AV255" s="14">
        <v>722</v>
      </c>
      <c r="AW255" s="14">
        <v>115</v>
      </c>
      <c r="AX255" s="14">
        <v>27</v>
      </c>
      <c r="AY255" s="14">
        <v>-481</v>
      </c>
      <c r="AZ255" s="14">
        <v>157</v>
      </c>
      <c r="BA255" s="14">
        <v>-188</v>
      </c>
      <c r="BB255" s="14">
        <v>20</v>
      </c>
      <c r="BD255" s="14">
        <v>-3</v>
      </c>
      <c r="BE255" s="14">
        <v>2497</v>
      </c>
    </row>
    <row r="256" spans="7:57" x14ac:dyDescent="0.25">
      <c r="G256" s="14">
        <v>214</v>
      </c>
      <c r="H256" s="14">
        <v>2</v>
      </c>
      <c r="I256" s="14">
        <v>136</v>
      </c>
      <c r="M256" s="14">
        <v>524</v>
      </c>
      <c r="X256" s="14">
        <v>-21</v>
      </c>
      <c r="AB256" s="14">
        <v>947</v>
      </c>
      <c r="AE256" s="14">
        <v>-608</v>
      </c>
      <c r="AF256" s="14">
        <v>-146</v>
      </c>
      <c r="AG256" s="14">
        <v>328</v>
      </c>
      <c r="AJ256" s="14">
        <v>424</v>
      </c>
      <c r="AL256" s="14">
        <v>192</v>
      </c>
      <c r="AM256" s="14">
        <v>-253</v>
      </c>
      <c r="AN256" s="14">
        <v>550</v>
      </c>
      <c r="AP256" s="14">
        <v>-244</v>
      </c>
      <c r="AQ256" s="14">
        <v>62</v>
      </c>
      <c r="AR256" s="14">
        <v>-88</v>
      </c>
      <c r="AS256" s="14">
        <v>-310</v>
      </c>
      <c r="AT256" s="14">
        <v>22</v>
      </c>
      <c r="AU256" s="14">
        <v>432</v>
      </c>
      <c r="AV256" s="14">
        <v>120</v>
      </c>
      <c r="AW256" s="14">
        <v>207</v>
      </c>
      <c r="AX256" s="14">
        <v>8</v>
      </c>
      <c r="AY256" s="14">
        <v>-37</v>
      </c>
      <c r="AZ256" s="14">
        <v>-102</v>
      </c>
      <c r="BA256" s="14">
        <v>-110</v>
      </c>
      <c r="BB256" s="14">
        <v>88</v>
      </c>
      <c r="BD256" s="14">
        <v>-2</v>
      </c>
      <c r="BE256" s="14">
        <v>2444</v>
      </c>
    </row>
    <row r="257" spans="7:57" x14ac:dyDescent="0.25">
      <c r="G257" s="14">
        <v>2101</v>
      </c>
      <c r="H257" s="14">
        <v>3</v>
      </c>
      <c r="I257" s="14">
        <v>-335</v>
      </c>
      <c r="M257" s="14">
        <v>218</v>
      </c>
      <c r="X257" s="14">
        <v>979</v>
      </c>
      <c r="AB257" s="14">
        <v>974</v>
      </c>
      <c r="AE257" s="14">
        <v>154</v>
      </c>
      <c r="AF257" s="14">
        <v>-108</v>
      </c>
      <c r="AG257" s="14">
        <v>373</v>
      </c>
      <c r="AJ257" s="14">
        <v>246</v>
      </c>
      <c r="AL257" s="14">
        <v>3</v>
      </c>
      <c r="AM257" s="14">
        <v>-32</v>
      </c>
      <c r="AN257" s="14">
        <v>302</v>
      </c>
      <c r="AP257" s="14">
        <v>-249</v>
      </c>
      <c r="AQ257" s="14">
        <v>-265</v>
      </c>
      <c r="AR257" s="14">
        <v>142</v>
      </c>
      <c r="AS257" s="14">
        <v>-409</v>
      </c>
      <c r="AT257" s="14">
        <v>15</v>
      </c>
      <c r="AU257" s="14">
        <v>72</v>
      </c>
      <c r="AV257" s="14">
        <v>253</v>
      </c>
      <c r="AW257" s="14">
        <v>-9</v>
      </c>
      <c r="AX257" s="14">
        <v>28</v>
      </c>
      <c r="AY257" s="14">
        <v>297</v>
      </c>
      <c r="AZ257" s="14">
        <v>-573</v>
      </c>
      <c r="BA257" s="14">
        <v>-117</v>
      </c>
      <c r="BB257" s="14">
        <v>923</v>
      </c>
      <c r="BD257" s="14">
        <v>-2</v>
      </c>
      <c r="BE257" s="14">
        <v>640</v>
      </c>
    </row>
    <row r="258" spans="7:57" x14ac:dyDescent="0.25">
      <c r="G258" s="14">
        <v>-125</v>
      </c>
      <c r="H258" s="14">
        <v>-821</v>
      </c>
      <c r="I258" s="14">
        <v>297</v>
      </c>
      <c r="M258" s="14">
        <v>-13</v>
      </c>
      <c r="X258" s="14">
        <v>138</v>
      </c>
      <c r="AB258" s="14">
        <v>936</v>
      </c>
      <c r="AE258" s="14">
        <v>-63</v>
      </c>
      <c r="AF258" s="14">
        <v>-248</v>
      </c>
      <c r="AG258" s="14">
        <v>187</v>
      </c>
      <c r="AJ258" s="14">
        <v>879</v>
      </c>
      <c r="AL258" s="14">
        <v>102</v>
      </c>
      <c r="AM258" s="14">
        <v>-374</v>
      </c>
      <c r="AN258" s="14">
        <v>-180</v>
      </c>
      <c r="AP258" s="14">
        <v>-188</v>
      </c>
      <c r="AQ258" s="14">
        <v>12</v>
      </c>
      <c r="AR258" s="14">
        <v>206</v>
      </c>
      <c r="AS258" s="14">
        <v>432</v>
      </c>
      <c r="AT258" s="14">
        <v>4</v>
      </c>
      <c r="AU258" s="14">
        <v>184</v>
      </c>
      <c r="AV258" s="14">
        <v>-30</v>
      </c>
      <c r="AW258" s="14">
        <v>-33</v>
      </c>
      <c r="AX258" s="14">
        <v>88</v>
      </c>
      <c r="AY258" s="14">
        <v>-136</v>
      </c>
      <c r="AZ258" s="14">
        <v>4</v>
      </c>
      <c r="BA258" s="14">
        <v>36</v>
      </c>
      <c r="BB258" s="14">
        <v>178</v>
      </c>
      <c r="BD258" s="14">
        <v>-3</v>
      </c>
      <c r="BE258" s="14">
        <v>3499</v>
      </c>
    </row>
    <row r="259" spans="7:57" x14ac:dyDescent="0.25">
      <c r="G259" s="14">
        <v>-351</v>
      </c>
      <c r="H259" s="14">
        <v>-657</v>
      </c>
      <c r="I259" s="14">
        <v>-565</v>
      </c>
      <c r="M259" s="14">
        <v>-169</v>
      </c>
      <c r="X259" s="14">
        <v>140</v>
      </c>
      <c r="AB259" s="14">
        <v>987</v>
      </c>
      <c r="AE259" s="14">
        <v>130</v>
      </c>
      <c r="AF259" s="14">
        <v>-94</v>
      </c>
      <c r="AG259" s="14">
        <v>178</v>
      </c>
      <c r="AJ259" s="14">
        <v>184</v>
      </c>
      <c r="AL259" s="14">
        <v>260</v>
      </c>
      <c r="AM259" s="14">
        <v>-42</v>
      </c>
      <c r="AN259" s="14">
        <v>478</v>
      </c>
      <c r="AP259" s="14">
        <v>531</v>
      </c>
      <c r="AQ259" s="14">
        <v>-21</v>
      </c>
      <c r="AR259" s="14">
        <v>-838</v>
      </c>
      <c r="AS259" s="14">
        <v>161</v>
      </c>
      <c r="AT259" s="14">
        <v>-29</v>
      </c>
      <c r="AU259" s="14">
        <v>688</v>
      </c>
      <c r="AV259" s="14">
        <v>-184</v>
      </c>
      <c r="AW259" s="14">
        <v>422</v>
      </c>
      <c r="AX259" s="14">
        <v>246</v>
      </c>
      <c r="AY259" s="14">
        <v>-461</v>
      </c>
      <c r="AZ259" s="14">
        <v>130</v>
      </c>
      <c r="BA259" s="14">
        <v>-678</v>
      </c>
      <c r="BB259" s="14">
        <v>12358</v>
      </c>
      <c r="BD259" s="14">
        <v>-7</v>
      </c>
      <c r="BE259" s="14">
        <v>-947</v>
      </c>
    </row>
    <row r="260" spans="7:57" x14ac:dyDescent="0.25">
      <c r="G260" s="14">
        <v>-444</v>
      </c>
      <c r="H260" s="14">
        <v>-831</v>
      </c>
      <c r="I260" s="14">
        <v>203</v>
      </c>
      <c r="M260" s="14">
        <v>-227</v>
      </c>
      <c r="X260" s="14">
        <v>811</v>
      </c>
      <c r="AB260" s="14">
        <v>978</v>
      </c>
      <c r="AE260" s="14">
        <v>-682</v>
      </c>
      <c r="AF260" s="14">
        <v>-123</v>
      </c>
      <c r="AG260" s="14">
        <v>315</v>
      </c>
      <c r="AJ260" s="14">
        <v>111</v>
      </c>
      <c r="AL260" s="14">
        <v>-43</v>
      </c>
      <c r="AM260" s="14">
        <v>-258</v>
      </c>
      <c r="AN260" s="14">
        <v>194</v>
      </c>
      <c r="AP260" s="14">
        <v>507</v>
      </c>
      <c r="AQ260" s="14">
        <v>1</v>
      </c>
      <c r="AR260" s="14">
        <v>-205</v>
      </c>
      <c r="AS260" s="14">
        <v>916</v>
      </c>
      <c r="AT260" s="14">
        <v>-29</v>
      </c>
      <c r="AU260" s="14">
        <v>74</v>
      </c>
      <c r="AV260" s="14">
        <v>765</v>
      </c>
      <c r="AW260" s="14">
        <v>105</v>
      </c>
      <c r="AX260" s="14">
        <v>346</v>
      </c>
      <c r="AY260" s="14">
        <v>-354</v>
      </c>
      <c r="AZ260" s="14">
        <v>-41</v>
      </c>
      <c r="BA260" s="14">
        <v>145</v>
      </c>
      <c r="BB260" s="14">
        <v>5871</v>
      </c>
      <c r="BD260" s="14">
        <v>-3</v>
      </c>
      <c r="BE260" s="14">
        <v>3329</v>
      </c>
    </row>
    <row r="261" spans="7:57" x14ac:dyDescent="0.25">
      <c r="G261" s="14">
        <v>-175</v>
      </c>
      <c r="H261" s="14">
        <v>-832</v>
      </c>
      <c r="I261" s="14">
        <v>767</v>
      </c>
      <c r="M261" s="14">
        <v>-228</v>
      </c>
      <c r="X261" s="14">
        <v>-706</v>
      </c>
      <c r="AB261" s="14">
        <v>986</v>
      </c>
      <c r="AE261" s="14">
        <v>981</v>
      </c>
      <c r="AF261" s="14">
        <v>7</v>
      </c>
      <c r="AG261" s="14">
        <v>387</v>
      </c>
      <c r="AJ261" s="14">
        <v>-777</v>
      </c>
      <c r="AL261" s="14">
        <v>-8</v>
      </c>
      <c r="AM261" s="14">
        <v>-260</v>
      </c>
      <c r="AN261" s="14">
        <v>175</v>
      </c>
      <c r="AP261" s="14">
        <v>-387</v>
      </c>
      <c r="AQ261" s="14">
        <v>6</v>
      </c>
      <c r="AR261" s="14">
        <v>-234</v>
      </c>
      <c r="AS261" s="14">
        <v>-171</v>
      </c>
      <c r="AT261" s="14">
        <v>29</v>
      </c>
      <c r="AU261" s="14">
        <v>-45</v>
      </c>
      <c r="AV261" s="14">
        <v>663</v>
      </c>
      <c r="AW261" s="14">
        <v>322</v>
      </c>
      <c r="AX261" s="14">
        <v>14</v>
      </c>
      <c r="AY261" s="14">
        <v>33</v>
      </c>
      <c r="AZ261" s="14">
        <v>-13</v>
      </c>
      <c r="BA261" s="14">
        <v>57</v>
      </c>
      <c r="BB261" s="14">
        <v>3308</v>
      </c>
      <c r="BD261" s="14">
        <v>-1</v>
      </c>
      <c r="BE261" s="14">
        <v>2754</v>
      </c>
    </row>
    <row r="262" spans="7:57" x14ac:dyDescent="0.25">
      <c r="G262" s="14">
        <v>-174</v>
      </c>
      <c r="H262" s="14">
        <v>-828</v>
      </c>
      <c r="I262" s="14">
        <v>425</v>
      </c>
      <c r="M262" s="14">
        <v>-152</v>
      </c>
      <c r="X262" s="14">
        <v>-463</v>
      </c>
      <c r="AB262" s="14">
        <v>930</v>
      </c>
      <c r="AE262" s="14">
        <v>-656</v>
      </c>
      <c r="AF262" s="14">
        <v>291</v>
      </c>
      <c r="AG262" s="14">
        <v>420</v>
      </c>
      <c r="AJ262" s="14">
        <v>-391</v>
      </c>
      <c r="AL262" s="14">
        <v>76</v>
      </c>
      <c r="AM262" s="14">
        <v>-258</v>
      </c>
      <c r="AN262" s="14">
        <v>268</v>
      </c>
      <c r="AP262" s="14">
        <v>-396</v>
      </c>
      <c r="AQ262" s="14">
        <v>-8</v>
      </c>
      <c r="AR262" s="14">
        <v>24</v>
      </c>
      <c r="AS262" s="14">
        <v>197</v>
      </c>
      <c r="AT262" s="14">
        <v>24</v>
      </c>
      <c r="AU262" s="14">
        <v>59</v>
      </c>
      <c r="AV262" s="14">
        <v>699</v>
      </c>
      <c r="AW262" s="14">
        <v>-4</v>
      </c>
      <c r="AX262" s="14">
        <v>-65</v>
      </c>
      <c r="AY262" s="14">
        <v>28</v>
      </c>
      <c r="AZ262" s="14">
        <v>-416</v>
      </c>
      <c r="BA262" s="14">
        <v>64</v>
      </c>
      <c r="BB262" s="14">
        <v>-2285</v>
      </c>
      <c r="BD262" s="14">
        <v>1</v>
      </c>
      <c r="BE262" s="14">
        <v>3250</v>
      </c>
    </row>
    <row r="263" spans="7:57" x14ac:dyDescent="0.25">
      <c r="G263" s="14">
        <v>412</v>
      </c>
      <c r="H263" s="14">
        <v>808</v>
      </c>
      <c r="I263" s="14">
        <v>258</v>
      </c>
      <c r="M263" s="14">
        <v>952</v>
      </c>
      <c r="X263" s="14">
        <v>-526</v>
      </c>
      <c r="AB263" s="14">
        <v>103</v>
      </c>
      <c r="AE263" s="14">
        <v>-367</v>
      </c>
      <c r="AF263" s="14">
        <v>149</v>
      </c>
      <c r="AG263" s="14">
        <v>803</v>
      </c>
      <c r="AJ263" s="14">
        <v>-557</v>
      </c>
      <c r="AL263" s="14">
        <v>47</v>
      </c>
      <c r="AM263" s="14">
        <v>45</v>
      </c>
      <c r="AN263" s="14">
        <v>585</v>
      </c>
      <c r="AP263" s="14">
        <v>-397</v>
      </c>
      <c r="AQ263" s="14">
        <v>8</v>
      </c>
      <c r="AR263" s="14">
        <v>993</v>
      </c>
      <c r="AS263" s="14">
        <v>-116</v>
      </c>
      <c r="AT263" s="14">
        <v>17</v>
      </c>
      <c r="AU263" s="14">
        <v>30</v>
      </c>
      <c r="AV263" s="14">
        <v>110</v>
      </c>
      <c r="AW263" s="14">
        <v>75</v>
      </c>
      <c r="AX263" s="14">
        <v>-52</v>
      </c>
      <c r="AY263" s="14">
        <v>179</v>
      </c>
      <c r="AZ263" s="14">
        <v>355</v>
      </c>
      <c r="BA263" s="14">
        <v>-465</v>
      </c>
      <c r="BB263" s="14">
        <v>1154</v>
      </c>
      <c r="BD263" s="14">
        <v>-1</v>
      </c>
      <c r="BE263" s="14">
        <v>1248</v>
      </c>
    </row>
    <row r="264" spans="7:57" x14ac:dyDescent="0.25">
      <c r="G264" s="14">
        <v>403</v>
      </c>
      <c r="H264" s="14">
        <v>835</v>
      </c>
      <c r="I264" s="14">
        <v>-630</v>
      </c>
      <c r="M264" s="14">
        <v>602</v>
      </c>
      <c r="X264" s="14">
        <v>30</v>
      </c>
      <c r="AB264" s="14">
        <v>965</v>
      </c>
      <c r="AE264" s="14">
        <v>-112</v>
      </c>
      <c r="AF264" s="14">
        <v>140</v>
      </c>
      <c r="AG264" s="14">
        <v>-149</v>
      </c>
      <c r="AJ264" s="14">
        <v>333</v>
      </c>
      <c r="AL264" s="14">
        <v>-7</v>
      </c>
      <c r="AM264" s="14">
        <v>-34</v>
      </c>
      <c r="AN264" s="14">
        <v>689</v>
      </c>
      <c r="AP264" s="14">
        <v>-265</v>
      </c>
      <c r="AQ264" s="14">
        <v>-14</v>
      </c>
      <c r="AR264" s="14">
        <v>-158</v>
      </c>
      <c r="AS264" s="14">
        <v>966</v>
      </c>
      <c r="AT264" s="14">
        <v>24</v>
      </c>
      <c r="AU264" s="14">
        <v>-44</v>
      </c>
      <c r="AV264" s="14">
        <v>-26</v>
      </c>
      <c r="AW264" s="14">
        <v>448</v>
      </c>
      <c r="AX264" s="14">
        <v>-181</v>
      </c>
      <c r="AY264" s="14">
        <v>140</v>
      </c>
      <c r="AZ264" s="14">
        <v>-17</v>
      </c>
      <c r="BA264" s="14">
        <v>382</v>
      </c>
      <c r="BB264" s="14">
        <v>1535</v>
      </c>
      <c r="BD264" s="14">
        <v>-6</v>
      </c>
      <c r="BE264" s="14">
        <v>1075</v>
      </c>
    </row>
    <row r="265" spans="7:57" x14ac:dyDescent="0.25">
      <c r="G265" s="14">
        <v>-90</v>
      </c>
      <c r="H265" s="14">
        <v>863</v>
      </c>
      <c r="I265" s="14">
        <v>-265</v>
      </c>
      <c r="M265" s="14">
        <v>364</v>
      </c>
      <c r="X265" s="14">
        <v>158</v>
      </c>
      <c r="AB265" s="14">
        <v>101</v>
      </c>
      <c r="AE265" s="14">
        <v>386</v>
      </c>
      <c r="AF265" s="14">
        <v>46</v>
      </c>
      <c r="AG265" s="14">
        <v>213</v>
      </c>
      <c r="AJ265" s="14">
        <v>253</v>
      </c>
      <c r="AL265" s="14">
        <v>-57</v>
      </c>
      <c r="AM265" s="14">
        <v>-57</v>
      </c>
      <c r="AN265" s="14">
        <v>-30</v>
      </c>
      <c r="AP265" s="14">
        <v>-303</v>
      </c>
      <c r="AQ265" s="14">
        <v>1</v>
      </c>
      <c r="AR265" s="14">
        <v>-230</v>
      </c>
      <c r="AS265" s="14">
        <v>-366</v>
      </c>
      <c r="AT265" s="14">
        <v>-2</v>
      </c>
      <c r="AU265" s="14">
        <v>-25</v>
      </c>
      <c r="AV265" s="14">
        <v>-130</v>
      </c>
      <c r="AW265" s="14">
        <v>121</v>
      </c>
      <c r="AX265" s="14">
        <v>-193</v>
      </c>
      <c r="AY265" s="14">
        <v>19</v>
      </c>
      <c r="AZ265" s="14">
        <v>154</v>
      </c>
      <c r="BA265" s="14">
        <v>110</v>
      </c>
      <c r="BB265" s="14">
        <v>3130</v>
      </c>
      <c r="BD265" s="14">
        <v>-8</v>
      </c>
      <c r="BE265" s="14">
        <v>3122</v>
      </c>
    </row>
    <row r="266" spans="7:57" x14ac:dyDescent="0.25">
      <c r="G266" s="14">
        <v>-107</v>
      </c>
      <c r="H266" s="14">
        <v>838</v>
      </c>
      <c r="I266" s="14">
        <v>-280</v>
      </c>
      <c r="M266" s="14">
        <v>174</v>
      </c>
      <c r="X266" s="14">
        <v>-809</v>
      </c>
      <c r="AB266" s="14">
        <v>923</v>
      </c>
      <c r="AE266" s="14">
        <v>936</v>
      </c>
      <c r="AF266" s="14">
        <v>616</v>
      </c>
      <c r="AG266" s="14">
        <v>631</v>
      </c>
      <c r="AJ266" s="14">
        <v>769</v>
      </c>
      <c r="AL266" s="14">
        <v>167</v>
      </c>
      <c r="AM266" s="14">
        <v>-78</v>
      </c>
      <c r="AN266" s="14">
        <v>-3</v>
      </c>
      <c r="AP266" s="14">
        <v>-301</v>
      </c>
      <c r="AQ266" s="14">
        <v>1</v>
      </c>
      <c r="AR266" s="14">
        <v>-570</v>
      </c>
      <c r="AS266" s="14">
        <v>-618</v>
      </c>
      <c r="AT266" s="14">
        <v>48</v>
      </c>
      <c r="AU266" s="14">
        <v>-34</v>
      </c>
      <c r="AV266" s="14">
        <v>694</v>
      </c>
      <c r="AW266" s="14">
        <v>207</v>
      </c>
      <c r="AX266" s="14">
        <v>-137</v>
      </c>
      <c r="AY266" s="14">
        <v>81</v>
      </c>
      <c r="AZ266" s="14">
        <v>660</v>
      </c>
      <c r="BA266" s="14">
        <v>-374</v>
      </c>
      <c r="BB266" s="14">
        <v>-5663</v>
      </c>
      <c r="BD266" s="14">
        <v>-6</v>
      </c>
      <c r="BE266" s="14">
        <v>3365</v>
      </c>
    </row>
    <row r="267" spans="7:57" x14ac:dyDescent="0.25">
      <c r="G267" s="14">
        <v>410</v>
      </c>
      <c r="H267" s="14">
        <v>631</v>
      </c>
      <c r="I267" s="14">
        <v>142</v>
      </c>
      <c r="M267" s="14">
        <v>35</v>
      </c>
      <c r="X267" s="14">
        <v>-519</v>
      </c>
      <c r="AB267" s="14">
        <v>825</v>
      </c>
      <c r="AE267" s="14">
        <v>-248</v>
      </c>
      <c r="AF267" s="14">
        <v>-277</v>
      </c>
      <c r="AG267" s="14">
        <v>270</v>
      </c>
      <c r="AJ267" s="14">
        <v>-105</v>
      </c>
      <c r="AL267" s="14">
        <v>234</v>
      </c>
      <c r="AM267" s="14">
        <v>-2</v>
      </c>
      <c r="AN267" s="14">
        <v>104</v>
      </c>
      <c r="AP267" s="14">
        <v>-207</v>
      </c>
      <c r="AQ267" s="14">
        <v>28</v>
      </c>
      <c r="AR267" s="14">
        <v>-158</v>
      </c>
      <c r="AS267" s="14">
        <v>-125</v>
      </c>
      <c r="AT267" s="14">
        <v>41</v>
      </c>
      <c r="AU267" s="14">
        <v>-113</v>
      </c>
      <c r="AV267" s="14">
        <v>572</v>
      </c>
      <c r="AW267" s="14">
        <v>238</v>
      </c>
      <c r="AX267" s="14">
        <v>-153</v>
      </c>
      <c r="AY267" s="14">
        <v>-116</v>
      </c>
      <c r="AZ267" s="14">
        <v>233</v>
      </c>
      <c r="BA267" s="14">
        <v>-76</v>
      </c>
      <c r="BB267" s="14">
        <v>432</v>
      </c>
      <c r="BD267" s="14">
        <v>-6</v>
      </c>
      <c r="BE267" s="14">
        <v>3245</v>
      </c>
    </row>
    <row r="268" spans="7:57" x14ac:dyDescent="0.25">
      <c r="G268" s="14">
        <v>413</v>
      </c>
      <c r="H268" s="14">
        <v>-17</v>
      </c>
      <c r="I268" s="14">
        <v>561</v>
      </c>
      <c r="M268" s="14">
        <v>-49</v>
      </c>
      <c r="X268" s="14">
        <v>418</v>
      </c>
      <c r="AB268" s="14">
        <v>774</v>
      </c>
      <c r="AE268" s="14">
        <v>-731</v>
      </c>
      <c r="AF268" s="14">
        <v>-94</v>
      </c>
      <c r="AG268" s="14">
        <v>114</v>
      </c>
      <c r="AJ268" s="14">
        <v>101</v>
      </c>
      <c r="AL268" s="14">
        <v>315</v>
      </c>
      <c r="AM268" s="14">
        <v>-74</v>
      </c>
      <c r="AN268" s="14">
        <v>233</v>
      </c>
      <c r="AP268" s="14">
        <v>247</v>
      </c>
      <c r="AQ268" s="14">
        <v>-35</v>
      </c>
      <c r="AR268" s="14">
        <v>327</v>
      </c>
      <c r="AS268" s="14">
        <v>-183</v>
      </c>
      <c r="AT268" s="14">
        <v>69</v>
      </c>
      <c r="AU268" s="14">
        <v>-56</v>
      </c>
      <c r="AV268" s="14">
        <v>252</v>
      </c>
      <c r="AW268" s="14">
        <v>204</v>
      </c>
      <c r="AX268" s="14">
        <v>-160</v>
      </c>
      <c r="AY268" s="14">
        <v>-96</v>
      </c>
      <c r="AZ268" s="14">
        <v>758</v>
      </c>
      <c r="BA268" s="14">
        <v>-62</v>
      </c>
      <c r="BB268" s="14">
        <v>5624</v>
      </c>
      <c r="BD268" s="14">
        <v>-6</v>
      </c>
      <c r="BE268" s="14">
        <v>641</v>
      </c>
    </row>
    <row r="269" spans="7:57" x14ac:dyDescent="0.25">
      <c r="G269" s="14">
        <v>322</v>
      </c>
      <c r="H269" s="14">
        <v>-16</v>
      </c>
      <c r="I269" s="14">
        <v>780</v>
      </c>
      <c r="M269" s="14">
        <v>-95</v>
      </c>
      <c r="X269" s="14">
        <v>-263</v>
      </c>
      <c r="AB269" s="14">
        <v>-60</v>
      </c>
      <c r="AE269" s="14">
        <v>159</v>
      </c>
      <c r="AF269" s="14">
        <v>-186</v>
      </c>
      <c r="AG269" s="14">
        <v>612</v>
      </c>
      <c r="AJ269" s="14">
        <v>-743</v>
      </c>
      <c r="AL269" s="14">
        <v>-94</v>
      </c>
      <c r="AM269" s="14">
        <v>-83</v>
      </c>
      <c r="AN269" s="14">
        <v>143</v>
      </c>
      <c r="AP269" s="14">
        <v>779</v>
      </c>
      <c r="AQ269" s="14">
        <v>10</v>
      </c>
      <c r="AR269" s="14">
        <v>118</v>
      </c>
      <c r="AS269" s="14">
        <v>391</v>
      </c>
      <c r="AT269" s="14">
        <v>1</v>
      </c>
      <c r="AU269" s="14">
        <v>-173</v>
      </c>
      <c r="AV269" s="14">
        <v>685</v>
      </c>
      <c r="AW269" s="14">
        <v>-554</v>
      </c>
      <c r="AX269" s="14">
        <v>-150</v>
      </c>
      <c r="AY269" s="14">
        <v>14</v>
      </c>
      <c r="AZ269" s="14">
        <v>148</v>
      </c>
      <c r="BA269" s="14">
        <v>155</v>
      </c>
      <c r="BB269" s="14">
        <v>-1446</v>
      </c>
      <c r="BD269" s="14">
        <v>-6</v>
      </c>
      <c r="BE269" s="14">
        <v>633</v>
      </c>
    </row>
    <row r="270" spans="7:57" x14ac:dyDescent="0.25">
      <c r="G270" s="14">
        <v>3353</v>
      </c>
      <c r="H270" s="14">
        <v>-22</v>
      </c>
      <c r="I270" s="14">
        <v>185</v>
      </c>
      <c r="M270" s="14">
        <v>-105</v>
      </c>
      <c r="X270" s="14">
        <v>-230</v>
      </c>
      <c r="AB270" s="14">
        <v>-240</v>
      </c>
      <c r="AE270" s="14">
        <v>443</v>
      </c>
      <c r="AF270" s="14">
        <v>30</v>
      </c>
      <c r="AG270" s="14">
        <v>285</v>
      </c>
      <c r="AJ270" s="14">
        <v>983</v>
      </c>
      <c r="AL270" s="14">
        <v>1</v>
      </c>
      <c r="AM270" s="14">
        <v>-97</v>
      </c>
      <c r="AN270" s="14">
        <v>-509</v>
      </c>
      <c r="AP270" s="14">
        <v>12</v>
      </c>
      <c r="AQ270" s="14">
        <v>-61</v>
      </c>
      <c r="AR270" s="14">
        <v>661</v>
      </c>
      <c r="AS270" s="14">
        <v>697</v>
      </c>
      <c r="AT270" s="14">
        <v>9</v>
      </c>
      <c r="AU270" s="14">
        <v>-44</v>
      </c>
      <c r="AV270" s="14">
        <v>-17</v>
      </c>
      <c r="AW270" s="14">
        <v>203</v>
      </c>
      <c r="AX270" s="14">
        <v>-179</v>
      </c>
      <c r="AY270" s="14">
        <v>-34</v>
      </c>
      <c r="AZ270" s="14">
        <v>-116</v>
      </c>
      <c r="BA270" s="14">
        <v>418</v>
      </c>
      <c r="BB270" s="14">
        <v>34</v>
      </c>
      <c r="BD270" s="14">
        <v>-6</v>
      </c>
      <c r="BE270" s="14">
        <v>1931</v>
      </c>
    </row>
    <row r="271" spans="7:57" x14ac:dyDescent="0.25">
      <c r="G271" s="14">
        <v>4130</v>
      </c>
      <c r="H271" s="14">
        <v>3</v>
      </c>
      <c r="I271" s="14">
        <v>-209</v>
      </c>
      <c r="M271" s="14">
        <v>-74</v>
      </c>
      <c r="X271" s="14">
        <v>114</v>
      </c>
      <c r="AB271" s="14">
        <v>-340</v>
      </c>
      <c r="AE271" s="14">
        <v>376</v>
      </c>
      <c r="AF271" s="14">
        <v>138</v>
      </c>
      <c r="AG271" s="14">
        <v>230</v>
      </c>
      <c r="AJ271" s="14">
        <v>-142</v>
      </c>
      <c r="AL271" s="14">
        <v>-1</v>
      </c>
      <c r="AM271" s="14">
        <v>65</v>
      </c>
      <c r="AN271" s="14">
        <v>147</v>
      </c>
      <c r="AP271" s="14">
        <v>115</v>
      </c>
      <c r="AQ271" s="14">
        <v>5</v>
      </c>
      <c r="AR271" s="14">
        <v>244</v>
      </c>
      <c r="AS271" s="14">
        <v>414</v>
      </c>
      <c r="AT271" s="14">
        <v>-17</v>
      </c>
      <c r="AU271" s="14">
        <v>-62</v>
      </c>
      <c r="AV271" s="14">
        <v>-454</v>
      </c>
      <c r="AW271" s="14">
        <v>-33</v>
      </c>
      <c r="AX271" s="14">
        <v>-45</v>
      </c>
      <c r="AY271" s="14">
        <v>-67</v>
      </c>
      <c r="AZ271" s="14">
        <v>-738</v>
      </c>
      <c r="BA271" s="14">
        <v>-108</v>
      </c>
      <c r="BB271" s="14">
        <v>17</v>
      </c>
      <c r="BD271" s="14">
        <v>-7</v>
      </c>
      <c r="BE271" s="14">
        <v>2576</v>
      </c>
    </row>
    <row r="272" spans="7:57" x14ac:dyDescent="0.25">
      <c r="G272" s="14">
        <v>3897</v>
      </c>
      <c r="H272" s="14">
        <v>-12</v>
      </c>
      <c r="I272" s="14">
        <v>237</v>
      </c>
      <c r="M272" s="14">
        <v>852</v>
      </c>
      <c r="X272" s="14">
        <v>-592</v>
      </c>
      <c r="AB272" s="14">
        <v>-82</v>
      </c>
      <c r="AE272" s="14">
        <v>-188</v>
      </c>
      <c r="AF272" s="14">
        <v>247</v>
      </c>
      <c r="AG272" s="14">
        <v>661</v>
      </c>
      <c r="AJ272" s="14">
        <v>591</v>
      </c>
      <c r="AL272" s="14">
        <v>6</v>
      </c>
      <c r="AM272" s="14">
        <v>-69</v>
      </c>
      <c r="AN272" s="14">
        <v>-820</v>
      </c>
      <c r="AP272" s="14">
        <v>107</v>
      </c>
      <c r="AQ272" s="14">
        <v>-9</v>
      </c>
      <c r="AR272" s="14">
        <v>909</v>
      </c>
      <c r="AS272" s="14">
        <v>553</v>
      </c>
      <c r="AT272" s="14">
        <v>65</v>
      </c>
      <c r="AU272" s="14">
        <v>-43</v>
      </c>
      <c r="AV272" s="14">
        <v>802</v>
      </c>
      <c r="AW272" s="14">
        <v>-578</v>
      </c>
      <c r="AX272" s="14">
        <v>-176</v>
      </c>
      <c r="AY272" s="14">
        <v>92</v>
      </c>
      <c r="AZ272" s="14">
        <v>1</v>
      </c>
      <c r="BA272" s="14">
        <v>221</v>
      </c>
      <c r="BB272" s="14">
        <v>-167</v>
      </c>
      <c r="BD272" s="14">
        <v>-121</v>
      </c>
      <c r="BE272" s="14">
        <v>2229</v>
      </c>
    </row>
    <row r="273" spans="7:57" x14ac:dyDescent="0.25">
      <c r="G273" s="14">
        <v>4071</v>
      </c>
      <c r="H273" s="14">
        <v>-6</v>
      </c>
      <c r="I273" s="14">
        <v>921</v>
      </c>
      <c r="M273" s="14">
        <v>354</v>
      </c>
      <c r="X273" s="14">
        <v>460</v>
      </c>
      <c r="AB273" s="14">
        <v>-233</v>
      </c>
      <c r="AE273" s="14">
        <v>-366</v>
      </c>
      <c r="AF273" s="14">
        <v>-486</v>
      </c>
      <c r="AG273" s="14">
        <v>222</v>
      </c>
      <c r="AJ273" s="14">
        <v>102</v>
      </c>
      <c r="AL273" s="14">
        <v>-2</v>
      </c>
      <c r="AM273" s="14">
        <v>-108</v>
      </c>
      <c r="AN273" s="14">
        <v>420</v>
      </c>
      <c r="AP273" s="14">
        <v>-254</v>
      </c>
      <c r="AQ273" s="14">
        <v>-1</v>
      </c>
      <c r="AR273" s="14">
        <v>757</v>
      </c>
      <c r="AS273" s="14">
        <v>546</v>
      </c>
      <c r="AT273" s="14">
        <v>83</v>
      </c>
      <c r="AU273" s="14">
        <v>-21</v>
      </c>
      <c r="AV273" s="14">
        <v>-314</v>
      </c>
      <c r="AW273" s="14">
        <v>309</v>
      </c>
      <c r="AX273" s="14">
        <v>-104</v>
      </c>
      <c r="AY273" s="14">
        <v>13</v>
      </c>
      <c r="AZ273" s="14">
        <v>45</v>
      </c>
      <c r="BA273" s="14">
        <v>329</v>
      </c>
      <c r="BB273" s="14">
        <v>268</v>
      </c>
      <c r="BD273" s="14">
        <v>5</v>
      </c>
      <c r="BE273" s="14">
        <v>1541</v>
      </c>
    </row>
    <row r="274" spans="7:57" x14ac:dyDescent="0.25">
      <c r="G274" s="14">
        <v>4333</v>
      </c>
      <c r="H274" s="14">
        <v>-12</v>
      </c>
      <c r="I274" s="14">
        <v>676</v>
      </c>
      <c r="M274" s="14">
        <v>240</v>
      </c>
      <c r="X274" s="14">
        <v>208</v>
      </c>
      <c r="AB274" s="14">
        <v>59</v>
      </c>
      <c r="AE274" s="14">
        <v>-188</v>
      </c>
      <c r="AF274" s="14">
        <v>-35</v>
      </c>
      <c r="AG274" s="14">
        <v>173</v>
      </c>
      <c r="AJ274" s="14">
        <v>102</v>
      </c>
      <c r="AL274" s="14">
        <v>5</v>
      </c>
      <c r="AM274" s="14">
        <v>-138</v>
      </c>
      <c r="AN274" s="14">
        <v>391</v>
      </c>
      <c r="AP274" s="14">
        <v>107</v>
      </c>
      <c r="AQ274" s="14">
        <v>4</v>
      </c>
      <c r="AR274" s="14">
        <v>-237</v>
      </c>
      <c r="AS274" s="14">
        <v>200</v>
      </c>
      <c r="AT274" s="14">
        <v>86</v>
      </c>
      <c r="AU274" s="14">
        <v>-104</v>
      </c>
      <c r="AV274" s="14">
        <v>466</v>
      </c>
      <c r="AW274" s="14">
        <v>-8</v>
      </c>
      <c r="AX274" s="14">
        <v>-154</v>
      </c>
      <c r="AY274" s="14">
        <v>-137</v>
      </c>
      <c r="AZ274" s="14">
        <v>5</v>
      </c>
      <c r="BA274" s="14">
        <v>207</v>
      </c>
      <c r="BB274" s="14">
        <v>931</v>
      </c>
      <c r="BD274" s="14">
        <v>-1945</v>
      </c>
      <c r="BE274" s="14">
        <v>1500</v>
      </c>
    </row>
    <row r="275" spans="7:57" x14ac:dyDescent="0.25">
      <c r="G275" s="14">
        <v>4804</v>
      </c>
      <c r="H275" s="14">
        <v>-12</v>
      </c>
      <c r="I275" s="14">
        <v>67</v>
      </c>
      <c r="M275" s="14">
        <v>159</v>
      </c>
      <c r="X275" s="14">
        <v>148</v>
      </c>
      <c r="AB275" s="14">
        <v>-218</v>
      </c>
      <c r="AE275" s="14">
        <v>-274</v>
      </c>
      <c r="AF275" s="14">
        <v>65</v>
      </c>
      <c r="AG275" s="14">
        <v>-97</v>
      </c>
      <c r="AJ275" s="14">
        <v>802</v>
      </c>
      <c r="AL275" s="14">
        <v>-3</v>
      </c>
      <c r="AM275" s="14">
        <v>-10</v>
      </c>
      <c r="AN275" s="14">
        <v>482</v>
      </c>
      <c r="AP275" s="14">
        <v>-293</v>
      </c>
      <c r="AQ275" s="14">
        <v>1</v>
      </c>
      <c r="AR275" s="14">
        <v>-565</v>
      </c>
      <c r="AS275" s="14">
        <v>-103</v>
      </c>
      <c r="AT275" s="14">
        <v>39</v>
      </c>
      <c r="AU275" s="14">
        <v>-119</v>
      </c>
      <c r="AV275" s="14">
        <v>135</v>
      </c>
      <c r="AW275" s="14">
        <v>-54</v>
      </c>
      <c r="AX275" s="14">
        <v>-157</v>
      </c>
      <c r="AY275" s="14">
        <v>-267</v>
      </c>
      <c r="AZ275" s="14">
        <v>-13</v>
      </c>
      <c r="BA275" s="14">
        <v>-143</v>
      </c>
      <c r="BB275" s="14">
        <v>180</v>
      </c>
      <c r="BD275" s="14">
        <v>-4</v>
      </c>
      <c r="BE275" s="14">
        <v>2158</v>
      </c>
    </row>
    <row r="276" spans="7:57" x14ac:dyDescent="0.25">
      <c r="G276" s="14">
        <v>4933</v>
      </c>
      <c r="H276" s="14">
        <v>-13</v>
      </c>
      <c r="I276" s="14">
        <v>353</v>
      </c>
      <c r="M276" s="14">
        <v>95</v>
      </c>
      <c r="X276" s="14">
        <v>-103</v>
      </c>
      <c r="AB276" s="14">
        <v>-127</v>
      </c>
      <c r="AE276" s="14">
        <v>1</v>
      </c>
      <c r="AF276" s="14">
        <v>21</v>
      </c>
      <c r="AG276" s="14">
        <v>166</v>
      </c>
      <c r="AJ276" s="14">
        <v>650</v>
      </c>
      <c r="AL276" s="14">
        <v>343</v>
      </c>
      <c r="AM276" s="14">
        <v>-98</v>
      </c>
      <c r="AN276" s="14">
        <v>-468</v>
      </c>
      <c r="AP276" s="14">
        <v>-258</v>
      </c>
      <c r="AQ276" s="14">
        <v>-11</v>
      </c>
      <c r="AR276" s="14">
        <v>-174</v>
      </c>
      <c r="AS276" s="14">
        <v>-158</v>
      </c>
      <c r="AT276" s="14">
        <v>21</v>
      </c>
      <c r="AU276" s="14">
        <v>-189</v>
      </c>
      <c r="AV276" s="14">
        <v>-28</v>
      </c>
      <c r="AW276" s="14">
        <v>-77</v>
      </c>
      <c r="AX276" s="14">
        <v>105</v>
      </c>
      <c r="AY276" s="14">
        <v>-284</v>
      </c>
      <c r="AZ276" s="14">
        <v>-175</v>
      </c>
      <c r="BA276" s="14">
        <v>165</v>
      </c>
      <c r="BB276" s="14">
        <v>12274</v>
      </c>
      <c r="BD276" s="14">
        <v>-4</v>
      </c>
      <c r="BE276" s="14">
        <v>4464</v>
      </c>
    </row>
    <row r="277" spans="7:57" x14ac:dyDescent="0.25">
      <c r="G277" s="14">
        <v>3268</v>
      </c>
      <c r="H277" s="14">
        <v>16</v>
      </c>
      <c r="I277" s="14">
        <v>142</v>
      </c>
      <c r="M277" s="14">
        <v>46</v>
      </c>
      <c r="X277" s="14">
        <v>-32</v>
      </c>
      <c r="AB277" s="14">
        <v>-303</v>
      </c>
      <c r="AE277" s="14">
        <v>101</v>
      </c>
      <c r="AF277" s="14">
        <v>413</v>
      </c>
      <c r="AG277" s="14">
        <v>-192</v>
      </c>
      <c r="AJ277" s="14">
        <v>921</v>
      </c>
      <c r="AL277" s="14">
        <v>4</v>
      </c>
      <c r="AM277" s="14">
        <v>-110</v>
      </c>
      <c r="AN277" s="14">
        <v>164</v>
      </c>
      <c r="AP277" s="14">
        <v>838</v>
      </c>
      <c r="AQ277" s="14">
        <v>-1</v>
      </c>
      <c r="AR277" s="14">
        <v>-264</v>
      </c>
      <c r="AS277" s="14">
        <v>102</v>
      </c>
      <c r="AT277" s="14">
        <v>-47</v>
      </c>
      <c r="AU277" s="14">
        <v>-254</v>
      </c>
      <c r="AV277" s="14">
        <v>967</v>
      </c>
      <c r="AW277" s="14">
        <v>-198</v>
      </c>
      <c r="AX277" s="14">
        <v>-163</v>
      </c>
      <c r="AY277" s="14">
        <v>110</v>
      </c>
      <c r="AZ277" s="14">
        <v>-316</v>
      </c>
      <c r="BA277" s="14">
        <v>-399</v>
      </c>
      <c r="BB277" s="14">
        <v>5833</v>
      </c>
      <c r="BD277" s="14">
        <v>-3</v>
      </c>
      <c r="BE277" s="14">
        <v>2520</v>
      </c>
    </row>
    <row r="278" spans="7:57" x14ac:dyDescent="0.25">
      <c r="G278" s="14">
        <v>3525</v>
      </c>
      <c r="H278" s="14">
        <v>33</v>
      </c>
      <c r="I278" s="14">
        <v>610</v>
      </c>
      <c r="M278" s="14">
        <v>12</v>
      </c>
      <c r="X278" s="14">
        <v>-563</v>
      </c>
      <c r="AB278" s="14">
        <v>-126</v>
      </c>
      <c r="AE278" s="14">
        <v>652</v>
      </c>
      <c r="AF278" s="14">
        <v>287</v>
      </c>
      <c r="AG278" s="14">
        <v>500</v>
      </c>
      <c r="AJ278" s="14">
        <v>170</v>
      </c>
      <c r="AL278" s="14">
        <v>1</v>
      </c>
      <c r="AM278" s="14">
        <v>-119</v>
      </c>
      <c r="AN278" s="14">
        <v>-314</v>
      </c>
      <c r="AP278" s="14">
        <v>809</v>
      </c>
      <c r="AQ278" s="14">
        <v>-1</v>
      </c>
      <c r="AR278" s="14">
        <v>-231</v>
      </c>
      <c r="AS278" s="14">
        <v>393</v>
      </c>
      <c r="AT278" s="14">
        <v>-20</v>
      </c>
      <c r="AU278" s="14">
        <v>-145</v>
      </c>
      <c r="AV278" s="14">
        <v>-495</v>
      </c>
      <c r="AW278" s="14">
        <v>-23</v>
      </c>
      <c r="AX278" s="14">
        <v>-393</v>
      </c>
      <c r="AY278" s="14">
        <v>37</v>
      </c>
      <c r="AZ278" s="14">
        <v>-157</v>
      </c>
      <c r="BA278" s="14">
        <v>-112</v>
      </c>
      <c r="BB278" s="14">
        <v>3309</v>
      </c>
      <c r="BD278" s="14">
        <v>-2</v>
      </c>
      <c r="BE278" s="14">
        <v>2684</v>
      </c>
    </row>
    <row r="279" spans="7:57" x14ac:dyDescent="0.25">
      <c r="G279" s="14">
        <v>4316</v>
      </c>
      <c r="H279" s="14">
        <v>32</v>
      </c>
      <c r="I279" s="14">
        <v>354</v>
      </c>
      <c r="M279" s="14">
        <v>-7</v>
      </c>
      <c r="X279" s="14">
        <v>525</v>
      </c>
      <c r="AB279" s="14">
        <v>14</v>
      </c>
      <c r="AE279" s="14">
        <v>457</v>
      </c>
      <c r="AF279" s="14">
        <v>-247</v>
      </c>
      <c r="AG279" s="14">
        <v>-131</v>
      </c>
      <c r="AJ279" s="14">
        <v>520</v>
      </c>
      <c r="AL279" s="14">
        <v>4</v>
      </c>
      <c r="AM279" s="14">
        <v>103</v>
      </c>
      <c r="AN279" s="14">
        <v>-247</v>
      </c>
      <c r="AP279" s="14">
        <v>-182</v>
      </c>
      <c r="AQ279" s="14">
        <v>4</v>
      </c>
      <c r="AR279" s="14">
        <v>-317</v>
      </c>
      <c r="AS279" s="14">
        <v>-130</v>
      </c>
      <c r="AT279" s="14">
        <v>52</v>
      </c>
      <c r="AU279" s="14">
        <v>-333</v>
      </c>
      <c r="AV279" s="14">
        <v>-806</v>
      </c>
      <c r="AW279" s="14">
        <v>-382</v>
      </c>
      <c r="AX279" s="14">
        <v>-138</v>
      </c>
      <c r="AY279" s="14">
        <v>-311</v>
      </c>
      <c r="AZ279" s="14">
        <v>-25</v>
      </c>
      <c r="BA279" s="14">
        <v>-134</v>
      </c>
      <c r="BB279" s="14">
        <v>-2294</v>
      </c>
      <c r="BD279" s="14">
        <v>1</v>
      </c>
      <c r="BE279" s="14">
        <v>1835</v>
      </c>
    </row>
    <row r="280" spans="7:57" x14ac:dyDescent="0.25">
      <c r="G280" s="14">
        <v>4456</v>
      </c>
      <c r="H280" s="14">
        <v>32</v>
      </c>
      <c r="I280" s="14">
        <v>227</v>
      </c>
      <c r="M280" s="14">
        <v>-12</v>
      </c>
      <c r="X280" s="14">
        <v>111</v>
      </c>
      <c r="AB280" s="14">
        <v>154</v>
      </c>
      <c r="AE280" s="14">
        <v>217</v>
      </c>
      <c r="AF280" s="14">
        <v>-2</v>
      </c>
      <c r="AG280" s="14">
        <v>-72</v>
      </c>
      <c r="AJ280" s="14">
        <v>-538</v>
      </c>
      <c r="AL280" s="14">
        <v>26</v>
      </c>
      <c r="AM280" s="14">
        <v>-100</v>
      </c>
      <c r="AN280" s="14">
        <v>-208</v>
      </c>
      <c r="AP280" s="14">
        <v>334</v>
      </c>
      <c r="AQ280" s="14">
        <v>1</v>
      </c>
      <c r="AR280" s="14">
        <v>-979</v>
      </c>
      <c r="AS280" s="14">
        <v>160</v>
      </c>
      <c r="AT280" s="14">
        <v>89</v>
      </c>
      <c r="AU280" s="14">
        <v>-91</v>
      </c>
      <c r="AV280" s="14">
        <v>731</v>
      </c>
      <c r="AW280" s="14">
        <v>386</v>
      </c>
      <c r="AX280" s="14">
        <v>-257</v>
      </c>
      <c r="AY280" s="14">
        <v>6</v>
      </c>
      <c r="AZ280" s="14">
        <v>147</v>
      </c>
      <c r="BA280" s="14">
        <v>287</v>
      </c>
      <c r="BB280" s="14">
        <v>1171</v>
      </c>
      <c r="BD280" s="14">
        <v>5</v>
      </c>
      <c r="BE280" s="14">
        <v>2239</v>
      </c>
    </row>
    <row r="281" spans="7:57" x14ac:dyDescent="0.25">
      <c r="G281" s="14">
        <v>4943</v>
      </c>
      <c r="H281" s="14">
        <v>32</v>
      </c>
      <c r="I281" s="14">
        <v>823</v>
      </c>
      <c r="M281" s="14">
        <v>887</v>
      </c>
      <c r="X281" s="14">
        <v>118</v>
      </c>
      <c r="AB281" s="14">
        <v>-291</v>
      </c>
      <c r="AE281" s="14">
        <v>-747</v>
      </c>
      <c r="AF281" s="14">
        <v>753</v>
      </c>
      <c r="AG281" s="14">
        <v>546</v>
      </c>
      <c r="AJ281" s="14">
        <v>-151</v>
      </c>
      <c r="AL281" s="14">
        <v>-281</v>
      </c>
      <c r="AM281" s="14">
        <v>-153</v>
      </c>
      <c r="AN281" s="14">
        <v>-331</v>
      </c>
      <c r="AP281" s="14">
        <v>-112</v>
      </c>
      <c r="AQ281" s="14">
        <v>-13</v>
      </c>
      <c r="AR281" s="14">
        <v>-143</v>
      </c>
      <c r="AS281" s="14">
        <v>700</v>
      </c>
      <c r="AT281" s="14">
        <v>33</v>
      </c>
      <c r="AU281" s="14">
        <v>-57</v>
      </c>
      <c r="AV281" s="14">
        <v>489</v>
      </c>
      <c r="AW281" s="14">
        <v>119</v>
      </c>
      <c r="AX281" s="14">
        <v>47</v>
      </c>
      <c r="AY281" s="14">
        <v>59</v>
      </c>
      <c r="AZ281" s="14">
        <v>661</v>
      </c>
      <c r="BA281" s="14">
        <v>518</v>
      </c>
      <c r="BB281" s="14">
        <v>1543</v>
      </c>
      <c r="BD281" s="14">
        <v>-4</v>
      </c>
      <c r="BE281" s="14">
        <v>1238</v>
      </c>
    </row>
    <row r="282" spans="7:57" x14ac:dyDescent="0.25">
      <c r="G282" s="14">
        <v>3563</v>
      </c>
      <c r="H282" s="14">
        <v>31</v>
      </c>
      <c r="I282" s="14">
        <v>-58</v>
      </c>
      <c r="M282" s="14">
        <v>755</v>
      </c>
      <c r="X282" s="14">
        <v>-135</v>
      </c>
      <c r="AB282" s="14">
        <v>-248</v>
      </c>
      <c r="AE282" s="14">
        <v>650</v>
      </c>
      <c r="AF282" s="14">
        <v>91</v>
      </c>
      <c r="AG282" s="14">
        <v>249</v>
      </c>
      <c r="AJ282" s="14">
        <v>-460</v>
      </c>
      <c r="AL282" s="14">
        <v>3</v>
      </c>
      <c r="AM282" s="14">
        <v>-223</v>
      </c>
      <c r="AN282" s="14">
        <v>-4</v>
      </c>
      <c r="AP282" s="14">
        <v>-145</v>
      </c>
      <c r="AQ282" s="14">
        <v>-1</v>
      </c>
      <c r="AR282" s="14">
        <v>-963</v>
      </c>
      <c r="AS282" s="14">
        <v>242</v>
      </c>
      <c r="AT282" s="14">
        <v>31</v>
      </c>
      <c r="AU282" s="14">
        <v>-82</v>
      </c>
      <c r="AV282" s="14">
        <v>-17</v>
      </c>
      <c r="AW282" s="14">
        <v>-177</v>
      </c>
      <c r="AX282" s="14">
        <v>-9</v>
      </c>
      <c r="AY282" s="14">
        <v>-7</v>
      </c>
      <c r="AZ282" s="14">
        <v>234</v>
      </c>
      <c r="BA282" s="14">
        <v>73</v>
      </c>
      <c r="BB282" s="14">
        <v>3177</v>
      </c>
      <c r="BD282" s="14">
        <v>1</v>
      </c>
      <c r="BE282" s="14">
        <v>1995</v>
      </c>
    </row>
    <row r="283" spans="7:57" x14ac:dyDescent="0.25">
      <c r="G283" s="14">
        <v>5537</v>
      </c>
      <c r="H283" s="14">
        <v>33</v>
      </c>
      <c r="I283" s="14">
        <v>344</v>
      </c>
      <c r="M283" s="14">
        <v>419</v>
      </c>
      <c r="X283" s="14">
        <v>935</v>
      </c>
      <c r="AB283" s="14">
        <v>-89</v>
      </c>
      <c r="AE283" s="14">
        <v>-121</v>
      </c>
      <c r="AF283" s="14">
        <v>565</v>
      </c>
      <c r="AG283" s="14">
        <v>-139</v>
      </c>
      <c r="AJ283" s="14">
        <v>-365</v>
      </c>
      <c r="AL283" s="14">
        <v>60</v>
      </c>
      <c r="AM283" s="14">
        <v>-31</v>
      </c>
      <c r="AN283" s="14">
        <v>131</v>
      </c>
      <c r="AP283" s="14">
        <v>-121</v>
      </c>
      <c r="AQ283" s="14">
        <v>5</v>
      </c>
      <c r="AR283" s="14">
        <v>-687</v>
      </c>
      <c r="AS283" s="14">
        <v>-121</v>
      </c>
      <c r="AT283" s="14">
        <v>-27</v>
      </c>
      <c r="AU283" s="14">
        <v>-69</v>
      </c>
      <c r="AV283" s="14">
        <v>118</v>
      </c>
      <c r="AW283" s="14">
        <v>59</v>
      </c>
      <c r="AX283" s="14">
        <v>133</v>
      </c>
      <c r="AY283" s="14">
        <v>-6</v>
      </c>
      <c r="AZ283" s="14">
        <v>764</v>
      </c>
      <c r="BA283" s="14">
        <v>82</v>
      </c>
      <c r="BB283" s="14">
        <v>-5597</v>
      </c>
      <c r="BD283" s="14">
        <v>3</v>
      </c>
      <c r="BE283" s="14">
        <v>3732</v>
      </c>
    </row>
    <row r="284" spans="7:57" x14ac:dyDescent="0.25">
      <c r="G284" s="14">
        <v>5484</v>
      </c>
      <c r="H284" s="14">
        <v>27</v>
      </c>
      <c r="I284" s="14">
        <v>140</v>
      </c>
      <c r="M284" s="14">
        <v>156</v>
      </c>
      <c r="X284" s="14">
        <v>123</v>
      </c>
      <c r="AB284" s="14">
        <v>-204</v>
      </c>
      <c r="AE284" s="14">
        <v>-925</v>
      </c>
      <c r="AF284" s="14">
        <v>124</v>
      </c>
      <c r="AG284" s="14">
        <v>550</v>
      </c>
      <c r="AJ284" s="14">
        <v>610</v>
      </c>
      <c r="AL284" s="14">
        <v>-67</v>
      </c>
      <c r="AM284" s="14">
        <v>-159</v>
      </c>
      <c r="AN284" s="14">
        <v>349</v>
      </c>
      <c r="AP284" s="14">
        <v>-982</v>
      </c>
      <c r="AQ284" s="14">
        <v>-18</v>
      </c>
      <c r="AR284" s="14">
        <v>-648</v>
      </c>
      <c r="AS284" s="14">
        <v>311</v>
      </c>
      <c r="AT284" s="14">
        <v>62</v>
      </c>
      <c r="AU284" s="14">
        <v>-1</v>
      </c>
      <c r="AV284" s="14">
        <v>-605</v>
      </c>
      <c r="AW284" s="14">
        <v>-377</v>
      </c>
      <c r="AX284" s="14">
        <v>-144</v>
      </c>
      <c r="AY284" s="14">
        <v>19</v>
      </c>
      <c r="AZ284" s="14">
        <v>148</v>
      </c>
      <c r="BA284" s="14">
        <v>-18</v>
      </c>
      <c r="BB284" s="14">
        <v>395</v>
      </c>
      <c r="BD284" s="14">
        <v>6</v>
      </c>
      <c r="BE284" s="14">
        <v>1402</v>
      </c>
    </row>
    <row r="285" spans="7:57" x14ac:dyDescent="0.25">
      <c r="G285" s="14">
        <v>4731</v>
      </c>
      <c r="H285" s="14">
        <v>33</v>
      </c>
      <c r="I285" s="14">
        <v>874</v>
      </c>
      <c r="M285" s="14">
        <v>-27</v>
      </c>
      <c r="X285" s="14">
        <v>136</v>
      </c>
      <c r="AB285" s="14">
        <v>-242</v>
      </c>
      <c r="AE285" s="14">
        <v>470</v>
      </c>
      <c r="AF285" s="14">
        <v>722</v>
      </c>
      <c r="AG285" s="14">
        <v>-157</v>
      </c>
      <c r="AJ285" s="14">
        <v>206</v>
      </c>
      <c r="AL285" s="14">
        <v>98</v>
      </c>
      <c r="AM285" s="14">
        <v>-164</v>
      </c>
      <c r="AN285" s="14">
        <v>287</v>
      </c>
      <c r="AP285" s="14">
        <v>-141</v>
      </c>
      <c r="AQ285" s="14">
        <v>-3</v>
      </c>
      <c r="AR285" s="14">
        <v>-962</v>
      </c>
      <c r="AS285" s="14">
        <v>-735</v>
      </c>
      <c r="AT285" s="14">
        <v>89</v>
      </c>
      <c r="AU285" s="14">
        <v>1</v>
      </c>
      <c r="AV285" s="14">
        <v>-307</v>
      </c>
      <c r="AW285" s="14">
        <v>56</v>
      </c>
      <c r="AX285" s="14">
        <v>-22</v>
      </c>
      <c r="AY285" s="14">
        <v>-27</v>
      </c>
      <c r="AZ285" s="14">
        <v>-115</v>
      </c>
      <c r="BA285" s="14">
        <v>-14</v>
      </c>
      <c r="BB285" s="14">
        <v>5834</v>
      </c>
      <c r="BD285" s="14">
        <v>4</v>
      </c>
      <c r="BE285" s="14">
        <v>3370</v>
      </c>
    </row>
    <row r="286" spans="7:57" x14ac:dyDescent="0.25">
      <c r="G286" s="14">
        <v>5326</v>
      </c>
      <c r="H286" s="14">
        <v>-48</v>
      </c>
      <c r="I286" s="14">
        <v>779</v>
      </c>
      <c r="M286" s="14">
        <v>-131</v>
      </c>
      <c r="X286" s="14">
        <v>145</v>
      </c>
      <c r="AB286" s="14">
        <v>-145</v>
      </c>
      <c r="AE286" s="14">
        <v>66</v>
      </c>
      <c r="AF286" s="14">
        <v>-580</v>
      </c>
      <c r="AG286" s="14">
        <v>-184</v>
      </c>
      <c r="AJ286" s="14">
        <v>-568</v>
      </c>
      <c r="AL286" s="14">
        <v>183</v>
      </c>
      <c r="AM286" s="14">
        <v>-171</v>
      </c>
      <c r="AN286" s="14">
        <v>144</v>
      </c>
      <c r="AP286" s="14">
        <v>-560</v>
      </c>
      <c r="AQ286" s="14">
        <v>3</v>
      </c>
      <c r="AR286" s="14">
        <v>-366</v>
      </c>
      <c r="AS286" s="14">
        <v>-524</v>
      </c>
      <c r="AT286" s="14">
        <v>120</v>
      </c>
      <c r="AU286" s="14">
        <v>-16</v>
      </c>
      <c r="AV286" s="14">
        <v>162</v>
      </c>
      <c r="AW286" s="14">
        <v>-153</v>
      </c>
      <c r="AX286" s="14">
        <v>24</v>
      </c>
      <c r="AY286" s="14">
        <v>-25</v>
      </c>
      <c r="AZ286" s="14">
        <v>-737</v>
      </c>
      <c r="BA286" s="14">
        <v>-28</v>
      </c>
      <c r="BB286" s="14">
        <v>-1429</v>
      </c>
      <c r="BD286" s="14">
        <v>4</v>
      </c>
      <c r="BE286" s="14">
        <v>2878</v>
      </c>
    </row>
    <row r="287" spans="7:57" x14ac:dyDescent="0.25">
      <c r="G287" s="14">
        <v>6312</v>
      </c>
      <c r="H287" s="14">
        <v>3</v>
      </c>
      <c r="I287" s="14">
        <v>212</v>
      </c>
      <c r="M287" s="14">
        <v>-186</v>
      </c>
      <c r="X287" s="14">
        <v>-518</v>
      </c>
      <c r="AB287" s="14">
        <v>-1</v>
      </c>
      <c r="AE287" s="14">
        <v>642</v>
      </c>
      <c r="AF287" s="14">
        <v>-99</v>
      </c>
      <c r="AG287" s="14">
        <v>-783</v>
      </c>
      <c r="AJ287" s="14">
        <v>-798</v>
      </c>
      <c r="AL287" s="14">
        <v>38</v>
      </c>
      <c r="AM287" s="14">
        <v>186</v>
      </c>
      <c r="AN287" s="14">
        <v>-526</v>
      </c>
      <c r="AP287" s="14">
        <v>-114</v>
      </c>
      <c r="AQ287" s="14">
        <v>9</v>
      </c>
      <c r="AR287" s="14">
        <v>4</v>
      </c>
      <c r="AS287" s="14">
        <v>138</v>
      </c>
      <c r="AT287" s="14">
        <v>64</v>
      </c>
      <c r="AU287" s="14">
        <v>-12</v>
      </c>
      <c r="AV287" s="14">
        <v>887</v>
      </c>
      <c r="AW287" s="14">
        <v>-117</v>
      </c>
      <c r="AX287" s="14">
        <v>6</v>
      </c>
      <c r="AY287" s="14">
        <v>90</v>
      </c>
      <c r="AZ287" s="14">
        <v>1</v>
      </c>
      <c r="BA287" s="14">
        <v>142</v>
      </c>
      <c r="BB287" s="14">
        <v>33</v>
      </c>
      <c r="BD287" s="14">
        <v>-1</v>
      </c>
      <c r="BE287" s="14">
        <v>3022</v>
      </c>
    </row>
    <row r="288" spans="7:57" x14ac:dyDescent="0.25">
      <c r="G288" s="14">
        <v>6264</v>
      </c>
      <c r="H288" s="14">
        <v>11</v>
      </c>
      <c r="I288" s="14">
        <v>385</v>
      </c>
      <c r="M288" s="14">
        <v>-187</v>
      </c>
      <c r="X288" s="14">
        <v>119</v>
      </c>
      <c r="AB288" s="14">
        <v>-297</v>
      </c>
      <c r="AE288" s="14">
        <v>134</v>
      </c>
      <c r="AG288" s="14">
        <v>-205</v>
      </c>
      <c r="AJ288" s="14">
        <v>253</v>
      </c>
      <c r="AL288" s="14">
        <v>-9</v>
      </c>
      <c r="AM288" s="14">
        <v>-170</v>
      </c>
      <c r="AN288" s="14">
        <v>15</v>
      </c>
      <c r="AP288" s="14">
        <v>-153</v>
      </c>
      <c r="AQ288" s="14">
        <v>-1</v>
      </c>
      <c r="AR288" s="14">
        <v>200</v>
      </c>
      <c r="AS288" s="14">
        <v>-750</v>
      </c>
      <c r="AT288" s="14">
        <v>57</v>
      </c>
      <c r="AU288" s="14">
        <v>-2</v>
      </c>
      <c r="AV288" s="14">
        <v>2</v>
      </c>
      <c r="AW288" s="14">
        <v>91</v>
      </c>
      <c r="AX288" s="14">
        <v>52</v>
      </c>
      <c r="AY288" s="14">
        <v>30</v>
      </c>
      <c r="AZ288" s="14">
        <v>46</v>
      </c>
      <c r="BA288" s="14">
        <v>12</v>
      </c>
      <c r="BB288" s="14">
        <v>17</v>
      </c>
      <c r="BD288" s="14">
        <v>-8</v>
      </c>
      <c r="BE288" s="14">
        <v>3545</v>
      </c>
    </row>
    <row r="289" spans="7:57" x14ac:dyDescent="0.25">
      <c r="G289" s="14">
        <v>5439</v>
      </c>
      <c r="H289" s="14">
        <v>24</v>
      </c>
      <c r="I289" s="14">
        <v>-26</v>
      </c>
      <c r="M289" s="14">
        <v>-126</v>
      </c>
      <c r="X289" s="14">
        <v>140</v>
      </c>
      <c r="AB289" s="14">
        <v>-8</v>
      </c>
      <c r="AE289" s="14">
        <v>553</v>
      </c>
      <c r="AG289" s="14">
        <v>-153</v>
      </c>
      <c r="AJ289" s="14">
        <v>228</v>
      </c>
      <c r="AL289" s="14">
        <v>133</v>
      </c>
      <c r="AM289" s="14">
        <v>-245</v>
      </c>
      <c r="AN289" s="14">
        <v>-833</v>
      </c>
      <c r="AP289" s="14">
        <v>-103</v>
      </c>
      <c r="AQ289" s="14">
        <v>-7</v>
      </c>
      <c r="AR289" s="14">
        <v>214</v>
      </c>
      <c r="AS289" s="14">
        <v>454</v>
      </c>
      <c r="AT289" s="14">
        <v>-9</v>
      </c>
      <c r="AU289" s="14">
        <v>-45</v>
      </c>
      <c r="AV289" s="14">
        <v>-147</v>
      </c>
      <c r="AW289" s="14">
        <v>-134</v>
      </c>
      <c r="AX289" s="14">
        <v>60</v>
      </c>
      <c r="AY289" s="14">
        <v>-124</v>
      </c>
      <c r="AZ289" s="14">
        <v>5</v>
      </c>
      <c r="BA289" s="14">
        <v>90</v>
      </c>
      <c r="BB289" s="14">
        <v>-8969</v>
      </c>
      <c r="BD289" s="14">
        <v>-11</v>
      </c>
      <c r="BE289" s="14">
        <v>2724</v>
      </c>
    </row>
    <row r="290" spans="7:57" x14ac:dyDescent="0.25">
      <c r="G290" s="14">
        <v>5693</v>
      </c>
      <c r="H290" s="14">
        <v>23</v>
      </c>
      <c r="I290" s="14">
        <v>311</v>
      </c>
      <c r="M290" s="14">
        <v>674</v>
      </c>
      <c r="X290" s="14">
        <v>252</v>
      </c>
      <c r="AB290" s="14">
        <v>37</v>
      </c>
      <c r="AE290" s="14">
        <v>860</v>
      </c>
      <c r="AG290" s="14">
        <v>-133</v>
      </c>
      <c r="AJ290" s="14">
        <v>244</v>
      </c>
      <c r="AL290" s="14">
        <v>-239</v>
      </c>
      <c r="AM290" s="14">
        <v>-308</v>
      </c>
      <c r="AN290" s="14">
        <v>421</v>
      </c>
      <c r="AP290" s="14">
        <v>-161</v>
      </c>
      <c r="AQ290" s="14">
        <v>2</v>
      </c>
      <c r="AR290" s="14">
        <v>-567</v>
      </c>
      <c r="AS290" s="14">
        <v>-809</v>
      </c>
      <c r="AT290" s="14">
        <v>10</v>
      </c>
      <c r="AU290" s="14">
        <v>-31</v>
      </c>
      <c r="AV290" s="14">
        <v>780</v>
      </c>
      <c r="AW290" s="14">
        <v>33</v>
      </c>
      <c r="AX290" s="14">
        <v>70</v>
      </c>
      <c r="AY290" s="14">
        <v>26</v>
      </c>
      <c r="AZ290" s="14">
        <v>-14</v>
      </c>
      <c r="BA290" s="14">
        <v>-127</v>
      </c>
      <c r="BB290" s="14">
        <v>-7369</v>
      </c>
      <c r="BD290" s="14">
        <v>-9</v>
      </c>
      <c r="BE290" s="14">
        <v>661</v>
      </c>
    </row>
    <row r="291" spans="7:57" x14ac:dyDescent="0.25">
      <c r="G291" s="14">
        <v>5391</v>
      </c>
      <c r="H291" s="14">
        <v>22</v>
      </c>
      <c r="I291" s="14">
        <v>-342</v>
      </c>
      <c r="M291" s="14">
        <v>359</v>
      </c>
      <c r="X291" s="14">
        <v>160</v>
      </c>
      <c r="AB291" s="14">
        <v>945</v>
      </c>
      <c r="AE291" s="14">
        <v>-252</v>
      </c>
      <c r="AG291" s="14">
        <v>-22</v>
      </c>
      <c r="AJ291" s="14">
        <v>145</v>
      </c>
      <c r="AL291" s="14">
        <v>-68</v>
      </c>
      <c r="AM291" s="14">
        <v>-26</v>
      </c>
      <c r="AN291" s="14">
        <v>380</v>
      </c>
      <c r="AP291" s="14">
        <v>-422</v>
      </c>
      <c r="AQ291" s="14">
        <v>-150</v>
      </c>
      <c r="AR291" s="14">
        <v>-931</v>
      </c>
      <c r="AS291" s="14">
        <v>219</v>
      </c>
      <c r="AT291" s="14">
        <v>99</v>
      </c>
      <c r="AU291" s="14">
        <v>-35</v>
      </c>
      <c r="AV291" s="14">
        <v>669</v>
      </c>
      <c r="AW291" s="14">
        <v>423</v>
      </c>
      <c r="AX291" s="14">
        <v>74</v>
      </c>
      <c r="AY291" s="14">
        <v>116</v>
      </c>
      <c r="AZ291" s="14">
        <v>-181</v>
      </c>
      <c r="BA291" s="14">
        <v>-48</v>
      </c>
      <c r="BB291" s="14">
        <v>-2778</v>
      </c>
      <c r="BD291" s="14">
        <v>-12</v>
      </c>
      <c r="BE291" s="14">
        <v>1961</v>
      </c>
    </row>
    <row r="292" spans="7:57" x14ac:dyDescent="0.25">
      <c r="G292" s="14">
        <v>5143</v>
      </c>
      <c r="H292" s="14">
        <v>19</v>
      </c>
      <c r="I292" s="14">
        <v>143</v>
      </c>
      <c r="M292" s="14">
        <v>264</v>
      </c>
      <c r="X292" s="14">
        <v>-749</v>
      </c>
      <c r="AB292" s="14">
        <v>598</v>
      </c>
      <c r="AE292" s="14">
        <v>-151</v>
      </c>
      <c r="AG292" s="14">
        <v>22</v>
      </c>
      <c r="AJ292" s="14">
        <v>432</v>
      </c>
      <c r="AL292" s="14">
        <v>-21</v>
      </c>
      <c r="AM292" s="14">
        <v>-205</v>
      </c>
      <c r="AN292" s="14">
        <v>470</v>
      </c>
      <c r="AP292" s="14">
        <v>-155</v>
      </c>
      <c r="AQ292" s="14">
        <v>-224</v>
      </c>
      <c r="AR292" s="14">
        <v>-290</v>
      </c>
      <c r="AS292" s="14">
        <v>-213</v>
      </c>
      <c r="AT292" s="14">
        <v>73</v>
      </c>
      <c r="AU292" s="14">
        <v>-13</v>
      </c>
      <c r="AV292" s="14">
        <v>607</v>
      </c>
      <c r="AW292" s="14">
        <v>199</v>
      </c>
      <c r="AX292" s="14">
        <v>231</v>
      </c>
      <c r="AY292" s="14">
        <v>-65</v>
      </c>
      <c r="AZ292" s="14">
        <v>-312</v>
      </c>
      <c r="BA292" s="14">
        <v>126</v>
      </c>
      <c r="BB292" s="14">
        <v>-1046</v>
      </c>
      <c r="BD292" s="14">
        <v>18</v>
      </c>
      <c r="BE292" s="14">
        <v>2070</v>
      </c>
    </row>
    <row r="293" spans="7:57" x14ac:dyDescent="0.25">
      <c r="G293" s="14">
        <v>4758</v>
      </c>
      <c r="H293" s="14">
        <v>20</v>
      </c>
      <c r="I293" s="14">
        <v>139</v>
      </c>
      <c r="M293" s="14">
        <v>174</v>
      </c>
      <c r="X293" s="14">
        <v>-282</v>
      </c>
      <c r="AB293" s="14">
        <v>714</v>
      </c>
      <c r="AE293" s="14">
        <v>792</v>
      </c>
      <c r="AG293" s="14">
        <v>-251</v>
      </c>
      <c r="AJ293" s="14">
        <v>-659</v>
      </c>
      <c r="AL293" s="14">
        <v>-41</v>
      </c>
      <c r="AM293" s="14">
        <v>-214</v>
      </c>
      <c r="AN293" s="14">
        <v>-484</v>
      </c>
      <c r="AP293" s="14">
        <v>-198</v>
      </c>
      <c r="AQ293" s="14">
        <v>-100</v>
      </c>
      <c r="AR293" s="14">
        <v>437</v>
      </c>
      <c r="AS293" s="14">
        <v>-132</v>
      </c>
      <c r="AT293" s="14">
        <v>13</v>
      </c>
      <c r="AU293" s="14">
        <v>-27</v>
      </c>
      <c r="AV293" s="14">
        <v>-932</v>
      </c>
      <c r="AW293" s="14">
        <v>382</v>
      </c>
      <c r="AX293" s="14">
        <v>318</v>
      </c>
      <c r="AY293" s="14">
        <v>49</v>
      </c>
      <c r="AZ293" s="14">
        <v>-159</v>
      </c>
      <c r="BA293" s="14">
        <v>89</v>
      </c>
      <c r="BB293" s="14">
        <v>-82.15</v>
      </c>
      <c r="BD293" s="14">
        <v>-16</v>
      </c>
      <c r="BE293" s="14">
        <v>3079</v>
      </c>
    </row>
    <row r="294" spans="7:57" x14ac:dyDescent="0.25">
      <c r="G294" s="14">
        <v>4541</v>
      </c>
      <c r="H294" s="14">
        <v>18</v>
      </c>
      <c r="I294" s="14">
        <v>624</v>
      </c>
      <c r="M294" s="14">
        <v>106</v>
      </c>
      <c r="X294" s="14">
        <v>109</v>
      </c>
      <c r="AB294" s="14">
        <v>602</v>
      </c>
      <c r="AE294" s="14">
        <v>149</v>
      </c>
      <c r="AG294" s="14">
        <v>95</v>
      </c>
      <c r="AJ294" s="14">
        <v>650</v>
      </c>
      <c r="AL294" s="14">
        <v>-525</v>
      </c>
      <c r="AM294" s="14">
        <v>-215</v>
      </c>
      <c r="AN294" s="14">
        <v>175</v>
      </c>
      <c r="AP294" s="14">
        <v>-379</v>
      </c>
      <c r="AQ294" s="14">
        <v>404</v>
      </c>
      <c r="AR294" s="14">
        <v>167</v>
      </c>
      <c r="AS294" s="14">
        <v>251</v>
      </c>
      <c r="AT294" s="14">
        <v>60</v>
      </c>
      <c r="AU294" s="14">
        <v>16</v>
      </c>
      <c r="AV294" s="14">
        <v>-117</v>
      </c>
      <c r="AW294" s="14">
        <v>-172</v>
      </c>
      <c r="AX294" s="14">
        <v>-39</v>
      </c>
      <c r="AY294" s="14">
        <v>24</v>
      </c>
      <c r="AZ294" s="14">
        <v>754</v>
      </c>
      <c r="BA294" s="14">
        <v>102</v>
      </c>
      <c r="BB294" s="14">
        <v>-5332</v>
      </c>
      <c r="BD294" s="14">
        <v>-6</v>
      </c>
      <c r="BE294" s="14">
        <v>2899</v>
      </c>
    </row>
    <row r="295" spans="7:57" x14ac:dyDescent="0.25">
      <c r="G295" s="14">
        <v>6288</v>
      </c>
      <c r="H295" s="14">
        <v>20</v>
      </c>
      <c r="I295" s="14">
        <v>316</v>
      </c>
      <c r="M295" s="14">
        <v>59</v>
      </c>
      <c r="X295" s="14">
        <v>-905</v>
      </c>
      <c r="AB295" s="14">
        <v>-102</v>
      </c>
      <c r="AE295" s="14">
        <v>644</v>
      </c>
      <c r="AG295" s="14">
        <v>-111</v>
      </c>
      <c r="AJ295" s="14">
        <v>480</v>
      </c>
      <c r="AL295" s="14">
        <v>19</v>
      </c>
      <c r="AM295" s="14">
        <v>247</v>
      </c>
      <c r="AN295" s="14">
        <v>-293</v>
      </c>
      <c r="AP295" s="14">
        <v>-249</v>
      </c>
      <c r="AQ295" s="14">
        <v>-74</v>
      </c>
      <c r="AR295" s="14">
        <v>435</v>
      </c>
      <c r="AS295" s="14">
        <v>309</v>
      </c>
      <c r="AT295" s="14">
        <v>-38</v>
      </c>
      <c r="AU295" s="14">
        <v>23</v>
      </c>
      <c r="AV295" s="14">
        <v>-869</v>
      </c>
      <c r="AW295" s="14">
        <v>404</v>
      </c>
      <c r="AX295" s="14">
        <v>-159</v>
      </c>
      <c r="AY295" s="14">
        <v>923</v>
      </c>
      <c r="AZ295" s="14">
        <v>247</v>
      </c>
      <c r="BA295" s="14">
        <v>5</v>
      </c>
      <c r="BB295" s="14">
        <v>-3682</v>
      </c>
      <c r="BD295" s="14">
        <v>6</v>
      </c>
      <c r="BE295" s="14">
        <v>2551</v>
      </c>
    </row>
    <row r="296" spans="7:57" x14ac:dyDescent="0.25">
      <c r="G296" s="14">
        <v>5800</v>
      </c>
      <c r="H296" s="14">
        <v>18</v>
      </c>
      <c r="I296" s="14">
        <v>1406</v>
      </c>
      <c r="M296" s="14">
        <v>22</v>
      </c>
      <c r="X296" s="14">
        <v>-123</v>
      </c>
      <c r="AB296" s="14">
        <v>512</v>
      </c>
      <c r="AE296" s="14">
        <v>-460</v>
      </c>
      <c r="AG296" s="14">
        <v>-945</v>
      </c>
      <c r="AJ296" s="14">
        <v>-919</v>
      </c>
      <c r="AL296" s="14">
        <v>244</v>
      </c>
      <c r="AM296" s="14">
        <v>-339</v>
      </c>
      <c r="AN296" s="14">
        <v>-323</v>
      </c>
      <c r="AP296" s="14">
        <v>-273</v>
      </c>
      <c r="AQ296" s="14">
        <v>-129</v>
      </c>
      <c r="AR296" s="14">
        <v>174</v>
      </c>
      <c r="AS296" s="14">
        <v>-182</v>
      </c>
      <c r="AT296" s="14">
        <v>2</v>
      </c>
      <c r="AU296" s="14">
        <v>18</v>
      </c>
      <c r="AV296" s="14">
        <v>141</v>
      </c>
      <c r="AW296" s="14">
        <v>122</v>
      </c>
      <c r="AX296" s="14">
        <v>-130</v>
      </c>
      <c r="AY296" s="14">
        <v>-72</v>
      </c>
      <c r="AZ296" s="14">
        <v>227</v>
      </c>
      <c r="BA296" s="14">
        <v>129</v>
      </c>
      <c r="BB296" s="14">
        <v>-1538</v>
      </c>
      <c r="BD296" s="14">
        <v>657</v>
      </c>
      <c r="BE296" s="14">
        <v>1521</v>
      </c>
    </row>
    <row r="297" spans="7:57" x14ac:dyDescent="0.25">
      <c r="G297" s="14">
        <v>4786</v>
      </c>
      <c r="H297" s="14">
        <v>-609</v>
      </c>
      <c r="I297" s="14">
        <v>208</v>
      </c>
      <c r="M297" s="14">
        <v>1</v>
      </c>
      <c r="X297" s="14">
        <v>165</v>
      </c>
      <c r="AB297" s="14">
        <v>682</v>
      </c>
      <c r="AE297" s="14">
        <v>-197</v>
      </c>
      <c r="AG297" s="14">
        <v>-125</v>
      </c>
      <c r="AJ297" s="14">
        <v>-827</v>
      </c>
      <c r="AL297" s="14">
        <v>386</v>
      </c>
      <c r="AM297" s="14">
        <v>-433</v>
      </c>
      <c r="AN297" s="14">
        <v>-114</v>
      </c>
      <c r="AP297" s="14">
        <v>-491</v>
      </c>
      <c r="AQ297" s="14">
        <v>-196</v>
      </c>
      <c r="AR297" s="14">
        <v>118</v>
      </c>
      <c r="AS297" s="14">
        <v>-220</v>
      </c>
      <c r="AT297" s="14">
        <v>122</v>
      </c>
      <c r="AU297" s="14">
        <v>-13</v>
      </c>
      <c r="AV297" s="14">
        <v>116</v>
      </c>
      <c r="AW297" s="14">
        <v>-112</v>
      </c>
      <c r="AX297" s="14">
        <v>-130</v>
      </c>
      <c r="AY297" s="14">
        <v>28</v>
      </c>
      <c r="AZ297" s="14">
        <v>-781</v>
      </c>
      <c r="BA297" s="14">
        <v>93</v>
      </c>
      <c r="BB297" s="14">
        <v>-9362</v>
      </c>
      <c r="BD297" s="14">
        <v>2218</v>
      </c>
      <c r="BE297" s="14">
        <v>3028</v>
      </c>
    </row>
    <row r="298" spans="7:57" x14ac:dyDescent="0.25">
      <c r="G298" s="14">
        <v>4448</v>
      </c>
      <c r="H298" s="14">
        <v>-517</v>
      </c>
      <c r="I298" s="14">
        <v>389</v>
      </c>
      <c r="M298" s="14">
        <v>-1</v>
      </c>
      <c r="X298" s="14">
        <v>847</v>
      </c>
      <c r="AB298" s="14">
        <v>137</v>
      </c>
      <c r="AE298" s="14">
        <v>130</v>
      </c>
      <c r="AG298" s="14">
        <v>-344</v>
      </c>
      <c r="AJ298" s="14">
        <v>-210</v>
      </c>
      <c r="AL298" s="14">
        <v>-106</v>
      </c>
      <c r="AM298" s="14">
        <v>-506</v>
      </c>
      <c r="AN298" s="14">
        <v>-117</v>
      </c>
      <c r="AP298" s="14">
        <v>568</v>
      </c>
      <c r="AQ298" s="14">
        <v>-107</v>
      </c>
      <c r="AR298" s="14">
        <v>118</v>
      </c>
      <c r="AS298" s="14">
        <v>-922</v>
      </c>
      <c r="AT298" s="14">
        <v>90</v>
      </c>
      <c r="AU298" s="14">
        <v>-8</v>
      </c>
      <c r="AV298" s="14">
        <v>-107</v>
      </c>
      <c r="AW298" s="14">
        <v>-119</v>
      </c>
      <c r="AX298" s="14">
        <v>-94</v>
      </c>
      <c r="AY298" s="14">
        <v>119</v>
      </c>
      <c r="AZ298" s="14">
        <v>241</v>
      </c>
      <c r="BA298" s="14">
        <v>42</v>
      </c>
      <c r="BB298" s="14">
        <v>-7833</v>
      </c>
      <c r="BD298" s="14">
        <v>-1</v>
      </c>
      <c r="BE298" s="14">
        <v>3340</v>
      </c>
    </row>
    <row r="299" spans="7:57" x14ac:dyDescent="0.25">
      <c r="G299" s="14">
        <v>3683</v>
      </c>
      <c r="H299" s="14">
        <v>-520</v>
      </c>
      <c r="I299" s="14">
        <v>635</v>
      </c>
      <c r="M299" s="14">
        <v>977</v>
      </c>
      <c r="X299" s="14">
        <v>-674</v>
      </c>
      <c r="AB299" s="14">
        <v>821</v>
      </c>
      <c r="AE299" s="14">
        <v>886</v>
      </c>
      <c r="AG299" s="14">
        <v>-650</v>
      </c>
      <c r="AJ299" s="14">
        <v>-803</v>
      </c>
      <c r="AL299" s="14">
        <v>-214</v>
      </c>
      <c r="AM299" s="14">
        <v>-45</v>
      </c>
      <c r="AN299" s="14">
        <v>-397</v>
      </c>
      <c r="AP299" s="14">
        <v>101</v>
      </c>
      <c r="AQ299" s="14">
        <v>485</v>
      </c>
      <c r="AR299" s="14">
        <v>-347</v>
      </c>
      <c r="AS299" s="14">
        <v>-486</v>
      </c>
      <c r="AT299" s="14">
        <v>59</v>
      </c>
      <c r="AU299" s="14">
        <v>37</v>
      </c>
      <c r="AV299" s="14">
        <v>103</v>
      </c>
      <c r="AW299" s="14">
        <v>-309</v>
      </c>
      <c r="AX299" s="14">
        <v>-94</v>
      </c>
      <c r="AY299" s="14">
        <v>-94</v>
      </c>
      <c r="AZ299" s="14">
        <v>539</v>
      </c>
      <c r="BA299" s="14">
        <v>90</v>
      </c>
      <c r="BB299" s="14">
        <v>-5240</v>
      </c>
      <c r="BD299" s="14">
        <v>-12</v>
      </c>
      <c r="BE299" s="14">
        <v>2826</v>
      </c>
    </row>
    <row r="300" spans="7:57" x14ac:dyDescent="0.25">
      <c r="G300" s="14">
        <v>5206</v>
      </c>
      <c r="H300" s="14">
        <v>-518</v>
      </c>
      <c r="I300" s="14">
        <v>-3</v>
      </c>
      <c r="M300" s="14">
        <v>383</v>
      </c>
      <c r="X300" s="14">
        <v>-171</v>
      </c>
      <c r="AB300" s="14">
        <v>675</v>
      </c>
      <c r="AE300" s="14">
        <v>-411</v>
      </c>
      <c r="AG300" s="14">
        <v>-356</v>
      </c>
      <c r="AJ300" s="14">
        <v>-620</v>
      </c>
      <c r="AL300" s="14">
        <v>-945</v>
      </c>
      <c r="AM300" s="14">
        <v>-286</v>
      </c>
      <c r="AN300" s="14">
        <v>-431</v>
      </c>
      <c r="AP300" s="14">
        <v>-367</v>
      </c>
      <c r="AQ300" s="14">
        <v>-85</v>
      </c>
      <c r="AR300" s="14">
        <v>-685</v>
      </c>
      <c r="AS300" s="14">
        <v>-170</v>
      </c>
      <c r="AT300" s="14">
        <v>53</v>
      </c>
      <c r="AU300" s="14">
        <v>-9</v>
      </c>
      <c r="AV300" s="14">
        <v>-496</v>
      </c>
      <c r="AW300" s="14">
        <v>-485</v>
      </c>
      <c r="AX300" s="14">
        <v>-101</v>
      </c>
      <c r="AY300" s="14">
        <v>100</v>
      </c>
      <c r="AZ300" s="14">
        <v>-390</v>
      </c>
      <c r="BA300" s="14">
        <v>118</v>
      </c>
      <c r="BB300" s="14">
        <v>-4442</v>
      </c>
      <c r="BD300" s="14">
        <v>2</v>
      </c>
      <c r="BE300" s="14">
        <v>2215</v>
      </c>
    </row>
    <row r="301" spans="7:57" x14ac:dyDescent="0.25">
      <c r="G301" s="14">
        <v>3267</v>
      </c>
      <c r="H301" s="14">
        <v>-551</v>
      </c>
      <c r="I301" s="14">
        <v>288</v>
      </c>
      <c r="M301" s="14">
        <v>271</v>
      </c>
      <c r="X301" s="14">
        <v>-384</v>
      </c>
      <c r="AB301" s="14">
        <v>800</v>
      </c>
      <c r="AE301" s="14">
        <v>-103</v>
      </c>
      <c r="AG301" s="14">
        <v>-28</v>
      </c>
      <c r="AJ301" s="14">
        <v>-70</v>
      </c>
      <c r="AL301" s="14">
        <v>190</v>
      </c>
      <c r="AM301" s="14">
        <v>-304</v>
      </c>
      <c r="AN301" s="14">
        <v>-531</v>
      </c>
      <c r="AP301" s="14">
        <v>674</v>
      </c>
      <c r="AQ301" s="14">
        <v>3</v>
      </c>
      <c r="AR301" s="14">
        <v>-302</v>
      </c>
      <c r="AS301" s="14">
        <v>705</v>
      </c>
      <c r="AT301" s="14">
        <v>92</v>
      </c>
      <c r="AU301" s="14">
        <v>2</v>
      </c>
      <c r="AV301" s="14">
        <v>-725</v>
      </c>
      <c r="AW301" s="14">
        <v>-295</v>
      </c>
      <c r="AX301" s="14">
        <v>-122</v>
      </c>
      <c r="AY301" s="14">
        <v>5</v>
      </c>
      <c r="AZ301" s="14">
        <v>-197</v>
      </c>
      <c r="BA301" s="14">
        <v>111</v>
      </c>
      <c r="BB301" s="14">
        <v>-8920</v>
      </c>
      <c r="BD301" s="14">
        <v>2</v>
      </c>
      <c r="BE301" s="14">
        <v>1568</v>
      </c>
    </row>
    <row r="302" spans="7:57" x14ac:dyDescent="0.25">
      <c r="G302" s="14">
        <v>3241</v>
      </c>
      <c r="H302" s="14">
        <v>-566</v>
      </c>
      <c r="I302" s="14">
        <v>244</v>
      </c>
      <c r="M302" s="14">
        <v>176</v>
      </c>
      <c r="X302" s="14">
        <v>-131</v>
      </c>
      <c r="AB302" s="14">
        <v>778</v>
      </c>
      <c r="AE302" s="14">
        <v>166</v>
      </c>
      <c r="AG302" s="14">
        <v>-100</v>
      </c>
      <c r="AJ302" s="14">
        <v>26</v>
      </c>
      <c r="AL302" s="14">
        <v>-731</v>
      </c>
      <c r="AM302" s="14">
        <v>-267</v>
      </c>
      <c r="AN302" s="14">
        <v>-578</v>
      </c>
      <c r="AP302" s="14">
        <v>661</v>
      </c>
      <c r="AQ302" s="14">
        <v>-42</v>
      </c>
      <c r="AR302" s="14">
        <v>-362</v>
      </c>
      <c r="AS302" s="14">
        <v>-259</v>
      </c>
      <c r="AT302" s="14">
        <v>168</v>
      </c>
      <c r="AU302" s="14">
        <v>-3</v>
      </c>
      <c r="AV302" s="14">
        <v>-223</v>
      </c>
      <c r="AW302" s="14">
        <v>-215</v>
      </c>
      <c r="AX302" s="14">
        <v>-78</v>
      </c>
      <c r="AY302" s="14">
        <v>79</v>
      </c>
      <c r="AZ302" s="14">
        <v>3</v>
      </c>
      <c r="BA302" s="14">
        <v>70</v>
      </c>
      <c r="BB302" s="14">
        <v>-6160</v>
      </c>
      <c r="BD302" s="14">
        <v>8</v>
      </c>
      <c r="BE302" s="14">
        <v>4008</v>
      </c>
    </row>
    <row r="303" spans="7:57" x14ac:dyDescent="0.25">
      <c r="G303" s="14">
        <v>4058</v>
      </c>
      <c r="H303" s="14">
        <v>-554</v>
      </c>
      <c r="I303" s="14">
        <v>224</v>
      </c>
      <c r="M303" s="14">
        <v>100</v>
      </c>
      <c r="X303" s="14">
        <v>-528</v>
      </c>
      <c r="AB303" s="14">
        <v>124</v>
      </c>
      <c r="AE303" s="14">
        <v>-380</v>
      </c>
      <c r="AG303" s="14">
        <v>-459</v>
      </c>
      <c r="AJ303" s="14">
        <v>112</v>
      </c>
      <c r="AL303" s="14">
        <v>-147</v>
      </c>
      <c r="AM303" s="14">
        <v>-240</v>
      </c>
      <c r="AN303" s="14">
        <v>976</v>
      </c>
      <c r="AP303" s="14">
        <v>-605</v>
      </c>
      <c r="AQ303" s="14">
        <v>-111</v>
      </c>
      <c r="AR303" s="14">
        <v>-384</v>
      </c>
      <c r="AS303" s="14">
        <v>147</v>
      </c>
      <c r="AT303" s="14">
        <v>-112</v>
      </c>
      <c r="AU303" s="14">
        <v>79</v>
      </c>
      <c r="AV303" s="14">
        <v>684</v>
      </c>
      <c r="AW303" s="14">
        <v>-147</v>
      </c>
      <c r="AX303" s="14">
        <v>-141</v>
      </c>
      <c r="AY303" s="14">
        <v>359</v>
      </c>
      <c r="AZ303" s="14">
        <v>36</v>
      </c>
      <c r="BA303" s="14">
        <v>28</v>
      </c>
      <c r="BB303" s="14">
        <v>-2453</v>
      </c>
      <c r="BD303" s="14">
        <v>4</v>
      </c>
      <c r="BE303" s="14">
        <v>-238</v>
      </c>
    </row>
    <row r="304" spans="7:57" x14ac:dyDescent="0.25">
      <c r="G304" s="14">
        <v>3473</v>
      </c>
      <c r="H304" s="14">
        <v>-541</v>
      </c>
      <c r="I304" s="14">
        <v>495</v>
      </c>
      <c r="M304" s="14">
        <v>46</v>
      </c>
      <c r="X304" s="14">
        <v>-247</v>
      </c>
      <c r="AB304" s="14">
        <v>-76</v>
      </c>
      <c r="AE304" s="14">
        <v>220</v>
      </c>
      <c r="AG304" s="14">
        <v>-14</v>
      </c>
      <c r="AJ304" s="14">
        <v>342</v>
      </c>
      <c r="AL304" s="14">
        <v>-806</v>
      </c>
      <c r="AM304" s="14">
        <v>-146</v>
      </c>
      <c r="AN304" s="14">
        <v>929</v>
      </c>
      <c r="AP304" s="14">
        <v>-334</v>
      </c>
      <c r="AQ304" s="14">
        <v>541</v>
      </c>
      <c r="AR304" s="14">
        <v>-445</v>
      </c>
      <c r="AS304" s="14">
        <v>-158</v>
      </c>
      <c r="AT304" s="14">
        <v>-87</v>
      </c>
      <c r="AU304" s="14">
        <v>65</v>
      </c>
      <c r="AV304" s="14">
        <v>-373</v>
      </c>
      <c r="AW304" s="14">
        <v>-830</v>
      </c>
      <c r="AX304" s="14">
        <v>-6</v>
      </c>
      <c r="AY304" s="14">
        <v>-80</v>
      </c>
      <c r="AZ304" s="14">
        <v>-36</v>
      </c>
      <c r="BA304" s="14">
        <v>77</v>
      </c>
      <c r="BB304" s="14">
        <v>-1097</v>
      </c>
      <c r="BD304" s="14">
        <v>7</v>
      </c>
      <c r="BE304" s="14">
        <v>1956</v>
      </c>
    </row>
    <row r="305" spans="7:57" x14ac:dyDescent="0.25">
      <c r="G305" s="14">
        <v>9532</v>
      </c>
      <c r="H305" s="14">
        <v>-556</v>
      </c>
      <c r="I305" s="14">
        <v>-769</v>
      </c>
      <c r="M305" s="14">
        <v>13</v>
      </c>
      <c r="X305" s="14">
        <v>-205</v>
      </c>
      <c r="AB305" s="14">
        <v>-85</v>
      </c>
      <c r="AE305" s="14">
        <v>-321</v>
      </c>
      <c r="AG305" s="14">
        <v>383</v>
      </c>
      <c r="AJ305" s="14">
        <v>326</v>
      </c>
      <c r="AL305" s="14">
        <v>876</v>
      </c>
      <c r="AM305" s="14">
        <v>-154</v>
      </c>
      <c r="AN305" s="14">
        <v>102</v>
      </c>
      <c r="AP305" s="14">
        <v>-461</v>
      </c>
      <c r="AQ305" s="14">
        <v>-35</v>
      </c>
      <c r="AR305" s="14">
        <v>-176</v>
      </c>
      <c r="AS305" s="14">
        <v>358</v>
      </c>
      <c r="AT305" s="14">
        <v>148</v>
      </c>
      <c r="AU305" s="14">
        <v>75</v>
      </c>
      <c r="AV305" s="14">
        <v>834</v>
      </c>
      <c r="AW305" s="14">
        <v>-449</v>
      </c>
      <c r="AX305" s="14">
        <v>-105</v>
      </c>
      <c r="AY305" s="14">
        <v>27</v>
      </c>
      <c r="AZ305" s="14">
        <v>-2</v>
      </c>
      <c r="BA305" s="14">
        <v>220</v>
      </c>
      <c r="BB305" s="14">
        <v>-7963</v>
      </c>
      <c r="BD305" s="14">
        <v>6</v>
      </c>
      <c r="BE305" s="14">
        <v>4521</v>
      </c>
    </row>
    <row r="306" spans="7:57" x14ac:dyDescent="0.25">
      <c r="G306" s="14">
        <v>9617</v>
      </c>
      <c r="H306" s="14">
        <v>-21</v>
      </c>
      <c r="I306" s="14">
        <v>-342</v>
      </c>
      <c r="M306" s="14">
        <v>-1</v>
      </c>
      <c r="X306" s="14">
        <v>-269</v>
      </c>
      <c r="AB306" s="14">
        <v>-176</v>
      </c>
      <c r="AE306" s="14">
        <v>-586</v>
      </c>
      <c r="AG306" s="14">
        <v>679</v>
      </c>
      <c r="AJ306" s="14">
        <v>273</v>
      </c>
      <c r="AL306" s="14">
        <v>49</v>
      </c>
      <c r="AM306" s="14">
        <v>-213</v>
      </c>
      <c r="AN306" s="14">
        <v>109</v>
      </c>
      <c r="AP306" s="14">
        <v>106</v>
      </c>
      <c r="AQ306" s="14">
        <v>-216</v>
      </c>
      <c r="AR306" s="14">
        <v>-200</v>
      </c>
      <c r="AS306" s="14">
        <v>848</v>
      </c>
      <c r="AT306" s="14">
        <v>-11</v>
      </c>
      <c r="AU306" s="14">
        <v>-36</v>
      </c>
      <c r="AV306" s="14">
        <v>818</v>
      </c>
      <c r="AW306" s="14">
        <v>350</v>
      </c>
      <c r="AX306" s="14">
        <v>-89</v>
      </c>
      <c r="AY306" s="14">
        <v>117</v>
      </c>
      <c r="AZ306" s="14">
        <v>103</v>
      </c>
      <c r="BA306" s="14">
        <v>103</v>
      </c>
      <c r="BB306" s="14">
        <v>-6908</v>
      </c>
      <c r="BD306" s="14">
        <v>11</v>
      </c>
      <c r="BE306" s="14">
        <v>2826</v>
      </c>
    </row>
    <row r="307" spans="7:57" x14ac:dyDescent="0.25">
      <c r="G307" s="14">
        <v>9562</v>
      </c>
      <c r="H307" s="14">
        <v>4</v>
      </c>
      <c r="I307" s="14">
        <v>143</v>
      </c>
      <c r="M307" s="14">
        <v>-11</v>
      </c>
      <c r="X307" s="14">
        <v>284</v>
      </c>
      <c r="AB307" s="14">
        <v>785</v>
      </c>
      <c r="AE307" s="14">
        <v>-166</v>
      </c>
      <c r="AG307" s="14">
        <v>303</v>
      </c>
      <c r="AJ307" s="14">
        <v>204</v>
      </c>
      <c r="AL307" s="14">
        <v>84</v>
      </c>
      <c r="AM307" s="14">
        <v>-136</v>
      </c>
      <c r="AN307" s="14">
        <v>27</v>
      </c>
      <c r="AP307" s="14">
        <v>293</v>
      </c>
      <c r="AQ307" s="14">
        <v>-445</v>
      </c>
      <c r="AR307" s="14">
        <v>-160</v>
      </c>
      <c r="AS307" s="14">
        <v>-170</v>
      </c>
      <c r="AT307" s="14">
        <v>48</v>
      </c>
      <c r="AU307" s="14">
        <v>28</v>
      </c>
      <c r="AV307" s="14">
        <v>-428</v>
      </c>
      <c r="AW307" s="14">
        <v>-459</v>
      </c>
      <c r="AX307" s="14">
        <v>-124</v>
      </c>
      <c r="AY307" s="14">
        <v>-76</v>
      </c>
      <c r="AZ307" s="14">
        <v>-97</v>
      </c>
      <c r="BA307" s="14">
        <v>133</v>
      </c>
      <c r="BB307" s="14">
        <v>-4334</v>
      </c>
      <c r="BD307" s="14">
        <v>11</v>
      </c>
      <c r="BE307" s="14">
        <v>2239</v>
      </c>
    </row>
    <row r="308" spans="7:57" x14ac:dyDescent="0.25">
      <c r="G308" s="14">
        <v>9590</v>
      </c>
      <c r="H308" s="14">
        <v>4</v>
      </c>
      <c r="I308" s="14">
        <v>291</v>
      </c>
      <c r="M308" s="14">
        <v>973</v>
      </c>
      <c r="X308" s="14">
        <v>249</v>
      </c>
      <c r="AB308" s="14">
        <v>496</v>
      </c>
      <c r="AE308" s="14">
        <v>133</v>
      </c>
      <c r="AG308" s="14">
        <v>-313</v>
      </c>
      <c r="AJ308" s="14">
        <v>636</v>
      </c>
      <c r="AL308" s="14">
        <v>116</v>
      </c>
      <c r="AM308" s="14">
        <v>-167</v>
      </c>
      <c r="AN308" s="14">
        <v>645</v>
      </c>
      <c r="AP308" s="14">
        <v>274</v>
      </c>
      <c r="AQ308" s="14">
        <v>-702</v>
      </c>
      <c r="AR308" s="14">
        <v>-872</v>
      </c>
      <c r="AS308" s="14">
        <v>-796</v>
      </c>
      <c r="AT308" s="14">
        <v>75</v>
      </c>
      <c r="AU308" s="14">
        <v>38</v>
      </c>
      <c r="AV308" s="14">
        <v>725</v>
      </c>
      <c r="AW308" s="14">
        <v>-126</v>
      </c>
      <c r="AX308" s="14">
        <v>-137</v>
      </c>
      <c r="AY308" s="14">
        <v>26</v>
      </c>
      <c r="AZ308" s="14">
        <v>863</v>
      </c>
      <c r="BA308" s="14">
        <v>224</v>
      </c>
      <c r="BB308" s="14">
        <v>-2098</v>
      </c>
      <c r="BD308" s="14">
        <v>8</v>
      </c>
      <c r="BE308" s="14">
        <v>3917</v>
      </c>
    </row>
    <row r="309" spans="7:57" x14ac:dyDescent="0.25">
      <c r="G309" s="14">
        <v>9462</v>
      </c>
      <c r="H309" s="14">
        <v>703</v>
      </c>
      <c r="I309" s="14">
        <v>140</v>
      </c>
      <c r="M309" s="14">
        <v>862</v>
      </c>
      <c r="X309" s="14">
        <v>-251</v>
      </c>
      <c r="AB309" s="14">
        <v>674</v>
      </c>
      <c r="AE309" s="14">
        <v>987</v>
      </c>
      <c r="AG309" s="14">
        <v>298</v>
      </c>
      <c r="AJ309" s="14">
        <v>49</v>
      </c>
      <c r="AL309" s="14">
        <v>-107</v>
      </c>
      <c r="AM309" s="14">
        <v>-146</v>
      </c>
      <c r="AN309" s="14">
        <v>10</v>
      </c>
      <c r="AP309" s="14">
        <v>-560</v>
      </c>
      <c r="AQ309" s="14">
        <v>723</v>
      </c>
      <c r="AR309" s="14">
        <v>-693</v>
      </c>
      <c r="AS309" s="14">
        <v>-100</v>
      </c>
      <c r="AT309" s="14">
        <v>176</v>
      </c>
      <c r="AU309" s="14">
        <v>28</v>
      </c>
      <c r="AV309" s="14">
        <v>238</v>
      </c>
      <c r="AW309" s="14">
        <v>-174</v>
      </c>
      <c r="AX309" s="14">
        <v>10</v>
      </c>
      <c r="AY309" s="14">
        <v>122</v>
      </c>
      <c r="AZ309" s="14">
        <v>316</v>
      </c>
      <c r="BA309" s="14">
        <v>79</v>
      </c>
      <c r="BB309" s="14">
        <v>-8028</v>
      </c>
      <c r="BD309" s="14">
        <v>4</v>
      </c>
      <c r="BE309" s="14">
        <v>-126</v>
      </c>
    </row>
    <row r="310" spans="7:57" x14ac:dyDescent="0.25">
      <c r="G310" s="14">
        <v>9476</v>
      </c>
      <c r="H310" s="14">
        <v>671</v>
      </c>
      <c r="I310" s="14">
        <v>626</v>
      </c>
      <c r="M310" s="14">
        <v>466</v>
      </c>
      <c r="X310" s="14">
        <v>-276</v>
      </c>
      <c r="AB310" s="14">
        <v>728</v>
      </c>
      <c r="AE310" s="14">
        <v>-466</v>
      </c>
      <c r="AG310" s="14">
        <v>394</v>
      </c>
      <c r="AJ310" s="14">
        <v>114</v>
      </c>
      <c r="AL310" s="14">
        <v>-461</v>
      </c>
      <c r="AM310" s="14">
        <v>-148</v>
      </c>
      <c r="AN310" s="14">
        <v>336</v>
      </c>
      <c r="AP310" s="14">
        <v>-435</v>
      </c>
      <c r="AQ310" s="14">
        <v>688</v>
      </c>
      <c r="AR310" s="14">
        <v>-153</v>
      </c>
      <c r="AS310" s="14">
        <v>564</v>
      </c>
      <c r="AT310" s="14">
        <v>84</v>
      </c>
      <c r="AU310" s="14">
        <v>98</v>
      </c>
      <c r="AV310" s="14">
        <v>542</v>
      </c>
      <c r="AW310" s="14">
        <v>-207</v>
      </c>
      <c r="AX310" s="14">
        <v>217</v>
      </c>
      <c r="AY310" s="14">
        <v>199</v>
      </c>
      <c r="AZ310" s="14">
        <v>223</v>
      </c>
      <c r="BA310" s="14">
        <v>40</v>
      </c>
      <c r="BB310" s="14">
        <v>-7031</v>
      </c>
      <c r="BD310" s="14">
        <v>28</v>
      </c>
      <c r="BE310" s="14">
        <v>4291</v>
      </c>
    </row>
    <row r="311" spans="7:57" x14ac:dyDescent="0.25">
      <c r="G311" s="14">
        <v>9562</v>
      </c>
      <c r="H311" s="14">
        <v>684</v>
      </c>
      <c r="I311" s="14">
        <v>-480</v>
      </c>
      <c r="M311" s="14">
        <v>213</v>
      </c>
      <c r="X311" s="14">
        <v>-180</v>
      </c>
      <c r="AB311" s="14">
        <v>670</v>
      </c>
      <c r="AE311" s="14">
        <v>-280</v>
      </c>
      <c r="AG311" s="14">
        <v>275</v>
      </c>
      <c r="AJ311" s="14">
        <v>542</v>
      </c>
      <c r="AL311" s="14">
        <v>129</v>
      </c>
      <c r="AM311" s="14">
        <v>-19</v>
      </c>
      <c r="AN311" s="14">
        <v>12</v>
      </c>
      <c r="AP311" s="14">
        <v>-487</v>
      </c>
      <c r="AQ311" s="14">
        <v>153</v>
      </c>
      <c r="AR311" s="14">
        <v>-281</v>
      </c>
      <c r="AS311" s="14">
        <v>-121</v>
      </c>
      <c r="AT311" s="14">
        <v>264</v>
      </c>
      <c r="AU311" s="14">
        <v>-62</v>
      </c>
      <c r="AV311" s="14">
        <v>119</v>
      </c>
      <c r="AW311" s="14">
        <v>195</v>
      </c>
      <c r="AX311" s="14">
        <v>-326</v>
      </c>
      <c r="AY311" s="14">
        <v>-59</v>
      </c>
      <c r="AZ311" s="14">
        <v>-811</v>
      </c>
      <c r="BA311" s="14">
        <v>105</v>
      </c>
      <c r="BB311" s="14">
        <v>-4753</v>
      </c>
      <c r="BD311" s="14">
        <v>42</v>
      </c>
      <c r="BE311" s="14">
        <v>3362</v>
      </c>
    </row>
    <row r="312" spans="7:57" x14ac:dyDescent="0.25">
      <c r="G312" s="14">
        <v>9474</v>
      </c>
      <c r="H312" s="14">
        <v>692</v>
      </c>
      <c r="I312" s="14">
        <v>131</v>
      </c>
      <c r="M312" s="14">
        <v>5</v>
      </c>
      <c r="X312" s="14">
        <v>-214</v>
      </c>
      <c r="AB312" s="14">
        <v>649</v>
      </c>
      <c r="AE312" s="14">
        <v>366</v>
      </c>
      <c r="AG312" s="14">
        <v>165</v>
      </c>
      <c r="AJ312" s="14">
        <v>-753</v>
      </c>
      <c r="AL312" s="14">
        <v>170</v>
      </c>
      <c r="AM312" s="14">
        <v>-37</v>
      </c>
      <c r="AN312" s="14">
        <v>309</v>
      </c>
      <c r="AP312" s="14">
        <v>52</v>
      </c>
      <c r="AQ312" s="14">
        <v>170</v>
      </c>
      <c r="AR312" s="14">
        <v>29</v>
      </c>
      <c r="AS312" s="14">
        <v>-126</v>
      </c>
      <c r="AT312" s="14">
        <v>-122</v>
      </c>
      <c r="AU312" s="14">
        <v>42</v>
      </c>
      <c r="AV312" s="14">
        <v>119</v>
      </c>
      <c r="AW312" s="14">
        <v>-182</v>
      </c>
      <c r="AX312" s="14">
        <v>196</v>
      </c>
      <c r="AY312" s="14">
        <v>29</v>
      </c>
      <c r="AZ312" s="14">
        <v>215</v>
      </c>
      <c r="BA312" s="14">
        <v>180</v>
      </c>
      <c r="BB312" s="14">
        <v>-2878</v>
      </c>
      <c r="BD312" s="14">
        <v>29</v>
      </c>
      <c r="BE312" s="14">
        <v>1160</v>
      </c>
    </row>
    <row r="313" spans="7:57" x14ac:dyDescent="0.25">
      <c r="G313" s="14">
        <v>9556</v>
      </c>
      <c r="H313" s="14">
        <v>680</v>
      </c>
      <c r="I313" s="14">
        <v>591</v>
      </c>
      <c r="M313" s="14">
        <v>-127</v>
      </c>
      <c r="X313" s="14">
        <v>255</v>
      </c>
      <c r="AB313" s="14">
        <v>645</v>
      </c>
      <c r="AE313" s="14">
        <v>-466</v>
      </c>
      <c r="AG313" s="14">
        <v>194</v>
      </c>
      <c r="AJ313" s="14">
        <v>-982</v>
      </c>
      <c r="AL313" s="14">
        <v>53</v>
      </c>
      <c r="AM313" s="14">
        <v>-12</v>
      </c>
      <c r="AN313" s="14">
        <v>10</v>
      </c>
      <c r="AP313" s="14">
        <v>166</v>
      </c>
      <c r="AQ313" s="14">
        <v>163</v>
      </c>
      <c r="AR313" s="14">
        <v>108</v>
      </c>
      <c r="AS313" s="14">
        <v>-175</v>
      </c>
      <c r="AT313" s="14">
        <v>-84</v>
      </c>
      <c r="AU313" s="14">
        <v>25</v>
      </c>
      <c r="AV313" s="14">
        <v>183</v>
      </c>
      <c r="AW313" s="14">
        <v>-441</v>
      </c>
      <c r="AX313" s="14">
        <v>-251</v>
      </c>
      <c r="AY313" s="14">
        <v>25</v>
      </c>
      <c r="AZ313" s="14">
        <v>568</v>
      </c>
      <c r="BA313" s="14">
        <v>-9</v>
      </c>
      <c r="BB313" s="14">
        <v>-1406</v>
      </c>
      <c r="BD313" s="14">
        <v>28</v>
      </c>
      <c r="BE313" s="14">
        <v>6336</v>
      </c>
    </row>
    <row r="314" spans="7:57" x14ac:dyDescent="0.25">
      <c r="G314" s="14">
        <v>9325</v>
      </c>
      <c r="H314" s="14">
        <v>701</v>
      </c>
      <c r="I314" s="14">
        <v>130</v>
      </c>
      <c r="M314" s="14">
        <v>-185</v>
      </c>
      <c r="X314" s="14">
        <v>23</v>
      </c>
      <c r="AB314" s="14">
        <v>660</v>
      </c>
      <c r="AE314" s="14">
        <v>383</v>
      </c>
      <c r="AG314" s="14">
        <v>-586</v>
      </c>
      <c r="AJ314" s="14">
        <v>347</v>
      </c>
      <c r="AL314" s="14">
        <v>-799</v>
      </c>
      <c r="AM314" s="14">
        <v>-16</v>
      </c>
      <c r="AN314" s="14">
        <v>323</v>
      </c>
      <c r="AP314" s="14">
        <v>165</v>
      </c>
      <c r="AQ314" s="14">
        <v>816</v>
      </c>
      <c r="AR314" s="14">
        <v>338</v>
      </c>
      <c r="AS314" s="14">
        <v>387</v>
      </c>
      <c r="AT314" s="14">
        <v>2326</v>
      </c>
      <c r="AU314" s="14">
        <v>65</v>
      </c>
      <c r="AV314" s="14">
        <v>253</v>
      </c>
      <c r="AW314" s="14">
        <v>-10</v>
      </c>
      <c r="AX314" s="14">
        <v>125</v>
      </c>
      <c r="AY314" s="14">
        <v>34</v>
      </c>
      <c r="AZ314" s="14">
        <v>-390</v>
      </c>
      <c r="BA314" s="14">
        <v>108</v>
      </c>
      <c r="BB314" s="14">
        <v>-186</v>
      </c>
      <c r="BD314" s="14">
        <v>31</v>
      </c>
      <c r="BE314" s="14">
        <v>-890</v>
      </c>
    </row>
    <row r="315" spans="7:57" x14ac:dyDescent="0.25">
      <c r="G315" s="14">
        <v>9102</v>
      </c>
      <c r="H315" s="14">
        <v>542</v>
      </c>
      <c r="I315" s="14">
        <v>289</v>
      </c>
      <c r="M315" s="14">
        <v>-193</v>
      </c>
      <c r="X315" s="14">
        <v>443</v>
      </c>
      <c r="AB315" s="14">
        <v>572</v>
      </c>
      <c r="AE315" s="14">
        <v>-391</v>
      </c>
      <c r="AG315" s="14">
        <v>-285</v>
      </c>
      <c r="AJ315" s="14">
        <v>-803</v>
      </c>
      <c r="AL315" s="14">
        <v>-535</v>
      </c>
      <c r="AM315" s="14">
        <v>-28</v>
      </c>
      <c r="AN315" s="14">
        <v>68</v>
      </c>
      <c r="AP315" s="14">
        <v>-110</v>
      </c>
      <c r="AQ315" s="14">
        <v>128</v>
      </c>
      <c r="AR315" s="14">
        <v>114</v>
      </c>
      <c r="AS315" s="14">
        <v>116</v>
      </c>
      <c r="AT315" s="14">
        <v>-21</v>
      </c>
      <c r="AU315" s="14">
        <v>8</v>
      </c>
      <c r="AV315" s="14">
        <v>280</v>
      </c>
      <c r="AW315" s="14">
        <v>-102</v>
      </c>
      <c r="AX315" s="14">
        <v>-124</v>
      </c>
      <c r="AY315" s="14">
        <v>42</v>
      </c>
      <c r="AZ315" s="14">
        <v>-194</v>
      </c>
      <c r="BA315" s="14">
        <v>206</v>
      </c>
      <c r="BB315" s="14">
        <v>86</v>
      </c>
      <c r="BD315" s="14">
        <v>-4</v>
      </c>
      <c r="BE315" s="14">
        <v>949</v>
      </c>
    </row>
    <row r="316" spans="7:57" x14ac:dyDescent="0.25">
      <c r="G316" s="14">
        <v>8904</v>
      </c>
      <c r="H316" s="14">
        <v>698</v>
      </c>
      <c r="I316" s="14">
        <v>634</v>
      </c>
      <c r="M316" s="14">
        <v>-132</v>
      </c>
      <c r="X316" s="14">
        <v>307</v>
      </c>
      <c r="AB316" s="14">
        <v>760</v>
      </c>
      <c r="AE316" s="14">
        <v>-506</v>
      </c>
      <c r="AG316" s="14">
        <v>365</v>
      </c>
      <c r="AJ316" s="14">
        <v>-114</v>
      </c>
      <c r="AL316" s="14">
        <v>-339</v>
      </c>
      <c r="AM316" s="14">
        <v>-25</v>
      </c>
      <c r="AN316" s="14">
        <v>1</v>
      </c>
      <c r="AP316" s="14">
        <v>-961</v>
      </c>
      <c r="AQ316" s="14">
        <v>-6</v>
      </c>
      <c r="AR316" s="14">
        <v>898</v>
      </c>
      <c r="AS316" s="14">
        <v>174</v>
      </c>
      <c r="AT316" s="14">
        <v>34</v>
      </c>
      <c r="AU316" s="14">
        <v>12</v>
      </c>
      <c r="AV316" s="14">
        <v>144</v>
      </c>
      <c r="AW316" s="14">
        <v>-250</v>
      </c>
      <c r="AX316" s="14">
        <v>141</v>
      </c>
      <c r="AY316" s="14">
        <v>21</v>
      </c>
      <c r="AZ316" s="14">
        <v>3</v>
      </c>
      <c r="BA316" s="14">
        <v>87</v>
      </c>
      <c r="BB316" s="14">
        <v>-318</v>
      </c>
      <c r="BD316" s="14">
        <v>49</v>
      </c>
      <c r="BE316" s="14">
        <v>4355</v>
      </c>
    </row>
    <row r="317" spans="7:57" x14ac:dyDescent="0.25">
      <c r="G317" s="14">
        <v>8626</v>
      </c>
      <c r="H317" s="14">
        <v>-3</v>
      </c>
      <c r="I317" s="14">
        <v>-7</v>
      </c>
      <c r="M317" s="14">
        <v>911</v>
      </c>
      <c r="X317" s="14">
        <v>955</v>
      </c>
      <c r="AB317" s="14">
        <v>663</v>
      </c>
      <c r="AE317" s="14">
        <v>-181</v>
      </c>
      <c r="AG317" s="14">
        <v>669</v>
      </c>
      <c r="AJ317" s="14">
        <v>88</v>
      </c>
      <c r="AL317" s="14">
        <v>-123</v>
      </c>
      <c r="AM317" s="14">
        <v>-8</v>
      </c>
      <c r="AN317" s="14">
        <v>-178</v>
      </c>
      <c r="AP317" s="14">
        <v>-778</v>
      </c>
      <c r="AQ317" s="14">
        <v>-7</v>
      </c>
      <c r="AR317" s="14">
        <v>799</v>
      </c>
      <c r="AS317" s="14">
        <v>252</v>
      </c>
      <c r="AT317" s="14">
        <v>-108</v>
      </c>
      <c r="AU317" s="14">
        <v>76</v>
      </c>
      <c r="AV317" s="14">
        <v>224</v>
      </c>
      <c r="AW317" s="14">
        <v>104</v>
      </c>
      <c r="AX317" s="14">
        <v>-235</v>
      </c>
      <c r="AY317" s="14">
        <v>23</v>
      </c>
      <c r="AZ317" s="14">
        <v>14</v>
      </c>
      <c r="BA317" s="14">
        <v>212</v>
      </c>
      <c r="BB317" s="14">
        <v>-148</v>
      </c>
      <c r="BD317" s="14">
        <v>29</v>
      </c>
      <c r="BE317" s="14">
        <v>1830</v>
      </c>
    </row>
    <row r="318" spans="7:57" x14ac:dyDescent="0.25">
      <c r="G318" s="14">
        <v>8769</v>
      </c>
      <c r="H318" s="14">
        <v>13</v>
      </c>
      <c r="I318" s="14">
        <v>288</v>
      </c>
      <c r="M318" s="14">
        <v>-370</v>
      </c>
      <c r="X318" s="14">
        <v>-865</v>
      </c>
      <c r="AB318" s="14">
        <v>636</v>
      </c>
      <c r="AE318" s="14">
        <v>131</v>
      </c>
      <c r="AG318" s="14">
        <v>-28</v>
      </c>
      <c r="AJ318" s="14">
        <v>85</v>
      </c>
      <c r="AL318" s="14">
        <v>207</v>
      </c>
      <c r="AM318" s="14">
        <v>-14</v>
      </c>
      <c r="AN318" s="14">
        <v>1</v>
      </c>
      <c r="AP318" s="14">
        <v>-570</v>
      </c>
      <c r="AQ318" s="14">
        <v>-5</v>
      </c>
      <c r="AR318" s="14">
        <v>-300</v>
      </c>
      <c r="AS318" s="14">
        <v>-361</v>
      </c>
      <c r="AT318" s="14">
        <v>-127</v>
      </c>
      <c r="AU318" s="14">
        <v>-55</v>
      </c>
      <c r="AV318" s="14">
        <v>273</v>
      </c>
      <c r="AW318" s="14">
        <v>-335</v>
      </c>
      <c r="AX318" s="14">
        <v>-59</v>
      </c>
      <c r="AY318" s="14">
        <v>17</v>
      </c>
      <c r="AZ318" s="14">
        <v>-22</v>
      </c>
      <c r="BA318" s="14">
        <v>-23</v>
      </c>
      <c r="BB318" s="14">
        <v>-203</v>
      </c>
      <c r="BD318" s="14">
        <v>-276</v>
      </c>
      <c r="BE318" s="14">
        <v>4384</v>
      </c>
    </row>
    <row r="319" spans="7:57" x14ac:dyDescent="0.25">
      <c r="G319" s="14">
        <v>8804</v>
      </c>
      <c r="H319" s="14">
        <v>12</v>
      </c>
      <c r="I319" s="14">
        <v>-1</v>
      </c>
      <c r="M319" s="14">
        <v>-376</v>
      </c>
      <c r="X319" s="14">
        <v>-273</v>
      </c>
      <c r="AB319" s="14">
        <v>700</v>
      </c>
      <c r="AE319" s="14">
        <v>891</v>
      </c>
      <c r="AG319" s="14">
        <v>-98</v>
      </c>
      <c r="AJ319" s="14">
        <v>113</v>
      </c>
      <c r="AL319" s="14">
        <v>-764</v>
      </c>
      <c r="AM319" s="14">
        <v>-84</v>
      </c>
      <c r="AN319" s="14">
        <v>-169</v>
      </c>
      <c r="AP319" s="14">
        <v>-436</v>
      </c>
      <c r="AQ319" s="14">
        <v>-10</v>
      </c>
      <c r="AR319" s="14">
        <v>-674</v>
      </c>
      <c r="AS319" s="14">
        <v>-115</v>
      </c>
      <c r="AT319" s="14">
        <v>84</v>
      </c>
      <c r="AU319" s="14">
        <v>25</v>
      </c>
      <c r="AV319" s="14">
        <v>145</v>
      </c>
      <c r="AW319" s="14">
        <v>-279</v>
      </c>
      <c r="AX319" s="14">
        <v>66</v>
      </c>
      <c r="AY319" s="14">
        <v>88</v>
      </c>
      <c r="AZ319" s="14">
        <v>-2</v>
      </c>
      <c r="BA319" s="14">
        <v>179</v>
      </c>
      <c r="BB319" s="14">
        <v>-138</v>
      </c>
      <c r="BD319" s="14">
        <v>826</v>
      </c>
      <c r="BE319" s="14">
        <v>2233</v>
      </c>
    </row>
    <row r="320" spans="7:57" x14ac:dyDescent="0.25">
      <c r="G320" s="14">
        <v>8725</v>
      </c>
      <c r="H320" s="14">
        <v>27</v>
      </c>
      <c r="I320" s="14">
        <v>2</v>
      </c>
      <c r="M320" s="14">
        <v>-383</v>
      </c>
      <c r="X320" s="14">
        <v>-696</v>
      </c>
      <c r="AB320" s="14">
        <v>863</v>
      </c>
      <c r="AE320" s="14">
        <v>-392</v>
      </c>
      <c r="AG320" s="14">
        <v>-454</v>
      </c>
      <c r="AJ320" s="14">
        <v>-912</v>
      </c>
      <c r="AL320" s="14">
        <v>-154</v>
      </c>
      <c r="AM320" s="14">
        <v>-46</v>
      </c>
      <c r="AN320" s="14">
        <v>5</v>
      </c>
      <c r="AP320" s="14">
        <v>-452</v>
      </c>
      <c r="AQ320" s="14">
        <v>-12</v>
      </c>
      <c r="AR320" s="14">
        <v>-180</v>
      </c>
      <c r="AS320" s="14">
        <v>221</v>
      </c>
      <c r="AT320" s="14">
        <v>248</v>
      </c>
      <c r="AU320" s="14">
        <v>39</v>
      </c>
      <c r="AV320" s="14">
        <v>519</v>
      </c>
      <c r="AW320" s="14">
        <v>-33</v>
      </c>
      <c r="AX320" s="14">
        <v>73</v>
      </c>
      <c r="AY320" s="14">
        <v>144</v>
      </c>
      <c r="AZ320" s="14">
        <v>66</v>
      </c>
      <c r="BA320" s="14">
        <v>239</v>
      </c>
      <c r="BB320" s="14">
        <v>-83</v>
      </c>
      <c r="BD320" s="14">
        <v>7894</v>
      </c>
      <c r="BE320" s="14">
        <v>4152</v>
      </c>
    </row>
    <row r="321" spans="7:57" x14ac:dyDescent="0.25">
      <c r="G321" s="14">
        <v>8789</v>
      </c>
      <c r="H321" s="14">
        <v>28</v>
      </c>
      <c r="I321" s="14">
        <v>-243</v>
      </c>
      <c r="M321" s="14">
        <v>-365</v>
      </c>
      <c r="X321" s="14">
        <v>379</v>
      </c>
      <c r="AB321" s="14">
        <v>950</v>
      </c>
      <c r="AE321" s="14">
        <v>-187</v>
      </c>
      <c r="AG321" s="14">
        <v>-18</v>
      </c>
      <c r="AJ321" s="14">
        <v>-147</v>
      </c>
      <c r="AL321" s="14">
        <v>-820</v>
      </c>
      <c r="AM321" s="14">
        <v>-14</v>
      </c>
      <c r="AN321" s="14">
        <v>18</v>
      </c>
      <c r="AP321" s="14">
        <v>-473</v>
      </c>
      <c r="AQ321" s="14">
        <v>-18</v>
      </c>
      <c r="AR321" s="14">
        <v>-300</v>
      </c>
      <c r="AS321" s="14">
        <v>-404</v>
      </c>
      <c r="AT321" s="14">
        <v>-64</v>
      </c>
      <c r="AU321" s="14">
        <v>12</v>
      </c>
      <c r="AV321" s="14">
        <v>363</v>
      </c>
      <c r="AW321" s="14">
        <v>-949</v>
      </c>
      <c r="AX321" s="14">
        <v>28</v>
      </c>
      <c r="AY321" s="14">
        <v>-106</v>
      </c>
      <c r="AZ321" s="14">
        <v>-136</v>
      </c>
      <c r="BA321" s="14">
        <v>222</v>
      </c>
      <c r="BB321" s="14">
        <v>-165</v>
      </c>
      <c r="BD321" s="14">
        <v>-1</v>
      </c>
      <c r="BE321" s="14">
        <v>2485</v>
      </c>
    </row>
    <row r="322" spans="7:57" x14ac:dyDescent="0.25">
      <c r="G322" s="14">
        <v>8799</v>
      </c>
      <c r="H322" s="14">
        <v>-14</v>
      </c>
      <c r="I322" s="14">
        <v>137</v>
      </c>
      <c r="M322" s="14">
        <v>-325</v>
      </c>
      <c r="X322" s="14">
        <v>-514</v>
      </c>
      <c r="AB322" s="14">
        <v>108</v>
      </c>
      <c r="AE322" s="14">
        <v>315</v>
      </c>
      <c r="AG322" s="14">
        <v>391</v>
      </c>
      <c r="AJ322" s="14">
        <v>-234</v>
      </c>
      <c r="AL322" s="14">
        <v>896</v>
      </c>
      <c r="AM322" s="14">
        <v>-32</v>
      </c>
      <c r="AN322" s="14">
        <v>-13</v>
      </c>
      <c r="AP322" s="14">
        <v>-458</v>
      </c>
      <c r="AQ322" s="14">
        <v>-22</v>
      </c>
      <c r="AR322" s="14">
        <v>-103</v>
      </c>
      <c r="AS322" s="14">
        <v>-955</v>
      </c>
      <c r="AT322" s="14">
        <v>-35</v>
      </c>
      <c r="AU322" s="14">
        <v>44</v>
      </c>
      <c r="AV322" s="14">
        <v>186</v>
      </c>
      <c r="AW322" s="14">
        <v>-163</v>
      </c>
      <c r="AX322" s="14">
        <v>7</v>
      </c>
      <c r="AY322" s="14">
        <v>-95</v>
      </c>
      <c r="AZ322" s="14">
        <v>-9</v>
      </c>
      <c r="BA322" s="14">
        <v>17</v>
      </c>
      <c r="BB322" s="14">
        <v>-80</v>
      </c>
      <c r="BD322" s="14">
        <v>-11</v>
      </c>
      <c r="BE322" s="14">
        <v>3236</v>
      </c>
    </row>
    <row r="323" spans="7:57" x14ac:dyDescent="0.25">
      <c r="G323" s="14">
        <v>2806</v>
      </c>
      <c r="H323" s="14">
        <v>-13</v>
      </c>
      <c r="I323" s="14">
        <v>503</v>
      </c>
      <c r="M323" s="14">
        <v>-279</v>
      </c>
      <c r="X323" s="14">
        <v>350</v>
      </c>
      <c r="AB323" s="14">
        <v>264</v>
      </c>
      <c r="AE323" s="14">
        <v>-280</v>
      </c>
      <c r="AG323" s="14">
        <v>671</v>
      </c>
      <c r="AJ323" s="14">
        <v>-276</v>
      </c>
      <c r="AL323" s="14">
        <v>47</v>
      </c>
      <c r="AM323" s="14">
        <v>-62</v>
      </c>
      <c r="AN323" s="14">
        <v>-10</v>
      </c>
      <c r="AP323" s="14">
        <v>-167</v>
      </c>
      <c r="AQ323" s="14">
        <v>-24</v>
      </c>
      <c r="AR323" s="14">
        <v>-179</v>
      </c>
      <c r="AS323" s="14">
        <v>-193</v>
      </c>
      <c r="AT323" s="14">
        <v>-122</v>
      </c>
      <c r="AU323" s="14">
        <v>-24</v>
      </c>
      <c r="AV323" s="14">
        <v>57</v>
      </c>
      <c r="AW323" s="14">
        <v>-844</v>
      </c>
      <c r="AX323" s="14">
        <v>26</v>
      </c>
      <c r="AY323" s="14">
        <v>360</v>
      </c>
      <c r="AZ323" s="14">
        <v>899</v>
      </c>
      <c r="BA323" s="14">
        <v>127</v>
      </c>
      <c r="BB323" s="14">
        <v>-37</v>
      </c>
      <c r="BD323" s="14">
        <v>6</v>
      </c>
      <c r="BE323" s="14">
        <v>729</v>
      </c>
    </row>
    <row r="324" spans="7:57" x14ac:dyDescent="0.25">
      <c r="G324" s="14">
        <v>3134</v>
      </c>
      <c r="H324" s="14">
        <v>-18</v>
      </c>
      <c r="I324" s="14">
        <v>770</v>
      </c>
      <c r="M324" s="14">
        <v>-240</v>
      </c>
      <c r="X324" s="14">
        <v>331</v>
      </c>
      <c r="AB324" s="14">
        <v>120</v>
      </c>
      <c r="AE324" s="14">
        <v>336</v>
      </c>
      <c r="AG324" s="14">
        <v>302</v>
      </c>
      <c r="AJ324" s="14">
        <v>-278</v>
      </c>
      <c r="AL324" s="14">
        <v>-330</v>
      </c>
      <c r="AM324" s="14">
        <v>-41</v>
      </c>
      <c r="AN324" s="14">
        <v>6</v>
      </c>
      <c r="AP324" s="14">
        <v>-458</v>
      </c>
      <c r="AQ324" s="14">
        <v>-24</v>
      </c>
      <c r="AR324" s="14">
        <v>-915</v>
      </c>
      <c r="AS324" s="14">
        <v>-257</v>
      </c>
      <c r="AT324" s="14">
        <v>-89</v>
      </c>
      <c r="AU324" s="14">
        <v>-172</v>
      </c>
      <c r="AV324" s="14">
        <v>123</v>
      </c>
      <c r="AW324" s="14">
        <v>-298</v>
      </c>
      <c r="AX324" s="14">
        <v>90</v>
      </c>
      <c r="AY324" s="14">
        <v>96</v>
      </c>
      <c r="AZ324" s="14">
        <v>340</v>
      </c>
      <c r="BA324" s="14">
        <v>131</v>
      </c>
      <c r="BB324" s="14">
        <v>-73</v>
      </c>
      <c r="BD324" s="14">
        <v>-6</v>
      </c>
      <c r="BE324" s="14">
        <v>1369</v>
      </c>
    </row>
    <row r="325" spans="7:57" x14ac:dyDescent="0.25">
      <c r="G325" s="14">
        <v>2018</v>
      </c>
      <c r="H325" s="14">
        <v>-12</v>
      </c>
      <c r="I325" s="14">
        <v>199</v>
      </c>
      <c r="M325" s="14">
        <v>-130</v>
      </c>
      <c r="X325" s="14">
        <v>178</v>
      </c>
      <c r="AB325" s="14">
        <v>32</v>
      </c>
      <c r="AE325" s="14">
        <v>-423</v>
      </c>
      <c r="AG325" s="14">
        <v>-172</v>
      </c>
      <c r="AJ325" s="14">
        <v>-117</v>
      </c>
      <c r="AL325" s="14">
        <v>-2</v>
      </c>
      <c r="AM325" s="14">
        <v>-23</v>
      </c>
      <c r="AN325" s="14">
        <v>-36</v>
      </c>
      <c r="AP325" s="14">
        <v>-123</v>
      </c>
      <c r="AQ325" s="14">
        <v>-27</v>
      </c>
      <c r="AR325" s="14">
        <v>-750</v>
      </c>
      <c r="AS325" s="14">
        <v>-469</v>
      </c>
      <c r="AT325" s="14">
        <v>137</v>
      </c>
      <c r="AU325" s="14">
        <v>-844</v>
      </c>
      <c r="AV325" s="14">
        <v>735</v>
      </c>
      <c r="AW325" s="14">
        <v>-388</v>
      </c>
      <c r="AX325" s="14">
        <v>247</v>
      </c>
      <c r="AY325" s="14">
        <v>534</v>
      </c>
      <c r="AZ325" s="14">
        <v>220</v>
      </c>
      <c r="BA325" s="14">
        <v>-67</v>
      </c>
      <c r="BB325" s="14">
        <v>-146</v>
      </c>
      <c r="BD325" s="14">
        <v>1</v>
      </c>
      <c r="BE325" s="14">
        <v>690</v>
      </c>
    </row>
    <row r="326" spans="7:57" x14ac:dyDescent="0.25">
      <c r="G326" s="14">
        <v>2230</v>
      </c>
      <c r="H326" s="14">
        <v>-18</v>
      </c>
      <c r="I326" s="14">
        <v>-517</v>
      </c>
      <c r="M326" s="14">
        <v>-246</v>
      </c>
      <c r="X326" s="14">
        <v>-426</v>
      </c>
      <c r="AB326" s="14">
        <v>718</v>
      </c>
      <c r="AE326" s="14">
        <v>-472</v>
      </c>
      <c r="AG326" s="14">
        <v>297</v>
      </c>
      <c r="AJ326" s="14">
        <v>80</v>
      </c>
      <c r="AL326" s="14">
        <v>-4</v>
      </c>
      <c r="AM326" s="14">
        <v>-27</v>
      </c>
      <c r="AN326" s="14">
        <v>-104</v>
      </c>
      <c r="AP326" s="14">
        <v>-154</v>
      </c>
      <c r="AQ326" s="14">
        <v>212</v>
      </c>
      <c r="AR326" s="14">
        <v>-961</v>
      </c>
      <c r="AS326" s="14">
        <v>-359</v>
      </c>
      <c r="AT326" s="14">
        <v>-22</v>
      </c>
      <c r="AU326" s="14">
        <v>750</v>
      </c>
      <c r="AV326" s="14">
        <v>-20</v>
      </c>
      <c r="AW326" s="14">
        <v>-165</v>
      </c>
      <c r="AX326" s="14">
        <v>345</v>
      </c>
      <c r="AY326" s="14">
        <v>-47</v>
      </c>
      <c r="AZ326" s="14">
        <v>-840</v>
      </c>
      <c r="BA326" s="14">
        <v>-400</v>
      </c>
      <c r="BB326" s="14">
        <v>24</v>
      </c>
      <c r="BD326" s="14">
        <v>-7</v>
      </c>
      <c r="BE326" s="14">
        <v>2305</v>
      </c>
    </row>
    <row r="327" spans="7:57" x14ac:dyDescent="0.25">
      <c r="G327" s="14">
        <v>1669</v>
      </c>
      <c r="H327" s="14">
        <v>-553</v>
      </c>
      <c r="I327" s="14">
        <v>200</v>
      </c>
      <c r="M327" s="14">
        <v>-433</v>
      </c>
      <c r="X327" s="14">
        <v>-130</v>
      </c>
      <c r="AB327" s="14">
        <v>235</v>
      </c>
      <c r="AE327" s="14">
        <v>-147</v>
      </c>
      <c r="AG327" s="14">
        <v>394</v>
      </c>
      <c r="AJ327" s="14">
        <v>-189</v>
      </c>
      <c r="AL327" s="14">
        <v>-516</v>
      </c>
      <c r="AM327" s="14">
        <v>-105</v>
      </c>
      <c r="AN327" s="14">
        <v>117</v>
      </c>
      <c r="AP327" s="14">
        <v>-181</v>
      </c>
      <c r="AQ327" s="14">
        <v>273</v>
      </c>
      <c r="AR327" s="14">
        <v>-355</v>
      </c>
      <c r="AS327" s="14">
        <v>149</v>
      </c>
      <c r="AT327" s="14">
        <v>32</v>
      </c>
      <c r="AU327" s="14">
        <v>163</v>
      </c>
      <c r="AV327" s="14">
        <v>741</v>
      </c>
      <c r="AW327" s="14">
        <v>-121</v>
      </c>
      <c r="AX327" s="14">
        <v>13</v>
      </c>
      <c r="AY327" s="14">
        <v>31</v>
      </c>
      <c r="AZ327" s="14">
        <v>190</v>
      </c>
      <c r="BA327" s="14">
        <v>-656</v>
      </c>
      <c r="BB327" s="14">
        <v>-5</v>
      </c>
      <c r="BD327" s="14">
        <v>-6</v>
      </c>
      <c r="BE327" s="14">
        <v>3896</v>
      </c>
    </row>
    <row r="328" spans="7:57" x14ac:dyDescent="0.25">
      <c r="G328" s="14">
        <v>1518</v>
      </c>
      <c r="H328" s="14">
        <v>152</v>
      </c>
      <c r="I328" s="14">
        <v>744</v>
      </c>
      <c r="M328" s="14">
        <v>-203</v>
      </c>
      <c r="X328" s="14">
        <v>-907</v>
      </c>
      <c r="AB328" s="14">
        <v>130</v>
      </c>
      <c r="AE328" s="14">
        <v>121</v>
      </c>
      <c r="AG328" s="14">
        <v>277</v>
      </c>
      <c r="AJ328" s="14">
        <v>-543</v>
      </c>
      <c r="AL328" s="14">
        <v>125</v>
      </c>
      <c r="AM328" s="14">
        <v>5</v>
      </c>
      <c r="AN328" s="14">
        <v>-354</v>
      </c>
      <c r="AP328" s="14">
        <v>-146</v>
      </c>
      <c r="AQ328" s="14">
        <v>183</v>
      </c>
      <c r="AR328" s="14">
        <v>4</v>
      </c>
      <c r="AS328" s="14">
        <v>-673</v>
      </c>
      <c r="AT328" s="14">
        <v>-101</v>
      </c>
      <c r="AU328" s="14">
        <v>123</v>
      </c>
      <c r="AV328" s="14">
        <v>-33</v>
      </c>
      <c r="AW328" s="14">
        <v>418</v>
      </c>
      <c r="AX328" s="14">
        <v>-65</v>
      </c>
      <c r="AY328" s="14">
        <v>18</v>
      </c>
      <c r="AZ328" s="14">
        <v>576</v>
      </c>
      <c r="BA328" s="14">
        <v>-216</v>
      </c>
      <c r="BB328" s="14">
        <v>-74</v>
      </c>
      <c r="BD328" s="14">
        <v>-4</v>
      </c>
      <c r="BE328" s="14">
        <v>671</v>
      </c>
    </row>
    <row r="329" spans="7:57" x14ac:dyDescent="0.25">
      <c r="G329" s="14">
        <v>6892</v>
      </c>
      <c r="H329" s="14">
        <v>150</v>
      </c>
      <c r="I329" s="14">
        <v>663</v>
      </c>
      <c r="M329" s="14">
        <v>-50</v>
      </c>
      <c r="X329" s="14">
        <v>-105</v>
      </c>
      <c r="AB329" s="14">
        <v>136</v>
      </c>
      <c r="AE329" s="14">
        <v>871</v>
      </c>
      <c r="AG329" s="14">
        <v>165</v>
      </c>
      <c r="AJ329" s="14">
        <v>-72</v>
      </c>
      <c r="AL329" s="14">
        <v>92</v>
      </c>
      <c r="AM329" s="14">
        <v>-5</v>
      </c>
      <c r="AN329" s="14">
        <v>-298</v>
      </c>
      <c r="AP329" s="14">
        <v>-211</v>
      </c>
      <c r="AQ329" s="14">
        <v>474</v>
      </c>
      <c r="AR329" s="14">
        <v>202</v>
      </c>
      <c r="AS329" s="14">
        <v>-546</v>
      </c>
      <c r="AT329" s="14">
        <v>-115</v>
      </c>
      <c r="AU329" s="14">
        <v>138</v>
      </c>
      <c r="AV329" s="14">
        <v>560</v>
      </c>
      <c r="AW329" s="14">
        <v>173</v>
      </c>
      <c r="AX329" s="14">
        <v>-53</v>
      </c>
      <c r="AY329" s="14">
        <v>23</v>
      </c>
      <c r="AZ329" s="14">
        <v>-389</v>
      </c>
      <c r="BA329" s="14">
        <v>104</v>
      </c>
      <c r="BB329" s="14">
        <v>147</v>
      </c>
      <c r="BD329" s="14">
        <v>17</v>
      </c>
      <c r="BE329" s="14">
        <v>2488</v>
      </c>
    </row>
    <row r="330" spans="7:57" x14ac:dyDescent="0.25">
      <c r="G330" s="14">
        <v>2417</v>
      </c>
      <c r="H330" s="14">
        <v>151</v>
      </c>
      <c r="I330" s="14">
        <v>-39</v>
      </c>
      <c r="M330" s="14">
        <v>67</v>
      </c>
      <c r="X330" s="14">
        <v>668</v>
      </c>
      <c r="AB330" s="14">
        <v>176</v>
      </c>
      <c r="AE330" s="14">
        <v>-396</v>
      </c>
      <c r="AG330" s="14">
        <v>193</v>
      </c>
      <c r="AJ330" s="14">
        <v>-112</v>
      </c>
      <c r="AL330" s="14">
        <v>-30</v>
      </c>
      <c r="AM330" s="14">
        <v>-66</v>
      </c>
      <c r="AN330" s="14">
        <v>930</v>
      </c>
      <c r="AP330" s="14">
        <v>-152</v>
      </c>
      <c r="AQ330" s="14">
        <v>527</v>
      </c>
      <c r="AR330" s="14">
        <v>436</v>
      </c>
      <c r="AS330" s="14">
        <v>-166</v>
      </c>
      <c r="AT330" s="14">
        <v>108</v>
      </c>
      <c r="AU330" s="14">
        <v>197</v>
      </c>
      <c r="AV330" s="14">
        <v>-51</v>
      </c>
      <c r="AW330" s="14">
        <v>-207</v>
      </c>
      <c r="AX330" s="14">
        <v>-185</v>
      </c>
      <c r="AY330" s="14">
        <v>23</v>
      </c>
      <c r="AZ330" s="14">
        <v>-190</v>
      </c>
      <c r="BA330" s="14">
        <v>32</v>
      </c>
      <c r="BB330" s="14">
        <v>657</v>
      </c>
      <c r="BD330" s="14">
        <v>-19</v>
      </c>
      <c r="BE330" s="14">
        <v>3051</v>
      </c>
    </row>
    <row r="331" spans="7:57" x14ac:dyDescent="0.25">
      <c r="G331" s="14">
        <v>1232</v>
      </c>
      <c r="H331" s="14">
        <v>161</v>
      </c>
      <c r="I331" s="14">
        <v>321</v>
      </c>
      <c r="M331" s="14">
        <v>136</v>
      </c>
      <c r="X331" s="14">
        <v>-149</v>
      </c>
      <c r="AB331" s="14">
        <v>122</v>
      </c>
      <c r="AE331" s="14">
        <v>-264</v>
      </c>
      <c r="AG331" s="14">
        <v>-581</v>
      </c>
      <c r="AJ331" s="14">
        <v>-510</v>
      </c>
      <c r="AL331" s="14">
        <v>-778</v>
      </c>
      <c r="AM331" s="14">
        <v>-87</v>
      </c>
      <c r="AN331" s="14">
        <v>-408</v>
      </c>
      <c r="AP331" s="14">
        <v>-194</v>
      </c>
      <c r="AQ331" s="14">
        <v>723</v>
      </c>
      <c r="AR331" s="14">
        <v>167</v>
      </c>
      <c r="AS331" s="14">
        <v>-420</v>
      </c>
      <c r="AT331" s="14">
        <v>141</v>
      </c>
      <c r="AU331" s="14">
        <v>-127</v>
      </c>
      <c r="AV331" s="14">
        <v>-54</v>
      </c>
      <c r="AW331" s="14">
        <v>226</v>
      </c>
      <c r="AX331" s="14">
        <v>-193</v>
      </c>
      <c r="AY331" s="14">
        <v>136</v>
      </c>
      <c r="AZ331" s="14">
        <v>3</v>
      </c>
      <c r="BA331" s="14">
        <v>618</v>
      </c>
      <c r="BB331" s="14">
        <v>2477</v>
      </c>
      <c r="BD331" s="14">
        <v>-6</v>
      </c>
      <c r="BE331" s="14">
        <v>1736</v>
      </c>
    </row>
    <row r="332" spans="7:57" x14ac:dyDescent="0.25">
      <c r="G332" s="14">
        <v>-2712</v>
      </c>
      <c r="H332" s="14">
        <v>154</v>
      </c>
      <c r="I332" s="14">
        <v>137</v>
      </c>
      <c r="M332" s="14">
        <v>157</v>
      </c>
      <c r="X332" s="14">
        <v>-112</v>
      </c>
      <c r="AB332" s="14">
        <v>230</v>
      </c>
      <c r="AE332" s="14">
        <v>425</v>
      </c>
      <c r="AG332" s="14">
        <v>289</v>
      </c>
      <c r="AJ332" s="14">
        <v>-849</v>
      </c>
      <c r="AL332" s="14">
        <v>-649</v>
      </c>
      <c r="AM332" s="14">
        <v>-76</v>
      </c>
      <c r="AN332" s="14">
        <v>-167</v>
      </c>
      <c r="AP332" s="14">
        <v>-216</v>
      </c>
      <c r="AQ332" s="14">
        <v>841</v>
      </c>
      <c r="AR332" s="14">
        <v>132</v>
      </c>
      <c r="AS332" s="14">
        <v>-241</v>
      </c>
      <c r="AT332" s="14">
        <v>-146</v>
      </c>
      <c r="AU332" s="14">
        <v>-518</v>
      </c>
      <c r="AV332" s="14">
        <v>-216</v>
      </c>
      <c r="AW332" s="14">
        <v>112</v>
      </c>
      <c r="AX332" s="14">
        <v>-133</v>
      </c>
      <c r="AY332" s="14">
        <v>-107</v>
      </c>
      <c r="AZ332" s="14">
        <v>11</v>
      </c>
      <c r="BA332" s="14">
        <v>-102</v>
      </c>
      <c r="BB332" s="14">
        <v>-348</v>
      </c>
      <c r="BD332" s="14">
        <v>-11</v>
      </c>
      <c r="BE332" s="14">
        <v>3763</v>
      </c>
    </row>
    <row r="333" spans="7:57" x14ac:dyDescent="0.25">
      <c r="G333" s="14">
        <v>-385</v>
      </c>
      <c r="H333" s="14">
        <v>156</v>
      </c>
      <c r="I333" s="14">
        <v>604</v>
      </c>
      <c r="M333" s="14">
        <v>151</v>
      </c>
      <c r="X333" s="14">
        <v>240</v>
      </c>
      <c r="AB333" s="14">
        <v>166</v>
      </c>
      <c r="AE333" s="14">
        <v>-396</v>
      </c>
      <c r="AG333" s="14">
        <v>369</v>
      </c>
      <c r="AJ333" s="14">
        <v>-159</v>
      </c>
      <c r="AL333" s="14">
        <v>-336</v>
      </c>
      <c r="AM333" s="14">
        <v>-53</v>
      </c>
      <c r="AN333" s="14">
        <v>211</v>
      </c>
      <c r="AP333" s="14">
        <v>-253</v>
      </c>
      <c r="AQ333" s="14">
        <v>932</v>
      </c>
      <c r="AR333" s="14">
        <v>132</v>
      </c>
      <c r="AS333" s="14">
        <v>-257</v>
      </c>
      <c r="AT333" s="14">
        <v>111</v>
      </c>
      <c r="AU333" s="14">
        <v>-153</v>
      </c>
      <c r="AV333" s="14">
        <v>-219</v>
      </c>
      <c r="AW333" s="14">
        <v>155</v>
      </c>
      <c r="AX333" s="14">
        <v>-153</v>
      </c>
      <c r="AY333" s="14">
        <v>-169</v>
      </c>
      <c r="AZ333" s="14">
        <v>-18</v>
      </c>
      <c r="BA333" s="14">
        <v>-586</v>
      </c>
      <c r="BB333" s="14">
        <v>-138</v>
      </c>
      <c r="BD333" s="14">
        <v>-13</v>
      </c>
      <c r="BE333" s="14">
        <v>2994</v>
      </c>
    </row>
    <row r="334" spans="7:57" x14ac:dyDescent="0.25">
      <c r="G334" s="14">
        <v>-3437</v>
      </c>
      <c r="H334" s="14">
        <v>179</v>
      </c>
      <c r="I334" s="14">
        <v>363</v>
      </c>
      <c r="M334" s="14">
        <v>98</v>
      </c>
      <c r="X334" s="14">
        <v>194</v>
      </c>
      <c r="AB334" s="14">
        <v>219</v>
      </c>
      <c r="AE334" s="14">
        <v>201</v>
      </c>
      <c r="AG334" s="14">
        <v>658</v>
      </c>
      <c r="AJ334" s="14">
        <v>-215</v>
      </c>
      <c r="AL334" s="14">
        <v>-139</v>
      </c>
      <c r="AM334" s="14">
        <v>-41</v>
      </c>
      <c r="AN334" s="14">
        <v>-126</v>
      </c>
      <c r="AP334" s="14">
        <v>-288</v>
      </c>
      <c r="AQ334" s="14">
        <v>910</v>
      </c>
      <c r="AR334" s="14">
        <v>-347</v>
      </c>
      <c r="AS334" s="14">
        <v>-821</v>
      </c>
      <c r="AT334" s="14">
        <v>246</v>
      </c>
      <c r="AU334" s="14">
        <v>-145</v>
      </c>
      <c r="AV334" s="14">
        <v>3</v>
      </c>
      <c r="AW334" s="14">
        <v>-199</v>
      </c>
      <c r="AX334" s="14">
        <v>-160</v>
      </c>
      <c r="AY334" s="14">
        <v>-96</v>
      </c>
      <c r="AZ334" s="14">
        <v>-1</v>
      </c>
      <c r="BA334" s="14">
        <v>398</v>
      </c>
      <c r="BB334" s="14">
        <v>-85</v>
      </c>
      <c r="BD334" s="14">
        <v>-11</v>
      </c>
      <c r="BE334" s="14">
        <v>1036</v>
      </c>
    </row>
    <row r="335" spans="7:57" x14ac:dyDescent="0.25">
      <c r="G335" s="14">
        <v>-4399</v>
      </c>
      <c r="H335" s="14">
        <v>176</v>
      </c>
      <c r="I335" s="14">
        <v>224</v>
      </c>
      <c r="M335" s="14">
        <v>-76</v>
      </c>
      <c r="X335" s="14">
        <v>215</v>
      </c>
      <c r="AB335" s="14">
        <v>951</v>
      </c>
      <c r="AE335" s="14">
        <v>-143</v>
      </c>
      <c r="AG335" s="14">
        <v>-27</v>
      </c>
      <c r="AJ335" s="14">
        <v>-191</v>
      </c>
      <c r="AL335" s="14">
        <v>-290</v>
      </c>
      <c r="AM335" s="14">
        <v>-185</v>
      </c>
      <c r="AN335" s="14">
        <v>192</v>
      </c>
      <c r="AP335" s="14">
        <v>-452</v>
      </c>
      <c r="AQ335" s="14">
        <v>957</v>
      </c>
      <c r="AR335" s="14">
        <v>-750</v>
      </c>
      <c r="AS335" s="14">
        <v>-866</v>
      </c>
      <c r="AT335" s="14">
        <v>55</v>
      </c>
      <c r="AU335" s="14">
        <v>-221</v>
      </c>
      <c r="AV335" s="14">
        <v>22</v>
      </c>
      <c r="AW335" s="14">
        <v>310</v>
      </c>
      <c r="AX335" s="14">
        <v>-150</v>
      </c>
      <c r="AY335" s="14">
        <v>-218</v>
      </c>
      <c r="AZ335" s="14">
        <v>56</v>
      </c>
      <c r="BA335" s="14">
        <v>288</v>
      </c>
      <c r="BB335" s="14">
        <v>-155</v>
      </c>
      <c r="BD335" s="14">
        <v>-11</v>
      </c>
      <c r="BE335" s="14">
        <v>3871</v>
      </c>
    </row>
    <row r="336" spans="7:57" x14ac:dyDescent="0.25">
      <c r="G336" s="14">
        <v>1312</v>
      </c>
      <c r="H336" s="14">
        <v>-176</v>
      </c>
      <c r="I336" s="14">
        <v>871</v>
      </c>
      <c r="M336" s="14">
        <v>267</v>
      </c>
      <c r="X336" s="14">
        <v>315</v>
      </c>
      <c r="AB336" s="14">
        <v>288</v>
      </c>
      <c r="AE336" s="14">
        <v>-359</v>
      </c>
      <c r="AG336" s="14">
        <v>-92</v>
      </c>
      <c r="AJ336" s="14">
        <v>304</v>
      </c>
      <c r="AL336" s="14">
        <v>2</v>
      </c>
      <c r="AM336" s="14">
        <v>-93</v>
      </c>
      <c r="AN336" s="14">
        <v>345</v>
      </c>
      <c r="AP336" s="14">
        <v>-334</v>
      </c>
      <c r="AQ336" s="14">
        <v>7</v>
      </c>
      <c r="AR336" s="14">
        <v>-295</v>
      </c>
      <c r="AS336" s="14">
        <v>-321</v>
      </c>
      <c r="AT336" s="14">
        <v>-40</v>
      </c>
      <c r="AU336" s="14">
        <v>169</v>
      </c>
      <c r="AV336" s="14">
        <v>-27</v>
      </c>
      <c r="AW336" s="14">
        <v>248</v>
      </c>
      <c r="AX336" s="14">
        <v>-181</v>
      </c>
      <c r="AY336" s="14">
        <v>41</v>
      </c>
      <c r="AZ336" s="14">
        <v>-116</v>
      </c>
      <c r="BA336" s="14">
        <v>411</v>
      </c>
      <c r="BB336" s="14">
        <v>-69</v>
      </c>
      <c r="BD336" s="14">
        <v>-12</v>
      </c>
      <c r="BE336" s="14">
        <v>1077</v>
      </c>
    </row>
    <row r="337" spans="7:57" x14ac:dyDescent="0.25">
      <c r="G337" s="14">
        <v>-1131</v>
      </c>
      <c r="H337" s="14">
        <v>-155</v>
      </c>
      <c r="I337" s="14">
        <v>-26</v>
      </c>
      <c r="M337" s="14">
        <v>220</v>
      </c>
      <c r="X337" s="14">
        <v>383</v>
      </c>
      <c r="AB337" s="14">
        <v>905</v>
      </c>
      <c r="AE337" s="14">
        <v>-196</v>
      </c>
      <c r="AG337" s="14">
        <v>-430</v>
      </c>
      <c r="AJ337" s="14">
        <v>-104</v>
      </c>
      <c r="AL337" s="14">
        <v>163</v>
      </c>
      <c r="AM337" s="14">
        <v>-145</v>
      </c>
      <c r="AN337" s="14">
        <v>-142</v>
      </c>
      <c r="AP337" s="14">
        <v>-318</v>
      </c>
      <c r="AQ337" s="14">
        <v>6</v>
      </c>
      <c r="AR337" s="14">
        <v>-392</v>
      </c>
      <c r="AS337" s="14">
        <v>-218</v>
      </c>
      <c r="AT337" s="14">
        <v>-147</v>
      </c>
      <c r="AU337" s="14">
        <v>471</v>
      </c>
      <c r="AV337" s="14">
        <v>-40</v>
      </c>
      <c r="AW337" s="14">
        <v>-65</v>
      </c>
      <c r="AX337" s="14">
        <v>-46</v>
      </c>
      <c r="AY337" s="14">
        <v>72</v>
      </c>
      <c r="AZ337" s="14">
        <v>-11</v>
      </c>
      <c r="BA337" s="14">
        <v>-524</v>
      </c>
      <c r="BB337" s="14">
        <v>-113</v>
      </c>
      <c r="BD337" s="14">
        <v>6</v>
      </c>
      <c r="BE337" s="14">
        <v>1612</v>
      </c>
    </row>
    <row r="338" spans="7:57" x14ac:dyDescent="0.25">
      <c r="G338" s="14">
        <v>-1035</v>
      </c>
      <c r="H338" s="14">
        <v>-159</v>
      </c>
      <c r="I338" s="14">
        <v>309</v>
      </c>
      <c r="M338" s="14">
        <v>166</v>
      </c>
      <c r="X338" s="14">
        <v>422</v>
      </c>
      <c r="AB338" s="14">
        <v>819</v>
      </c>
      <c r="AE338" s="14">
        <v>123</v>
      </c>
      <c r="AG338" s="14">
        <v>-20</v>
      </c>
      <c r="AJ338" s="14">
        <v>-127</v>
      </c>
      <c r="AL338" s="14">
        <v>-107</v>
      </c>
      <c r="AM338" s="14">
        <v>-173</v>
      </c>
      <c r="AN338" s="14">
        <v>106</v>
      </c>
      <c r="AP338" s="14">
        <v>-234</v>
      </c>
      <c r="AQ338" s="14">
        <v>5</v>
      </c>
      <c r="AR338" s="14">
        <v>-178</v>
      </c>
      <c r="AS338" s="14">
        <v>477</v>
      </c>
      <c r="AT338" s="14">
        <v>-140</v>
      </c>
      <c r="AU338" s="14">
        <v>449</v>
      </c>
      <c r="AV338" s="14">
        <v>-27</v>
      </c>
      <c r="AW338" s="14">
        <v>267</v>
      </c>
      <c r="AX338" s="14">
        <v>-177</v>
      </c>
      <c r="AY338" s="14">
        <v>61</v>
      </c>
      <c r="AZ338" s="14">
        <v>-93</v>
      </c>
      <c r="BA338" s="14">
        <v>183</v>
      </c>
      <c r="BB338" s="14">
        <v>-90</v>
      </c>
      <c r="BD338" s="14">
        <v>-18</v>
      </c>
      <c r="BE338" s="14">
        <v>3673</v>
      </c>
    </row>
    <row r="339" spans="7:57" x14ac:dyDescent="0.25">
      <c r="G339" s="14">
        <v>1700</v>
      </c>
      <c r="H339" s="14">
        <v>915</v>
      </c>
      <c r="I339" s="14">
        <v>136</v>
      </c>
      <c r="M339" s="14">
        <v>126</v>
      </c>
      <c r="X339" s="14">
        <v>238</v>
      </c>
      <c r="AB339" s="14">
        <v>821</v>
      </c>
      <c r="AE339" s="14">
        <v>857</v>
      </c>
      <c r="AG339" s="14">
        <v>373</v>
      </c>
      <c r="AJ339" s="14">
        <v>-108</v>
      </c>
      <c r="AL339" s="14">
        <v>-209</v>
      </c>
      <c r="AM339" s="14">
        <v>-72</v>
      </c>
      <c r="AN339" s="14">
        <v>93</v>
      </c>
      <c r="AP339" s="14">
        <v>-321</v>
      </c>
      <c r="AQ339" s="14">
        <v>-5</v>
      </c>
      <c r="AR339" s="14">
        <v>-223</v>
      </c>
      <c r="AS339" s="14">
        <v>273</v>
      </c>
      <c r="AT339" s="14">
        <v>107</v>
      </c>
      <c r="AU339" s="14">
        <v>-162</v>
      </c>
      <c r="AV339" s="14">
        <v>-82</v>
      </c>
      <c r="AW339" s="14">
        <v>762</v>
      </c>
      <c r="AX339" s="14">
        <v>-104</v>
      </c>
      <c r="AY339" s="14">
        <v>-246</v>
      </c>
      <c r="AZ339" s="14">
        <v>-62</v>
      </c>
      <c r="BA339" s="14">
        <v>464</v>
      </c>
      <c r="BB339" s="14">
        <v>-63</v>
      </c>
      <c r="BD339" s="14">
        <v>-1</v>
      </c>
      <c r="BE339" s="14">
        <v>2153</v>
      </c>
    </row>
    <row r="340" spans="7:57" x14ac:dyDescent="0.25">
      <c r="G340" s="14">
        <v>3473</v>
      </c>
      <c r="H340" s="14">
        <v>-188</v>
      </c>
      <c r="I340" s="14">
        <v>882</v>
      </c>
      <c r="M340" s="14">
        <v>94</v>
      </c>
      <c r="X340" s="14">
        <v>28</v>
      </c>
      <c r="AB340" s="14">
        <v>732</v>
      </c>
      <c r="AE340" s="14">
        <v>-403</v>
      </c>
      <c r="AG340" s="14">
        <v>653</v>
      </c>
      <c r="AJ340" s="14">
        <v>-306</v>
      </c>
      <c r="AL340" s="14">
        <v>470</v>
      </c>
      <c r="AM340" s="14">
        <v>-59</v>
      </c>
      <c r="AN340" s="14">
        <v>547</v>
      </c>
      <c r="AP340" s="14">
        <v>-102</v>
      </c>
      <c r="AQ340" s="14">
        <v>-6</v>
      </c>
      <c r="AR340" s="14">
        <v>-164</v>
      </c>
      <c r="AS340" s="14">
        <v>-364</v>
      </c>
      <c r="AT340" s="14">
        <v>215</v>
      </c>
      <c r="AU340" s="14">
        <v>284</v>
      </c>
      <c r="AV340" s="14">
        <v>162</v>
      </c>
      <c r="AW340" s="14">
        <v>220</v>
      </c>
      <c r="AX340" s="14">
        <v>-154</v>
      </c>
      <c r="AY340" s="14">
        <v>-46</v>
      </c>
      <c r="AZ340" s="14">
        <v>3</v>
      </c>
      <c r="BA340" s="14">
        <v>241</v>
      </c>
      <c r="BB340" s="14">
        <v>-83</v>
      </c>
      <c r="BD340" s="14">
        <v>-88</v>
      </c>
      <c r="BE340" s="14">
        <v>2492</v>
      </c>
    </row>
    <row r="341" spans="7:57" x14ac:dyDescent="0.25">
      <c r="G341" s="14">
        <v>3459</v>
      </c>
      <c r="H341" s="14">
        <v>-201</v>
      </c>
      <c r="I341" s="14">
        <v>725</v>
      </c>
      <c r="M341" s="14">
        <v>64</v>
      </c>
      <c r="X341" s="14">
        <v>-208</v>
      </c>
      <c r="AB341" s="14">
        <v>764</v>
      </c>
      <c r="AE341" s="14">
        <v>-128</v>
      </c>
      <c r="AG341" s="14">
        <v>284</v>
      </c>
      <c r="AJ341" s="14">
        <v>-244</v>
      </c>
      <c r="AL341" s="14">
        <v>196</v>
      </c>
      <c r="AM341" s="14">
        <v>-69</v>
      </c>
      <c r="AN341" s="14">
        <v>-885</v>
      </c>
      <c r="AP341" s="14">
        <v>-277</v>
      </c>
      <c r="AQ341" s="14">
        <v>-6</v>
      </c>
      <c r="AR341" s="14">
        <v>-893</v>
      </c>
      <c r="AS341" s="14">
        <v>-572</v>
      </c>
      <c r="AT341" s="14">
        <v>-162</v>
      </c>
      <c r="AU341" s="14">
        <v>-361</v>
      </c>
      <c r="AV341" s="14">
        <v>163</v>
      </c>
      <c r="AW341" s="14">
        <v>284</v>
      </c>
      <c r="AX341" s="14">
        <v>-156</v>
      </c>
      <c r="AY341" s="14">
        <v>-19</v>
      </c>
      <c r="AZ341" s="14">
        <v>53</v>
      </c>
      <c r="BA341" s="14">
        <v>165</v>
      </c>
      <c r="BB341" s="14">
        <v>-59</v>
      </c>
      <c r="BD341" s="14">
        <v>778</v>
      </c>
      <c r="BE341" s="14">
        <v>2571</v>
      </c>
    </row>
    <row r="342" spans="7:57" x14ac:dyDescent="0.25">
      <c r="G342" s="14">
        <v>91</v>
      </c>
      <c r="H342" s="14">
        <v>-416</v>
      </c>
      <c r="I342" s="14">
        <v>206</v>
      </c>
      <c r="M342" s="14">
        <v>39</v>
      </c>
      <c r="X342" s="14">
        <v>-570</v>
      </c>
      <c r="AB342" s="14">
        <v>909</v>
      </c>
      <c r="AE342" s="14">
        <v>221</v>
      </c>
      <c r="AG342" s="14">
        <v>-103</v>
      </c>
      <c r="AJ342" s="14">
        <v>197</v>
      </c>
      <c r="AL342" s="14">
        <v>-53</v>
      </c>
      <c r="AM342" s="14">
        <v>-38</v>
      </c>
      <c r="AN342" s="14">
        <v>-176</v>
      </c>
      <c r="AP342" s="14">
        <v>501</v>
      </c>
      <c r="AQ342" s="14">
        <v>-7</v>
      </c>
      <c r="AR342" s="14">
        <v>-152</v>
      </c>
      <c r="AS342" s="14">
        <v>-309</v>
      </c>
      <c r="AT342" s="14">
        <v>114</v>
      </c>
      <c r="AU342" s="14">
        <v>387</v>
      </c>
      <c r="AV342" s="14">
        <v>-1</v>
      </c>
      <c r="AW342" s="14">
        <v>389</v>
      </c>
      <c r="AX342" s="14">
        <v>101</v>
      </c>
      <c r="AY342" s="14">
        <v>1</v>
      </c>
      <c r="AZ342" s="14">
        <v>-49</v>
      </c>
      <c r="BA342" s="14">
        <v>578</v>
      </c>
      <c r="BB342" s="14">
        <v>-60</v>
      </c>
      <c r="BD342" s="14">
        <v>15255</v>
      </c>
      <c r="BE342" s="14">
        <v>3824</v>
      </c>
    </row>
    <row r="343" spans="7:57" x14ac:dyDescent="0.25">
      <c r="G343" s="14">
        <v>6321</v>
      </c>
      <c r="H343" s="14">
        <v>-325</v>
      </c>
      <c r="I343" s="14">
        <v>375</v>
      </c>
      <c r="M343" s="14">
        <v>19</v>
      </c>
      <c r="X343" s="14">
        <v>453</v>
      </c>
      <c r="AB343" s="14">
        <v>808</v>
      </c>
      <c r="AE343" s="14">
        <v>-318</v>
      </c>
      <c r="AG343" s="14">
        <v>299</v>
      </c>
      <c r="AJ343" s="14">
        <v>174</v>
      </c>
      <c r="AL343" s="14">
        <v>-363</v>
      </c>
      <c r="AM343" s="14">
        <v>-365</v>
      </c>
      <c r="AN343" s="14">
        <v>453</v>
      </c>
      <c r="AP343" s="14">
        <v>-971</v>
      </c>
      <c r="AQ343" s="14">
        <v>-7</v>
      </c>
      <c r="AR343" s="14">
        <v>-281</v>
      </c>
      <c r="AS343" s="14">
        <v>-291</v>
      </c>
      <c r="AT343" s="14">
        <v>250</v>
      </c>
      <c r="AU343" s="14">
        <v>-50</v>
      </c>
      <c r="AV343" s="14">
        <v>16</v>
      </c>
      <c r="AW343" s="14">
        <v>327</v>
      </c>
      <c r="AX343" s="14">
        <v>-160</v>
      </c>
      <c r="AY343" s="14">
        <v>-18</v>
      </c>
      <c r="AZ343" s="14">
        <v>3</v>
      </c>
      <c r="BA343" s="14">
        <v>560</v>
      </c>
      <c r="BB343" s="14">
        <v>-51</v>
      </c>
      <c r="BD343" s="14">
        <v>-1</v>
      </c>
      <c r="BE343" s="14">
        <v>2638</v>
      </c>
    </row>
    <row r="344" spans="7:57" x14ac:dyDescent="0.25">
      <c r="G344" s="14">
        <v>-15</v>
      </c>
      <c r="H344" s="14">
        <v>527</v>
      </c>
      <c r="I344" s="14">
        <v>11</v>
      </c>
      <c r="M344" s="14">
        <v>995</v>
      </c>
      <c r="X344" s="14">
        <v>-819</v>
      </c>
      <c r="AB344" s="14">
        <v>826</v>
      </c>
      <c r="AE344" s="14">
        <v>245</v>
      </c>
      <c r="AG344" s="14">
        <v>381</v>
      </c>
      <c r="AJ344" s="14">
        <v>-241</v>
      </c>
      <c r="AL344" s="14">
        <v>18</v>
      </c>
      <c r="AM344" s="14">
        <v>-297</v>
      </c>
      <c r="AN344" s="14">
        <v>-96</v>
      </c>
      <c r="AP344" s="14">
        <v>-954</v>
      </c>
      <c r="AQ344" s="14">
        <v>-9</v>
      </c>
      <c r="AR344" s="14">
        <v>230</v>
      </c>
      <c r="AS344" s="14">
        <v>604</v>
      </c>
      <c r="AT344" s="14">
        <v>55</v>
      </c>
      <c r="AU344" s="14">
        <v>-32</v>
      </c>
      <c r="AV344" s="14">
        <v>10</v>
      </c>
      <c r="AW344" s="14">
        <v>-767</v>
      </c>
      <c r="AX344" s="14">
        <v>-393</v>
      </c>
      <c r="AY344" s="14">
        <v>16</v>
      </c>
      <c r="AZ344" s="14">
        <v>-31</v>
      </c>
      <c r="BA344" s="14">
        <v>575</v>
      </c>
      <c r="BB344" s="14">
        <v>-41</v>
      </c>
      <c r="BD344" s="14">
        <v>-12</v>
      </c>
      <c r="BE344" s="14">
        <v>2758</v>
      </c>
    </row>
    <row r="345" spans="7:57" x14ac:dyDescent="0.25">
      <c r="G345" s="14">
        <v>-3230</v>
      </c>
      <c r="H345" s="14">
        <v>492</v>
      </c>
      <c r="I345" s="14">
        <v>270</v>
      </c>
      <c r="M345" s="14">
        <v>175</v>
      </c>
      <c r="X345" s="14">
        <v>-614</v>
      </c>
      <c r="AB345" s="14">
        <v>794</v>
      </c>
      <c r="AE345" s="14">
        <v>-328</v>
      </c>
      <c r="AG345" s="14">
        <v>264</v>
      </c>
      <c r="AJ345" s="14">
        <v>-699</v>
      </c>
      <c r="AL345" s="14">
        <v>153</v>
      </c>
      <c r="AM345" s="14">
        <v>-442</v>
      </c>
      <c r="AN345" s="14">
        <v>159</v>
      </c>
      <c r="AP345" s="14">
        <v>452</v>
      </c>
      <c r="AQ345" s="14">
        <v>-7</v>
      </c>
      <c r="AR345" s="14">
        <v>-491</v>
      </c>
      <c r="AS345" s="14">
        <v>-291</v>
      </c>
      <c r="AT345" s="14">
        <v>-46</v>
      </c>
      <c r="AU345" s="14">
        <v>-19</v>
      </c>
      <c r="AV345" s="14">
        <v>18</v>
      </c>
      <c r="AW345" s="14">
        <v>306</v>
      </c>
      <c r="AX345" s="14">
        <v>-155</v>
      </c>
      <c r="AY345" s="14">
        <v>67</v>
      </c>
      <c r="AZ345" s="14">
        <v>6</v>
      </c>
      <c r="BA345" s="14">
        <v>-338</v>
      </c>
      <c r="BB345" s="14">
        <v>205</v>
      </c>
      <c r="BD345" s="14">
        <v>4</v>
      </c>
      <c r="BE345" s="14">
        <v>1413</v>
      </c>
    </row>
    <row r="346" spans="7:57" x14ac:dyDescent="0.25">
      <c r="G346" s="14">
        <v>-59</v>
      </c>
      <c r="H346" s="14">
        <v>459</v>
      </c>
      <c r="I346" s="14">
        <v>-798</v>
      </c>
      <c r="M346" s="14">
        <v>86</v>
      </c>
      <c r="X346" s="14">
        <v>-236</v>
      </c>
      <c r="AB346" s="14">
        <v>897</v>
      </c>
      <c r="AE346" s="14">
        <v>-517</v>
      </c>
      <c r="AG346" s="14">
        <v>155</v>
      </c>
      <c r="AJ346" s="14">
        <v>116</v>
      </c>
      <c r="AL346" s="14">
        <v>-129</v>
      </c>
      <c r="AM346" s="14">
        <v>-530</v>
      </c>
      <c r="AN346" s="14">
        <v>-453</v>
      </c>
      <c r="AP346" s="14">
        <v>307</v>
      </c>
      <c r="AQ346" s="14">
        <v>121</v>
      </c>
      <c r="AR346" s="14">
        <v>-890</v>
      </c>
      <c r="AS346" s="14">
        <v>-456</v>
      </c>
      <c r="AT346" s="14">
        <v>-208</v>
      </c>
      <c r="AU346" s="14">
        <v>-129</v>
      </c>
      <c r="AV346" s="14">
        <v>2</v>
      </c>
      <c r="AW346" s="14">
        <v>121</v>
      </c>
      <c r="AX346" s="14">
        <v>-260</v>
      </c>
      <c r="AY346" s="14">
        <v>-280</v>
      </c>
      <c r="AZ346" s="14">
        <v>-45</v>
      </c>
      <c r="BA346" s="14">
        <v>549</v>
      </c>
      <c r="BB346" s="14">
        <v>103</v>
      </c>
      <c r="BD346" s="14">
        <v>1</v>
      </c>
      <c r="BE346" s="14">
        <v>2623</v>
      </c>
    </row>
    <row r="347" spans="7:57" x14ac:dyDescent="0.25">
      <c r="G347" s="14">
        <v>5567</v>
      </c>
      <c r="H347" s="14">
        <v>42</v>
      </c>
      <c r="I347" s="14">
        <v>138</v>
      </c>
      <c r="M347" s="14">
        <v>276</v>
      </c>
      <c r="X347" s="14">
        <v>412</v>
      </c>
      <c r="AB347" s="14">
        <v>915</v>
      </c>
      <c r="AE347" s="14">
        <v>-179</v>
      </c>
      <c r="AG347" s="14">
        <v>186</v>
      </c>
      <c r="AJ347" s="14">
        <v>-600</v>
      </c>
      <c r="AL347" s="14">
        <v>-247</v>
      </c>
      <c r="AM347" s="14">
        <v>-70</v>
      </c>
      <c r="AN347" s="14">
        <v>-167</v>
      </c>
      <c r="AP347" s="14">
        <v>-296</v>
      </c>
      <c r="AQ347" s="14">
        <v>203</v>
      </c>
      <c r="AR347" s="14">
        <v>213</v>
      </c>
      <c r="AS347" s="14">
        <v>651</v>
      </c>
      <c r="AT347" s="14">
        <v>-102</v>
      </c>
      <c r="AU347" s="14">
        <v>-91</v>
      </c>
      <c r="AV347" s="14">
        <v>-30</v>
      </c>
      <c r="AW347" s="14">
        <v>811</v>
      </c>
      <c r="AX347" s="14">
        <v>-392</v>
      </c>
      <c r="AY347" s="14">
        <v>25</v>
      </c>
      <c r="AZ347" s="14">
        <v>228</v>
      </c>
      <c r="BA347" s="14">
        <v>102</v>
      </c>
      <c r="BB347" s="14">
        <v>10</v>
      </c>
      <c r="BD347" s="14">
        <v>4</v>
      </c>
      <c r="BE347" s="14">
        <v>652</v>
      </c>
    </row>
    <row r="348" spans="7:57" x14ac:dyDescent="0.25">
      <c r="G348" s="14">
        <v>5116</v>
      </c>
      <c r="H348" s="14">
        <v>545</v>
      </c>
      <c r="I348" s="14">
        <v>122</v>
      </c>
      <c r="M348" s="14">
        <v>-182</v>
      </c>
      <c r="X348" s="14">
        <v>482</v>
      </c>
      <c r="AB348" s="14">
        <v>836</v>
      </c>
      <c r="AE348" s="14">
        <v>122</v>
      </c>
      <c r="AG348" s="14">
        <v>-540</v>
      </c>
      <c r="AJ348" s="14">
        <v>-220</v>
      </c>
      <c r="AL348" s="14">
        <v>925</v>
      </c>
      <c r="AM348" s="14">
        <v>-130</v>
      </c>
      <c r="AN348" s="14">
        <v>165</v>
      </c>
      <c r="AP348" s="14">
        <v>-322</v>
      </c>
      <c r="AQ348" s="14">
        <v>227</v>
      </c>
      <c r="AR348" s="14">
        <v>-326</v>
      </c>
      <c r="AS348" s="14">
        <v>-683</v>
      </c>
      <c r="AT348" s="14">
        <v>110</v>
      </c>
      <c r="AU348" s="14">
        <v>-38</v>
      </c>
      <c r="AV348" s="14">
        <v>-22</v>
      </c>
      <c r="AW348" s="14">
        <v>196</v>
      </c>
      <c r="AX348" s="14">
        <v>-319</v>
      </c>
      <c r="AY348" s="14">
        <v>20</v>
      </c>
      <c r="AZ348" s="14">
        <v>63</v>
      </c>
      <c r="BA348" s="14">
        <v>120</v>
      </c>
      <c r="BB348" s="14">
        <v>34</v>
      </c>
      <c r="BD348" s="14">
        <v>8</v>
      </c>
      <c r="BE348" s="14">
        <v>2172</v>
      </c>
    </row>
    <row r="349" spans="7:57" x14ac:dyDescent="0.25">
      <c r="G349" s="14">
        <v>5080</v>
      </c>
      <c r="H349" s="14">
        <v>613</v>
      </c>
      <c r="I349" s="14">
        <v>708</v>
      </c>
      <c r="M349" s="14">
        <v>-457</v>
      </c>
      <c r="X349" s="14">
        <v>797</v>
      </c>
      <c r="AB349" s="14">
        <v>935</v>
      </c>
      <c r="AE349" s="14">
        <v>857</v>
      </c>
      <c r="AG349" s="14">
        <v>279</v>
      </c>
      <c r="AJ349" s="14">
        <v>-463</v>
      </c>
      <c r="AL349" s="14">
        <v>-224</v>
      </c>
      <c r="AM349" s="14">
        <v>-155</v>
      </c>
      <c r="AN349" s="14">
        <v>439</v>
      </c>
      <c r="AP349" s="14">
        <v>-318</v>
      </c>
      <c r="AQ349" s="14">
        <v>456</v>
      </c>
      <c r="AR349" s="14">
        <v>-679</v>
      </c>
      <c r="AS349" s="14">
        <v>-268</v>
      </c>
      <c r="AT349" s="14">
        <v>244</v>
      </c>
      <c r="AU349" s="14">
        <v>-185</v>
      </c>
      <c r="AV349" s="14">
        <v>-80</v>
      </c>
      <c r="AW349" s="14">
        <v>876</v>
      </c>
      <c r="AX349" s="14">
        <v>-98</v>
      </c>
      <c r="AY349" s="14">
        <v>228</v>
      </c>
      <c r="AZ349" s="14">
        <v>45</v>
      </c>
      <c r="BA349" s="14">
        <v>552</v>
      </c>
      <c r="BB349" s="14">
        <v>133</v>
      </c>
      <c r="BD349" s="14">
        <v>3</v>
      </c>
      <c r="BE349" s="14">
        <v>3953</v>
      </c>
    </row>
    <row r="350" spans="7:57" x14ac:dyDescent="0.25">
      <c r="G350" s="14">
        <v>7098</v>
      </c>
      <c r="H350" s="14">
        <v>108</v>
      </c>
      <c r="I350" s="14">
        <v>235</v>
      </c>
      <c r="M350" s="14">
        <v>-552</v>
      </c>
      <c r="X350" s="14">
        <v>905</v>
      </c>
      <c r="AB350" s="14">
        <v>962</v>
      </c>
      <c r="AE350" s="14">
        <v>-309</v>
      </c>
      <c r="AG350" s="14">
        <v>359</v>
      </c>
      <c r="AJ350" s="14">
        <v>-625</v>
      </c>
      <c r="AL350" s="14">
        <v>732</v>
      </c>
      <c r="AM350" s="14">
        <v>-132</v>
      </c>
      <c r="AN350" s="14">
        <v>-20</v>
      </c>
      <c r="AP350" s="14">
        <v>-215</v>
      </c>
      <c r="AQ350" s="14">
        <v>778</v>
      </c>
      <c r="AR350" s="14">
        <v>-4</v>
      </c>
      <c r="AS350" s="14">
        <v>-590</v>
      </c>
      <c r="AT350" s="14">
        <v>96</v>
      </c>
      <c r="AU350" s="14">
        <v>-46</v>
      </c>
      <c r="AV350" s="14">
        <v>-31</v>
      </c>
      <c r="AW350" s="14">
        <v>-318</v>
      </c>
      <c r="AX350" s="14">
        <v>393</v>
      </c>
      <c r="AY350" s="14">
        <v>165</v>
      </c>
      <c r="AZ350" s="14">
        <v>-108</v>
      </c>
      <c r="BA350" s="14">
        <v>845</v>
      </c>
      <c r="BB350" s="14">
        <v>1096</v>
      </c>
      <c r="BD350" s="14">
        <v>3</v>
      </c>
      <c r="BE350" s="14">
        <v>1884</v>
      </c>
    </row>
    <row r="351" spans="7:57" x14ac:dyDescent="0.25">
      <c r="G351" s="14">
        <v>5143</v>
      </c>
      <c r="H351" s="14">
        <v>799</v>
      </c>
      <c r="I351" s="14">
        <v>777</v>
      </c>
      <c r="M351" s="14">
        <v>-540</v>
      </c>
      <c r="X351" s="14">
        <v>599</v>
      </c>
      <c r="AB351" s="14">
        <v>980</v>
      </c>
      <c r="AE351" s="14">
        <v>-696</v>
      </c>
      <c r="AG351" s="14">
        <v>591</v>
      </c>
      <c r="AJ351" s="14">
        <v>177</v>
      </c>
      <c r="AL351" s="14">
        <v>-64</v>
      </c>
      <c r="AM351" s="14">
        <v>6</v>
      </c>
      <c r="AN351" s="14">
        <v>114</v>
      </c>
      <c r="AP351" s="14">
        <v>-198</v>
      </c>
      <c r="AQ351" s="14">
        <v>816</v>
      </c>
      <c r="AR351" s="14">
        <v>-252</v>
      </c>
      <c r="AS351" s="14">
        <v>-263</v>
      </c>
      <c r="AT351" s="14">
        <v>41</v>
      </c>
      <c r="AU351" s="14">
        <v>72</v>
      </c>
      <c r="AV351" s="14">
        <v>-38</v>
      </c>
      <c r="AW351" s="14">
        <v>-504</v>
      </c>
      <c r="AX351" s="14">
        <v>98</v>
      </c>
      <c r="AY351" s="14">
        <v>-129</v>
      </c>
      <c r="AZ351" s="14">
        <v>-144</v>
      </c>
      <c r="BA351" s="14">
        <v>127</v>
      </c>
      <c r="BB351" s="14">
        <v>-123</v>
      </c>
      <c r="BD351" s="14">
        <v>6</v>
      </c>
      <c r="BE351" s="14">
        <v>3251</v>
      </c>
    </row>
    <row r="352" spans="7:57" x14ac:dyDescent="0.25">
      <c r="G352" s="14">
        <v>4915</v>
      </c>
      <c r="H352" s="14">
        <v>259</v>
      </c>
      <c r="I352" s="14">
        <v>198</v>
      </c>
      <c r="M352" s="14">
        <v>-355</v>
      </c>
      <c r="X352" s="14">
        <v>-227</v>
      </c>
      <c r="AB352" s="14">
        <v>-120</v>
      </c>
      <c r="AE352" s="14">
        <v>242</v>
      </c>
      <c r="AG352" s="14">
        <v>-27</v>
      </c>
      <c r="AJ352" s="14">
        <v>819</v>
      </c>
      <c r="AL352" s="14">
        <v>195</v>
      </c>
      <c r="AM352" s="14">
        <v>-274</v>
      </c>
      <c r="AN352" s="14">
        <v>-532</v>
      </c>
      <c r="AP352" s="14">
        <v>-180</v>
      </c>
      <c r="AQ352" s="14">
        <v>831</v>
      </c>
      <c r="AR352" s="14">
        <v>-254</v>
      </c>
      <c r="AS352" s="14">
        <v>-701</v>
      </c>
      <c r="AT352" s="14">
        <v>-163</v>
      </c>
      <c r="AU352" s="14">
        <v>31</v>
      </c>
      <c r="AV352" s="14">
        <v>-18</v>
      </c>
      <c r="AW352" s="14">
        <v>159</v>
      </c>
      <c r="AX352" s="14">
        <v>204</v>
      </c>
      <c r="AY352" s="14">
        <v>-67</v>
      </c>
      <c r="AZ352" s="14">
        <v>-165</v>
      </c>
      <c r="BA352" s="14">
        <v>324</v>
      </c>
      <c r="BB352" s="14">
        <v>-5</v>
      </c>
      <c r="BD352" s="14">
        <v>17</v>
      </c>
      <c r="BE352" s="14">
        <v>3279</v>
      </c>
    </row>
    <row r="353" spans="7:57" x14ac:dyDescent="0.25">
      <c r="G353" s="14">
        <v>4710</v>
      </c>
      <c r="H353" s="14">
        <v>265</v>
      </c>
      <c r="I353" s="14">
        <v>264</v>
      </c>
      <c r="M353" s="14">
        <v>800</v>
      </c>
      <c r="X353" s="14">
        <v>-110</v>
      </c>
      <c r="AB353" s="14">
        <v>-323</v>
      </c>
      <c r="AE353" s="14">
        <v>-526</v>
      </c>
      <c r="AG353" s="14">
        <v>-94</v>
      </c>
      <c r="AJ353" s="14">
        <v>224</v>
      </c>
      <c r="AL353" s="14">
        <v>477</v>
      </c>
      <c r="AM353" s="14">
        <v>-341</v>
      </c>
      <c r="AN353" s="14">
        <v>5</v>
      </c>
      <c r="AP353" s="14">
        <v>-278</v>
      </c>
      <c r="AQ353" s="14">
        <v>821</v>
      </c>
      <c r="AR353" s="14">
        <v>-40</v>
      </c>
      <c r="AS353" s="14">
        <v>-956</v>
      </c>
      <c r="AT353" s="14">
        <v>118</v>
      </c>
      <c r="AU353" s="14">
        <v>208</v>
      </c>
      <c r="AV353" s="14">
        <v>69</v>
      </c>
      <c r="AW353" s="14">
        <v>195</v>
      </c>
      <c r="AX353" s="14">
        <v>64</v>
      </c>
      <c r="AY353" s="14">
        <v>-22</v>
      </c>
      <c r="AZ353" s="14">
        <v>102</v>
      </c>
      <c r="BA353" s="14">
        <v>262</v>
      </c>
      <c r="BB353" s="14">
        <v>30</v>
      </c>
      <c r="BD353" s="14">
        <v>3</v>
      </c>
      <c r="BE353" s="14">
        <v>2797</v>
      </c>
    </row>
    <row r="354" spans="7:57" x14ac:dyDescent="0.25">
      <c r="G354" s="14">
        <v>4620</v>
      </c>
      <c r="H354" s="14">
        <v>253</v>
      </c>
      <c r="I354" s="14">
        <v>633</v>
      </c>
      <c r="M354" s="14">
        <v>107</v>
      </c>
      <c r="X354" s="14">
        <v>-642</v>
      </c>
      <c r="AB354" s="14">
        <v>-147</v>
      </c>
      <c r="AE354" s="14">
        <v>254</v>
      </c>
      <c r="AG354" s="14">
        <v>-441</v>
      </c>
      <c r="AJ354" s="14">
        <v>-40</v>
      </c>
      <c r="AL354" s="14">
        <v>22</v>
      </c>
      <c r="AM354" s="14">
        <v>-295</v>
      </c>
      <c r="AN354" s="14">
        <v>-71</v>
      </c>
      <c r="AP354" s="14">
        <v>-314</v>
      </c>
      <c r="AQ354" s="14">
        <v>906</v>
      </c>
      <c r="AR354" s="14">
        <v>-171</v>
      </c>
      <c r="AS354" s="14">
        <v>-471</v>
      </c>
      <c r="AT354" s="14">
        <v>252</v>
      </c>
      <c r="AU354" s="14">
        <v>199</v>
      </c>
      <c r="AV354" s="14">
        <v>-117</v>
      </c>
      <c r="AW354" s="14">
        <v>-113</v>
      </c>
      <c r="AX354" s="14">
        <v>96</v>
      </c>
      <c r="AY354" s="14">
        <v>21</v>
      </c>
      <c r="AZ354" s="14">
        <v>-103</v>
      </c>
      <c r="BA354" s="14">
        <v>118</v>
      </c>
      <c r="BB354" s="14">
        <v>-73</v>
      </c>
      <c r="BD354" s="14">
        <v>-9</v>
      </c>
      <c r="BE354" s="14">
        <v>2794</v>
      </c>
    </row>
    <row r="355" spans="7:57" x14ac:dyDescent="0.25">
      <c r="G355" s="14">
        <v>6232</v>
      </c>
      <c r="H355" s="14">
        <v>309</v>
      </c>
      <c r="I355" s="14">
        <v>11</v>
      </c>
      <c r="M355" s="14">
        <v>175</v>
      </c>
      <c r="X355" s="14">
        <v>-147</v>
      </c>
      <c r="AB355" s="14">
        <v>-4</v>
      </c>
      <c r="AE355" s="14">
        <v>260</v>
      </c>
      <c r="AG355" s="14">
        <v>-21</v>
      </c>
      <c r="AJ355" s="14">
        <v>-195</v>
      </c>
      <c r="AL355" s="14">
        <v>991</v>
      </c>
      <c r="AM355" s="14">
        <v>-38</v>
      </c>
      <c r="AN355" s="14">
        <v>-116</v>
      </c>
      <c r="AP355" s="14">
        <v>-297</v>
      </c>
      <c r="AQ355" s="14">
        <v>831</v>
      </c>
      <c r="AR355" s="14">
        <v>-631</v>
      </c>
      <c r="AS355" s="14">
        <v>103</v>
      </c>
      <c r="AT355" s="14">
        <v>56</v>
      </c>
      <c r="AU355" s="14">
        <v>68</v>
      </c>
      <c r="AV355" s="14">
        <v>-83</v>
      </c>
      <c r="AW355" s="14">
        <v>175</v>
      </c>
      <c r="AX355" s="14">
        <v>-118</v>
      </c>
      <c r="AY355" s="14">
        <v>234</v>
      </c>
      <c r="AZ355" s="14">
        <v>-57</v>
      </c>
      <c r="BA355" s="14">
        <v>-192</v>
      </c>
      <c r="BB355" s="14">
        <v>-21</v>
      </c>
      <c r="BD355" s="14">
        <v>-3</v>
      </c>
      <c r="BE355" s="14">
        <v>2883</v>
      </c>
    </row>
    <row r="356" spans="7:57" x14ac:dyDescent="0.25">
      <c r="G356" s="14">
        <v>6073</v>
      </c>
      <c r="H356" s="14">
        <v>266</v>
      </c>
      <c r="I356" s="14">
        <v>271</v>
      </c>
      <c r="M356" s="14">
        <v>209</v>
      </c>
      <c r="X356" s="14">
        <v>249</v>
      </c>
      <c r="AB356" s="14">
        <v>-94</v>
      </c>
      <c r="AE356" s="14">
        <v>-491</v>
      </c>
      <c r="AG356" s="14">
        <v>380</v>
      </c>
      <c r="AJ356" s="14">
        <v>454</v>
      </c>
      <c r="AL356" s="14">
        <v>-509</v>
      </c>
      <c r="AM356" s="14">
        <v>-250</v>
      </c>
      <c r="AN356" s="14">
        <v>-877</v>
      </c>
      <c r="AP356" s="14">
        <v>-212</v>
      </c>
      <c r="AQ356" s="14">
        <v>-43</v>
      </c>
      <c r="AR356" s="14">
        <v>-183</v>
      </c>
      <c r="AS356" s="14">
        <v>-841</v>
      </c>
      <c r="AT356" s="14">
        <v>-45</v>
      </c>
      <c r="AU356" s="14">
        <v>284</v>
      </c>
      <c r="AV356" s="14">
        <v>-51</v>
      </c>
      <c r="AW356" s="14">
        <v>547</v>
      </c>
      <c r="AX356" s="14">
        <v>-81</v>
      </c>
      <c r="AY356" s="14">
        <v>-289</v>
      </c>
      <c r="AZ356" s="14">
        <v>-25</v>
      </c>
      <c r="BA356" s="14">
        <v>257</v>
      </c>
      <c r="BB356" s="14">
        <v>-38</v>
      </c>
      <c r="BD356" s="14">
        <v>-9</v>
      </c>
      <c r="BE356" s="14">
        <v>2876</v>
      </c>
    </row>
    <row r="357" spans="7:57" x14ac:dyDescent="0.25">
      <c r="G357" s="14">
        <v>5766</v>
      </c>
      <c r="H357" s="14">
        <v>245</v>
      </c>
      <c r="I357" s="14">
        <v>193</v>
      </c>
      <c r="M357" s="14">
        <v>203</v>
      </c>
      <c r="X357" s="14">
        <v>105</v>
      </c>
      <c r="AB357" s="14">
        <v>-259</v>
      </c>
      <c r="AE357" s="14">
        <v>-173</v>
      </c>
      <c r="AG357" s="14">
        <v>667</v>
      </c>
      <c r="AJ357" s="14">
        <v>333</v>
      </c>
      <c r="AL357" s="14">
        <v>515</v>
      </c>
      <c r="AM357" s="14">
        <v>-260</v>
      </c>
      <c r="AN357" s="14">
        <v>-99</v>
      </c>
      <c r="AP357" s="14">
        <v>-171</v>
      </c>
      <c r="AQ357" s="14">
        <v>-31</v>
      </c>
      <c r="AR357" s="14">
        <v>545</v>
      </c>
      <c r="AS357" s="14">
        <v>-513</v>
      </c>
      <c r="AT357" s="14">
        <v>-214</v>
      </c>
      <c r="AU357" s="14">
        <v>-311</v>
      </c>
      <c r="AV357" s="14">
        <v>22</v>
      </c>
      <c r="AW357" s="14">
        <v>-113</v>
      </c>
      <c r="AX357" s="14">
        <v>19</v>
      </c>
      <c r="AY357" s="14">
        <v>-33</v>
      </c>
      <c r="AZ357" s="14">
        <v>156</v>
      </c>
      <c r="BA357" s="14">
        <v>111</v>
      </c>
      <c r="BB357" s="14">
        <v>-51</v>
      </c>
      <c r="BD357" s="14">
        <v>-8</v>
      </c>
      <c r="BE357" s="14">
        <v>2841</v>
      </c>
    </row>
    <row r="358" spans="7:57" x14ac:dyDescent="0.25">
      <c r="G358" s="14">
        <v>5450</v>
      </c>
      <c r="H358" s="14">
        <v>-495</v>
      </c>
      <c r="I358" s="14">
        <v>255</v>
      </c>
      <c r="M358" s="14">
        <v>194</v>
      </c>
      <c r="X358" s="14">
        <v>-736</v>
      </c>
      <c r="AB358" s="14">
        <v>-162</v>
      </c>
      <c r="AE358" s="14">
        <v>126</v>
      </c>
      <c r="AG358" s="14">
        <v>293</v>
      </c>
      <c r="AJ358" s="14">
        <v>-125</v>
      </c>
      <c r="AL358" s="14">
        <v>600</v>
      </c>
      <c r="AM358" s="14">
        <v>-239</v>
      </c>
      <c r="AN358" s="14">
        <v>-41</v>
      </c>
      <c r="AP358" s="14">
        <v>-154</v>
      </c>
      <c r="AQ358" s="14">
        <v>-47</v>
      </c>
      <c r="AR358" s="14">
        <v>471</v>
      </c>
      <c r="AS358" s="14">
        <v>-111</v>
      </c>
      <c r="AT358" s="14">
        <v>-120</v>
      </c>
      <c r="AU358" s="14">
        <v>178</v>
      </c>
      <c r="AV358" s="14">
        <v>22</v>
      </c>
      <c r="AW358" s="14">
        <v>964</v>
      </c>
      <c r="AX358" s="14">
        <v>52</v>
      </c>
      <c r="AY358" s="14">
        <v>274</v>
      </c>
      <c r="AZ358" s="14">
        <v>-92</v>
      </c>
      <c r="BA358" s="14">
        <v>22</v>
      </c>
      <c r="BB358" s="14">
        <v>-19</v>
      </c>
      <c r="BD358" s="14">
        <v>-9</v>
      </c>
      <c r="BE358" s="14">
        <v>2830</v>
      </c>
    </row>
    <row r="359" spans="7:57" x14ac:dyDescent="0.25">
      <c r="G359" s="14">
        <v>5691</v>
      </c>
      <c r="H359" s="14">
        <v>-520</v>
      </c>
      <c r="I359" s="14">
        <v>437</v>
      </c>
      <c r="M359" s="14">
        <v>182</v>
      </c>
      <c r="X359" s="14">
        <v>561</v>
      </c>
      <c r="AB359" s="14">
        <v>-165</v>
      </c>
      <c r="AE359" s="14">
        <v>888</v>
      </c>
      <c r="AG359" s="14">
        <v>-15</v>
      </c>
      <c r="AJ359" s="14">
        <v>659</v>
      </c>
      <c r="AL359" s="14">
        <v>174</v>
      </c>
      <c r="AM359" s="14">
        <v>31</v>
      </c>
      <c r="AN359" s="14">
        <v>-24</v>
      </c>
      <c r="AP359" s="14">
        <v>-311</v>
      </c>
      <c r="AQ359" s="14">
        <v>53</v>
      </c>
      <c r="AR359" s="14">
        <v>-117</v>
      </c>
      <c r="AS359" s="14">
        <v>-141</v>
      </c>
      <c r="AT359" s="14">
        <v>106</v>
      </c>
      <c r="AU359" s="14">
        <v>-104</v>
      </c>
      <c r="AV359" s="14">
        <v>-5</v>
      </c>
      <c r="AW359" s="14">
        <v>245</v>
      </c>
      <c r="AX359" s="14">
        <v>271</v>
      </c>
      <c r="AY359" s="14">
        <v>-49</v>
      </c>
      <c r="AZ359" s="14">
        <v>37</v>
      </c>
      <c r="BA359" s="14">
        <v>619</v>
      </c>
      <c r="BB359" s="14">
        <v>-22</v>
      </c>
      <c r="BD359" s="14">
        <v>11</v>
      </c>
      <c r="BE359" s="14">
        <v>2923</v>
      </c>
    </row>
    <row r="360" spans="7:57" x14ac:dyDescent="0.25">
      <c r="G360" s="14">
        <v>6040</v>
      </c>
      <c r="H360" s="14">
        <v>-509</v>
      </c>
      <c r="I360" s="14">
        <v>-612</v>
      </c>
      <c r="M360" s="14">
        <v>142</v>
      </c>
      <c r="X360" s="14">
        <v>309</v>
      </c>
      <c r="AB360" s="14">
        <v>-222</v>
      </c>
      <c r="AE360" s="14">
        <v>-394</v>
      </c>
      <c r="AG360" s="14">
        <v>303</v>
      </c>
      <c r="AJ360" s="14">
        <v>-283</v>
      </c>
      <c r="AL360" s="14">
        <v>353</v>
      </c>
      <c r="AM360" s="14">
        <v>-49</v>
      </c>
      <c r="AN360" s="14">
        <v>-8</v>
      </c>
      <c r="AP360" s="14">
        <v>-195</v>
      </c>
      <c r="AQ360" s="14">
        <v>478</v>
      </c>
      <c r="AR360" s="14">
        <v>-65</v>
      </c>
      <c r="AS360" s="14">
        <v>-940</v>
      </c>
      <c r="AT360" s="14">
        <v>58</v>
      </c>
      <c r="AU360" s="14">
        <v>203</v>
      </c>
      <c r="AV360" s="14">
        <v>12</v>
      </c>
      <c r="AW360" s="14">
        <v>-718</v>
      </c>
      <c r="AX360" s="14">
        <v>56</v>
      </c>
      <c r="AY360" s="14">
        <v>266</v>
      </c>
      <c r="AZ360" s="14">
        <v>-22</v>
      </c>
      <c r="BA360" s="14">
        <v>171</v>
      </c>
      <c r="BB360" s="14">
        <v>-8</v>
      </c>
      <c r="BD360" s="14">
        <v>-2</v>
      </c>
      <c r="BE360" s="14">
        <v>2917</v>
      </c>
    </row>
    <row r="361" spans="7:57" x14ac:dyDescent="0.25">
      <c r="G361" s="14">
        <v>4096</v>
      </c>
      <c r="H361" s="14">
        <v>-504</v>
      </c>
      <c r="I361" s="14">
        <v>-798</v>
      </c>
      <c r="M361" s="14">
        <v>76</v>
      </c>
      <c r="X361" s="14">
        <v>-208</v>
      </c>
      <c r="AB361" s="14">
        <v>-136</v>
      </c>
      <c r="AE361" s="14">
        <v>-173</v>
      </c>
      <c r="AG361" s="14">
        <v>389</v>
      </c>
      <c r="AJ361" s="14">
        <v>-823</v>
      </c>
      <c r="AL361" s="14">
        <v>21</v>
      </c>
      <c r="AM361" s="14">
        <v>-69</v>
      </c>
      <c r="AN361" s="14">
        <v>3</v>
      </c>
      <c r="AP361" s="14">
        <v>-352</v>
      </c>
      <c r="AQ361" s="14">
        <v>111</v>
      </c>
      <c r="AR361" s="14">
        <v>-135</v>
      </c>
      <c r="AS361" s="14">
        <v>-242</v>
      </c>
      <c r="AT361" s="14">
        <v>-144</v>
      </c>
      <c r="AU361" s="14">
        <v>115</v>
      </c>
      <c r="AV361" s="14">
        <v>4</v>
      </c>
      <c r="AW361" s="14">
        <v>-202</v>
      </c>
      <c r="AX361" s="14">
        <v>139</v>
      </c>
      <c r="AY361" s="14">
        <v>-302</v>
      </c>
      <c r="AZ361" s="14">
        <v>8</v>
      </c>
      <c r="BA361" s="14">
        <v>483</v>
      </c>
      <c r="BB361" s="14">
        <v>31</v>
      </c>
      <c r="BD361" s="14">
        <v>-8</v>
      </c>
      <c r="BE361" s="14">
        <v>2655</v>
      </c>
    </row>
    <row r="362" spans="7:57" x14ac:dyDescent="0.25">
      <c r="G362" s="14">
        <v>3728</v>
      </c>
      <c r="H362" s="14">
        <v>-484</v>
      </c>
      <c r="I362" s="14">
        <v>259</v>
      </c>
      <c r="M362" s="14">
        <v>128</v>
      </c>
      <c r="X362" s="14">
        <v>858</v>
      </c>
      <c r="AB362" s="14">
        <v>-252</v>
      </c>
      <c r="AE362" s="14">
        <v>298</v>
      </c>
      <c r="AG362" s="14">
        <v>268</v>
      </c>
      <c r="AJ362" s="14">
        <v>972</v>
      </c>
      <c r="AL362" s="14">
        <v>-438</v>
      </c>
      <c r="AM362" s="14">
        <v>-160</v>
      </c>
      <c r="AN362" s="14">
        <v>-4</v>
      </c>
      <c r="AP362" s="14">
        <v>-314</v>
      </c>
      <c r="AQ362" s="14">
        <v>-108</v>
      </c>
      <c r="AR362" s="14">
        <v>641</v>
      </c>
      <c r="AS362" s="14">
        <v>216</v>
      </c>
      <c r="AT362" s="14">
        <v>136</v>
      </c>
      <c r="AU362" s="14">
        <v>194</v>
      </c>
      <c r="AV362" s="14">
        <v>-20</v>
      </c>
      <c r="AW362" s="14">
        <v>-670</v>
      </c>
      <c r="AX362" s="14">
        <v>163</v>
      </c>
      <c r="AY362" s="14">
        <v>-242</v>
      </c>
      <c r="AZ362" s="14">
        <v>-56</v>
      </c>
      <c r="BA362" s="14">
        <v>870</v>
      </c>
      <c r="BB362" s="14">
        <v>38</v>
      </c>
      <c r="BD362" s="14">
        <v>139</v>
      </c>
      <c r="BE362" s="14">
        <v>2642</v>
      </c>
    </row>
    <row r="363" spans="7:57" x14ac:dyDescent="0.25">
      <c r="G363" s="14">
        <v>3988</v>
      </c>
      <c r="H363" s="14">
        <v>-475</v>
      </c>
      <c r="I363" s="14">
        <v>181</v>
      </c>
      <c r="M363" s="14">
        <v>780</v>
      </c>
      <c r="X363" s="14">
        <v>-421</v>
      </c>
      <c r="AB363" s="14">
        <v>-199</v>
      </c>
      <c r="AE363" s="14">
        <v>-397</v>
      </c>
      <c r="AG363" s="14">
        <v>1547</v>
      </c>
      <c r="AJ363" s="14">
        <v>345</v>
      </c>
      <c r="AL363" s="14">
        <v>-788</v>
      </c>
      <c r="AM363" s="14">
        <v>1</v>
      </c>
      <c r="AN363" s="14">
        <v>-20</v>
      </c>
      <c r="AP363" s="14">
        <v>-548</v>
      </c>
      <c r="AQ363" s="14">
        <v>151</v>
      </c>
      <c r="AR363" s="14">
        <v>-247</v>
      </c>
      <c r="AS363" s="14">
        <v>142</v>
      </c>
      <c r="AT363" s="14">
        <v>153</v>
      </c>
      <c r="AU363" s="14">
        <v>235</v>
      </c>
      <c r="AV363" s="14">
        <v>-114</v>
      </c>
      <c r="AW363" s="14">
        <v>605</v>
      </c>
      <c r="AX363" s="14">
        <v>-31</v>
      </c>
      <c r="AY363" s="14">
        <v>-182</v>
      </c>
      <c r="AZ363" s="14">
        <v>275</v>
      </c>
      <c r="BA363" s="14">
        <v>118</v>
      </c>
      <c r="BB363" s="14">
        <v>3</v>
      </c>
      <c r="BD363" s="14">
        <v>478</v>
      </c>
      <c r="BE363" s="14">
        <v>2825</v>
      </c>
    </row>
    <row r="364" spans="7:57" x14ac:dyDescent="0.25">
      <c r="G364" s="14">
        <v>3763</v>
      </c>
      <c r="H364" s="14">
        <v>628</v>
      </c>
      <c r="I364" s="14">
        <v>545</v>
      </c>
      <c r="M364" s="14">
        <v>416</v>
      </c>
      <c r="X364" s="14">
        <v>44</v>
      </c>
      <c r="AB364" s="14">
        <v>-235</v>
      </c>
      <c r="AE364" s="14">
        <v>273</v>
      </c>
      <c r="AG364" s="14">
        <v>189</v>
      </c>
      <c r="AJ364" s="14">
        <v>147</v>
      </c>
      <c r="AL364" s="14">
        <v>-522</v>
      </c>
      <c r="AM364" s="14">
        <v>-93</v>
      </c>
      <c r="AN364" s="14">
        <v>-20</v>
      </c>
      <c r="AP364" s="14">
        <v>-477</v>
      </c>
      <c r="AQ364" s="14">
        <v>273</v>
      </c>
      <c r="AR364" s="14">
        <v>-460</v>
      </c>
      <c r="AS364" s="14">
        <v>892</v>
      </c>
      <c r="AT364" s="14">
        <v>54</v>
      </c>
      <c r="AU364" s="14">
        <v>72</v>
      </c>
      <c r="AV364" s="14">
        <v>2</v>
      </c>
      <c r="AW364" s="14">
        <v>-106</v>
      </c>
      <c r="AX364" s="14">
        <v>17</v>
      </c>
      <c r="AY364" s="14">
        <v>203</v>
      </c>
      <c r="AZ364" s="14">
        <v>72</v>
      </c>
      <c r="BA364" s="14">
        <v>-823</v>
      </c>
      <c r="BB364" s="14">
        <v>14</v>
      </c>
      <c r="BD364" s="14">
        <v>18143</v>
      </c>
      <c r="BE364" s="14">
        <v>2813</v>
      </c>
    </row>
    <row r="365" spans="7:57" x14ac:dyDescent="0.25">
      <c r="G365" s="14">
        <v>8090</v>
      </c>
      <c r="H365" s="14">
        <v>-627</v>
      </c>
      <c r="I365" s="14">
        <v>-433</v>
      </c>
      <c r="M365" s="14">
        <v>181</v>
      </c>
      <c r="X365" s="14">
        <v>-53</v>
      </c>
      <c r="AB365" s="14">
        <v>-99</v>
      </c>
      <c r="AE365" s="14">
        <v>-290</v>
      </c>
      <c r="AG365" s="14">
        <v>-548</v>
      </c>
      <c r="AJ365" s="14">
        <v>-133</v>
      </c>
      <c r="AL365" s="14">
        <v>-107</v>
      </c>
      <c r="AM365" s="14">
        <v>-94</v>
      </c>
      <c r="AN365" s="14">
        <v>-37</v>
      </c>
      <c r="AP365" s="14">
        <v>-365</v>
      </c>
      <c r="AQ365" s="14">
        <v>-753</v>
      </c>
      <c r="AR365" s="14">
        <v>30</v>
      </c>
      <c r="AS365" s="14">
        <v>662</v>
      </c>
      <c r="AT365" s="14">
        <v>-55</v>
      </c>
      <c r="AU365" s="14">
        <v>291</v>
      </c>
      <c r="AV365" s="14">
        <v>-25</v>
      </c>
      <c r="AW365" s="14">
        <v>-547</v>
      </c>
      <c r="AX365" s="14">
        <v>-4</v>
      </c>
      <c r="AY365" s="14">
        <v>-52</v>
      </c>
      <c r="AZ365" s="14">
        <v>61</v>
      </c>
      <c r="BA365" s="14">
        <v>155</v>
      </c>
      <c r="BB365" s="14">
        <v>16</v>
      </c>
      <c r="BD365" s="14">
        <v>-2</v>
      </c>
      <c r="BE365" s="14">
        <v>2801</v>
      </c>
    </row>
    <row r="366" spans="7:57" x14ac:dyDescent="0.25">
      <c r="G366" s="14">
        <v>9785</v>
      </c>
      <c r="H366" s="14">
        <v>-638</v>
      </c>
      <c r="I366" s="14">
        <v>577</v>
      </c>
      <c r="M366" s="14">
        <v>10</v>
      </c>
      <c r="X366" s="14">
        <v>-1</v>
      </c>
      <c r="AB366" s="14">
        <v>-29</v>
      </c>
      <c r="AE366" s="14">
        <v>43</v>
      </c>
      <c r="AG366" s="14">
        <v>287</v>
      </c>
      <c r="AJ366" s="14">
        <v>176</v>
      </c>
      <c r="AL366" s="14">
        <v>829</v>
      </c>
      <c r="AM366" s="14">
        <v>-112</v>
      </c>
      <c r="AN366" s="14">
        <v>-19</v>
      </c>
      <c r="AP366" s="14">
        <v>-372</v>
      </c>
      <c r="AQ366" s="14">
        <v>-53</v>
      </c>
      <c r="AR366" s="14">
        <v>-103</v>
      </c>
      <c r="AS366" s="14">
        <v>413</v>
      </c>
      <c r="AT366" s="14">
        <v>-237</v>
      </c>
      <c r="AU366" s="14">
        <v>184</v>
      </c>
      <c r="AV366" s="14">
        <v>-9</v>
      </c>
      <c r="AW366" s="14">
        <v>-706</v>
      </c>
      <c r="AX366" s="14">
        <v>-58</v>
      </c>
      <c r="AY366" s="14">
        <v>42</v>
      </c>
      <c r="AZ366" s="14">
        <v>-111</v>
      </c>
      <c r="BA366" s="14">
        <v>620</v>
      </c>
      <c r="BB366" s="14">
        <v>5</v>
      </c>
      <c r="BD366" s="14">
        <v>-8</v>
      </c>
      <c r="BE366" s="14">
        <v>2788</v>
      </c>
    </row>
    <row r="367" spans="7:57" x14ac:dyDescent="0.25">
      <c r="G367" s="14">
        <v>6838</v>
      </c>
      <c r="H367" s="14">
        <v>-673</v>
      </c>
      <c r="I367" s="14">
        <v>634</v>
      </c>
      <c r="M367" s="14">
        <v>-131</v>
      </c>
      <c r="X367" s="14">
        <v>-17</v>
      </c>
      <c r="AB367" s="14">
        <v>939</v>
      </c>
      <c r="AE367" s="14">
        <v>799</v>
      </c>
      <c r="AG367" s="14">
        <v>359</v>
      </c>
      <c r="AJ367" s="14">
        <v>-446</v>
      </c>
      <c r="AL367" s="14">
        <v>106</v>
      </c>
      <c r="AM367" s="14">
        <v>55</v>
      </c>
      <c r="AN367" s="14">
        <v>-10</v>
      </c>
      <c r="AP367" s="14">
        <v>165</v>
      </c>
      <c r="AQ367" s="14">
        <v>-35</v>
      </c>
      <c r="AR367" s="14">
        <v>-132</v>
      </c>
      <c r="AS367" s="14">
        <v>576</v>
      </c>
      <c r="AT367" s="14">
        <v>-592</v>
      </c>
      <c r="AU367" s="14">
        <v>-17</v>
      </c>
      <c r="AV367" s="14">
        <v>-74</v>
      </c>
      <c r="AW367" s="14">
        <v>-76</v>
      </c>
      <c r="AX367" s="14">
        <v>-67</v>
      </c>
      <c r="AY367" s="14">
        <v>14</v>
      </c>
      <c r="AZ367" s="14">
        <v>-143</v>
      </c>
      <c r="BA367" s="14">
        <v>-321</v>
      </c>
      <c r="BB367" s="14">
        <v>20</v>
      </c>
      <c r="BD367" s="14">
        <v>-2</v>
      </c>
      <c r="BE367" s="14">
        <v>2344</v>
      </c>
    </row>
    <row r="368" spans="7:57" x14ac:dyDescent="0.25">
      <c r="G368" s="14">
        <v>3509</v>
      </c>
      <c r="H368" s="14">
        <v>-646</v>
      </c>
      <c r="I368" s="14">
        <v>108</v>
      </c>
      <c r="M368" s="14">
        <v>-181</v>
      </c>
      <c r="X368" s="14">
        <v>61</v>
      </c>
      <c r="AB368" s="14">
        <v>649</v>
      </c>
      <c r="AE368" s="14">
        <v>-890</v>
      </c>
      <c r="AG368" s="14">
        <v>606</v>
      </c>
      <c r="AJ368" s="14">
        <v>112</v>
      </c>
      <c r="AL368" s="14">
        <v>59</v>
      </c>
      <c r="AM368" s="14">
        <v>-87</v>
      </c>
      <c r="AN368" s="14">
        <v>-5</v>
      </c>
      <c r="AP368" s="14">
        <v>856</v>
      </c>
      <c r="AQ368" s="14">
        <v>-71</v>
      </c>
      <c r="AR368" s="14">
        <v>-239</v>
      </c>
      <c r="AS368" s="14">
        <v>243</v>
      </c>
      <c r="AT368" s="14">
        <v>105</v>
      </c>
      <c r="AU368" s="14">
        <v>230</v>
      </c>
      <c r="AV368" s="14">
        <v>1</v>
      </c>
      <c r="AW368" s="14">
        <v>-129</v>
      </c>
      <c r="AX368" s="14">
        <v>-35</v>
      </c>
      <c r="AY368" s="14">
        <v>17</v>
      </c>
      <c r="AZ368" s="14">
        <v>-171</v>
      </c>
      <c r="BA368" s="14">
        <v>49</v>
      </c>
      <c r="BB368" s="14">
        <v>42</v>
      </c>
      <c r="BD368" s="14">
        <v>1</v>
      </c>
      <c r="BE368" s="14">
        <v>2534</v>
      </c>
    </row>
    <row r="369" spans="7:57" x14ac:dyDescent="0.25">
      <c r="G369" s="14">
        <v>5500</v>
      </c>
      <c r="H369" s="14">
        <v>-608</v>
      </c>
      <c r="I369" s="14">
        <v>178</v>
      </c>
      <c r="M369" s="14">
        <v>-186</v>
      </c>
      <c r="X369" s="14">
        <v>-227</v>
      </c>
      <c r="AB369" s="14">
        <v>814</v>
      </c>
      <c r="AE369" s="14">
        <v>200</v>
      </c>
      <c r="AG369" s="14">
        <v>-181</v>
      </c>
      <c r="AJ369" s="14">
        <v>-155</v>
      </c>
      <c r="AL369" s="14">
        <v>-992</v>
      </c>
      <c r="AM369" s="14">
        <v>-114</v>
      </c>
      <c r="AN369" s="14">
        <v>-30</v>
      </c>
      <c r="AP369" s="14">
        <v>111</v>
      </c>
      <c r="AQ369" s="14">
        <v>-49</v>
      </c>
      <c r="AR369" s="14">
        <v>-124</v>
      </c>
      <c r="AS369" s="14">
        <v>388</v>
      </c>
      <c r="AT369" s="14">
        <v>76</v>
      </c>
      <c r="AU369" s="14">
        <v>304</v>
      </c>
      <c r="AV369" s="14">
        <v>-43</v>
      </c>
      <c r="AW369" s="14">
        <v>-745</v>
      </c>
      <c r="AX369" s="14">
        <v>1</v>
      </c>
      <c r="AY369" s="14">
        <v>45</v>
      </c>
      <c r="AZ369" s="14">
        <v>133</v>
      </c>
      <c r="BA369" s="14">
        <v>448</v>
      </c>
      <c r="BB369" s="14">
        <v>401</v>
      </c>
      <c r="BD369" s="14">
        <v>7</v>
      </c>
      <c r="BE369" s="14">
        <v>2438</v>
      </c>
    </row>
    <row r="370" spans="7:57" x14ac:dyDescent="0.25">
      <c r="G370" s="14">
        <v>6382</v>
      </c>
      <c r="H370" s="14">
        <v>317</v>
      </c>
      <c r="I370" s="14">
        <v>635</v>
      </c>
      <c r="M370" s="14">
        <v>-126</v>
      </c>
      <c r="X370" s="14">
        <v>-318</v>
      </c>
      <c r="AB370" s="14">
        <v>113</v>
      </c>
      <c r="AE370" s="14">
        <v>850</v>
      </c>
      <c r="AG370" s="14">
        <v>145</v>
      </c>
      <c r="AJ370" s="14">
        <v>403</v>
      </c>
      <c r="AL370" s="14">
        <v>-139</v>
      </c>
      <c r="AM370" s="14">
        <v>-183</v>
      </c>
      <c r="AN370" s="14">
        <v>-39</v>
      </c>
      <c r="AP370" s="14">
        <v>147</v>
      </c>
      <c r="AQ370" s="14">
        <v>371</v>
      </c>
      <c r="AR370" s="14">
        <v>117</v>
      </c>
      <c r="AS370" s="14">
        <v>100</v>
      </c>
      <c r="AT370" s="14">
        <v>-149</v>
      </c>
      <c r="AU370" s="14">
        <v>30</v>
      </c>
      <c r="AV370" s="14">
        <v>-22</v>
      </c>
      <c r="AW370" s="14">
        <v>1150</v>
      </c>
      <c r="AX370" s="14">
        <v>4</v>
      </c>
      <c r="AY370" s="14">
        <v>25</v>
      </c>
      <c r="AZ370" s="14">
        <v>126</v>
      </c>
      <c r="BA370" s="14">
        <v>269</v>
      </c>
      <c r="BB370" s="14">
        <v>-8</v>
      </c>
      <c r="BD370" s="14">
        <v>7</v>
      </c>
      <c r="BE370" s="14">
        <v>2627</v>
      </c>
    </row>
    <row r="371" spans="7:57" x14ac:dyDescent="0.25">
      <c r="G371" s="14">
        <v>6958</v>
      </c>
      <c r="H371" s="14">
        <v>319</v>
      </c>
      <c r="I371" s="14">
        <v>28</v>
      </c>
      <c r="M371" s="14">
        <v>743</v>
      </c>
      <c r="X371" s="14">
        <v>168</v>
      </c>
      <c r="AB371" s="14">
        <v>938</v>
      </c>
      <c r="AE371" s="14">
        <v>120</v>
      </c>
      <c r="AG371" s="14">
        <v>145</v>
      </c>
      <c r="AJ371" s="14">
        <v>424</v>
      </c>
      <c r="AL371" s="14">
        <v>-194</v>
      </c>
      <c r="AM371" s="14">
        <v>-24</v>
      </c>
      <c r="AN371" s="14">
        <v>-56</v>
      </c>
      <c r="AP371" s="14">
        <v>757</v>
      </c>
      <c r="AQ371" s="14">
        <v>759</v>
      </c>
      <c r="AR371" s="14">
        <v>144</v>
      </c>
      <c r="AS371" s="14">
        <v>102</v>
      </c>
      <c r="AT371" s="14">
        <v>143</v>
      </c>
      <c r="AU371" s="14">
        <v>375</v>
      </c>
      <c r="AV371" s="14">
        <v>79</v>
      </c>
      <c r="AW371" s="14">
        <v>-997</v>
      </c>
      <c r="AX371" s="14">
        <v>60</v>
      </c>
      <c r="AY371" s="14">
        <v>41</v>
      </c>
      <c r="AZ371" s="14">
        <v>-101</v>
      </c>
      <c r="BA371" s="14">
        <v>22</v>
      </c>
      <c r="BB371" s="14">
        <v>-2</v>
      </c>
      <c r="BD371" s="14">
        <v>6</v>
      </c>
      <c r="BE371" s="14">
        <v>2911</v>
      </c>
    </row>
    <row r="372" spans="7:57" x14ac:dyDescent="0.25">
      <c r="G372" s="14">
        <v>7868</v>
      </c>
      <c r="H372" s="14">
        <v>325</v>
      </c>
      <c r="I372" s="14">
        <v>271</v>
      </c>
      <c r="M372" s="14">
        <v>-185</v>
      </c>
      <c r="X372" s="14">
        <v>320</v>
      </c>
      <c r="AB372" s="14">
        <v>871</v>
      </c>
      <c r="AE372" s="14">
        <v>-268</v>
      </c>
      <c r="AG372" s="14">
        <v>704</v>
      </c>
      <c r="AJ372" s="14">
        <v>555</v>
      </c>
      <c r="AL372" s="14">
        <v>-789</v>
      </c>
      <c r="AM372" s="14">
        <v>-116</v>
      </c>
      <c r="AN372" s="14">
        <v>-28</v>
      </c>
      <c r="AP372" s="14">
        <v>697</v>
      </c>
      <c r="AQ372" s="14">
        <v>542</v>
      </c>
      <c r="AR372" s="14">
        <v>-810</v>
      </c>
      <c r="AS372" s="14">
        <v>523</v>
      </c>
      <c r="AT372" s="14">
        <v>155</v>
      </c>
      <c r="AU372" s="14">
        <v>-143</v>
      </c>
      <c r="AV372" s="14">
        <v>-114</v>
      </c>
      <c r="AW372" s="14">
        <v>-332</v>
      </c>
      <c r="AX372" s="14">
        <v>-16</v>
      </c>
      <c r="AY372" s="14">
        <v>106</v>
      </c>
      <c r="AZ372" s="14">
        <v>-88</v>
      </c>
      <c r="BA372" s="14">
        <v>-92</v>
      </c>
      <c r="BB372" s="14">
        <v>-2</v>
      </c>
      <c r="BD372" s="14">
        <v>8</v>
      </c>
      <c r="BE372" s="14">
        <v>3078</v>
      </c>
    </row>
    <row r="373" spans="7:57" x14ac:dyDescent="0.25">
      <c r="G373" s="14">
        <v>6611</v>
      </c>
      <c r="H373" s="14">
        <v>306</v>
      </c>
      <c r="I373" s="14">
        <v>5</v>
      </c>
      <c r="M373" s="14">
        <v>-24</v>
      </c>
      <c r="X373" s="14">
        <v>-373</v>
      </c>
      <c r="AB373" s="14">
        <v>795</v>
      </c>
      <c r="AE373" s="14">
        <v>-290</v>
      </c>
      <c r="AG373" s="14">
        <v>-24</v>
      </c>
      <c r="AJ373" s="14">
        <v>129</v>
      </c>
      <c r="AL373" s="14">
        <v>191</v>
      </c>
      <c r="AM373" s="14">
        <v>-125</v>
      </c>
      <c r="AN373" s="14">
        <v>-10</v>
      </c>
      <c r="AP373" s="14">
        <v>705</v>
      </c>
      <c r="AQ373" s="14">
        <v>960</v>
      </c>
      <c r="AR373" s="14">
        <v>-250</v>
      </c>
      <c r="AS373" s="14">
        <v>106</v>
      </c>
      <c r="AT373" s="14">
        <v>56</v>
      </c>
      <c r="AU373" s="14">
        <v>-41</v>
      </c>
      <c r="AV373" s="14">
        <v>-72</v>
      </c>
      <c r="AW373" s="14">
        <v>-759</v>
      </c>
      <c r="AX373" s="14">
        <v>-9</v>
      </c>
      <c r="AY373" s="14">
        <v>-117</v>
      </c>
      <c r="AZ373" s="14">
        <v>-6</v>
      </c>
      <c r="BA373" s="14">
        <v>808</v>
      </c>
      <c r="BB373" s="14">
        <v>-7</v>
      </c>
      <c r="BD373" s="14">
        <v>9</v>
      </c>
      <c r="BE373" s="14">
        <v>3128</v>
      </c>
    </row>
    <row r="374" spans="7:57" x14ac:dyDescent="0.25">
      <c r="G374" s="14">
        <v>7203</v>
      </c>
      <c r="H374" s="14">
        <v>312</v>
      </c>
      <c r="I374" s="14">
        <v>-7</v>
      </c>
      <c r="M374" s="14">
        <v>102</v>
      </c>
      <c r="X374" s="14">
        <v>110</v>
      </c>
      <c r="AB374" s="14">
        <v>713</v>
      </c>
      <c r="AE374" s="14">
        <v>240</v>
      </c>
      <c r="AG374" s="14">
        <v>110</v>
      </c>
      <c r="AJ374" s="14">
        <v>-159</v>
      </c>
      <c r="AL374" s="14">
        <v>935</v>
      </c>
      <c r="AM374" s="14">
        <v>-139</v>
      </c>
      <c r="AN374" s="14">
        <v>-2</v>
      </c>
      <c r="AP374" s="14">
        <v>-2</v>
      </c>
      <c r="AQ374" s="14">
        <v>126</v>
      </c>
      <c r="AR374" s="14">
        <v>-500</v>
      </c>
      <c r="AS374" s="14">
        <v>122</v>
      </c>
      <c r="AT374" s="14">
        <v>-94</v>
      </c>
      <c r="AU374" s="14">
        <v>-133</v>
      </c>
      <c r="AV374" s="14">
        <v>-77</v>
      </c>
      <c r="AW374" s="14">
        <v>-140</v>
      </c>
      <c r="AX374" s="14">
        <v>-24</v>
      </c>
      <c r="AY374" s="14">
        <v>15</v>
      </c>
      <c r="AZ374" s="14">
        <v>97</v>
      </c>
      <c r="BA374" s="14">
        <v>215</v>
      </c>
      <c r="BB374" s="14">
        <v>-7</v>
      </c>
      <c r="BD374" s="14">
        <v>7</v>
      </c>
      <c r="BE374" s="14">
        <v>3145</v>
      </c>
    </row>
    <row r="375" spans="7:57" x14ac:dyDescent="0.25">
      <c r="G375" s="14">
        <v>7677</v>
      </c>
      <c r="H375" s="14">
        <v>308</v>
      </c>
      <c r="I375" s="14">
        <v>-427</v>
      </c>
      <c r="M375" s="14">
        <v>198</v>
      </c>
      <c r="X375" s="14">
        <v>-481</v>
      </c>
      <c r="AB375" s="14">
        <v>778</v>
      </c>
      <c r="AE375" s="14">
        <v>449</v>
      </c>
      <c r="AG375" s="14">
        <v>157</v>
      </c>
      <c r="AJ375" s="14">
        <v>406</v>
      </c>
      <c r="AL375" s="14">
        <v>54</v>
      </c>
      <c r="AM375" s="14">
        <v>88</v>
      </c>
      <c r="AN375" s="14">
        <v>-12</v>
      </c>
      <c r="AP375" s="14">
        <v>52</v>
      </c>
      <c r="AQ375" s="14">
        <v>-2</v>
      </c>
      <c r="AR375" s="14">
        <v>305</v>
      </c>
      <c r="AS375" s="14">
        <v>122</v>
      </c>
      <c r="AT375" s="14">
        <v>-252</v>
      </c>
      <c r="AU375" s="14">
        <v>-487</v>
      </c>
      <c r="AV375" s="14">
        <v>25</v>
      </c>
      <c r="AW375" s="14">
        <v>-179</v>
      </c>
      <c r="AX375" s="14">
        <v>-126</v>
      </c>
      <c r="AY375" s="14">
        <v>43</v>
      </c>
      <c r="AZ375" s="14">
        <v>-79</v>
      </c>
      <c r="BA375" s="14">
        <v>368</v>
      </c>
      <c r="BB375" s="14">
        <v>-7</v>
      </c>
      <c r="BD375" s="14">
        <v>6</v>
      </c>
      <c r="BE375" s="14">
        <v>3904</v>
      </c>
    </row>
    <row r="376" spans="7:57" x14ac:dyDescent="0.25">
      <c r="G376" s="14">
        <v>7728</v>
      </c>
      <c r="H376" s="14">
        <v>369</v>
      </c>
      <c r="I376" s="14">
        <v>145</v>
      </c>
      <c r="M376" s="14">
        <v>238</v>
      </c>
      <c r="X376" s="14">
        <v>131</v>
      </c>
      <c r="AB376" s="14">
        <v>859</v>
      </c>
      <c r="AE376" s="14">
        <v>-441</v>
      </c>
      <c r="AG376" s="14">
        <v>210</v>
      </c>
      <c r="AJ376" s="14">
        <v>588</v>
      </c>
      <c r="AL376" s="14">
        <v>-182</v>
      </c>
      <c r="AM376" s="14">
        <v>-123</v>
      </c>
      <c r="AN376" s="14">
        <v>-3</v>
      </c>
      <c r="AP376" s="14">
        <v>-57</v>
      </c>
      <c r="AQ376" s="14">
        <v>169</v>
      </c>
      <c r="AR376" s="14">
        <v>-104</v>
      </c>
      <c r="AS376" s="14">
        <v>555</v>
      </c>
      <c r="AT376" s="14">
        <v>-391</v>
      </c>
      <c r="AU376" s="14">
        <v>-5</v>
      </c>
      <c r="AV376" s="14">
        <v>22</v>
      </c>
      <c r="AW376" s="14">
        <v>-136</v>
      </c>
      <c r="AX376" s="14">
        <v>-47</v>
      </c>
      <c r="AY376" s="14">
        <v>-546</v>
      </c>
      <c r="AZ376" s="14">
        <v>32</v>
      </c>
      <c r="BA376" s="14">
        <v>340</v>
      </c>
      <c r="BB376" s="14">
        <v>-7</v>
      </c>
      <c r="BD376" s="14">
        <v>19</v>
      </c>
      <c r="BE376" s="14">
        <v>2805</v>
      </c>
    </row>
    <row r="377" spans="7:57" x14ac:dyDescent="0.25">
      <c r="G377" s="14">
        <v>7596</v>
      </c>
      <c r="H377" s="14">
        <v>416</v>
      </c>
      <c r="I377" s="14">
        <v>535</v>
      </c>
      <c r="M377" s="14">
        <v>245</v>
      </c>
      <c r="X377" s="14">
        <v>-98</v>
      </c>
      <c r="AB377" s="14">
        <v>821</v>
      </c>
      <c r="AE377" s="14">
        <v>-668</v>
      </c>
      <c r="AG377" s="14">
        <v>-103</v>
      </c>
      <c r="AJ377" s="14">
        <v>-995</v>
      </c>
      <c r="AL377" s="14">
        <v>241</v>
      </c>
      <c r="AM377" s="14">
        <v>-172</v>
      </c>
      <c r="AN377" s="14">
        <v>-2</v>
      </c>
      <c r="AP377" s="14">
        <v>163</v>
      </c>
      <c r="AQ377" s="14">
        <v>-3</v>
      </c>
      <c r="AR377" s="14">
        <v>-841</v>
      </c>
      <c r="AS377" s="14">
        <v>111</v>
      </c>
      <c r="AT377" s="14">
        <v>125</v>
      </c>
      <c r="AU377" s="14">
        <v>-50</v>
      </c>
      <c r="AV377" s="14">
        <v>-5</v>
      </c>
      <c r="AW377" s="14">
        <v>350</v>
      </c>
      <c r="AX377" s="14">
        <v>22</v>
      </c>
      <c r="AY377" s="14">
        <v>429</v>
      </c>
      <c r="AZ377" s="14">
        <v>-35</v>
      </c>
      <c r="BA377" s="14">
        <v>42</v>
      </c>
      <c r="BB377" s="14">
        <v>-5</v>
      </c>
      <c r="BD377" s="14">
        <v>20</v>
      </c>
      <c r="BE377" s="14">
        <v>2874</v>
      </c>
    </row>
    <row r="378" spans="7:57" x14ac:dyDescent="0.25">
      <c r="G378" s="14">
        <v>6096</v>
      </c>
      <c r="H378" s="14">
        <v>-34</v>
      </c>
      <c r="I378" s="14">
        <v>796</v>
      </c>
      <c r="M378" s="14">
        <v>205</v>
      </c>
      <c r="X378" s="14">
        <v>32</v>
      </c>
      <c r="AB378" s="14">
        <v>454</v>
      </c>
      <c r="AE378" s="14">
        <v>278</v>
      </c>
      <c r="AG378" s="14">
        <v>228</v>
      </c>
      <c r="AJ378" s="14">
        <v>630</v>
      </c>
      <c r="AL378" s="14">
        <v>93</v>
      </c>
      <c r="AM378" s="14">
        <v>-232</v>
      </c>
      <c r="AN378" s="14">
        <v>-9</v>
      </c>
      <c r="AP378" s="14">
        <v>76</v>
      </c>
      <c r="AQ378" s="14">
        <v>149</v>
      </c>
      <c r="AR378" s="14">
        <v>60</v>
      </c>
      <c r="AS378" s="14">
        <v>-289</v>
      </c>
      <c r="AT378" s="14">
        <v>122</v>
      </c>
      <c r="AU378" s="14">
        <v>-126</v>
      </c>
      <c r="AV378" s="14">
        <v>15</v>
      </c>
      <c r="AW378" s="14">
        <v>-925</v>
      </c>
      <c r="AX378" s="14">
        <v>-18</v>
      </c>
      <c r="AY378" s="14">
        <v>397</v>
      </c>
      <c r="AZ378" s="14">
        <v>3</v>
      </c>
      <c r="BA378" s="14">
        <v>299</v>
      </c>
      <c r="BB378" s="14">
        <v>-4</v>
      </c>
      <c r="BD378" s="14">
        <v>19</v>
      </c>
      <c r="BE378" s="14">
        <v>2767</v>
      </c>
    </row>
    <row r="379" spans="7:57" x14ac:dyDescent="0.25">
      <c r="G379" s="14">
        <v>6162</v>
      </c>
      <c r="H379" s="14">
        <v>-6</v>
      </c>
      <c r="I379" s="14">
        <v>171</v>
      </c>
      <c r="M379" s="14">
        <v>123</v>
      </c>
      <c r="X379" s="14">
        <v>281</v>
      </c>
      <c r="AB379" s="14">
        <v>222</v>
      </c>
      <c r="AE379" s="14">
        <v>53</v>
      </c>
      <c r="AG379" s="14">
        <v>166</v>
      </c>
      <c r="AJ379" s="14">
        <v>-822</v>
      </c>
      <c r="AL379" s="14">
        <v>-109</v>
      </c>
      <c r="AM379" s="14">
        <v>-34</v>
      </c>
      <c r="AN379" s="14">
        <v>-12</v>
      </c>
      <c r="AP379" s="14">
        <v>122</v>
      </c>
      <c r="AQ379" s="14">
        <v>-3</v>
      </c>
      <c r="AR379" s="14">
        <v>-130</v>
      </c>
      <c r="AS379" s="14">
        <v>-310</v>
      </c>
      <c r="AT379" s="14">
        <v>56</v>
      </c>
      <c r="AU379" s="14">
        <v>-269</v>
      </c>
      <c r="AV379" s="14">
        <v>20</v>
      </c>
      <c r="AW379" s="14">
        <v>-619</v>
      </c>
      <c r="AX379" s="14">
        <v>-26</v>
      </c>
      <c r="AY379" s="14">
        <v>295</v>
      </c>
      <c r="AZ379" s="14">
        <v>-7</v>
      </c>
      <c r="BA379" s="14">
        <v>370</v>
      </c>
      <c r="BB379" s="14">
        <v>-2</v>
      </c>
      <c r="BD379" s="14">
        <v>18</v>
      </c>
      <c r="BE379" s="14">
        <v>2429</v>
      </c>
    </row>
    <row r="380" spans="7:57" x14ac:dyDescent="0.25">
      <c r="G380" s="14">
        <v>5531</v>
      </c>
      <c r="H380" s="14">
        <v>12</v>
      </c>
      <c r="I380" s="14">
        <v>-208</v>
      </c>
      <c r="M380" s="14">
        <v>893</v>
      </c>
      <c r="X380" s="14">
        <v>-247</v>
      </c>
      <c r="AB380" s="14">
        <v>184</v>
      </c>
      <c r="AE380" s="14">
        <v>-299</v>
      </c>
      <c r="AG380" s="14">
        <v>268</v>
      </c>
      <c r="AJ380" s="14">
        <v>-158</v>
      </c>
      <c r="AL380" s="14">
        <v>371</v>
      </c>
      <c r="AM380" s="14">
        <v>-173</v>
      </c>
      <c r="AN380" s="14">
        <v>-120</v>
      </c>
      <c r="AP380" s="14">
        <v>109</v>
      </c>
      <c r="AQ380" s="14">
        <v>147</v>
      </c>
      <c r="AR380" s="14">
        <v>-311</v>
      </c>
      <c r="AS380" s="14">
        <v>-278</v>
      </c>
      <c r="AT380" s="14">
        <v>77</v>
      </c>
      <c r="AU380" s="14">
        <v>-193</v>
      </c>
      <c r="AV380" s="14">
        <v>-37</v>
      </c>
      <c r="AW380" s="14">
        <v>-289</v>
      </c>
      <c r="AX380" s="14">
        <v>38</v>
      </c>
      <c r="AY380" s="14">
        <v>-507</v>
      </c>
      <c r="AZ380" s="14">
        <v>265</v>
      </c>
      <c r="BA380" s="14">
        <v>439</v>
      </c>
      <c r="BB380" s="14">
        <v>1</v>
      </c>
      <c r="BD380" s="14">
        <v>20</v>
      </c>
      <c r="BE380" s="14">
        <v>2622</v>
      </c>
    </row>
    <row r="381" spans="7:57" x14ac:dyDescent="0.25">
      <c r="G381" s="14">
        <v>1590</v>
      </c>
      <c r="H381" s="14">
        <v>13</v>
      </c>
      <c r="I381" s="14">
        <v>235</v>
      </c>
      <c r="M381" s="14">
        <v>-338</v>
      </c>
      <c r="X381" s="14">
        <v>-255</v>
      </c>
      <c r="AB381" s="14">
        <v>-149</v>
      </c>
      <c r="AE381" s="14">
        <v>946</v>
      </c>
      <c r="AG381" s="14">
        <v>156</v>
      </c>
      <c r="AJ381" s="14">
        <v>-117</v>
      </c>
      <c r="AL381" s="14">
        <v>-214</v>
      </c>
      <c r="AM381" s="14">
        <v>-180</v>
      </c>
      <c r="AN381" s="14">
        <v>-21</v>
      </c>
      <c r="AP381" s="14">
        <v>17</v>
      </c>
      <c r="AQ381" s="14">
        <v>-3</v>
      </c>
      <c r="AR381" s="14">
        <v>-649</v>
      </c>
      <c r="AS381" s="14">
        <v>-280</v>
      </c>
      <c r="AT381" s="14">
        <v>-151</v>
      </c>
      <c r="AU381" s="14">
        <v>-82</v>
      </c>
      <c r="AV381" s="14">
        <v>-57</v>
      </c>
      <c r="AW381" s="14">
        <v>-738</v>
      </c>
      <c r="AX381" s="14">
        <v>18</v>
      </c>
      <c r="AY381" s="14">
        <v>-654</v>
      </c>
      <c r="AZ381" s="14">
        <v>9</v>
      </c>
      <c r="BA381" s="14">
        <v>517</v>
      </c>
      <c r="BB381" s="14">
        <v>4</v>
      </c>
      <c r="BD381" s="14">
        <v>-3</v>
      </c>
      <c r="BE381" s="14">
        <v>3494</v>
      </c>
    </row>
    <row r="382" spans="7:57" x14ac:dyDescent="0.25">
      <c r="G382" s="14">
        <v>2699</v>
      </c>
      <c r="H382" s="14">
        <v>10</v>
      </c>
      <c r="I382" s="14">
        <v>965</v>
      </c>
      <c r="M382" s="14">
        <v>-62</v>
      </c>
      <c r="X382" s="14">
        <v>-227</v>
      </c>
      <c r="AB382" s="14">
        <v>-205</v>
      </c>
      <c r="AE382" s="14">
        <v>644</v>
      </c>
      <c r="AG382" s="14">
        <v>570</v>
      </c>
      <c r="AJ382" s="14">
        <v>-198</v>
      </c>
      <c r="AL382" s="14">
        <v>-941</v>
      </c>
      <c r="AM382" s="14">
        <v>-185</v>
      </c>
      <c r="AN382" s="14">
        <v>-30</v>
      </c>
      <c r="AP382" s="14">
        <v>146</v>
      </c>
      <c r="AQ382" s="14">
        <v>83</v>
      </c>
      <c r="AR382" s="14">
        <v>536</v>
      </c>
      <c r="AS382" s="14">
        <v>-306</v>
      </c>
      <c r="AT382" s="14">
        <v>164</v>
      </c>
      <c r="AU382" s="14">
        <v>-67</v>
      </c>
      <c r="AV382" s="14">
        <v>25</v>
      </c>
      <c r="AW382" s="14">
        <v>-499</v>
      </c>
      <c r="AX382" s="14">
        <v>93</v>
      </c>
      <c r="AY382" s="14">
        <v>-161</v>
      </c>
      <c r="AZ382" s="14">
        <v>6</v>
      </c>
      <c r="BA382" s="14">
        <v>656</v>
      </c>
      <c r="BB382" s="14">
        <v>-3</v>
      </c>
      <c r="BD382" s="14">
        <v>17</v>
      </c>
      <c r="BE382" s="14">
        <v>2977</v>
      </c>
    </row>
    <row r="383" spans="7:57" x14ac:dyDescent="0.25">
      <c r="G383" s="14">
        <v>5502</v>
      </c>
      <c r="H383" s="14">
        <v>-47</v>
      </c>
      <c r="I383" s="14">
        <v>748</v>
      </c>
      <c r="M383" s="14">
        <v>131</v>
      </c>
      <c r="X383" s="14">
        <v>-215</v>
      </c>
      <c r="AB383" s="14">
        <v>-114</v>
      </c>
      <c r="AE383" s="14">
        <v>325</v>
      </c>
      <c r="AG383" s="14">
        <v>197</v>
      </c>
      <c r="AJ383" s="14">
        <v>-614</v>
      </c>
      <c r="AL383" s="14">
        <v>-189</v>
      </c>
      <c r="AM383" s="14">
        <v>142</v>
      </c>
      <c r="AN383" s="14">
        <v>-10</v>
      </c>
      <c r="AP383" s="14">
        <v>314</v>
      </c>
      <c r="AQ383" s="14">
        <v>13</v>
      </c>
      <c r="AR383" s="14">
        <v>471</v>
      </c>
      <c r="AS383" s="14">
        <v>114</v>
      </c>
      <c r="AT383" s="14">
        <v>145</v>
      </c>
      <c r="AU383" s="14">
        <v>-93</v>
      </c>
      <c r="AV383" s="14">
        <v>3</v>
      </c>
      <c r="AW383" s="14">
        <v>865</v>
      </c>
      <c r="AX383" s="14">
        <v>8</v>
      </c>
      <c r="AY383" s="14">
        <v>-604</v>
      </c>
      <c r="AZ383" s="14">
        <v>-8</v>
      </c>
      <c r="BA383" s="14">
        <v>800</v>
      </c>
      <c r="BB383" s="14">
        <v>2</v>
      </c>
      <c r="BD383" s="14">
        <v>22</v>
      </c>
      <c r="BE383" s="14">
        <v>2918</v>
      </c>
    </row>
    <row r="384" spans="7:57" x14ac:dyDescent="0.25">
      <c r="G384" s="14">
        <v>5459</v>
      </c>
      <c r="H384" s="14">
        <v>-290</v>
      </c>
      <c r="I384" s="14">
        <v>-226</v>
      </c>
      <c r="M384" s="14">
        <v>261</v>
      </c>
      <c r="X384" s="14">
        <v>220</v>
      </c>
      <c r="AB384" s="14">
        <v>-61</v>
      </c>
      <c r="AE384" s="14">
        <v>-761</v>
      </c>
      <c r="AG384" s="14">
        <v>453</v>
      </c>
      <c r="AJ384" s="14">
        <v>-381</v>
      </c>
      <c r="AL384" s="14">
        <v>-126</v>
      </c>
      <c r="AM384" s="14">
        <v>-195</v>
      </c>
      <c r="AN384" s="14">
        <v>-12</v>
      </c>
      <c r="AP384" s="14">
        <v>210</v>
      </c>
      <c r="AQ384" s="14">
        <v>82</v>
      </c>
      <c r="AR384" s="14">
        <v>-123</v>
      </c>
      <c r="AS384" s="14">
        <v>126</v>
      </c>
      <c r="AT384" s="14">
        <v>66</v>
      </c>
      <c r="AU384" s="14">
        <v>-86</v>
      </c>
      <c r="AV384" s="14">
        <v>-23</v>
      </c>
      <c r="AW384" s="14">
        <v>136</v>
      </c>
      <c r="AX384" s="14">
        <v>-348</v>
      </c>
      <c r="AY384" s="14">
        <v>12</v>
      </c>
      <c r="AZ384" s="14">
        <v>-112</v>
      </c>
      <c r="BA384" s="14">
        <v>-19</v>
      </c>
      <c r="BB384" s="14">
        <v>10</v>
      </c>
      <c r="BD384" s="14">
        <v>-25</v>
      </c>
      <c r="BE384" s="14">
        <v>2921</v>
      </c>
    </row>
    <row r="385" spans="7:57" x14ac:dyDescent="0.25">
      <c r="G385" s="14">
        <v>5386</v>
      </c>
      <c r="H385" s="14">
        <v>20</v>
      </c>
      <c r="I385" s="14">
        <v>528</v>
      </c>
      <c r="M385" s="14">
        <v>328</v>
      </c>
      <c r="X385" s="14">
        <v>-367</v>
      </c>
      <c r="AB385" s="14">
        <v>-332</v>
      </c>
      <c r="AE385" s="14">
        <v>-109</v>
      </c>
      <c r="AG385" s="14">
        <v>-191</v>
      </c>
      <c r="AJ385" s="14">
        <v>-929</v>
      </c>
      <c r="AL385" s="14">
        <v>-566</v>
      </c>
      <c r="AM385" s="14">
        <v>-290</v>
      </c>
      <c r="AN385" s="14">
        <v>-14</v>
      </c>
      <c r="AP385" s="14">
        <v>45</v>
      </c>
      <c r="AQ385" s="14">
        <v>12</v>
      </c>
      <c r="AR385" s="14">
        <v>-80</v>
      </c>
      <c r="AS385" s="14">
        <v>-300</v>
      </c>
      <c r="AT385" s="14">
        <v>-86</v>
      </c>
      <c r="AU385" s="14">
        <v>-52</v>
      </c>
      <c r="AV385" s="14">
        <v>-65</v>
      </c>
      <c r="AW385" s="14">
        <v>-783</v>
      </c>
      <c r="AX385" s="14">
        <v>-398</v>
      </c>
      <c r="AY385" s="14">
        <v>-75</v>
      </c>
      <c r="AZ385" s="14">
        <v>-134</v>
      </c>
      <c r="BA385" s="14">
        <v>-233</v>
      </c>
      <c r="BB385" s="14">
        <v>16</v>
      </c>
      <c r="BD385" s="14">
        <v>576</v>
      </c>
      <c r="BE385" s="14">
        <v>62</v>
      </c>
    </row>
    <row r="386" spans="7:57" x14ac:dyDescent="0.25">
      <c r="G386" s="14">
        <v>5357</v>
      </c>
      <c r="H386" s="14">
        <v>20</v>
      </c>
      <c r="I386" s="14">
        <v>145</v>
      </c>
      <c r="M386" s="14">
        <v>324</v>
      </c>
      <c r="X386" s="14">
        <v>571</v>
      </c>
      <c r="AB386" s="14">
        <v>-178</v>
      </c>
      <c r="AE386" s="14">
        <v>233</v>
      </c>
      <c r="AG386" s="14">
        <v>157</v>
      </c>
      <c r="AJ386" s="14">
        <v>-216</v>
      </c>
      <c r="AL386" s="14">
        <v>203</v>
      </c>
      <c r="AM386" s="14">
        <v>-301</v>
      </c>
      <c r="AN386" s="14">
        <v>-13</v>
      </c>
      <c r="AP386" s="14">
        <v>1</v>
      </c>
      <c r="AQ386" s="14">
        <v>21</v>
      </c>
      <c r="AR386" s="14">
        <v>-145</v>
      </c>
      <c r="AS386" s="14">
        <v>-296</v>
      </c>
      <c r="AT386" s="14">
        <v>-331</v>
      </c>
      <c r="AU386" s="14">
        <v>-120</v>
      </c>
      <c r="AV386" s="14">
        <v>-74</v>
      </c>
      <c r="AW386" s="14">
        <v>-860</v>
      </c>
      <c r="AX386" s="14">
        <v>148</v>
      </c>
      <c r="AY386" s="14">
        <v>-162</v>
      </c>
      <c r="AZ386" s="14">
        <v>110</v>
      </c>
      <c r="BA386" s="14">
        <v>215</v>
      </c>
      <c r="BB386" s="14">
        <v>18</v>
      </c>
      <c r="BD386" s="14">
        <v>9173</v>
      </c>
      <c r="BE386" s="14">
        <v>23</v>
      </c>
    </row>
    <row r="387" spans="7:57" x14ac:dyDescent="0.25">
      <c r="G387" s="14">
        <v>5289</v>
      </c>
      <c r="H387" s="14">
        <v>25</v>
      </c>
      <c r="I387" s="14">
        <v>524</v>
      </c>
      <c r="M387" s="14">
        <v>288</v>
      </c>
      <c r="X387" s="14">
        <v>-138</v>
      </c>
      <c r="AB387" s="14">
        <v>-181</v>
      </c>
      <c r="AE387" s="14">
        <v>936</v>
      </c>
      <c r="AG387" s="14">
        <v>114</v>
      </c>
      <c r="AJ387" s="14">
        <v>-596</v>
      </c>
      <c r="AL387" s="14">
        <v>-233</v>
      </c>
      <c r="AM387" s="14">
        <v>-46</v>
      </c>
      <c r="AN387" s="14">
        <v>-34</v>
      </c>
      <c r="AP387" s="14">
        <v>46</v>
      </c>
      <c r="AQ387" s="14">
        <v>145</v>
      </c>
      <c r="AR387" s="14">
        <v>632</v>
      </c>
      <c r="AS387" s="14">
        <v>-727</v>
      </c>
      <c r="AT387" s="14">
        <v>-828</v>
      </c>
      <c r="AU387" s="14">
        <v>-150</v>
      </c>
      <c r="AV387" s="14">
        <v>-2</v>
      </c>
      <c r="AW387" s="14">
        <v>123</v>
      </c>
      <c r="AX387" s="14">
        <v>487</v>
      </c>
      <c r="AY387" s="14">
        <v>-109</v>
      </c>
      <c r="AZ387" s="14">
        <v>130</v>
      </c>
      <c r="BA387" s="14">
        <v>-17</v>
      </c>
      <c r="BB387" s="14">
        <v>32</v>
      </c>
      <c r="BD387" s="14">
        <v>-2</v>
      </c>
      <c r="BE387" s="14">
        <v>51</v>
      </c>
    </row>
    <row r="388" spans="7:57" x14ac:dyDescent="0.25">
      <c r="G388" s="14">
        <v>5288</v>
      </c>
      <c r="H388" s="14">
        <v>19</v>
      </c>
      <c r="I388" s="14">
        <v>453</v>
      </c>
      <c r="M388" s="14">
        <v>177</v>
      </c>
      <c r="X388" s="14">
        <v>-694</v>
      </c>
      <c r="AB388" s="14">
        <v>135</v>
      </c>
      <c r="AE388" s="14">
        <v>209</v>
      </c>
      <c r="AG388" s="14">
        <v>660</v>
      </c>
      <c r="AJ388" s="14">
        <v>-599</v>
      </c>
      <c r="AL388" s="14">
        <v>200</v>
      </c>
      <c r="AM388" s="14">
        <v>-217</v>
      </c>
      <c r="AN388" s="14">
        <v>-120</v>
      </c>
      <c r="AP388" s="14">
        <v>-49</v>
      </c>
      <c r="AQ388" s="14">
        <v>-3</v>
      </c>
      <c r="AR388" s="14">
        <v>-222</v>
      </c>
      <c r="AS388" s="14">
        <v>-409</v>
      </c>
      <c r="AT388" s="14">
        <v>449</v>
      </c>
      <c r="AU388" s="14">
        <v>-101</v>
      </c>
      <c r="AV388" s="14">
        <v>25</v>
      </c>
      <c r="AW388" s="14">
        <v>-848</v>
      </c>
      <c r="AX388" s="14">
        <v>271</v>
      </c>
      <c r="AY388" s="14">
        <v>-94</v>
      </c>
      <c r="AZ388" s="14">
        <v>-115</v>
      </c>
      <c r="BA388" s="14">
        <v>-89</v>
      </c>
      <c r="BB388" s="14">
        <v>19</v>
      </c>
      <c r="BD388" s="14">
        <v>-7</v>
      </c>
      <c r="BE388" s="14">
        <v>14</v>
      </c>
    </row>
    <row r="389" spans="7:57" x14ac:dyDescent="0.25">
      <c r="G389" s="14">
        <v>5250</v>
      </c>
      <c r="H389" s="14">
        <v>20</v>
      </c>
      <c r="I389" s="14">
        <v>229</v>
      </c>
      <c r="M389" s="14">
        <v>110</v>
      </c>
      <c r="X389" s="14">
        <v>112</v>
      </c>
      <c r="AB389" s="14">
        <v>985</v>
      </c>
      <c r="AE389" s="14">
        <v>740</v>
      </c>
      <c r="AG389" s="14">
        <v>-194</v>
      </c>
      <c r="AJ389" s="14">
        <v>196</v>
      </c>
      <c r="AL389" s="14">
        <v>-256</v>
      </c>
      <c r="AM389" s="14">
        <v>-226</v>
      </c>
      <c r="AN389" s="14">
        <v>162</v>
      </c>
      <c r="AP389" s="14">
        <v>152</v>
      </c>
      <c r="AQ389" s="14">
        <v>126</v>
      </c>
      <c r="AR389" s="14">
        <v>-477</v>
      </c>
      <c r="AS389" s="14">
        <v>-787</v>
      </c>
      <c r="AT389" s="14">
        <v>215</v>
      </c>
      <c r="AU389" s="14">
        <v>-36</v>
      </c>
      <c r="AV389" s="14">
        <v>-17</v>
      </c>
      <c r="AW389" s="14">
        <v>-279</v>
      </c>
      <c r="AX389" s="14">
        <v>355</v>
      </c>
      <c r="AY389" s="14">
        <v>-74</v>
      </c>
      <c r="AZ389" s="14">
        <v>-58</v>
      </c>
      <c r="BA389" s="14">
        <v>-450</v>
      </c>
      <c r="BB389" s="14">
        <v>-19</v>
      </c>
      <c r="BD389" s="14">
        <v>-1</v>
      </c>
      <c r="BE389" s="14">
        <v>94</v>
      </c>
    </row>
    <row r="390" spans="7:57" x14ac:dyDescent="0.25">
      <c r="G390" s="14">
        <v>5368</v>
      </c>
      <c r="H390" s="14">
        <v>17</v>
      </c>
      <c r="I390" s="14">
        <v>915</v>
      </c>
      <c r="M390" s="14">
        <v>-78</v>
      </c>
      <c r="X390" s="14">
        <v>359</v>
      </c>
      <c r="AB390" s="14">
        <v>897</v>
      </c>
      <c r="AE390" s="14">
        <v>342</v>
      </c>
      <c r="AG390" s="14">
        <v>-43</v>
      </c>
      <c r="AJ390" s="14">
        <v>-273</v>
      </c>
      <c r="AL390" s="14">
        <v>138</v>
      </c>
      <c r="AM390" s="14">
        <v>-225</v>
      </c>
      <c r="AN390" s="14">
        <v>-101</v>
      </c>
      <c r="AP390" s="14">
        <v>75</v>
      </c>
      <c r="AQ390" s="14">
        <v>-2</v>
      </c>
      <c r="AR390" s="14">
        <v>46</v>
      </c>
      <c r="AS390" s="14">
        <v>-537</v>
      </c>
      <c r="AT390" s="14">
        <v>461</v>
      </c>
      <c r="AU390" s="14">
        <v>-226</v>
      </c>
      <c r="AV390" s="14">
        <v>168</v>
      </c>
      <c r="AW390" s="14">
        <v>-117</v>
      </c>
      <c r="AX390" s="14">
        <v>259</v>
      </c>
      <c r="AY390" s="14">
        <v>-83</v>
      </c>
      <c r="AZ390" s="14">
        <v>-8</v>
      </c>
      <c r="BA390" s="14">
        <v>124</v>
      </c>
      <c r="BB390" s="14">
        <v>26</v>
      </c>
      <c r="BD390" s="14">
        <v>-1</v>
      </c>
      <c r="BE390" s="14">
        <v>58</v>
      </c>
    </row>
    <row r="391" spans="7:57" x14ac:dyDescent="0.25">
      <c r="G391" s="14">
        <v>5274</v>
      </c>
      <c r="H391" s="14">
        <v>19</v>
      </c>
      <c r="I391" s="14">
        <v>-229</v>
      </c>
      <c r="M391" s="14">
        <v>31</v>
      </c>
      <c r="X391" s="14">
        <v>514</v>
      </c>
      <c r="AB391" s="14">
        <v>100</v>
      </c>
      <c r="AE391" s="14">
        <v>-40</v>
      </c>
      <c r="AG391" s="14">
        <v>139</v>
      </c>
      <c r="AJ391" s="14">
        <v>595</v>
      </c>
      <c r="AL391" s="14">
        <v>-379</v>
      </c>
      <c r="AM391" s="14">
        <v>236</v>
      </c>
      <c r="AN391" s="14">
        <v>-366</v>
      </c>
      <c r="AP391" s="14">
        <v>135</v>
      </c>
      <c r="AQ391" s="14">
        <v>128</v>
      </c>
      <c r="AR391" s="14">
        <v>-137</v>
      </c>
      <c r="AS391" s="14">
        <v>-712</v>
      </c>
      <c r="AT391" s="14">
        <v>256</v>
      </c>
      <c r="AU391" s="14">
        <v>36</v>
      </c>
      <c r="AV391" s="14">
        <v>-120</v>
      </c>
      <c r="AW391" s="14">
        <v>-710</v>
      </c>
      <c r="AX391" s="14">
        <v>234</v>
      </c>
      <c r="AY391" s="14">
        <v>-54</v>
      </c>
      <c r="AZ391" s="14">
        <v>186</v>
      </c>
      <c r="BA391" s="14">
        <v>175</v>
      </c>
      <c r="BB391" s="14">
        <v>58</v>
      </c>
      <c r="BD391" s="14">
        <v>-2</v>
      </c>
      <c r="BE391" s="14">
        <v>198</v>
      </c>
    </row>
    <row r="392" spans="7:57" x14ac:dyDescent="0.25">
      <c r="G392" s="14">
        <v>5321</v>
      </c>
      <c r="H392" s="14">
        <v>31</v>
      </c>
      <c r="I392" s="14">
        <v>530</v>
      </c>
      <c r="M392" s="14">
        <v>115</v>
      </c>
      <c r="X392" s="14">
        <v>-140</v>
      </c>
      <c r="AB392" s="14">
        <v>987</v>
      </c>
      <c r="AE392" s="14">
        <v>-893</v>
      </c>
      <c r="AG392" s="14">
        <v>235</v>
      </c>
      <c r="AJ392" s="14">
        <v>127</v>
      </c>
      <c r="AL392" s="14">
        <v>-276</v>
      </c>
      <c r="AM392" s="14">
        <v>-366</v>
      </c>
      <c r="AN392" s="14">
        <v>-20</v>
      </c>
      <c r="AP392" s="14">
        <v>203</v>
      </c>
      <c r="AQ392" s="14">
        <v>-2</v>
      </c>
      <c r="AR392" s="14">
        <v>-130</v>
      </c>
      <c r="AS392" s="14">
        <v>-222</v>
      </c>
      <c r="AT392" s="14">
        <v>839</v>
      </c>
      <c r="AU392" s="14">
        <v>41</v>
      </c>
      <c r="AV392" s="14">
        <v>-60</v>
      </c>
      <c r="AW392" s="14">
        <v>-942</v>
      </c>
      <c r="AX392" s="14">
        <v>-93</v>
      </c>
      <c r="AY392" s="14">
        <v>-21</v>
      </c>
      <c r="AZ392" s="14">
        <v>-96</v>
      </c>
      <c r="BA392" s="14">
        <v>180</v>
      </c>
      <c r="BB392" s="14">
        <v>2117</v>
      </c>
      <c r="BD392" s="14">
        <v>-2</v>
      </c>
      <c r="BE392" s="14">
        <v>179</v>
      </c>
    </row>
    <row r="393" spans="7:57" x14ac:dyDescent="0.25">
      <c r="G393" s="14">
        <v>5356</v>
      </c>
      <c r="H393" s="14">
        <v>-18</v>
      </c>
      <c r="I393" s="14">
        <v>145</v>
      </c>
      <c r="M393" s="14">
        <v>170</v>
      </c>
      <c r="X393" s="14">
        <v>-97</v>
      </c>
      <c r="AB393" s="14">
        <v>916</v>
      </c>
      <c r="AE393" s="14">
        <v>137</v>
      </c>
      <c r="AG393" s="14">
        <v>-161</v>
      </c>
      <c r="AJ393" s="14">
        <v>155</v>
      </c>
      <c r="AL393" s="14">
        <v>641</v>
      </c>
      <c r="AM393" s="14">
        <v>-482</v>
      </c>
      <c r="AN393" s="14">
        <v>-12</v>
      </c>
      <c r="AP393" s="14">
        <v>129</v>
      </c>
      <c r="AQ393" s="14">
        <v>-7</v>
      </c>
      <c r="AR393" s="14">
        <v>-245</v>
      </c>
      <c r="AS393" s="14">
        <v>-591</v>
      </c>
      <c r="AT393" s="14">
        <v>464</v>
      </c>
      <c r="AU393" s="14">
        <v>19</v>
      </c>
      <c r="AV393" s="14">
        <v>-32</v>
      </c>
      <c r="AW393" s="14">
        <v>127</v>
      </c>
      <c r="AX393" s="14">
        <v>-142</v>
      </c>
      <c r="AY393" s="14">
        <v>-62</v>
      </c>
      <c r="AZ393" s="14">
        <v>32</v>
      </c>
      <c r="BA393" s="14">
        <v>186</v>
      </c>
      <c r="BB393" s="14">
        <v>-94</v>
      </c>
      <c r="BD393" s="14">
        <v>-4</v>
      </c>
      <c r="BE393" s="14">
        <v>240</v>
      </c>
    </row>
    <row r="394" spans="7:57" x14ac:dyDescent="0.25">
      <c r="G394" s="14">
        <v>5250</v>
      </c>
      <c r="H394" s="14">
        <v>-16</v>
      </c>
      <c r="I394" s="14">
        <v>685</v>
      </c>
      <c r="M394" s="14">
        <v>198</v>
      </c>
      <c r="X394" s="14">
        <v>-786</v>
      </c>
      <c r="AB394" s="14">
        <v>710</v>
      </c>
      <c r="AE394" s="14">
        <v>105</v>
      </c>
      <c r="AG394" s="14">
        <v>470</v>
      </c>
      <c r="AJ394" s="14">
        <v>144</v>
      </c>
      <c r="AL394" s="14">
        <v>187</v>
      </c>
      <c r="AM394" s="14">
        <v>-314</v>
      </c>
      <c r="AN394" s="14">
        <v>-4</v>
      </c>
      <c r="AP394" s="14">
        <v>165</v>
      </c>
      <c r="AQ394" s="14">
        <v>132</v>
      </c>
      <c r="AR394" s="14">
        <v>115</v>
      </c>
      <c r="AS394" s="14">
        <v>-341</v>
      </c>
      <c r="AT394" s="14">
        <v>219</v>
      </c>
      <c r="AU394" s="14">
        <v>37</v>
      </c>
      <c r="AV394" s="14">
        <v>27</v>
      </c>
      <c r="AW394" s="14">
        <v>733</v>
      </c>
      <c r="AX394" s="14">
        <v>92</v>
      </c>
      <c r="AY394" s="14">
        <v>92</v>
      </c>
      <c r="AZ394" s="14">
        <v>-22</v>
      </c>
      <c r="BA394" s="14">
        <v>175</v>
      </c>
      <c r="BB394" s="14">
        <v>65</v>
      </c>
      <c r="BD394" s="14">
        <v>-3</v>
      </c>
      <c r="BE394" s="14">
        <v>416</v>
      </c>
    </row>
    <row r="395" spans="7:57" x14ac:dyDescent="0.25">
      <c r="G395" s="14">
        <v>5367</v>
      </c>
      <c r="H395" s="14">
        <v>-196</v>
      </c>
      <c r="I395" s="14">
        <v>277</v>
      </c>
      <c r="M395" s="14">
        <v>196</v>
      </c>
      <c r="X395" s="14">
        <v>79</v>
      </c>
      <c r="AB395" s="14">
        <v>788</v>
      </c>
      <c r="AE395" s="14">
        <v>160</v>
      </c>
      <c r="AG395" s="14">
        <v>757</v>
      </c>
      <c r="AJ395" s="14">
        <v>321</v>
      </c>
      <c r="AL395" s="14">
        <v>55</v>
      </c>
      <c r="AM395" s="14">
        <v>-70</v>
      </c>
      <c r="AN395" s="14">
        <v>2</v>
      </c>
      <c r="AP395" s="14">
        <v>314</v>
      </c>
      <c r="AQ395" s="14">
        <v>-3</v>
      </c>
      <c r="AR395" s="14">
        <v>144</v>
      </c>
      <c r="AS395" s="14">
        <v>988</v>
      </c>
      <c r="AT395" s="14">
        <v>915</v>
      </c>
      <c r="AU395" s="14">
        <v>47</v>
      </c>
      <c r="AV395" s="14">
        <v>23</v>
      </c>
      <c r="AW395" s="14">
        <v>107</v>
      </c>
      <c r="AX395" s="14">
        <v>134</v>
      </c>
      <c r="AY395" s="14">
        <v>-659</v>
      </c>
      <c r="AZ395" s="14">
        <v>-11</v>
      </c>
      <c r="BA395" s="14">
        <v>164</v>
      </c>
      <c r="BB395" s="14">
        <v>103</v>
      </c>
      <c r="BD395" s="14">
        <v>-2</v>
      </c>
      <c r="BE395" s="14">
        <v>260</v>
      </c>
    </row>
    <row r="396" spans="7:57" x14ac:dyDescent="0.25">
      <c r="G396" s="14">
        <v>5329</v>
      </c>
      <c r="H396" s="14">
        <v>-196</v>
      </c>
      <c r="I396" s="14">
        <v>220</v>
      </c>
      <c r="M396" s="14">
        <v>161</v>
      </c>
      <c r="X396" s="14">
        <v>175</v>
      </c>
      <c r="AB396" s="14">
        <v>664</v>
      </c>
      <c r="AE396" s="14">
        <v>-313</v>
      </c>
      <c r="AG396" s="14">
        <v>857</v>
      </c>
      <c r="AJ396" s="14">
        <v>409</v>
      </c>
      <c r="AL396" s="14">
        <v>832</v>
      </c>
      <c r="AM396" s="14">
        <v>-329</v>
      </c>
      <c r="AN396" s="14">
        <v>-2</v>
      </c>
      <c r="AP396" s="14">
        <v>94</v>
      </c>
      <c r="AQ396" s="14">
        <v>-19</v>
      </c>
      <c r="AR396" s="14">
        <v>-870</v>
      </c>
      <c r="AS396" s="14">
        <v>432</v>
      </c>
      <c r="AT396" s="14">
        <v>377</v>
      </c>
      <c r="AU396" s="14">
        <v>37</v>
      </c>
      <c r="AV396" s="14">
        <v>5</v>
      </c>
      <c r="AW396" s="14">
        <v>-292</v>
      </c>
      <c r="AX396" s="14">
        <v>422</v>
      </c>
      <c r="AY396" s="14">
        <v>54</v>
      </c>
      <c r="AZ396" s="14">
        <v>-64</v>
      </c>
      <c r="BA396" s="14">
        <v>129</v>
      </c>
      <c r="BB396" s="14">
        <v>1505</v>
      </c>
      <c r="BD396" s="14">
        <v>13</v>
      </c>
      <c r="BE396" s="14">
        <v>304</v>
      </c>
    </row>
    <row r="397" spans="7:57" x14ac:dyDescent="0.25">
      <c r="G397" s="14">
        <v>5179</v>
      </c>
      <c r="H397" s="14">
        <v>-729</v>
      </c>
      <c r="I397" s="14">
        <v>568</v>
      </c>
      <c r="M397" s="14">
        <v>95</v>
      </c>
      <c r="X397" s="14">
        <v>-37</v>
      </c>
      <c r="AB397" s="14">
        <v>492</v>
      </c>
      <c r="AE397" s="14">
        <v>108</v>
      </c>
      <c r="AG397" s="14">
        <v>-364</v>
      </c>
      <c r="AJ397" s="14">
        <v>338</v>
      </c>
      <c r="AL397" s="14">
        <v>-547</v>
      </c>
      <c r="AM397" s="14">
        <v>-334</v>
      </c>
      <c r="AN397" s="14">
        <v>-9</v>
      </c>
      <c r="AP397" s="14">
        <v>-106</v>
      </c>
      <c r="AQ397" s="14">
        <v>-24</v>
      </c>
      <c r="AR397" s="14">
        <v>-310</v>
      </c>
      <c r="AS397" s="14">
        <v>962</v>
      </c>
      <c r="AT397" s="14">
        <v>-84</v>
      </c>
      <c r="AU397" s="14">
        <v>-9</v>
      </c>
      <c r="AV397" s="14">
        <v>17</v>
      </c>
      <c r="AW397" s="14">
        <v>-639</v>
      </c>
      <c r="AX397" s="14">
        <v>376</v>
      </c>
      <c r="AY397" s="14">
        <v>115</v>
      </c>
      <c r="AZ397" s="14">
        <v>195</v>
      </c>
      <c r="BA397" s="14">
        <v>830</v>
      </c>
      <c r="BB397" s="14">
        <v>-6</v>
      </c>
      <c r="BD397" s="14">
        <v>-1</v>
      </c>
      <c r="BE397" s="14">
        <v>611</v>
      </c>
    </row>
    <row r="398" spans="7:57" x14ac:dyDescent="0.25">
      <c r="G398" s="14">
        <v>5137</v>
      </c>
      <c r="H398" s="14">
        <v>-214</v>
      </c>
      <c r="I398" s="14">
        <v>-219</v>
      </c>
      <c r="M398" s="14">
        <v>888</v>
      </c>
      <c r="X398" s="14">
        <v>-197</v>
      </c>
      <c r="AB398" s="14">
        <v>838</v>
      </c>
      <c r="AE398" s="14">
        <v>374</v>
      </c>
      <c r="AG398" s="14">
        <v>-245</v>
      </c>
      <c r="AJ398" s="14">
        <v>199</v>
      </c>
      <c r="AL398" s="14">
        <v>-188</v>
      </c>
      <c r="AM398" s="14">
        <v>-290</v>
      </c>
      <c r="AN398" s="14">
        <v>-10</v>
      </c>
      <c r="AP398" s="14">
        <v>9</v>
      </c>
      <c r="AQ398" s="14">
        <v>-21</v>
      </c>
      <c r="AR398" s="14">
        <v>-530</v>
      </c>
      <c r="AS398" s="14">
        <v>493</v>
      </c>
      <c r="AT398" s="14">
        <v>462</v>
      </c>
      <c r="AU398" s="14">
        <v>6</v>
      </c>
      <c r="AV398" s="14">
        <v>13</v>
      </c>
      <c r="AW398" s="14">
        <v>-299</v>
      </c>
      <c r="AX398" s="14">
        <v>237</v>
      </c>
      <c r="AY398" s="14">
        <v>-33</v>
      </c>
      <c r="AZ398" s="14">
        <v>128</v>
      </c>
      <c r="BA398" s="14">
        <v>218</v>
      </c>
      <c r="BB398" s="14">
        <v>7</v>
      </c>
      <c r="BD398" s="14">
        <v>-2</v>
      </c>
      <c r="BE398" s="14">
        <v>411</v>
      </c>
    </row>
    <row r="399" spans="7:57" x14ac:dyDescent="0.25">
      <c r="G399" s="14">
        <v>5220</v>
      </c>
      <c r="H399" s="14">
        <v>-189</v>
      </c>
      <c r="I399" s="14">
        <v>522</v>
      </c>
      <c r="M399" s="14">
        <v>-247</v>
      </c>
      <c r="X399" s="14">
        <v>298</v>
      </c>
      <c r="AB399" s="14">
        <v>-46</v>
      </c>
      <c r="AE399" s="14">
        <v>261</v>
      </c>
      <c r="AG399" s="14">
        <v>710</v>
      </c>
      <c r="AJ399" s="14">
        <v>667</v>
      </c>
      <c r="AL399" s="14">
        <v>-105</v>
      </c>
      <c r="AM399" s="14">
        <v>-191</v>
      </c>
      <c r="AN399" s="14">
        <v>-18</v>
      </c>
      <c r="AP399" s="14">
        <v>7</v>
      </c>
      <c r="AQ399" s="14">
        <v>83</v>
      </c>
      <c r="AR399" s="14">
        <v>300</v>
      </c>
      <c r="AS399" s="14">
        <v>-111</v>
      </c>
      <c r="AT399" s="14">
        <v>209</v>
      </c>
      <c r="AU399" s="14">
        <v>-5</v>
      </c>
      <c r="AV399" s="14">
        <v>-130</v>
      </c>
      <c r="AW399" s="14">
        <v>156</v>
      </c>
      <c r="AX399" s="14">
        <v>256</v>
      </c>
      <c r="AY399" s="14">
        <v>-588</v>
      </c>
      <c r="AZ399" s="14">
        <v>79</v>
      </c>
      <c r="BA399" s="14">
        <v>261</v>
      </c>
      <c r="BB399" s="14">
        <v>31</v>
      </c>
      <c r="BD399" s="14">
        <v>-8</v>
      </c>
      <c r="BE399" s="14">
        <v>416</v>
      </c>
    </row>
    <row r="400" spans="7:57" x14ac:dyDescent="0.25">
      <c r="G400" s="14">
        <v>5103</v>
      </c>
      <c r="H400" s="14">
        <v>-111</v>
      </c>
      <c r="I400" s="14">
        <v>-495</v>
      </c>
      <c r="M400" s="14">
        <v>-23</v>
      </c>
      <c r="X400" s="14">
        <v>826</v>
      </c>
      <c r="AB400" s="14">
        <v>-247</v>
      </c>
      <c r="AE400" s="14">
        <v>-232</v>
      </c>
      <c r="AG400" s="14">
        <v>329</v>
      </c>
      <c r="AJ400" s="14">
        <v>-205</v>
      </c>
      <c r="AL400" s="14">
        <v>-656</v>
      </c>
      <c r="AM400" s="14">
        <v>-77</v>
      </c>
      <c r="AN400" s="14">
        <v>-9</v>
      </c>
      <c r="AP400" s="14">
        <v>-7</v>
      </c>
      <c r="AQ400" s="14">
        <v>13</v>
      </c>
      <c r="AR400" s="14">
        <v>-930</v>
      </c>
      <c r="AS400" s="14">
        <v>-176</v>
      </c>
      <c r="AT400" s="14">
        <v>909</v>
      </c>
      <c r="AU400" s="14">
        <v>9</v>
      </c>
      <c r="AV400" s="14">
        <v>4</v>
      </c>
      <c r="AW400" s="14">
        <v>253</v>
      </c>
      <c r="AX400" s="14">
        <v>-68</v>
      </c>
      <c r="AY400" s="14">
        <v>-790</v>
      </c>
      <c r="AZ400" s="14">
        <v>-49</v>
      </c>
      <c r="BA400" s="14">
        <v>415</v>
      </c>
      <c r="BB400" s="14">
        <v>2720</v>
      </c>
      <c r="BD400" s="14">
        <v>-6</v>
      </c>
      <c r="BE400" s="14">
        <v>311</v>
      </c>
    </row>
    <row r="401" spans="7:57" x14ac:dyDescent="0.25">
      <c r="G401" s="14">
        <v>-3797</v>
      </c>
      <c r="H401" s="14">
        <v>-198</v>
      </c>
      <c r="I401" s="14">
        <v>146</v>
      </c>
      <c r="M401" s="14">
        <v>131</v>
      </c>
      <c r="X401" s="14">
        <v>211</v>
      </c>
      <c r="AB401" s="14">
        <v>185</v>
      </c>
      <c r="AE401" s="14">
        <v>-926</v>
      </c>
      <c r="AG401" s="14">
        <v>-404</v>
      </c>
      <c r="AJ401" s="14">
        <v>331</v>
      </c>
      <c r="AL401" s="14">
        <v>-551</v>
      </c>
      <c r="AM401" s="14">
        <v>-149</v>
      </c>
      <c r="AN401" s="14">
        <v>-5</v>
      </c>
      <c r="AP401" s="14">
        <v>35</v>
      </c>
      <c r="AQ401" s="14">
        <v>-21</v>
      </c>
      <c r="AR401" s="14">
        <v>-870</v>
      </c>
      <c r="AS401" s="14">
        <v>-287</v>
      </c>
      <c r="AT401" s="14">
        <v>462</v>
      </c>
      <c r="AU401" s="14">
        <v>-15</v>
      </c>
      <c r="AV401" s="14">
        <v>-16</v>
      </c>
      <c r="AW401" s="14">
        <v>201</v>
      </c>
      <c r="AX401" s="14">
        <v>7</v>
      </c>
      <c r="AY401" s="14">
        <v>-282</v>
      </c>
      <c r="AZ401" s="14">
        <v>-65</v>
      </c>
      <c r="BA401" s="14">
        <v>616</v>
      </c>
      <c r="BB401" s="14">
        <v>-40</v>
      </c>
      <c r="BD401" s="14">
        <v>-8</v>
      </c>
      <c r="BE401" s="14">
        <v>220</v>
      </c>
    </row>
    <row r="402" spans="7:57" x14ac:dyDescent="0.25">
      <c r="G402" s="14">
        <v>-3885</v>
      </c>
      <c r="H402" s="14">
        <v>-166</v>
      </c>
      <c r="I402" s="14">
        <v>109</v>
      </c>
      <c r="M402" s="14">
        <v>240</v>
      </c>
      <c r="X402" s="14">
        <v>215</v>
      </c>
      <c r="AB402" s="14">
        <v>152</v>
      </c>
      <c r="AE402" s="14">
        <v>370</v>
      </c>
      <c r="AG402" s="14">
        <v>247</v>
      </c>
      <c r="AJ402" s="14">
        <v>680</v>
      </c>
      <c r="AL402" s="14">
        <v>-673</v>
      </c>
      <c r="AM402" s="14">
        <v>-39</v>
      </c>
      <c r="AN402" s="14">
        <v>-2</v>
      </c>
      <c r="AP402" s="14">
        <v>48</v>
      </c>
      <c r="AQ402" s="14">
        <v>82</v>
      </c>
      <c r="AR402" s="14">
        <v>100</v>
      </c>
      <c r="AS402" s="14">
        <v>-455</v>
      </c>
      <c r="AT402" s="14">
        <v>33</v>
      </c>
      <c r="AU402" s="14">
        <v>16</v>
      </c>
      <c r="AV402" s="14">
        <v>-46</v>
      </c>
      <c r="AW402" s="14">
        <v>103</v>
      </c>
      <c r="AX402" s="14">
        <v>-204</v>
      </c>
      <c r="AY402" s="14">
        <v>-671</v>
      </c>
      <c r="AZ402" s="14">
        <v>-92</v>
      </c>
      <c r="BA402" s="14">
        <v>735</v>
      </c>
      <c r="BB402" s="14">
        <v>22</v>
      </c>
      <c r="BD402" s="14">
        <v>-8</v>
      </c>
      <c r="BE402" s="14">
        <v>116</v>
      </c>
    </row>
    <row r="403" spans="7:57" x14ac:dyDescent="0.25">
      <c r="G403" s="14">
        <v>-8797</v>
      </c>
      <c r="H403" s="14">
        <v>-679</v>
      </c>
      <c r="I403" s="14">
        <v>736</v>
      </c>
      <c r="M403" s="14">
        <v>302</v>
      </c>
      <c r="X403" s="14">
        <v>33</v>
      </c>
      <c r="AB403" s="14">
        <v>22</v>
      </c>
      <c r="AE403" s="14">
        <v>63</v>
      </c>
      <c r="AG403" s="14">
        <v>119</v>
      </c>
      <c r="AJ403" s="14">
        <v>-590</v>
      </c>
      <c r="AL403" s="14">
        <v>-135</v>
      </c>
      <c r="AM403" s="14">
        <v>-117</v>
      </c>
      <c r="AN403" s="14">
        <v>-14</v>
      </c>
      <c r="AP403" s="14">
        <v>102</v>
      </c>
      <c r="AQ403" s="14">
        <v>12</v>
      </c>
      <c r="AR403" s="14">
        <v>-180</v>
      </c>
      <c r="AS403" s="14">
        <v>108</v>
      </c>
      <c r="AT403" s="14">
        <v>121</v>
      </c>
      <c r="AU403" s="14">
        <v>-11</v>
      </c>
      <c r="AV403" s="14">
        <v>-62</v>
      </c>
      <c r="AW403" s="14">
        <v>86</v>
      </c>
      <c r="AX403" s="14">
        <v>-34</v>
      </c>
      <c r="AY403" s="14">
        <v>-45</v>
      </c>
      <c r="AZ403" s="14">
        <v>59</v>
      </c>
      <c r="BA403" s="14">
        <v>-146</v>
      </c>
      <c r="BB403" s="14">
        <v>51</v>
      </c>
      <c r="BD403" s="14">
        <v>-8</v>
      </c>
      <c r="BE403" s="14">
        <v>260</v>
      </c>
    </row>
    <row r="404" spans="7:57" x14ac:dyDescent="0.25">
      <c r="G404" s="14">
        <v>761</v>
      </c>
      <c r="H404" s="14">
        <v>-632</v>
      </c>
      <c r="I404" s="14">
        <v>213</v>
      </c>
      <c r="M404" s="14">
        <v>278</v>
      </c>
      <c r="X404" s="14">
        <v>-151</v>
      </c>
      <c r="AB404" s="14">
        <v>161</v>
      </c>
      <c r="AE404" s="14">
        <v>-225</v>
      </c>
      <c r="AG404" s="14">
        <v>209</v>
      </c>
      <c r="AJ404" s="14">
        <v>-986</v>
      </c>
      <c r="AL404" s="14">
        <v>-214</v>
      </c>
      <c r="AM404" s="14">
        <v>-117</v>
      </c>
      <c r="AN404" s="14">
        <v>-19</v>
      </c>
      <c r="AP404" s="14">
        <v>121</v>
      </c>
      <c r="AQ404" s="14">
        <v>147</v>
      </c>
      <c r="AR404" s="14">
        <v>-316</v>
      </c>
      <c r="AS404" s="14">
        <v>493</v>
      </c>
      <c r="AT404" s="14">
        <v>-692</v>
      </c>
      <c r="AU404" s="14">
        <v>3</v>
      </c>
      <c r="AV404" s="14">
        <v>42</v>
      </c>
      <c r="AW404" s="14">
        <v>-427</v>
      </c>
      <c r="AX404" s="14">
        <v>-110</v>
      </c>
      <c r="AY404" s="14">
        <v>103</v>
      </c>
      <c r="AZ404" s="14">
        <v>127</v>
      </c>
      <c r="BA404" s="14">
        <v>-277</v>
      </c>
      <c r="BB404" s="14">
        <v>2454</v>
      </c>
      <c r="BD404" s="14">
        <v>4</v>
      </c>
      <c r="BE404" s="14">
        <v>134</v>
      </c>
    </row>
    <row r="405" spans="7:57" x14ac:dyDescent="0.25">
      <c r="G405" s="14">
        <v>844</v>
      </c>
      <c r="H405" s="14">
        <v>464</v>
      </c>
      <c r="I405" s="14">
        <v>-677</v>
      </c>
      <c r="M405" s="14">
        <v>238</v>
      </c>
      <c r="X405" s="14">
        <v>286</v>
      </c>
      <c r="AB405" s="14">
        <v>8</v>
      </c>
      <c r="AE405" s="14">
        <v>548</v>
      </c>
      <c r="AG405" s="14">
        <v>273</v>
      </c>
      <c r="AJ405" s="14">
        <v>-382</v>
      </c>
      <c r="AL405" s="14">
        <v>-914</v>
      </c>
      <c r="AM405" s="14">
        <v>-136</v>
      </c>
      <c r="AN405" s="14">
        <v>-27</v>
      </c>
      <c r="AP405" s="14">
        <v>52</v>
      </c>
      <c r="AQ405" s="14">
        <v>-3</v>
      </c>
      <c r="AR405" s="14">
        <v>522</v>
      </c>
      <c r="AS405" s="14">
        <v>192</v>
      </c>
      <c r="AT405" s="14">
        <v>145</v>
      </c>
      <c r="AU405" s="14">
        <v>13</v>
      </c>
      <c r="AV405" s="14">
        <v>19</v>
      </c>
      <c r="AW405" s="14">
        <v>235</v>
      </c>
      <c r="AX405" s="14">
        <v>-534</v>
      </c>
      <c r="AY405" s="14">
        <v>-244</v>
      </c>
      <c r="AZ405" s="14">
        <v>-92</v>
      </c>
      <c r="BA405" s="14">
        <v>212</v>
      </c>
      <c r="BB405" s="14">
        <v>-31</v>
      </c>
      <c r="BD405" s="14">
        <v>-5</v>
      </c>
      <c r="BE405" s="14">
        <v>365</v>
      </c>
    </row>
    <row r="406" spans="7:57" x14ac:dyDescent="0.25">
      <c r="G406" s="14">
        <v>-186</v>
      </c>
      <c r="H406" s="14">
        <v>465</v>
      </c>
      <c r="I406" s="14">
        <v>215</v>
      </c>
      <c r="M406" s="14">
        <v>145</v>
      </c>
      <c r="X406" s="14">
        <v>131</v>
      </c>
      <c r="AB406" s="14">
        <v>50</v>
      </c>
      <c r="AE406" s="14">
        <v>47</v>
      </c>
      <c r="AG406" s="14">
        <v>-729</v>
      </c>
      <c r="AJ406" s="14">
        <v>-738</v>
      </c>
      <c r="AL406" s="14">
        <v>-229</v>
      </c>
      <c r="AM406" s="14">
        <v>28</v>
      </c>
      <c r="AN406" s="14">
        <v>-13</v>
      </c>
      <c r="AP406" s="14">
        <v>101</v>
      </c>
      <c r="AQ406" s="14">
        <v>-22</v>
      </c>
      <c r="AR406" s="14">
        <v>522</v>
      </c>
      <c r="AS406" s="14">
        <v>144</v>
      </c>
      <c r="AT406" s="14">
        <v>932</v>
      </c>
      <c r="AU406" s="14">
        <v>28</v>
      </c>
      <c r="AV406" s="14">
        <v>-24</v>
      </c>
      <c r="AW406" s="14">
        <v>241</v>
      </c>
      <c r="AX406" s="14">
        <v>-57</v>
      </c>
      <c r="AY406" s="14">
        <v>-97</v>
      </c>
      <c r="AZ406" s="14">
        <v>-78</v>
      </c>
      <c r="BA406" s="14">
        <v>30</v>
      </c>
      <c r="BB406" s="14">
        <v>2</v>
      </c>
      <c r="BD406" s="14">
        <v>8</v>
      </c>
      <c r="BE406" s="14">
        <v>61</v>
      </c>
    </row>
    <row r="407" spans="7:57" x14ac:dyDescent="0.25">
      <c r="G407" s="14">
        <v>3267</v>
      </c>
      <c r="H407" s="14">
        <v>203</v>
      </c>
      <c r="I407" s="14">
        <v>440</v>
      </c>
      <c r="M407" s="14">
        <v>106</v>
      </c>
      <c r="X407" s="14">
        <v>533</v>
      </c>
      <c r="AB407" s="14">
        <v>368</v>
      </c>
      <c r="AE407" s="14">
        <v>-88</v>
      </c>
      <c r="AG407" s="14">
        <v>194</v>
      </c>
      <c r="AJ407" s="14">
        <v>-452</v>
      </c>
      <c r="AL407" s="14">
        <v>-791</v>
      </c>
      <c r="AM407" s="14">
        <v>5</v>
      </c>
      <c r="AN407" s="14">
        <v>-5</v>
      </c>
      <c r="AP407" s="14">
        <v>254</v>
      </c>
      <c r="AQ407" s="14">
        <v>-19</v>
      </c>
      <c r="AR407" s="14">
        <v>441</v>
      </c>
      <c r="AS407" s="14">
        <v>208</v>
      </c>
      <c r="AT407" s="14">
        <v>391</v>
      </c>
      <c r="AU407" s="14">
        <v>9</v>
      </c>
      <c r="AV407" s="14">
        <v>173</v>
      </c>
      <c r="AW407" s="14">
        <v>874</v>
      </c>
      <c r="AX407" s="14">
        <v>-156</v>
      </c>
      <c r="AY407" s="14">
        <v>-105</v>
      </c>
      <c r="AZ407" s="14">
        <v>1</v>
      </c>
      <c r="BA407" s="14">
        <v>-113</v>
      </c>
      <c r="BB407" s="14">
        <v>41</v>
      </c>
      <c r="BD407" s="14">
        <v>67</v>
      </c>
      <c r="BE407" s="14">
        <v>274</v>
      </c>
    </row>
    <row r="408" spans="7:57" x14ac:dyDescent="0.25">
      <c r="G408" s="14">
        <v>1917</v>
      </c>
      <c r="H408" s="14">
        <v>513</v>
      </c>
      <c r="I408" s="14">
        <v>757</v>
      </c>
      <c r="M408" s="14">
        <v>-150</v>
      </c>
      <c r="X408" s="14">
        <v>-231</v>
      </c>
      <c r="AB408" s="14">
        <v>-16</v>
      </c>
      <c r="AE408" s="14">
        <v>352</v>
      </c>
      <c r="AG408" s="14">
        <v>263</v>
      </c>
      <c r="AJ408" s="14">
        <v>-63</v>
      </c>
      <c r="AL408" s="14">
        <v>307</v>
      </c>
      <c r="AM408" s="14">
        <v>41</v>
      </c>
      <c r="AN408" s="14">
        <v>778</v>
      </c>
      <c r="AP408" s="14">
        <v>97</v>
      </c>
      <c r="AQ408" s="14">
        <v>-26</v>
      </c>
      <c r="AR408" s="14">
        <v>-131</v>
      </c>
      <c r="AS408" s="14">
        <v>373</v>
      </c>
      <c r="AT408" s="14">
        <v>175</v>
      </c>
      <c r="AU408" s="14">
        <v>-2</v>
      </c>
      <c r="AV408" s="14">
        <v>-112</v>
      </c>
      <c r="AW408" s="14">
        <v>110</v>
      </c>
      <c r="AX408" s="14">
        <v>-150</v>
      </c>
      <c r="AY408" s="14">
        <v>-92</v>
      </c>
      <c r="AZ408" s="14">
        <v>186</v>
      </c>
      <c r="BA408" s="14">
        <v>-414</v>
      </c>
      <c r="BB408" s="14">
        <v>2619</v>
      </c>
      <c r="BD408" s="14">
        <v>547</v>
      </c>
      <c r="BE408" s="14">
        <v>134</v>
      </c>
    </row>
    <row r="409" spans="7:57" x14ac:dyDescent="0.25">
      <c r="G409" s="14">
        <v>4985</v>
      </c>
      <c r="H409" s="14">
        <v>444</v>
      </c>
      <c r="I409" s="14">
        <v>-233</v>
      </c>
      <c r="M409" s="14">
        <v>-136</v>
      </c>
      <c r="X409" s="14">
        <v>-619</v>
      </c>
      <c r="AB409" s="14">
        <v>726</v>
      </c>
      <c r="AE409" s="14">
        <v>-43</v>
      </c>
      <c r="AG409" s="14">
        <v>-968</v>
      </c>
      <c r="AJ409" s="14">
        <v>-70</v>
      </c>
      <c r="AL409" s="14">
        <v>-414</v>
      </c>
      <c r="AM409" s="14">
        <v>26</v>
      </c>
      <c r="AP409" s="14">
        <v>-74</v>
      </c>
      <c r="AQ409" s="14">
        <v>-19</v>
      </c>
      <c r="AR409" s="14">
        <v>-117</v>
      </c>
      <c r="AS409" s="14">
        <v>175</v>
      </c>
      <c r="AT409" s="14">
        <v>85</v>
      </c>
      <c r="AU409" s="14">
        <v>-9</v>
      </c>
      <c r="AV409" s="14">
        <v>-43</v>
      </c>
      <c r="AW409" s="14">
        <v>196</v>
      </c>
      <c r="AX409" s="14">
        <v>-19</v>
      </c>
      <c r="AY409" s="14">
        <v>-170</v>
      </c>
      <c r="AZ409" s="14">
        <v>-93</v>
      </c>
      <c r="BA409" s="14">
        <v>130</v>
      </c>
      <c r="BB409" s="14">
        <v>-90</v>
      </c>
      <c r="BD409" s="14">
        <v>13562</v>
      </c>
      <c r="BE409" s="14">
        <v>211</v>
      </c>
    </row>
    <row r="410" spans="7:57" x14ac:dyDescent="0.25">
      <c r="G410" s="14">
        <v>78</v>
      </c>
      <c r="H410" s="14">
        <v>146</v>
      </c>
      <c r="I410" s="14">
        <v>533</v>
      </c>
      <c r="M410" s="14">
        <v>64</v>
      </c>
      <c r="X410" s="14">
        <v>914</v>
      </c>
      <c r="AB410" s="14">
        <v>417</v>
      </c>
      <c r="AE410" s="14">
        <v>85</v>
      </c>
      <c r="AG410" s="14">
        <v>210</v>
      </c>
      <c r="AJ410" s="14">
        <v>238</v>
      </c>
      <c r="AL410" s="14">
        <v>132</v>
      </c>
      <c r="AM410" s="14">
        <v>71</v>
      </c>
      <c r="AP410" s="14">
        <v>-19</v>
      </c>
      <c r="AQ410" s="14">
        <v>106</v>
      </c>
      <c r="AR410" s="14">
        <v>-124</v>
      </c>
      <c r="AS410" s="14">
        <v>161</v>
      </c>
      <c r="AT410" s="14">
        <v>86</v>
      </c>
      <c r="AU410" s="14">
        <v>12</v>
      </c>
      <c r="AV410" s="14">
        <v>-66</v>
      </c>
      <c r="AW410" s="14">
        <v>-10</v>
      </c>
      <c r="AX410" s="14">
        <v>7</v>
      </c>
      <c r="AY410" s="14">
        <v>77</v>
      </c>
      <c r="AZ410" s="14">
        <v>31</v>
      </c>
      <c r="BA410" s="14">
        <v>182</v>
      </c>
      <c r="BB410" s="14">
        <v>36</v>
      </c>
      <c r="BD410" s="14">
        <v>-2</v>
      </c>
      <c r="BE410" s="14">
        <v>377</v>
      </c>
    </row>
    <row r="411" spans="7:57" x14ac:dyDescent="0.25">
      <c r="G411" s="14">
        <v>2182</v>
      </c>
      <c r="H411" s="14">
        <v>510</v>
      </c>
      <c r="I411" s="14">
        <v>271</v>
      </c>
      <c r="M411" s="14">
        <v>206</v>
      </c>
      <c r="X411" s="14">
        <v>254</v>
      </c>
      <c r="AB411" s="14">
        <v>-175</v>
      </c>
      <c r="AE411" s="14">
        <v>913</v>
      </c>
      <c r="AG411" s="14">
        <v>132</v>
      </c>
      <c r="AJ411" s="14">
        <v>-367</v>
      </c>
      <c r="AL411" s="14">
        <v>-193</v>
      </c>
      <c r="AM411" s="14">
        <v>-34</v>
      </c>
      <c r="AP411" s="14">
        <v>26</v>
      </c>
      <c r="AQ411" s="14">
        <v>-3</v>
      </c>
      <c r="AR411" s="14">
        <v>622</v>
      </c>
      <c r="AS411" s="14">
        <v>137</v>
      </c>
      <c r="AT411" s="14">
        <v>914</v>
      </c>
      <c r="AU411" s="14">
        <v>-8</v>
      </c>
      <c r="AV411" s="14">
        <v>30</v>
      </c>
      <c r="AW411" s="14">
        <v>134</v>
      </c>
      <c r="AX411" s="14">
        <v>60</v>
      </c>
      <c r="AY411" s="14">
        <v>67</v>
      </c>
      <c r="AZ411" s="14">
        <v>22</v>
      </c>
      <c r="BA411" s="14">
        <v>192</v>
      </c>
      <c r="BB411" s="14">
        <v>74</v>
      </c>
      <c r="BD411" s="14">
        <v>-8</v>
      </c>
      <c r="BE411" s="14">
        <v>430</v>
      </c>
    </row>
    <row r="412" spans="7:57" x14ac:dyDescent="0.25">
      <c r="G412" s="14">
        <v>105</v>
      </c>
      <c r="H412" s="14">
        <v>-45</v>
      </c>
      <c r="I412" s="14">
        <v>271</v>
      </c>
      <c r="M412" s="14">
        <v>290</v>
      </c>
      <c r="X412" s="14">
        <v>-10</v>
      </c>
      <c r="AB412" s="14">
        <v>268</v>
      </c>
      <c r="AE412" s="14">
        <v>21</v>
      </c>
      <c r="AG412" s="14">
        <v>454</v>
      </c>
      <c r="AJ412" s="14">
        <v>189</v>
      </c>
      <c r="AL412" s="14">
        <v>100</v>
      </c>
      <c r="AM412" s="14">
        <v>20</v>
      </c>
      <c r="AP412" s="14">
        <v>-28</v>
      </c>
      <c r="AQ412" s="14">
        <v>152</v>
      </c>
      <c r="AR412" s="14">
        <v>-138</v>
      </c>
      <c r="AS412" s="14">
        <v>166</v>
      </c>
      <c r="AT412" s="14">
        <v>817</v>
      </c>
      <c r="AU412" s="14">
        <v>24</v>
      </c>
      <c r="AV412" s="14">
        <v>22</v>
      </c>
      <c r="AW412" s="14">
        <v>216</v>
      </c>
      <c r="AX412" s="14">
        <v>-93</v>
      </c>
      <c r="AY412" s="14">
        <v>-4</v>
      </c>
      <c r="AZ412" s="14">
        <v>-11</v>
      </c>
      <c r="BA412" s="14">
        <v>200</v>
      </c>
      <c r="BB412" s="14">
        <v>2158</v>
      </c>
      <c r="BD412" s="14">
        <v>-2</v>
      </c>
      <c r="BE412" s="14">
        <v>142</v>
      </c>
    </row>
    <row r="413" spans="7:57" x14ac:dyDescent="0.25">
      <c r="G413" s="14">
        <v>1114</v>
      </c>
      <c r="H413" s="14">
        <v>147</v>
      </c>
      <c r="I413" s="14">
        <v>396</v>
      </c>
      <c r="M413" s="14">
        <v>318</v>
      </c>
      <c r="X413" s="14">
        <v>-210</v>
      </c>
      <c r="AB413" s="14">
        <v>-383</v>
      </c>
      <c r="AE413" s="14">
        <v>-426</v>
      </c>
      <c r="AG413" s="14">
        <v>132</v>
      </c>
      <c r="AJ413" s="14">
        <v>223</v>
      </c>
      <c r="AL413" s="14">
        <v>577</v>
      </c>
      <c r="AM413" s="14">
        <v>14</v>
      </c>
      <c r="AP413" s="14">
        <v>43</v>
      </c>
      <c r="AQ413" s="14">
        <v>-4</v>
      </c>
      <c r="AR413" s="14">
        <v>-559</v>
      </c>
      <c r="AS413" s="14">
        <v>520</v>
      </c>
      <c r="AT413" s="14">
        <v>-130</v>
      </c>
      <c r="AU413" s="14">
        <v>-10</v>
      </c>
      <c r="AV413" s="14">
        <v>4</v>
      </c>
      <c r="AW413" s="14">
        <v>-336</v>
      </c>
      <c r="AX413" s="14">
        <v>11</v>
      </c>
      <c r="AY413" s="14">
        <v>-143</v>
      </c>
      <c r="AZ413" s="14">
        <v>-106</v>
      </c>
      <c r="BA413" s="14">
        <v>202</v>
      </c>
      <c r="BB413" s="14">
        <v>-25</v>
      </c>
      <c r="BD413" s="14">
        <v>4</v>
      </c>
      <c r="BE413" s="14">
        <v>345</v>
      </c>
    </row>
    <row r="414" spans="7:57" x14ac:dyDescent="0.25">
      <c r="G414" s="14">
        <v>34</v>
      </c>
      <c r="H414" s="14">
        <v>559</v>
      </c>
      <c r="I414" s="14">
        <v>-104</v>
      </c>
      <c r="M414" s="14">
        <v>272</v>
      </c>
      <c r="X414" s="14">
        <v>-499</v>
      </c>
      <c r="AB414" s="14">
        <v>183</v>
      </c>
      <c r="AE414" s="14">
        <v>739</v>
      </c>
      <c r="AG414" s="14">
        <v>-545</v>
      </c>
      <c r="AJ414" s="14">
        <v>-225</v>
      </c>
      <c r="AL414" s="14">
        <v>547</v>
      </c>
      <c r="AM414" s="14">
        <v>25</v>
      </c>
      <c r="AP414" s="14">
        <v>75</v>
      </c>
      <c r="AQ414" s="14">
        <v>119</v>
      </c>
      <c r="AR414" s="14">
        <v>72</v>
      </c>
      <c r="AS414" s="14">
        <v>410</v>
      </c>
      <c r="AT414" s="14">
        <v>823</v>
      </c>
      <c r="AU414" s="14">
        <v>13</v>
      </c>
      <c r="AV414" s="14">
        <v>19</v>
      </c>
      <c r="AW414" s="14">
        <v>671</v>
      </c>
      <c r="AX414" s="14">
        <v>171</v>
      </c>
      <c r="AY414" s="14">
        <v>37</v>
      </c>
      <c r="AZ414" s="14">
        <v>313</v>
      </c>
      <c r="BA414" s="14">
        <v>205</v>
      </c>
      <c r="BB414" s="14">
        <v>7</v>
      </c>
      <c r="BD414" s="14">
        <v>2</v>
      </c>
      <c r="BE414" s="14">
        <v>266</v>
      </c>
    </row>
    <row r="415" spans="7:57" x14ac:dyDescent="0.25">
      <c r="H415" s="14">
        <v>560</v>
      </c>
      <c r="I415" s="14">
        <v>-495</v>
      </c>
      <c r="M415" s="14">
        <v>167</v>
      </c>
      <c r="X415" s="14">
        <v>279</v>
      </c>
      <c r="AB415" s="14">
        <v>958</v>
      </c>
      <c r="AE415" s="14">
        <v>253</v>
      </c>
      <c r="AG415" s="14">
        <v>197</v>
      </c>
      <c r="AJ415" s="14">
        <v>-391</v>
      </c>
      <c r="AL415" s="14">
        <v>389</v>
      </c>
      <c r="AM415" s="14">
        <v>-63</v>
      </c>
      <c r="AP415" s="14">
        <v>126</v>
      </c>
      <c r="AQ415" s="14">
        <v>-3</v>
      </c>
      <c r="AR415" s="14">
        <v>-60</v>
      </c>
      <c r="AS415" s="14">
        <v>-978</v>
      </c>
      <c r="AT415" s="14">
        <v>304</v>
      </c>
      <c r="AU415" s="14">
        <v>-2</v>
      </c>
      <c r="AV415" s="14">
        <v>33</v>
      </c>
      <c r="AW415" s="14">
        <v>134</v>
      </c>
      <c r="AX415" s="14">
        <v>39</v>
      </c>
      <c r="AY415" s="14">
        <v>7</v>
      </c>
      <c r="AZ415" s="14">
        <v>186</v>
      </c>
      <c r="BA415" s="14">
        <v>202</v>
      </c>
      <c r="BB415" s="14">
        <v>39</v>
      </c>
      <c r="BD415" s="14">
        <v>3</v>
      </c>
      <c r="BE415" s="14">
        <v>147</v>
      </c>
    </row>
    <row r="416" spans="7:57" x14ac:dyDescent="0.25">
      <c r="H416" s="14">
        <v>577</v>
      </c>
      <c r="I416" s="14">
        <v>146</v>
      </c>
      <c r="M416" s="14">
        <v>103</v>
      </c>
      <c r="X416" s="14">
        <v>473</v>
      </c>
      <c r="AB416" s="14">
        <v>-969</v>
      </c>
      <c r="AE416" s="14">
        <v>-27</v>
      </c>
      <c r="AG416" s="14">
        <v>317</v>
      </c>
      <c r="AJ416" s="14">
        <v>-740</v>
      </c>
      <c r="AL416" s="14">
        <v>-341</v>
      </c>
      <c r="AM416" s="14">
        <v>47</v>
      </c>
      <c r="AP416" s="14">
        <v>115</v>
      </c>
      <c r="AQ416" s="14">
        <v>11</v>
      </c>
      <c r="AR416" s="14">
        <v>-135</v>
      </c>
      <c r="AS416" s="14">
        <v>-984</v>
      </c>
      <c r="AT416" s="14">
        <v>878</v>
      </c>
      <c r="AU416" s="14">
        <v>-15</v>
      </c>
      <c r="AV416" s="14">
        <v>-10</v>
      </c>
      <c r="AW416" s="14">
        <v>-704</v>
      </c>
      <c r="AX416" s="14">
        <v>-64</v>
      </c>
      <c r="AY416" s="14">
        <v>-43</v>
      </c>
      <c r="AZ416" s="14">
        <v>80</v>
      </c>
      <c r="BA416" s="14">
        <v>201</v>
      </c>
      <c r="BB416" s="14">
        <v>2644</v>
      </c>
      <c r="BD416" s="14">
        <v>3</v>
      </c>
      <c r="BE416" s="14">
        <v>297</v>
      </c>
    </row>
    <row r="417" spans="8:57" x14ac:dyDescent="0.25">
      <c r="H417" s="14">
        <v>557</v>
      </c>
      <c r="I417" s="14">
        <v>309</v>
      </c>
      <c r="M417" s="14">
        <v>63</v>
      </c>
      <c r="X417" s="14">
        <v>-143</v>
      </c>
      <c r="AB417" s="14">
        <v>138</v>
      </c>
      <c r="AE417" s="14">
        <v>113</v>
      </c>
      <c r="AG417" s="14">
        <v>842</v>
      </c>
      <c r="AJ417" s="14">
        <v>-313</v>
      </c>
      <c r="AL417" s="14">
        <v>-7</v>
      </c>
      <c r="AM417" s="14">
        <v>18</v>
      </c>
      <c r="AP417" s="14">
        <v>-14</v>
      </c>
      <c r="AQ417" s="14">
        <v>55</v>
      </c>
      <c r="AR417" s="14">
        <v>133</v>
      </c>
      <c r="AS417" s="14">
        <v>-942</v>
      </c>
      <c r="AT417" s="14">
        <v>917</v>
      </c>
      <c r="AU417" s="14">
        <v>-19</v>
      </c>
      <c r="AV417" s="14">
        <v>-58</v>
      </c>
      <c r="AW417" s="14">
        <v>297</v>
      </c>
      <c r="AX417" s="14">
        <v>96</v>
      </c>
      <c r="AY417" s="14">
        <v>28</v>
      </c>
      <c r="AZ417" s="14">
        <v>-62</v>
      </c>
      <c r="BA417" s="14">
        <v>187</v>
      </c>
      <c r="BB417" s="14">
        <v>-42</v>
      </c>
      <c r="BD417" s="14">
        <v>5</v>
      </c>
      <c r="BE417" s="14">
        <v>559</v>
      </c>
    </row>
    <row r="418" spans="8:57" x14ac:dyDescent="0.25">
      <c r="H418" s="14">
        <v>560</v>
      </c>
      <c r="I418" s="14">
        <v>199</v>
      </c>
      <c r="M418" s="14">
        <v>121</v>
      </c>
      <c r="X418" s="14">
        <v>187</v>
      </c>
      <c r="AB418" s="14">
        <v>-48</v>
      </c>
      <c r="AE418" s="14">
        <v>678</v>
      </c>
      <c r="AG418" s="14">
        <v>-137</v>
      </c>
      <c r="AJ418" s="14">
        <v>-144</v>
      </c>
      <c r="AL418" s="14">
        <v>2</v>
      </c>
      <c r="AM418" s="14">
        <v>34</v>
      </c>
      <c r="AP418" s="14">
        <v>118</v>
      </c>
      <c r="AQ418" s="14">
        <v>53</v>
      </c>
      <c r="AR418" s="14">
        <v>134</v>
      </c>
      <c r="AS418" s="14">
        <v>-957</v>
      </c>
      <c r="AT418" s="14">
        <v>-201</v>
      </c>
      <c r="AU418" s="14">
        <v>5</v>
      </c>
      <c r="AV418" s="14">
        <v>24</v>
      </c>
      <c r="AW418" s="14">
        <v>-160</v>
      </c>
      <c r="AX418" s="14">
        <v>149</v>
      </c>
      <c r="AY418" s="14">
        <v>-253</v>
      </c>
      <c r="AZ418" s="14">
        <v>-83</v>
      </c>
      <c r="BA418" s="14">
        <v>198</v>
      </c>
      <c r="BB418" s="14">
        <v>22</v>
      </c>
      <c r="BD418" s="14">
        <v>13</v>
      </c>
      <c r="BE418" s="14">
        <v>498</v>
      </c>
    </row>
    <row r="419" spans="8:57" x14ac:dyDescent="0.25">
      <c r="H419" s="14">
        <v>709</v>
      </c>
      <c r="I419" s="14">
        <v>504</v>
      </c>
      <c r="M419" s="14">
        <v>159</v>
      </c>
      <c r="X419" s="14">
        <v>227</v>
      </c>
      <c r="AB419" s="14">
        <v>-335</v>
      </c>
      <c r="AE419" s="14">
        <v>632</v>
      </c>
      <c r="AG419" s="14">
        <v>-516</v>
      </c>
      <c r="AJ419" s="14">
        <v>413</v>
      </c>
      <c r="AL419" s="14">
        <v>14</v>
      </c>
      <c r="AM419" s="14">
        <v>-59</v>
      </c>
      <c r="AP419" s="14">
        <v>283</v>
      </c>
      <c r="AQ419" s="14">
        <v>47</v>
      </c>
      <c r="AR419" s="14">
        <v>-950</v>
      </c>
      <c r="AS419" s="14">
        <v>-428</v>
      </c>
      <c r="AT419" s="14">
        <v>-108</v>
      </c>
      <c r="AU419" s="14">
        <v>-1</v>
      </c>
      <c r="AV419" s="14">
        <v>1</v>
      </c>
      <c r="AW419" s="14">
        <v>-232</v>
      </c>
      <c r="AX419" s="14">
        <v>97</v>
      </c>
      <c r="AY419" s="14">
        <v>87</v>
      </c>
      <c r="AZ419" s="14">
        <v>-94</v>
      </c>
      <c r="BA419" s="14">
        <v>184</v>
      </c>
      <c r="BB419" s="14">
        <v>52</v>
      </c>
      <c r="BD419" s="14">
        <v>6</v>
      </c>
      <c r="BE419" s="14">
        <v>295</v>
      </c>
    </row>
    <row r="420" spans="8:57" x14ac:dyDescent="0.25">
      <c r="H420" s="14">
        <v>559</v>
      </c>
      <c r="I420" s="14">
        <v>-767</v>
      </c>
      <c r="M420" s="14">
        <v>188</v>
      </c>
      <c r="X420" s="14">
        <v>151</v>
      </c>
      <c r="AB420" s="14">
        <v>109</v>
      </c>
      <c r="AE420" s="14">
        <v>-227</v>
      </c>
      <c r="AG420" s="14">
        <v>231</v>
      </c>
      <c r="AJ420" s="14">
        <v>-132</v>
      </c>
      <c r="AL420" s="14">
        <v>645</v>
      </c>
      <c r="AM420" s="14">
        <v>-23</v>
      </c>
      <c r="AP420" s="14">
        <v>104</v>
      </c>
      <c r="AQ420" s="14">
        <v>37</v>
      </c>
      <c r="AR420" s="14">
        <v>-440</v>
      </c>
      <c r="AS420" s="14">
        <v>-357</v>
      </c>
      <c r="AT420" s="14">
        <v>103</v>
      </c>
      <c r="AU420" s="14">
        <v>27</v>
      </c>
      <c r="AV420" s="14">
        <v>-48</v>
      </c>
      <c r="AW420" s="14">
        <v>210</v>
      </c>
      <c r="AX420" s="14">
        <v>40</v>
      </c>
      <c r="AY420" s="14">
        <v>-111</v>
      </c>
      <c r="AZ420" s="14">
        <v>98</v>
      </c>
      <c r="BA420" s="14">
        <v>170</v>
      </c>
      <c r="BB420" s="14">
        <v>2443</v>
      </c>
      <c r="BD420" s="14">
        <v>4</v>
      </c>
      <c r="BE420" s="14">
        <v>198</v>
      </c>
    </row>
    <row r="421" spans="8:57" x14ac:dyDescent="0.25">
      <c r="H421" s="14">
        <v>559</v>
      </c>
      <c r="I421" s="14">
        <v>-118</v>
      </c>
      <c r="M421" s="14">
        <v>185</v>
      </c>
      <c r="X421" s="14">
        <v>486</v>
      </c>
      <c r="AB421" s="14">
        <v>-178</v>
      </c>
      <c r="AE421" s="14">
        <v>641</v>
      </c>
      <c r="AG421" s="14">
        <v>112</v>
      </c>
      <c r="AJ421" s="14">
        <v>-171</v>
      </c>
      <c r="AL421" s="14">
        <v>39</v>
      </c>
      <c r="AM421" s="14">
        <v>-13</v>
      </c>
      <c r="AP421" s="14">
        <v>157</v>
      </c>
      <c r="AQ421" s="14">
        <v>51</v>
      </c>
      <c r="AR421" s="14">
        <v>-460</v>
      </c>
      <c r="AS421" s="14">
        <v>-103</v>
      </c>
      <c r="AT421" s="14">
        <v>147</v>
      </c>
      <c r="AU421" s="14">
        <v>35</v>
      </c>
      <c r="AV421" s="14">
        <v>43</v>
      </c>
      <c r="AW421" s="14">
        <v>-436</v>
      </c>
      <c r="AX421" s="14">
        <v>59</v>
      </c>
      <c r="AY421" s="14">
        <v>-29</v>
      </c>
      <c r="AZ421" s="14">
        <v>128</v>
      </c>
      <c r="BA421" s="14">
        <v>136</v>
      </c>
      <c r="BB421" s="14">
        <v>-28</v>
      </c>
      <c r="BD421" s="14">
        <v>-26</v>
      </c>
      <c r="BE421" s="14">
        <v>125</v>
      </c>
    </row>
    <row r="422" spans="8:57" x14ac:dyDescent="0.25">
      <c r="H422" s="14">
        <v>615</v>
      </c>
      <c r="I422" s="14">
        <v>744</v>
      </c>
      <c r="M422" s="14">
        <v>165</v>
      </c>
      <c r="X422" s="14">
        <v>-191</v>
      </c>
      <c r="AB422" s="14">
        <v>80</v>
      </c>
      <c r="AE422" s="14">
        <v>22</v>
      </c>
      <c r="AG422" s="14">
        <v>887</v>
      </c>
      <c r="AJ422" s="14">
        <v>2</v>
      </c>
      <c r="AL422" s="14">
        <v>155</v>
      </c>
      <c r="AM422" s="14">
        <v>-5</v>
      </c>
      <c r="AP422" s="14">
        <v>-23</v>
      </c>
      <c r="AQ422" s="14">
        <v>78</v>
      </c>
      <c r="AR422" s="14">
        <v>312</v>
      </c>
      <c r="AS422" s="14">
        <v>-104</v>
      </c>
      <c r="AT422" s="14">
        <v>139</v>
      </c>
      <c r="AU422" s="14">
        <v>17</v>
      </c>
      <c r="AV422" s="14">
        <v>-72</v>
      </c>
      <c r="AW422" s="14">
        <v>105</v>
      </c>
      <c r="AX422" s="14">
        <v>-376</v>
      </c>
      <c r="AY422" s="14">
        <v>187</v>
      </c>
      <c r="AZ422" s="14">
        <v>20</v>
      </c>
      <c r="BA422" s="14">
        <v>-293</v>
      </c>
      <c r="BB422" s="14">
        <v>7</v>
      </c>
      <c r="BD422" s="14">
        <v>-29</v>
      </c>
      <c r="BE422" s="14">
        <v>119</v>
      </c>
    </row>
    <row r="423" spans="8:57" x14ac:dyDescent="0.25">
      <c r="H423" s="14">
        <v>617</v>
      </c>
      <c r="I423" s="14">
        <v>108</v>
      </c>
      <c r="M423" s="14">
        <v>130</v>
      </c>
      <c r="X423" s="14">
        <v>-389</v>
      </c>
      <c r="AB423" s="14">
        <v>257</v>
      </c>
      <c r="AE423" s="14">
        <v>-348</v>
      </c>
      <c r="AG423" s="14">
        <v>217</v>
      </c>
      <c r="AJ423" s="14">
        <v>292</v>
      </c>
      <c r="AL423" s="14">
        <v>-93</v>
      </c>
      <c r="AM423" s="14">
        <v>-104</v>
      </c>
      <c r="AP423" s="14">
        <v>108</v>
      </c>
      <c r="AQ423" s="14">
        <v>34</v>
      </c>
      <c r="AR423" s="14">
        <v>-53</v>
      </c>
      <c r="AS423" s="14">
        <v>-346</v>
      </c>
      <c r="AT423" s="14">
        <v>731</v>
      </c>
      <c r="AU423" s="14">
        <v>-17</v>
      </c>
      <c r="AV423" s="14">
        <v>-77</v>
      </c>
      <c r="AW423" s="14">
        <v>214</v>
      </c>
      <c r="AX423" s="14">
        <v>-312</v>
      </c>
      <c r="AY423" s="14">
        <v>1</v>
      </c>
      <c r="AZ423" s="14">
        <v>1</v>
      </c>
      <c r="BA423" s="14">
        <v>1041</v>
      </c>
      <c r="BB423" s="14">
        <v>40</v>
      </c>
      <c r="BD423" s="14">
        <v>-26</v>
      </c>
      <c r="BE423" s="14">
        <v>98</v>
      </c>
    </row>
    <row r="424" spans="8:57" x14ac:dyDescent="0.25">
      <c r="H424" s="14">
        <v>-35</v>
      </c>
      <c r="I424" s="14">
        <v>275</v>
      </c>
      <c r="M424" s="14">
        <v>77</v>
      </c>
      <c r="X424" s="14">
        <v>959</v>
      </c>
      <c r="AB424" s="14">
        <v>240</v>
      </c>
      <c r="AE424" s="14">
        <v>816</v>
      </c>
      <c r="AG424" s="14">
        <v>-191</v>
      </c>
      <c r="AJ424" s="14">
        <v>19</v>
      </c>
      <c r="AL424" s="14">
        <v>155</v>
      </c>
      <c r="AM424" s="14">
        <v>35</v>
      </c>
      <c r="AP424" s="14">
        <v>825</v>
      </c>
      <c r="AQ424" s="14">
        <v>25</v>
      </c>
      <c r="AR424" s="14">
        <v>-990</v>
      </c>
      <c r="AS424" s="14">
        <v>-334</v>
      </c>
      <c r="AT424" s="14">
        <v>211</v>
      </c>
      <c r="AU424" s="14">
        <v>75</v>
      </c>
      <c r="AV424" s="14">
        <v>-126</v>
      </c>
      <c r="AW424" s="14">
        <v>370</v>
      </c>
      <c r="AX424" s="14">
        <v>-94</v>
      </c>
      <c r="AY424" s="14">
        <v>-204</v>
      </c>
      <c r="AZ424" s="14">
        <v>-144</v>
      </c>
      <c r="BA424" s="14">
        <v>1448</v>
      </c>
      <c r="BB424" s="14">
        <v>2631</v>
      </c>
      <c r="BD424" s="14">
        <v>-26</v>
      </c>
      <c r="BE424" s="14">
        <v>89</v>
      </c>
    </row>
    <row r="425" spans="8:57" x14ac:dyDescent="0.25">
      <c r="H425" s="14">
        <v>-35</v>
      </c>
      <c r="I425" s="14">
        <v>693</v>
      </c>
      <c r="M425" s="14">
        <v>108</v>
      </c>
      <c r="X425" s="14">
        <v>155</v>
      </c>
      <c r="AB425" s="14">
        <v>-40</v>
      </c>
      <c r="AG425" s="14">
        <v>109</v>
      </c>
      <c r="AJ425" s="14">
        <v>12</v>
      </c>
      <c r="AL425" s="14">
        <v>-270</v>
      </c>
      <c r="AM425" s="14">
        <v>8</v>
      </c>
      <c r="AP425" s="14">
        <v>-699</v>
      </c>
      <c r="AQ425" s="14">
        <v>117</v>
      </c>
      <c r="AR425" s="14">
        <v>150</v>
      </c>
      <c r="AS425" s="14">
        <v>-936</v>
      </c>
      <c r="AT425" s="14">
        <v>336</v>
      </c>
      <c r="AU425" s="14">
        <v>48</v>
      </c>
      <c r="AV425" s="14">
        <v>-32</v>
      </c>
      <c r="AW425" s="14">
        <v>145</v>
      </c>
      <c r="AX425" s="14">
        <v>394</v>
      </c>
      <c r="AY425" s="14">
        <v>36</v>
      </c>
      <c r="AZ425" s="14">
        <v>7</v>
      </c>
      <c r="BA425" s="14">
        <v>59</v>
      </c>
      <c r="BB425" s="14">
        <v>-55</v>
      </c>
      <c r="BD425" s="14">
        <v>-19</v>
      </c>
      <c r="BE425" s="14">
        <v>-597</v>
      </c>
    </row>
    <row r="426" spans="8:57" x14ac:dyDescent="0.25">
      <c r="H426" s="14">
        <v>-82</v>
      </c>
      <c r="I426" s="14">
        <v>-633</v>
      </c>
      <c r="M426" s="14">
        <v>-691</v>
      </c>
      <c r="X426" s="14">
        <v>-205</v>
      </c>
      <c r="AB426" s="14">
        <v>11</v>
      </c>
      <c r="AG426" s="14">
        <v>-189</v>
      </c>
      <c r="AJ426" s="14">
        <v>4</v>
      </c>
      <c r="AL426" s="14">
        <v>807</v>
      </c>
      <c r="AM426" s="14">
        <v>-22</v>
      </c>
      <c r="AP426" s="14">
        <v>685</v>
      </c>
      <c r="AQ426" s="14">
        <v>-3</v>
      </c>
      <c r="AR426" s="14">
        <v>-70</v>
      </c>
      <c r="AS426" s="14">
        <v>-100</v>
      </c>
      <c r="AT426" s="14">
        <v>-48</v>
      </c>
      <c r="AU426" s="14">
        <v>21</v>
      </c>
      <c r="AV426" s="14">
        <v>-48</v>
      </c>
      <c r="AW426" s="14">
        <v>546</v>
      </c>
      <c r="AX426" s="14">
        <v>97</v>
      </c>
      <c r="AY426" s="14">
        <v>-187</v>
      </c>
      <c r="AZ426" s="14">
        <v>-12</v>
      </c>
      <c r="BA426" s="14">
        <v>58</v>
      </c>
      <c r="BB426" s="14">
        <v>26</v>
      </c>
      <c r="BD426" s="14">
        <v>-8</v>
      </c>
      <c r="BE426" s="14">
        <v>-59</v>
      </c>
    </row>
    <row r="427" spans="8:57" x14ac:dyDescent="0.25">
      <c r="H427" s="14">
        <v>-39</v>
      </c>
      <c r="I427" s="14">
        <v>-92</v>
      </c>
      <c r="M427" s="14">
        <v>-300</v>
      </c>
      <c r="X427" s="14">
        <v>166</v>
      </c>
      <c r="AB427" s="14">
        <v>971</v>
      </c>
      <c r="AG427" s="14">
        <v>-617</v>
      </c>
      <c r="AJ427" s="14">
        <v>9</v>
      </c>
      <c r="AL427" s="14">
        <v>-97</v>
      </c>
      <c r="AM427" s="14">
        <v>-74</v>
      </c>
      <c r="AP427" s="14">
        <v>116</v>
      </c>
      <c r="AQ427" s="14">
        <v>11</v>
      </c>
      <c r="AR427" s="14">
        <v>-323</v>
      </c>
      <c r="AS427" s="14">
        <v>-333</v>
      </c>
      <c r="AT427" s="14">
        <v>-296</v>
      </c>
      <c r="AU427" s="14">
        <v>-3</v>
      </c>
      <c r="AV427" s="14">
        <v>-117</v>
      </c>
      <c r="AW427" s="14">
        <v>202</v>
      </c>
      <c r="AX427" s="14">
        <v>208</v>
      </c>
      <c r="AY427" s="14">
        <v>-157</v>
      </c>
      <c r="AZ427" s="14">
        <v>7</v>
      </c>
      <c r="BA427" s="14">
        <v>546</v>
      </c>
      <c r="BB427" s="14">
        <v>58</v>
      </c>
      <c r="BD427" s="14">
        <v>-34</v>
      </c>
      <c r="BE427" s="14">
        <v>-331</v>
      </c>
    </row>
    <row r="428" spans="8:57" x14ac:dyDescent="0.25">
      <c r="H428" s="14">
        <v>-34</v>
      </c>
      <c r="I428" s="14">
        <v>243</v>
      </c>
      <c r="M428" s="14">
        <v>12</v>
      </c>
      <c r="X428" s="14">
        <v>564</v>
      </c>
      <c r="AB428" s="14">
        <v>762</v>
      </c>
      <c r="AG428" s="14">
        <v>322</v>
      </c>
      <c r="AJ428" s="14">
        <v>1</v>
      </c>
      <c r="AL428" s="14">
        <v>104</v>
      </c>
      <c r="AM428" s="14">
        <v>-28</v>
      </c>
      <c r="AP428" s="14">
        <v>222</v>
      </c>
      <c r="AQ428" s="14">
        <v>54</v>
      </c>
      <c r="AR428" s="14">
        <v>-214</v>
      </c>
      <c r="AS428" s="14">
        <v>-310</v>
      </c>
      <c r="AT428" s="14">
        <v>-181</v>
      </c>
      <c r="AU428" s="14">
        <v>21</v>
      </c>
      <c r="AV428" s="14">
        <v>-114</v>
      </c>
      <c r="AW428" s="14">
        <v>110</v>
      </c>
      <c r="AX428" s="14">
        <v>63</v>
      </c>
      <c r="AY428" s="14">
        <v>-95</v>
      </c>
      <c r="AZ428" s="14">
        <v>-30</v>
      </c>
      <c r="BA428" s="14">
        <v>909</v>
      </c>
      <c r="BB428" s="14">
        <v>2361</v>
      </c>
      <c r="BD428" s="14">
        <v>-25</v>
      </c>
      <c r="BE428" s="14">
        <v>-147</v>
      </c>
    </row>
    <row r="429" spans="8:57" x14ac:dyDescent="0.25">
      <c r="H429" s="14">
        <v>-22</v>
      </c>
      <c r="I429" s="14">
        <v>533</v>
      </c>
      <c r="M429" s="14">
        <v>234</v>
      </c>
      <c r="X429" s="14">
        <v>109</v>
      </c>
      <c r="AB429" s="14">
        <v>-173</v>
      </c>
      <c r="AG429" s="14">
        <v>454</v>
      </c>
      <c r="AJ429" s="14">
        <v>4</v>
      </c>
      <c r="AL429" s="14">
        <v>-140</v>
      </c>
      <c r="AM429" s="14">
        <v>-18</v>
      </c>
      <c r="AP429" s="14">
        <v>-246</v>
      </c>
      <c r="AQ429" s="14">
        <v>52</v>
      </c>
      <c r="AR429" s="14">
        <v>19</v>
      </c>
      <c r="AS429" s="14">
        <v>839</v>
      </c>
      <c r="AT429" s="14">
        <v>-418</v>
      </c>
      <c r="AU429" s="14">
        <v>89</v>
      </c>
      <c r="AV429" s="14">
        <v>-60</v>
      </c>
      <c r="AW429" s="14">
        <v>94</v>
      </c>
      <c r="AX429" s="14">
        <v>97</v>
      </c>
      <c r="AY429" s="14">
        <v>110</v>
      </c>
      <c r="AZ429" s="14">
        <v>8</v>
      </c>
      <c r="BA429" s="14">
        <v>800</v>
      </c>
      <c r="BB429" s="14">
        <v>-56</v>
      </c>
      <c r="BD429" s="14">
        <v>-12</v>
      </c>
      <c r="BE429" s="14">
        <v>50</v>
      </c>
    </row>
    <row r="430" spans="8:57" x14ac:dyDescent="0.25">
      <c r="H430" s="14">
        <v>-35</v>
      </c>
      <c r="I430" s="14">
        <v>-280</v>
      </c>
      <c r="M430" s="14">
        <v>378</v>
      </c>
      <c r="X430" s="14">
        <v>374</v>
      </c>
      <c r="AB430" s="14">
        <v>-204</v>
      </c>
      <c r="AG430" s="14">
        <v>917</v>
      </c>
      <c r="AJ430" s="14">
        <v>362</v>
      </c>
      <c r="AL430" s="14">
        <v>-221</v>
      </c>
      <c r="AM430" s="14">
        <v>-11</v>
      </c>
      <c r="AP430" s="14">
        <v>213</v>
      </c>
      <c r="AQ430" s="14">
        <v>47</v>
      </c>
      <c r="AR430" s="14">
        <v>-84</v>
      </c>
      <c r="AS430" s="14">
        <v>725</v>
      </c>
      <c r="AT430" s="14">
        <v>-106</v>
      </c>
      <c r="AU430" s="14">
        <v>39</v>
      </c>
      <c r="AV430" s="14">
        <v>19</v>
      </c>
      <c r="AW430" s="14">
        <v>-67</v>
      </c>
      <c r="AX430" s="14">
        <v>-116</v>
      </c>
      <c r="AY430" s="14">
        <v>104</v>
      </c>
      <c r="AZ430" s="14">
        <v>-43</v>
      </c>
      <c r="BA430" s="14">
        <v>823</v>
      </c>
      <c r="BB430" s="14">
        <v>23</v>
      </c>
      <c r="BD430" s="14">
        <v>-239</v>
      </c>
      <c r="BE430" s="14">
        <v>36</v>
      </c>
    </row>
    <row r="431" spans="8:57" x14ac:dyDescent="0.25">
      <c r="H431" s="14">
        <v>-64</v>
      </c>
      <c r="I431" s="14">
        <v>839</v>
      </c>
      <c r="M431" s="14">
        <v>432</v>
      </c>
      <c r="X431" s="14">
        <v>108</v>
      </c>
      <c r="AB431" s="14">
        <v>978</v>
      </c>
      <c r="AG431" s="14">
        <v>473</v>
      </c>
      <c r="AJ431" s="14">
        <v>-5</v>
      </c>
      <c r="AL431" s="14">
        <v>-138</v>
      </c>
      <c r="AM431" s="14">
        <v>-208</v>
      </c>
      <c r="AP431" s="14">
        <v>-263</v>
      </c>
      <c r="AQ431" s="14">
        <v>37</v>
      </c>
      <c r="AR431" s="14">
        <v>7</v>
      </c>
      <c r="AS431" s="14">
        <v>288</v>
      </c>
      <c r="AT431" s="14">
        <v>92</v>
      </c>
      <c r="AU431" s="14">
        <v>9</v>
      </c>
      <c r="AV431" s="14">
        <v>20</v>
      </c>
      <c r="AW431" s="14">
        <v>-33</v>
      </c>
      <c r="AX431" s="14">
        <v>-80</v>
      </c>
      <c r="AY431" s="14">
        <v>-158</v>
      </c>
      <c r="AZ431" s="14">
        <v>86</v>
      </c>
      <c r="BA431" s="14">
        <v>-147</v>
      </c>
      <c r="BB431" s="14">
        <v>58</v>
      </c>
      <c r="BD431" s="14">
        <v>-9193</v>
      </c>
      <c r="BE431" s="14">
        <v>39</v>
      </c>
    </row>
    <row r="432" spans="8:57" x14ac:dyDescent="0.25">
      <c r="H432" s="14">
        <v>18</v>
      </c>
      <c r="I432" s="14">
        <v>-162</v>
      </c>
      <c r="M432" s="14">
        <v>382</v>
      </c>
      <c r="X432" s="14">
        <v>-114</v>
      </c>
      <c r="AB432" s="14">
        <v>-275</v>
      </c>
      <c r="AG432" s="14">
        <v>764</v>
      </c>
      <c r="AJ432" s="14">
        <v>13</v>
      </c>
      <c r="AL432" s="14">
        <v>-873</v>
      </c>
      <c r="AM432" s="14">
        <v>-50</v>
      </c>
      <c r="AP432" s="14">
        <v>335</v>
      </c>
      <c r="AQ432" s="14">
        <v>51</v>
      </c>
      <c r="AR432" s="14">
        <v>-137</v>
      </c>
      <c r="AS432" s="14">
        <v>226</v>
      </c>
      <c r="AT432" s="14">
        <v>-128</v>
      </c>
      <c r="AU432" s="14">
        <v>47</v>
      </c>
      <c r="AV432" s="14">
        <v>-14</v>
      </c>
      <c r="AW432" s="14">
        <v>-92</v>
      </c>
      <c r="AX432" s="14">
        <v>21</v>
      </c>
      <c r="AY432" s="14">
        <v>-96</v>
      </c>
      <c r="AZ432" s="14">
        <v>18</v>
      </c>
      <c r="BA432" s="14">
        <v>-132</v>
      </c>
      <c r="BB432" s="14">
        <v>2108</v>
      </c>
      <c r="BD432" s="14">
        <v>-9</v>
      </c>
      <c r="BE432" s="14">
        <v>9</v>
      </c>
    </row>
    <row r="433" spans="8:57" x14ac:dyDescent="0.25">
      <c r="H433" s="14">
        <v>1</v>
      </c>
      <c r="I433" s="14">
        <v>671</v>
      </c>
      <c r="M433" s="14">
        <v>236</v>
      </c>
      <c r="X433" s="14">
        <v>787</v>
      </c>
      <c r="AB433" s="14">
        <v>228</v>
      </c>
      <c r="AG433" s="14">
        <v>-3</v>
      </c>
      <c r="AJ433" s="14">
        <v>4</v>
      </c>
      <c r="AL433" s="14">
        <v>-592</v>
      </c>
      <c r="AM433" s="14">
        <v>-104</v>
      </c>
      <c r="AP433" s="14">
        <v>-278</v>
      </c>
      <c r="AQ433" s="14">
        <v>78</v>
      </c>
      <c r="AR433" s="14">
        <v>164</v>
      </c>
      <c r="AS433" s="14">
        <v>333</v>
      </c>
      <c r="AT433" s="14">
        <v>-387</v>
      </c>
      <c r="AU433" s="14">
        <v>53</v>
      </c>
      <c r="AV433" s="14">
        <v>-12</v>
      </c>
      <c r="AW433" s="14">
        <v>-57</v>
      </c>
      <c r="AX433" s="14">
        <v>54</v>
      </c>
      <c r="AY433" s="14">
        <v>281</v>
      </c>
      <c r="AZ433" s="14">
        <v>-4</v>
      </c>
      <c r="BA433" s="14">
        <v>-124</v>
      </c>
      <c r="BB433" s="14">
        <v>-72</v>
      </c>
      <c r="BD433" s="14">
        <v>-8</v>
      </c>
      <c r="BE433" s="14">
        <v>-7</v>
      </c>
    </row>
    <row r="434" spans="8:57" x14ac:dyDescent="0.25">
      <c r="H434" s="14">
        <v>-62</v>
      </c>
      <c r="I434" s="14">
        <v>-174</v>
      </c>
      <c r="M434" s="14">
        <v>683</v>
      </c>
      <c r="X434" s="14">
        <v>718</v>
      </c>
      <c r="AB434" s="14">
        <v>-4</v>
      </c>
      <c r="AG434" s="14">
        <v>-954</v>
      </c>
      <c r="AJ434" s="14">
        <v>9</v>
      </c>
      <c r="AL434" s="14">
        <v>-169</v>
      </c>
      <c r="AM434" s="14">
        <v>-92</v>
      </c>
      <c r="AP434" s="14">
        <v>-84</v>
      </c>
      <c r="AQ434" s="14">
        <v>34</v>
      </c>
      <c r="AR434" s="14">
        <v>-175</v>
      </c>
      <c r="AS434" s="14">
        <v>436</v>
      </c>
      <c r="AT434" s="14">
        <v>-468</v>
      </c>
      <c r="AU434" s="14">
        <v>-12</v>
      </c>
      <c r="AV434" s="14">
        <v>-21</v>
      </c>
      <c r="AW434" s="14">
        <v>-109</v>
      </c>
      <c r="AX434" s="14">
        <v>272</v>
      </c>
      <c r="AY434" s="14">
        <v>-131</v>
      </c>
      <c r="AZ434" s="14">
        <v>-30</v>
      </c>
      <c r="BA434" s="14">
        <v>-42</v>
      </c>
      <c r="BB434" s="14">
        <v>66</v>
      </c>
      <c r="BD434" s="14">
        <v>5</v>
      </c>
      <c r="BE434" s="14">
        <v>-7</v>
      </c>
    </row>
    <row r="435" spans="8:57" x14ac:dyDescent="0.25">
      <c r="H435" s="14">
        <v>-62</v>
      </c>
      <c r="I435" s="14">
        <v>782</v>
      </c>
      <c r="M435" s="14">
        <v>83</v>
      </c>
      <c r="X435" s="14">
        <v>75</v>
      </c>
      <c r="AB435" s="14">
        <v>204</v>
      </c>
      <c r="AG435" s="14">
        <v>-119</v>
      </c>
      <c r="AJ435" s="14">
        <v>1</v>
      </c>
      <c r="AL435" s="14">
        <v>-572</v>
      </c>
      <c r="AM435" s="14">
        <v>-40</v>
      </c>
      <c r="AP435" s="14">
        <v>-587</v>
      </c>
      <c r="AQ435" s="14">
        <v>25</v>
      </c>
      <c r="AR435" s="14">
        <v>280</v>
      </c>
      <c r="AS435" s="14">
        <v>824</v>
      </c>
      <c r="AT435" s="14">
        <v>-308</v>
      </c>
      <c r="AU435" s="14">
        <v>31</v>
      </c>
      <c r="AV435" s="14">
        <v>-37</v>
      </c>
      <c r="AW435" s="14">
        <v>-27</v>
      </c>
      <c r="AX435" s="14">
        <v>52</v>
      </c>
      <c r="AY435" s="14">
        <v>-57</v>
      </c>
      <c r="AZ435" s="14">
        <v>83</v>
      </c>
      <c r="BA435" s="14">
        <v>-36</v>
      </c>
      <c r="BB435" s="14">
        <v>102</v>
      </c>
      <c r="BD435" s="14">
        <v>14</v>
      </c>
      <c r="BE435" s="14">
        <v>62</v>
      </c>
    </row>
    <row r="436" spans="8:57" x14ac:dyDescent="0.25">
      <c r="H436" s="14">
        <v>-63</v>
      </c>
      <c r="I436" s="14">
        <v>652</v>
      </c>
      <c r="M436" s="14">
        <v>140</v>
      </c>
      <c r="X436" s="14">
        <v>322</v>
      </c>
      <c r="AB436" s="14">
        <v>439</v>
      </c>
      <c r="AG436" s="14">
        <v>125</v>
      </c>
      <c r="AJ436" s="14">
        <v>-1</v>
      </c>
      <c r="AL436" s="14">
        <v>-236</v>
      </c>
      <c r="AM436" s="14">
        <v>31</v>
      </c>
      <c r="AP436" s="14">
        <v>-628</v>
      </c>
      <c r="AQ436" s="14">
        <v>1</v>
      </c>
      <c r="AR436" s="14">
        <v>104</v>
      </c>
      <c r="AS436" s="14">
        <v>702</v>
      </c>
      <c r="AT436" s="14">
        <v>-190</v>
      </c>
      <c r="AU436" s="14">
        <v>14</v>
      </c>
      <c r="AV436" s="14">
        <v>-55</v>
      </c>
      <c r="AW436" s="14">
        <v>-82</v>
      </c>
      <c r="AX436" s="14">
        <v>137</v>
      </c>
      <c r="AY436" s="14">
        <v>55</v>
      </c>
      <c r="AZ436" s="14">
        <v>-13</v>
      </c>
      <c r="BA436" s="14">
        <v>-56</v>
      </c>
      <c r="BB436" s="14">
        <v>1594</v>
      </c>
      <c r="BD436" s="14">
        <v>20</v>
      </c>
      <c r="BE436" s="14">
        <v>23</v>
      </c>
    </row>
    <row r="437" spans="8:57" x14ac:dyDescent="0.25">
      <c r="H437" s="14">
        <v>-62</v>
      </c>
      <c r="I437" s="14">
        <v>-514</v>
      </c>
      <c r="M437" s="14">
        <v>172</v>
      </c>
      <c r="X437" s="14">
        <v>-689</v>
      </c>
      <c r="AB437" s="14">
        <v>-317</v>
      </c>
      <c r="AG437" s="14">
        <v>316</v>
      </c>
      <c r="AJ437" s="14">
        <v>472</v>
      </c>
      <c r="AL437" s="14">
        <v>327</v>
      </c>
      <c r="AM437" s="14">
        <v>-36</v>
      </c>
      <c r="AP437" s="14">
        <v>-142</v>
      </c>
      <c r="AQ437" s="14">
        <v>68</v>
      </c>
      <c r="AR437" s="14">
        <v>90</v>
      </c>
      <c r="AS437" s="14">
        <v>-488</v>
      </c>
      <c r="AT437" s="14">
        <v>456</v>
      </c>
      <c r="AU437" s="14">
        <v>43</v>
      </c>
      <c r="AV437" s="14">
        <v>13</v>
      </c>
      <c r="AW437" s="14">
        <v>-32</v>
      </c>
      <c r="AX437" s="14">
        <v>157</v>
      </c>
      <c r="AY437" s="14">
        <v>-177</v>
      </c>
      <c r="AZ437" s="14">
        <v>42</v>
      </c>
      <c r="BA437" s="14">
        <v>-124</v>
      </c>
      <c r="BB437" s="14">
        <v>-40</v>
      </c>
      <c r="BD437" s="14">
        <v>15</v>
      </c>
      <c r="BE437" s="14">
        <v>51</v>
      </c>
    </row>
    <row r="438" spans="8:57" x14ac:dyDescent="0.25">
      <c r="H438" s="14">
        <v>-22</v>
      </c>
      <c r="I438" s="14">
        <v>570</v>
      </c>
      <c r="M438" s="14">
        <v>184</v>
      </c>
      <c r="X438" s="14">
        <v>-411</v>
      </c>
      <c r="AB438" s="14">
        <v>171</v>
      </c>
      <c r="AG438" s="14">
        <v>356</v>
      </c>
      <c r="AJ438" s="14">
        <v>-26</v>
      </c>
      <c r="AL438" s="14">
        <v>177</v>
      </c>
      <c r="AM438" s="14">
        <v>8</v>
      </c>
      <c r="AP438" s="14">
        <v>-653</v>
      </c>
      <c r="AQ438" s="14">
        <v>-2</v>
      </c>
      <c r="AR438" s="14">
        <v>-176</v>
      </c>
      <c r="AS438" s="14">
        <v>-435</v>
      </c>
      <c r="AT438" s="14">
        <v>592</v>
      </c>
      <c r="AU438" s="14">
        <v>46</v>
      </c>
      <c r="AV438" s="14">
        <v>1</v>
      </c>
      <c r="AW438" s="14">
        <v>-85</v>
      </c>
      <c r="AX438" s="14">
        <v>-24</v>
      </c>
      <c r="AY438" s="14">
        <v>-139</v>
      </c>
      <c r="AZ438" s="14">
        <v>25</v>
      </c>
      <c r="BA438" s="14">
        <v>-114</v>
      </c>
      <c r="BB438" s="14">
        <v>12</v>
      </c>
      <c r="BD438" s="14">
        <v>15</v>
      </c>
      <c r="BE438" s="14">
        <v>14</v>
      </c>
    </row>
    <row r="439" spans="8:57" x14ac:dyDescent="0.25">
      <c r="H439" s="14">
        <v>-62</v>
      </c>
      <c r="I439" s="14">
        <v>268</v>
      </c>
      <c r="M439" s="14">
        <v>189</v>
      </c>
      <c r="X439" s="14">
        <v>-144</v>
      </c>
      <c r="AB439" s="14">
        <v>-2</v>
      </c>
      <c r="AG439" s="14">
        <v>139</v>
      </c>
      <c r="AJ439" s="14">
        <v>10</v>
      </c>
      <c r="AL439" s="14">
        <v>-221</v>
      </c>
      <c r="AM439" s="14">
        <v>-130</v>
      </c>
      <c r="AP439" s="14">
        <v>-575</v>
      </c>
      <c r="AQ439" s="14">
        <v>106</v>
      </c>
      <c r="AR439" s="14">
        <v>175</v>
      </c>
      <c r="AS439" s="14">
        <v>-914</v>
      </c>
      <c r="AT439" s="14">
        <v>111</v>
      </c>
      <c r="AU439" s="14">
        <v>37</v>
      </c>
      <c r="AV439" s="14">
        <v>-51</v>
      </c>
      <c r="AW439" s="14">
        <v>-65</v>
      </c>
      <c r="AX439" s="14">
        <v>8</v>
      </c>
      <c r="AY439" s="14">
        <v>750</v>
      </c>
      <c r="AZ439" s="14">
        <v>12</v>
      </c>
      <c r="BA439" s="14">
        <v>-121</v>
      </c>
      <c r="BB439" s="14">
        <v>50</v>
      </c>
      <c r="BD439" s="14">
        <v>14</v>
      </c>
      <c r="BE439" s="14">
        <v>804</v>
      </c>
    </row>
    <row r="440" spans="8:57" x14ac:dyDescent="0.25">
      <c r="H440" s="14">
        <v>-62</v>
      </c>
      <c r="I440" s="14">
        <v>350</v>
      </c>
      <c r="M440" s="14">
        <v>163</v>
      </c>
      <c r="X440" s="14">
        <v>448</v>
      </c>
      <c r="AB440" s="14">
        <v>375</v>
      </c>
      <c r="AG440" s="14">
        <v>-634</v>
      </c>
      <c r="AJ440" s="14">
        <v>4</v>
      </c>
      <c r="AL440" s="14">
        <v>554</v>
      </c>
      <c r="AM440" s="14">
        <v>-62</v>
      </c>
      <c r="AP440" s="14">
        <v>-584</v>
      </c>
      <c r="AQ440" s="14">
        <v>-3</v>
      </c>
      <c r="AR440" s="14">
        <v>45</v>
      </c>
      <c r="AS440" s="14">
        <v>-562</v>
      </c>
      <c r="AT440" s="14">
        <v>515</v>
      </c>
      <c r="AU440" s="14">
        <v>-16</v>
      </c>
      <c r="AV440" s="14">
        <v>37</v>
      </c>
      <c r="AW440" s="14">
        <v>-62</v>
      </c>
      <c r="AX440" s="14">
        <v>-4</v>
      </c>
      <c r="AY440" s="14">
        <v>-56</v>
      </c>
      <c r="AZ440" s="14">
        <v>-59</v>
      </c>
      <c r="BA440" s="14">
        <v>624</v>
      </c>
      <c r="BB440" s="14">
        <v>2600</v>
      </c>
      <c r="BD440" s="14">
        <v>16</v>
      </c>
      <c r="BE440" s="14">
        <v>498</v>
      </c>
    </row>
    <row r="441" spans="8:57" x14ac:dyDescent="0.25">
      <c r="H441" s="14">
        <v>-44</v>
      </c>
      <c r="I441" s="14">
        <v>-227</v>
      </c>
      <c r="M441" s="14">
        <v>128</v>
      </c>
      <c r="X441" s="14">
        <v>12</v>
      </c>
      <c r="AB441" s="14">
        <v>549</v>
      </c>
      <c r="AG441" s="14">
        <v>-128</v>
      </c>
      <c r="AJ441" s="14">
        <v>-7</v>
      </c>
      <c r="AL441" s="14">
        <v>-209</v>
      </c>
      <c r="AM441" s="14">
        <v>-254</v>
      </c>
      <c r="AP441" s="14">
        <v>-550</v>
      </c>
      <c r="AQ441" s="14">
        <v>89</v>
      </c>
      <c r="AR441" s="14">
        <v>320</v>
      </c>
      <c r="AS441" s="14">
        <v>-561</v>
      </c>
      <c r="AT441" s="14">
        <v>188</v>
      </c>
      <c r="AU441" s="14">
        <v>18</v>
      </c>
      <c r="AV441" s="14">
        <v>-92</v>
      </c>
      <c r="AW441" s="14">
        <v>-55</v>
      </c>
      <c r="AX441" s="14">
        <v>-58</v>
      </c>
      <c r="AY441" s="14">
        <v>166</v>
      </c>
      <c r="AZ441" s="14">
        <v>7</v>
      </c>
      <c r="BA441" s="14">
        <v>719</v>
      </c>
      <c r="BB441" s="14">
        <v>-30</v>
      </c>
      <c r="BD441" s="14">
        <v>13</v>
      </c>
      <c r="BE441" s="14">
        <v>318</v>
      </c>
    </row>
    <row r="442" spans="8:57" x14ac:dyDescent="0.25">
      <c r="H442" s="14">
        <v>-44</v>
      </c>
      <c r="I442" s="14">
        <v>-280</v>
      </c>
      <c r="M442" s="14">
        <v>74</v>
      </c>
      <c r="X442" s="14">
        <v>-57</v>
      </c>
      <c r="AB442" s="14">
        <v>-271</v>
      </c>
      <c r="AG442" s="14">
        <v>-815</v>
      </c>
      <c r="AJ442" s="14">
        <v>7</v>
      </c>
      <c r="AL442" s="14">
        <v>720</v>
      </c>
      <c r="AM442" s="14">
        <v>-83</v>
      </c>
      <c r="AP442" s="14">
        <v>-193</v>
      </c>
      <c r="AQ442" s="14">
        <v>-2</v>
      </c>
      <c r="AR442" s="14">
        <v>-681</v>
      </c>
      <c r="AS442" s="14">
        <v>-533</v>
      </c>
      <c r="AT442" s="14">
        <v>116</v>
      </c>
      <c r="AU442" s="14">
        <v>-139</v>
      </c>
      <c r="AV442" s="14">
        <v>-60</v>
      </c>
      <c r="AW442" s="14">
        <v>-43</v>
      </c>
      <c r="AX442" s="14">
        <v>-63</v>
      </c>
      <c r="AY442" s="14">
        <v>202</v>
      </c>
      <c r="AZ442" s="14">
        <v>-6</v>
      </c>
      <c r="BA442" s="14">
        <v>682</v>
      </c>
      <c r="BB442" s="14">
        <v>20</v>
      </c>
      <c r="BD442" s="14">
        <v>14</v>
      </c>
      <c r="BE442" s="14">
        <v>389</v>
      </c>
    </row>
    <row r="443" spans="8:57" x14ac:dyDescent="0.25">
      <c r="H443" s="14">
        <v>28</v>
      </c>
      <c r="I443" s="14">
        <v>142</v>
      </c>
      <c r="M443" s="14">
        <v>113</v>
      </c>
      <c r="X443" s="14">
        <v>-229</v>
      </c>
      <c r="AB443" s="14">
        <v>3</v>
      </c>
      <c r="AG443" s="14">
        <v>-113</v>
      </c>
      <c r="AJ443" s="14">
        <v>75</v>
      </c>
      <c r="AL443" s="14">
        <v>-59</v>
      </c>
      <c r="AM443" s="14">
        <v>27</v>
      </c>
      <c r="AP443" s="14">
        <v>-428</v>
      </c>
      <c r="AQ443" s="14">
        <v>112</v>
      </c>
      <c r="AR443" s="14">
        <v>278</v>
      </c>
      <c r="AS443" s="14">
        <v>-605</v>
      </c>
      <c r="AT443" s="14">
        <v>718</v>
      </c>
      <c r="AU443" s="14">
        <v>564</v>
      </c>
      <c r="AV443" s="14">
        <v>-130</v>
      </c>
      <c r="AW443" s="14">
        <v>-36</v>
      </c>
      <c r="AX443" s="14">
        <v>-36</v>
      </c>
      <c r="AY443" s="14">
        <v>466</v>
      </c>
      <c r="AZ443" s="14">
        <v>15</v>
      </c>
      <c r="BA443" s="14">
        <v>1227</v>
      </c>
      <c r="BB443" s="14">
        <v>49</v>
      </c>
      <c r="BD443" s="14">
        <v>19</v>
      </c>
      <c r="BE443" s="14">
        <v>20</v>
      </c>
    </row>
    <row r="444" spans="8:57" x14ac:dyDescent="0.25">
      <c r="H444" s="14">
        <v>3</v>
      </c>
      <c r="I444" s="14">
        <v>501</v>
      </c>
      <c r="M444" s="14">
        <v>178</v>
      </c>
      <c r="X444" s="14">
        <v>-379</v>
      </c>
      <c r="AB444" s="14">
        <v>119</v>
      </c>
      <c r="AG444" s="14">
        <v>378</v>
      </c>
      <c r="AJ444" s="14">
        <v>75</v>
      </c>
      <c r="AL444" s="14">
        <v>389</v>
      </c>
      <c r="AM444" s="14">
        <v>24</v>
      </c>
      <c r="AP444" s="14">
        <v>-450</v>
      </c>
      <c r="AQ444" s="14">
        <v>57</v>
      </c>
      <c r="AR444" s="14">
        <v>-886</v>
      </c>
      <c r="AS444" s="14">
        <v>-404</v>
      </c>
      <c r="AT444" s="14">
        <v>165</v>
      </c>
      <c r="AU444" s="14">
        <v>38</v>
      </c>
      <c r="AV444" s="14">
        <v>-34</v>
      </c>
      <c r="AW444" s="14">
        <v>-53</v>
      </c>
      <c r="AX444" s="14">
        <v>5</v>
      </c>
      <c r="AY444" s="14">
        <v>-59</v>
      </c>
      <c r="AZ444" s="14">
        <v>-41</v>
      </c>
      <c r="BA444" s="14">
        <v>1645</v>
      </c>
      <c r="BB444" s="14">
        <v>2505</v>
      </c>
      <c r="BD444" s="14">
        <v>26</v>
      </c>
      <c r="BE444" s="14">
        <v>16</v>
      </c>
    </row>
    <row r="445" spans="8:57" x14ac:dyDescent="0.25">
      <c r="H445" s="14">
        <v>5</v>
      </c>
      <c r="I445" s="14">
        <v>209</v>
      </c>
      <c r="M445" s="14">
        <v>174</v>
      </c>
      <c r="X445" s="14">
        <v>290</v>
      </c>
      <c r="AB445" s="14">
        <v>113</v>
      </c>
      <c r="AG445" s="14">
        <v>411</v>
      </c>
      <c r="AJ445" s="14">
        <v>20</v>
      </c>
      <c r="AL445" s="14">
        <v>-104</v>
      </c>
      <c r="AM445" s="14">
        <v>-76</v>
      </c>
      <c r="AP445" s="14">
        <v>-106</v>
      </c>
      <c r="AQ445" s="14">
        <v>55</v>
      </c>
      <c r="AR445" s="14">
        <v>321</v>
      </c>
      <c r="AS445" s="14">
        <v>-571</v>
      </c>
      <c r="AT445" s="14">
        <v>419</v>
      </c>
      <c r="AU445" s="14">
        <v>323</v>
      </c>
      <c r="AV445" s="14">
        <v>-47</v>
      </c>
      <c r="AW445" s="14">
        <v>-73</v>
      </c>
      <c r="AX445" s="14">
        <v>3</v>
      </c>
      <c r="AY445" s="14">
        <v>613</v>
      </c>
      <c r="AZ445" s="14">
        <v>14</v>
      </c>
      <c r="BA445" s="14">
        <v>1648</v>
      </c>
      <c r="BB445" s="14">
        <v>-153</v>
      </c>
      <c r="BD445" s="14">
        <v>19</v>
      </c>
      <c r="BE445" s="14">
        <v>60</v>
      </c>
    </row>
    <row r="446" spans="8:57" x14ac:dyDescent="0.25">
      <c r="H446" s="14">
        <v>-704</v>
      </c>
      <c r="I446" s="14">
        <v>459</v>
      </c>
      <c r="M446" s="14">
        <v>159</v>
      </c>
      <c r="X446" s="14">
        <v>357</v>
      </c>
      <c r="AB446" s="14">
        <v>301</v>
      </c>
      <c r="AG446" s="14">
        <v>-101</v>
      </c>
      <c r="AJ446" s="14">
        <v>6</v>
      </c>
      <c r="AL446" s="14">
        <v>-208</v>
      </c>
      <c r="AM446" s="14">
        <v>10</v>
      </c>
      <c r="AP446" s="14">
        <v>-500</v>
      </c>
      <c r="AQ446" s="14">
        <v>46</v>
      </c>
      <c r="AR446" s="14">
        <v>-605</v>
      </c>
      <c r="AS446" s="14">
        <v>-509</v>
      </c>
      <c r="AT446" s="14">
        <v>-36</v>
      </c>
      <c r="AU446" s="14">
        <v>-502</v>
      </c>
      <c r="AV446" s="14">
        <v>-131</v>
      </c>
      <c r="AW446" s="14">
        <v>-50</v>
      </c>
      <c r="AX446" s="14">
        <v>62</v>
      </c>
      <c r="AY446" s="14">
        <v>557</v>
      </c>
      <c r="AZ446" s="14">
        <v>21</v>
      </c>
      <c r="BA446" s="14">
        <v>-342</v>
      </c>
      <c r="BB446" s="14">
        <v>20</v>
      </c>
      <c r="BD446" s="14">
        <v>20</v>
      </c>
      <c r="BE446" s="14">
        <v>34</v>
      </c>
    </row>
    <row r="447" spans="8:57" x14ac:dyDescent="0.25">
      <c r="H447" s="14">
        <v>-702</v>
      </c>
      <c r="I447" s="14">
        <v>-177</v>
      </c>
      <c r="M447" s="14">
        <v>134</v>
      </c>
      <c r="X447" s="14">
        <v>11</v>
      </c>
      <c r="AB447" s="14">
        <v>216</v>
      </c>
      <c r="AG447" s="14">
        <v>721</v>
      </c>
      <c r="AJ447" s="14">
        <v>368</v>
      </c>
      <c r="AL447" s="14">
        <v>-732</v>
      </c>
      <c r="AM447" s="14">
        <v>-520</v>
      </c>
      <c r="AP447" s="14">
        <v>-362</v>
      </c>
      <c r="AQ447" s="14">
        <v>4</v>
      </c>
      <c r="AR447" s="14">
        <v>-212</v>
      </c>
      <c r="AS447" s="14">
        <v>-590</v>
      </c>
      <c r="AT447" s="14">
        <v>506</v>
      </c>
      <c r="AU447" s="14">
        <v>-329</v>
      </c>
      <c r="AV447" s="14">
        <v>-135</v>
      </c>
      <c r="AW447" s="14">
        <v>-68</v>
      </c>
      <c r="AX447" s="14">
        <v>-15</v>
      </c>
      <c r="AY447" s="14">
        <v>-597</v>
      </c>
      <c r="AZ447" s="14">
        <v>-26</v>
      </c>
      <c r="BA447" s="14">
        <v>-350</v>
      </c>
      <c r="BB447" s="14">
        <v>63</v>
      </c>
      <c r="BD447" s="14">
        <v>18</v>
      </c>
      <c r="BE447" s="14">
        <v>41</v>
      </c>
    </row>
    <row r="448" spans="8:57" x14ac:dyDescent="0.25">
      <c r="H448" s="14">
        <v>3</v>
      </c>
      <c r="I448" s="14">
        <v>-968</v>
      </c>
      <c r="M448" s="14">
        <v>106</v>
      </c>
      <c r="X448" s="14">
        <v>383</v>
      </c>
      <c r="AB448" s="14">
        <v>186</v>
      </c>
      <c r="AG448" s="14">
        <v>118</v>
      </c>
      <c r="AJ448" s="14">
        <v>-37</v>
      </c>
      <c r="AL448" s="14">
        <v>219</v>
      </c>
      <c r="AM448" s="14">
        <v>-848</v>
      </c>
      <c r="AP448" s="14">
        <v>-406</v>
      </c>
      <c r="AQ448" s="14">
        <v>5</v>
      </c>
      <c r="AR448" s="14">
        <v>-107</v>
      </c>
      <c r="AS448" s="14">
        <v>-483</v>
      </c>
      <c r="AT448" s="14">
        <v>152</v>
      </c>
      <c r="AU448" s="14">
        <v>-102</v>
      </c>
      <c r="AV448" s="14">
        <v>-98</v>
      </c>
      <c r="AW448" s="14">
        <v>-45</v>
      </c>
      <c r="AX448" s="14">
        <v>-10</v>
      </c>
      <c r="AY448" s="14">
        <v>-529</v>
      </c>
      <c r="AZ448" s="14">
        <v>-128</v>
      </c>
      <c r="BA448" s="14">
        <v>-328</v>
      </c>
      <c r="BB448" s="14">
        <v>2308</v>
      </c>
      <c r="BD448" s="14">
        <v>4</v>
      </c>
      <c r="BE448" s="14">
        <v>37</v>
      </c>
    </row>
    <row r="449" spans="8:57" x14ac:dyDescent="0.25">
      <c r="H449" s="14">
        <v>516</v>
      </c>
      <c r="I449" s="14">
        <v>835</v>
      </c>
      <c r="M449" s="14">
        <v>80</v>
      </c>
      <c r="X449" s="14">
        <v>-147</v>
      </c>
      <c r="AB449" s="14">
        <v>165</v>
      </c>
      <c r="AG449" s="14">
        <v>38</v>
      </c>
      <c r="AJ449" s="14">
        <v>125</v>
      </c>
      <c r="AL449" s="14">
        <v>-708</v>
      </c>
      <c r="AM449" s="14">
        <v>-580</v>
      </c>
      <c r="AP449" s="14">
        <v>-365</v>
      </c>
      <c r="AQ449" s="14">
        <v>75</v>
      </c>
      <c r="AR449" s="14">
        <v>27</v>
      </c>
      <c r="AS449" s="14">
        <v>-556</v>
      </c>
      <c r="AT449" s="14">
        <v>184</v>
      </c>
      <c r="AU449" s="14">
        <v>-356</v>
      </c>
      <c r="AV449" s="14">
        <v>20</v>
      </c>
      <c r="AW449" s="14">
        <v>-22</v>
      </c>
      <c r="AX449" s="14">
        <v>-25</v>
      </c>
      <c r="AY449" s="14">
        <v>-250</v>
      </c>
      <c r="AZ449" s="14">
        <v>9</v>
      </c>
      <c r="BA449" s="14">
        <v>314</v>
      </c>
      <c r="BB449" s="14">
        <v>-90</v>
      </c>
      <c r="BD449" s="14">
        <v>33</v>
      </c>
      <c r="BE449" s="14">
        <v>42</v>
      </c>
    </row>
    <row r="450" spans="8:57" x14ac:dyDescent="0.25">
      <c r="H450" s="14">
        <v>-5</v>
      </c>
      <c r="I450" s="14">
        <v>109</v>
      </c>
      <c r="M450" s="14">
        <v>52</v>
      </c>
      <c r="X450" s="14">
        <v>364</v>
      </c>
      <c r="AB450" s="14">
        <v>174</v>
      </c>
      <c r="AG450" s="14">
        <v>-66</v>
      </c>
      <c r="AJ450" s="14">
        <v>-24</v>
      </c>
      <c r="AL450" s="14">
        <v>-142</v>
      </c>
      <c r="AM450" s="14">
        <v>-864</v>
      </c>
      <c r="AP450" s="14">
        <v>109</v>
      </c>
      <c r="AQ450" s="14">
        <v>34</v>
      </c>
      <c r="AR450" s="14">
        <v>-478</v>
      </c>
      <c r="AS450" s="14">
        <v>-484</v>
      </c>
      <c r="AT450" s="14">
        <v>122</v>
      </c>
      <c r="AU450" s="14">
        <v>-203</v>
      </c>
      <c r="AV450" s="14">
        <v>19</v>
      </c>
      <c r="AW450" s="14">
        <v>-81</v>
      </c>
      <c r="AX450" s="14">
        <v>-129</v>
      </c>
      <c r="AY450" s="14">
        <v>-405</v>
      </c>
      <c r="AZ450" s="14">
        <v>-19</v>
      </c>
      <c r="BA450" s="14">
        <v>290</v>
      </c>
      <c r="BB450" s="14">
        <v>54</v>
      </c>
      <c r="BD450" s="14">
        <v>20</v>
      </c>
      <c r="BE450" s="14">
        <v>19</v>
      </c>
    </row>
    <row r="451" spans="8:57" x14ac:dyDescent="0.25">
      <c r="H451" s="14">
        <v>239</v>
      </c>
      <c r="I451" s="14">
        <v>498</v>
      </c>
      <c r="M451" s="14">
        <v>27</v>
      </c>
      <c r="X451" s="14">
        <v>-484</v>
      </c>
      <c r="AB451" s="14">
        <v>106</v>
      </c>
      <c r="AG451" s="14">
        <v>210</v>
      </c>
      <c r="AJ451" s="14">
        <v>290</v>
      </c>
      <c r="AL451" s="14">
        <v>-650</v>
      </c>
      <c r="AM451" s="14">
        <v>454</v>
      </c>
      <c r="AP451" s="14">
        <v>-159</v>
      </c>
      <c r="AQ451" s="14">
        <v>25</v>
      </c>
      <c r="AR451" s="14">
        <v>195</v>
      </c>
      <c r="AS451" s="14">
        <v>-474</v>
      </c>
      <c r="AT451" s="14">
        <v>743</v>
      </c>
      <c r="AU451" s="14">
        <v>-219</v>
      </c>
      <c r="AV451" s="14">
        <v>-15</v>
      </c>
      <c r="AW451" s="14">
        <v>-64</v>
      </c>
      <c r="AX451" s="14">
        <v>-48</v>
      </c>
      <c r="AY451" s="14">
        <v>-202</v>
      </c>
      <c r="AZ451" s="14">
        <v>-14</v>
      </c>
      <c r="BA451" s="14">
        <v>289</v>
      </c>
      <c r="BB451" s="14">
        <v>94</v>
      </c>
      <c r="BD451" s="14">
        <v>-266</v>
      </c>
      <c r="BE451" s="14">
        <v>62</v>
      </c>
    </row>
    <row r="452" spans="8:57" x14ac:dyDescent="0.25">
      <c r="H452" s="14">
        <v>-16</v>
      </c>
      <c r="I452" s="14">
        <v>638</v>
      </c>
      <c r="M452" s="14">
        <v>910</v>
      </c>
      <c r="X452" s="14">
        <v>-588</v>
      </c>
      <c r="AB452" s="14">
        <v>125</v>
      </c>
      <c r="AG452" s="14">
        <v>254</v>
      </c>
      <c r="AJ452" s="14">
        <v>-32</v>
      </c>
      <c r="AL452" s="14">
        <v>892</v>
      </c>
      <c r="AM452" s="14">
        <v>114</v>
      </c>
      <c r="AP452" s="14">
        <v>-178</v>
      </c>
      <c r="AQ452" s="14">
        <v>104</v>
      </c>
      <c r="AR452" s="14">
        <v>230</v>
      </c>
      <c r="AS452" s="14">
        <v>-528</v>
      </c>
      <c r="AT452" s="14">
        <v>-208</v>
      </c>
      <c r="AU452" s="14">
        <v>-102</v>
      </c>
      <c r="AV452" s="14">
        <v>4</v>
      </c>
      <c r="AW452" s="14">
        <v>-63</v>
      </c>
      <c r="AX452" s="14">
        <v>22</v>
      </c>
      <c r="AY452" s="14">
        <v>-202</v>
      </c>
      <c r="AZ452" s="14">
        <v>-8</v>
      </c>
      <c r="BA452" s="14">
        <v>-311</v>
      </c>
      <c r="BB452" s="14">
        <v>1967</v>
      </c>
      <c r="BD452" s="14">
        <v>-114</v>
      </c>
      <c r="BE452" s="14">
        <v>23</v>
      </c>
    </row>
    <row r="453" spans="8:57" x14ac:dyDescent="0.25">
      <c r="H453" s="14">
        <v>-63</v>
      </c>
      <c r="I453" s="14">
        <v>-180</v>
      </c>
      <c r="M453" s="14">
        <v>144</v>
      </c>
      <c r="X453" s="14">
        <v>810</v>
      </c>
      <c r="AB453" s="14">
        <v>64</v>
      </c>
      <c r="AG453" s="14">
        <v>488</v>
      </c>
      <c r="AJ453" s="14">
        <v>143</v>
      </c>
      <c r="AL453" s="14">
        <v>49</v>
      </c>
      <c r="AM453" s="14">
        <v>-363</v>
      </c>
      <c r="AP453" s="14">
        <v>-414</v>
      </c>
      <c r="AQ453" s="14">
        <v>-3</v>
      </c>
      <c r="AR453" s="14">
        <v>330</v>
      </c>
      <c r="AS453" s="14">
        <v>-561</v>
      </c>
      <c r="AT453" s="14">
        <v>-43</v>
      </c>
      <c r="AU453" s="14">
        <v>5</v>
      </c>
      <c r="AV453" s="14">
        <v>-3</v>
      </c>
      <c r="AW453" s="14">
        <v>-76</v>
      </c>
      <c r="AX453" s="14">
        <v>-120</v>
      </c>
      <c r="AY453" s="14">
        <v>233</v>
      </c>
      <c r="AZ453" s="14">
        <v>-57</v>
      </c>
      <c r="BA453" s="14">
        <v>-310</v>
      </c>
      <c r="BB453" s="14">
        <v>-59</v>
      </c>
      <c r="BD453" s="14">
        <v>-15053</v>
      </c>
      <c r="BE453" s="14">
        <v>51</v>
      </c>
    </row>
    <row r="454" spans="8:57" x14ac:dyDescent="0.25">
      <c r="H454" s="14">
        <v>6</v>
      </c>
      <c r="I454" s="14">
        <v>353</v>
      </c>
      <c r="M454" s="14">
        <v>730</v>
      </c>
      <c r="X454" s="14">
        <v>416</v>
      </c>
      <c r="AB454" s="14">
        <v>26</v>
      </c>
      <c r="AG454" s="14">
        <v>665</v>
      </c>
      <c r="AJ454" s="14">
        <v>-32</v>
      </c>
      <c r="AL454" s="14">
        <v>-324</v>
      </c>
      <c r="AM454" s="14">
        <v>-46</v>
      </c>
      <c r="AP454" s="14">
        <v>-154</v>
      </c>
      <c r="AQ454" s="14">
        <v>-24</v>
      </c>
      <c r="AR454" s="14">
        <v>-420</v>
      </c>
      <c r="AS454" s="14">
        <v>-498</v>
      </c>
      <c r="AT454" s="14">
        <v>-73</v>
      </c>
      <c r="AU454" s="14">
        <v>-658</v>
      </c>
      <c r="AV454" s="14">
        <v>-50</v>
      </c>
      <c r="AW454" s="14">
        <v>-98</v>
      </c>
      <c r="AX454" s="14">
        <v>-26</v>
      </c>
      <c r="AY454" s="14">
        <v>-665</v>
      </c>
      <c r="AZ454" s="14">
        <v>26</v>
      </c>
      <c r="BA454" s="14">
        <v>-304</v>
      </c>
      <c r="BB454" s="14">
        <v>13</v>
      </c>
      <c r="BD454" s="14">
        <v>-10</v>
      </c>
      <c r="BE454" s="14">
        <v>14</v>
      </c>
    </row>
    <row r="455" spans="8:57" x14ac:dyDescent="0.25">
      <c r="H455" s="14">
        <v>-44</v>
      </c>
      <c r="I455" s="14">
        <v>-23</v>
      </c>
      <c r="M455" s="14">
        <v>246</v>
      </c>
      <c r="X455" s="14">
        <v>-249</v>
      </c>
      <c r="AB455" s="14">
        <v>79</v>
      </c>
      <c r="AG455" s="14">
        <v>-55</v>
      </c>
      <c r="AJ455" s="14">
        <v>219</v>
      </c>
      <c r="AL455" s="14">
        <v>2</v>
      </c>
      <c r="AM455" s="14">
        <v>-301</v>
      </c>
      <c r="AP455" s="14">
        <v>-213</v>
      </c>
      <c r="AQ455" s="14">
        <v>4</v>
      </c>
      <c r="AR455" s="14">
        <v>260</v>
      </c>
      <c r="AS455" s="14">
        <v>-107</v>
      </c>
      <c r="AT455" s="14">
        <v>-45</v>
      </c>
      <c r="AU455" s="14">
        <v>-105</v>
      </c>
      <c r="AV455" s="14">
        <v>-7</v>
      </c>
      <c r="AW455" s="14">
        <v>-102</v>
      </c>
      <c r="AX455" s="14">
        <v>38</v>
      </c>
      <c r="AY455" s="14">
        <v>-325</v>
      </c>
      <c r="AZ455" s="14">
        <v>-24</v>
      </c>
      <c r="BA455" s="14">
        <v>-2937</v>
      </c>
      <c r="BB455" s="14">
        <v>44</v>
      </c>
      <c r="BD455" s="14">
        <v>8</v>
      </c>
      <c r="BE455" s="14">
        <v>24</v>
      </c>
    </row>
    <row r="456" spans="8:57" x14ac:dyDescent="0.25">
      <c r="H456" s="14">
        <v>70</v>
      </c>
      <c r="I456" s="14">
        <v>152</v>
      </c>
      <c r="M456" s="14">
        <v>-135</v>
      </c>
      <c r="X456" s="14">
        <v>135</v>
      </c>
      <c r="AB456" s="14">
        <v>17</v>
      </c>
      <c r="AG456" s="14">
        <v>-64</v>
      </c>
      <c r="AJ456" s="14">
        <v>-29</v>
      </c>
      <c r="AL456" s="14">
        <v>81</v>
      </c>
      <c r="AM456" s="14">
        <v>-124</v>
      </c>
      <c r="AP456" s="14">
        <v>-178</v>
      </c>
      <c r="AQ456" s="14">
        <v>7</v>
      </c>
      <c r="AR456" s="14">
        <v>-113</v>
      </c>
      <c r="AS456" s="14">
        <v>-232</v>
      </c>
      <c r="AT456" s="14">
        <v>-310</v>
      </c>
      <c r="AU456" s="14">
        <v>-168</v>
      </c>
      <c r="AV456" s="14">
        <v>-49</v>
      </c>
      <c r="AW456" s="14">
        <v>-48</v>
      </c>
      <c r="AX456" s="14">
        <v>17</v>
      </c>
      <c r="AY456" s="14">
        <v>-475</v>
      </c>
      <c r="AZ456" s="14">
        <v>16</v>
      </c>
      <c r="BA456" s="14">
        <v>-3251</v>
      </c>
      <c r="BB456" s="14">
        <v>2552</v>
      </c>
      <c r="BD456" s="14">
        <v>8</v>
      </c>
      <c r="BE456" s="14">
        <v>24</v>
      </c>
    </row>
    <row r="457" spans="8:57" x14ac:dyDescent="0.25">
      <c r="H457" s="14">
        <v>62</v>
      </c>
      <c r="I457" s="14">
        <v>389</v>
      </c>
      <c r="M457" s="14">
        <v>-366</v>
      </c>
      <c r="X457" s="14">
        <v>162</v>
      </c>
      <c r="AB457" s="14">
        <v>28</v>
      </c>
      <c r="AG457" s="14">
        <v>-159</v>
      </c>
      <c r="AJ457" s="14">
        <v>121</v>
      </c>
      <c r="AL457" s="14">
        <v>431</v>
      </c>
      <c r="AM457" s="14">
        <v>-26</v>
      </c>
      <c r="AP457" s="14">
        <v>-185</v>
      </c>
      <c r="AQ457" s="14">
        <v>6</v>
      </c>
      <c r="AR457" s="14">
        <v>292</v>
      </c>
      <c r="AS457" s="14">
        <v>-197</v>
      </c>
      <c r="AT457" s="14">
        <v>-834</v>
      </c>
      <c r="AU457" s="14">
        <v>-295</v>
      </c>
      <c r="AV457" s="14">
        <v>43</v>
      </c>
      <c r="AW457" s="14">
        <v>-61</v>
      </c>
      <c r="AX457" s="14">
        <v>94</v>
      </c>
      <c r="AY457" s="14">
        <v>136</v>
      </c>
      <c r="AZ457" s="14">
        <v>118</v>
      </c>
      <c r="BA457" s="14">
        <v>971</v>
      </c>
      <c r="BB457" s="14">
        <v>-57</v>
      </c>
      <c r="BD457" s="14">
        <v>-1</v>
      </c>
      <c r="BE457" s="14">
        <v>-2</v>
      </c>
    </row>
    <row r="458" spans="8:57" x14ac:dyDescent="0.25">
      <c r="H458" s="14">
        <v>317</v>
      </c>
      <c r="I458" s="14">
        <v>207</v>
      </c>
      <c r="M458" s="14">
        <v>-448</v>
      </c>
      <c r="X458" s="14">
        <v>118</v>
      </c>
      <c r="AB458" s="14">
        <v>15</v>
      </c>
      <c r="AG458" s="14">
        <v>27</v>
      </c>
      <c r="AJ458" s="14">
        <v>-23</v>
      </c>
      <c r="AL458" s="14">
        <v>-110</v>
      </c>
      <c r="AM458" s="14">
        <v>-18</v>
      </c>
      <c r="AP458" s="14">
        <v>27</v>
      </c>
      <c r="AQ458" s="14">
        <v>111</v>
      </c>
      <c r="AR458" s="14">
        <v>-169</v>
      </c>
      <c r="AS458" s="14">
        <v>-351</v>
      </c>
      <c r="AT458" s="14">
        <v>-173</v>
      </c>
      <c r="AU458" s="14">
        <v>-147</v>
      </c>
      <c r="AV458" s="14">
        <v>-34</v>
      </c>
      <c r="AW458" s="14">
        <v>-67</v>
      </c>
      <c r="AX458" s="14">
        <v>6</v>
      </c>
      <c r="AY458" s="14">
        <v>-168</v>
      </c>
      <c r="AZ458" s="14">
        <v>118</v>
      </c>
      <c r="BA458" s="14">
        <v>1129</v>
      </c>
      <c r="BB458" s="14">
        <v>35</v>
      </c>
      <c r="BD458" s="14">
        <v>-2</v>
      </c>
      <c r="BE458" s="14">
        <v>-2</v>
      </c>
    </row>
    <row r="459" spans="8:57" x14ac:dyDescent="0.25">
      <c r="H459" s="14">
        <v>138</v>
      </c>
      <c r="I459" s="14">
        <v>517</v>
      </c>
      <c r="M459" s="14">
        <v>-440</v>
      </c>
      <c r="X459" s="14">
        <v>903</v>
      </c>
      <c r="AB459" s="14">
        <v>87</v>
      </c>
      <c r="AG459" s="14">
        <v>-54</v>
      </c>
      <c r="AJ459" s="14">
        <v>230</v>
      </c>
      <c r="AL459" s="14">
        <v>-236</v>
      </c>
      <c r="AM459" s="14">
        <v>-365</v>
      </c>
      <c r="AP459" s="14">
        <v>3</v>
      </c>
      <c r="AQ459" s="14">
        <v>55</v>
      </c>
      <c r="AR459" s="14">
        <v>-129</v>
      </c>
      <c r="AS459" s="14">
        <v>261</v>
      </c>
      <c r="AT459" s="14">
        <v>14</v>
      </c>
      <c r="AU459" s="14">
        <v>-567</v>
      </c>
      <c r="AV459" s="14">
        <v>914</v>
      </c>
      <c r="AW459" s="14">
        <v>-27</v>
      </c>
      <c r="AX459" s="14">
        <v>1</v>
      </c>
      <c r="AY459" s="14">
        <v>126</v>
      </c>
      <c r="AZ459" s="14">
        <v>118</v>
      </c>
      <c r="BA459" s="14">
        <v>1427</v>
      </c>
      <c r="BB459" s="14">
        <v>69</v>
      </c>
      <c r="BD459" s="14">
        <v>6</v>
      </c>
      <c r="BE459" s="14">
        <v>-1</v>
      </c>
    </row>
    <row r="460" spans="8:57" x14ac:dyDescent="0.25">
      <c r="H460" s="14">
        <v>247</v>
      </c>
      <c r="I460" s="14">
        <v>-155</v>
      </c>
      <c r="M460" s="14">
        <v>-290</v>
      </c>
      <c r="X460" s="14">
        <v>45</v>
      </c>
      <c r="AB460" s="14">
        <v>-50</v>
      </c>
      <c r="AG460" s="14">
        <v>185</v>
      </c>
      <c r="AJ460" s="14">
        <v>-26</v>
      </c>
      <c r="AL460" s="14">
        <v>-124</v>
      </c>
      <c r="AM460" s="14">
        <v>-21</v>
      </c>
      <c r="AP460" s="14">
        <v>-132</v>
      </c>
      <c r="AQ460" s="14">
        <v>53</v>
      </c>
      <c r="AR460" s="14">
        <v>-560</v>
      </c>
      <c r="AS460" s="14">
        <v>212</v>
      </c>
      <c r="AT460" s="14">
        <v>-211</v>
      </c>
      <c r="AU460" s="14">
        <v>377</v>
      </c>
      <c r="AV460" s="14">
        <v>-85</v>
      </c>
      <c r="AW460" s="14">
        <v>-41</v>
      </c>
      <c r="AX460" s="14">
        <v>-330</v>
      </c>
      <c r="AY460" s="14">
        <v>-176</v>
      </c>
      <c r="AZ460" s="14">
        <v>112</v>
      </c>
      <c r="BA460" s="14">
        <v>1337</v>
      </c>
      <c r="BB460" s="14">
        <v>2264</v>
      </c>
      <c r="BD460" s="14">
        <v>-2</v>
      </c>
      <c r="BE460" s="14">
        <v>7</v>
      </c>
    </row>
    <row r="461" spans="8:57" x14ac:dyDescent="0.25">
      <c r="H461" s="14">
        <v>78</v>
      </c>
      <c r="I461" s="14">
        <v>-280</v>
      </c>
      <c r="M461" s="14">
        <v>738</v>
      </c>
      <c r="X461" s="14">
        <v>-566</v>
      </c>
      <c r="AB461" s="14">
        <v>41</v>
      </c>
      <c r="AG461" s="14">
        <v>314</v>
      </c>
      <c r="AJ461" s="14">
        <v>151</v>
      </c>
      <c r="AL461" s="14">
        <v>232</v>
      </c>
      <c r="AM461" s="14">
        <v>-352</v>
      </c>
      <c r="AP461" s="14">
        <v>21</v>
      </c>
      <c r="AQ461" s="14">
        <v>47</v>
      </c>
      <c r="AR461" s="14">
        <v>-150</v>
      </c>
      <c r="AS461" s="14">
        <v>-107</v>
      </c>
      <c r="AT461" s="14">
        <v>-60</v>
      </c>
      <c r="AU461" s="14">
        <v>-721</v>
      </c>
      <c r="AV461" s="14">
        <v>-3</v>
      </c>
      <c r="AW461" s="14">
        <v>10</v>
      </c>
      <c r="AX461" s="14">
        <v>-411</v>
      </c>
      <c r="AY461" s="14">
        <v>-373</v>
      </c>
      <c r="AZ461" s="14">
        <v>110</v>
      </c>
      <c r="BA461" s="14">
        <v>-3175</v>
      </c>
      <c r="BB461" s="14">
        <v>-94</v>
      </c>
      <c r="BD461" s="14">
        <v>-2</v>
      </c>
      <c r="BE461" s="14">
        <v>13</v>
      </c>
    </row>
    <row r="462" spans="8:57" x14ac:dyDescent="0.25">
      <c r="H462" s="14">
        <v>-63</v>
      </c>
      <c r="I462" s="14">
        <v>142</v>
      </c>
      <c r="M462" s="14">
        <v>159</v>
      </c>
      <c r="X462" s="14">
        <v>929</v>
      </c>
      <c r="AB462" s="14">
        <v>-22</v>
      </c>
      <c r="AG462" s="14">
        <v>434</v>
      </c>
      <c r="AJ462" s="14">
        <v>-36</v>
      </c>
      <c r="AL462" s="14">
        <v>-847</v>
      </c>
      <c r="AM462" s="14">
        <v>-129</v>
      </c>
      <c r="AP462" s="14">
        <v>17</v>
      </c>
      <c r="AQ462" s="14">
        <v>36</v>
      </c>
      <c r="AR462" s="14">
        <v>-319</v>
      </c>
      <c r="AS462" s="14">
        <v>-231</v>
      </c>
      <c r="AT462" s="14">
        <v>-73</v>
      </c>
      <c r="AU462" s="14">
        <v>120</v>
      </c>
      <c r="AV462" s="14">
        <v>-103</v>
      </c>
      <c r="AW462" s="14">
        <v>-75</v>
      </c>
      <c r="AX462" s="14">
        <v>134</v>
      </c>
      <c r="AY462" s="14">
        <v>-368</v>
      </c>
      <c r="AZ462" s="14">
        <v>110</v>
      </c>
      <c r="BA462" s="14">
        <v>1348</v>
      </c>
      <c r="BB462" s="14">
        <v>16</v>
      </c>
      <c r="BD462" s="14">
        <v>12</v>
      </c>
      <c r="BE462" s="14">
        <v>-8</v>
      </c>
    </row>
    <row r="463" spans="8:57" x14ac:dyDescent="0.25">
      <c r="H463" s="14">
        <v>100</v>
      </c>
      <c r="I463" s="14">
        <v>321</v>
      </c>
      <c r="M463" s="14">
        <v>165</v>
      </c>
      <c r="X463" s="14">
        <v>-231</v>
      </c>
      <c r="AB463" s="14">
        <v>95</v>
      </c>
      <c r="AG463" s="14">
        <v>573</v>
      </c>
      <c r="AJ463" s="14">
        <v>201</v>
      </c>
      <c r="AL463" s="14">
        <v>-193</v>
      </c>
      <c r="AM463" s="14">
        <v>-17</v>
      </c>
      <c r="AP463" s="14">
        <v>-243</v>
      </c>
      <c r="AQ463" s="14">
        <v>52</v>
      </c>
      <c r="AR463" s="14">
        <v>134</v>
      </c>
      <c r="AS463" s="14">
        <v>709</v>
      </c>
      <c r="AT463" s="14">
        <v>-565</v>
      </c>
      <c r="AU463" s="14">
        <v>49</v>
      </c>
      <c r="AV463" s="14">
        <v>1</v>
      </c>
      <c r="AW463" s="14">
        <v>-102</v>
      </c>
      <c r="AX463" s="14">
        <v>490</v>
      </c>
      <c r="AY463" s="14">
        <v>121</v>
      </c>
      <c r="AZ463" s="14">
        <v>102</v>
      </c>
      <c r="BA463" s="14">
        <v>1996</v>
      </c>
      <c r="BB463" s="14">
        <v>51</v>
      </c>
      <c r="BD463" s="14">
        <v>-14</v>
      </c>
      <c r="BE463" s="14">
        <v>5</v>
      </c>
    </row>
    <row r="464" spans="8:57" x14ac:dyDescent="0.25">
      <c r="H464" s="14">
        <v>-99</v>
      </c>
      <c r="I464" s="14">
        <v>126</v>
      </c>
      <c r="M464" s="14">
        <v>165</v>
      </c>
      <c r="X464" s="14">
        <v>-272</v>
      </c>
      <c r="AB464" s="14">
        <v>164</v>
      </c>
      <c r="AG464" s="14">
        <v>-124</v>
      </c>
      <c r="AJ464" s="14">
        <v>-21</v>
      </c>
      <c r="AL464" s="14">
        <v>-109</v>
      </c>
      <c r="AM464" s="14">
        <v>-53</v>
      </c>
      <c r="AP464" s="14">
        <v>-65</v>
      </c>
      <c r="AQ464" s="14">
        <v>78</v>
      </c>
      <c r="AR464" s="14">
        <v>45</v>
      </c>
      <c r="AS464" s="14">
        <v>150</v>
      </c>
      <c r="AT464" s="14">
        <v>-276</v>
      </c>
      <c r="AU464" s="14">
        <v>198</v>
      </c>
      <c r="AV464" s="14">
        <v>-112</v>
      </c>
      <c r="AW464" s="14">
        <v>-75</v>
      </c>
      <c r="AX464" s="14">
        <v>264</v>
      </c>
      <c r="AY464" s="14">
        <v>-570</v>
      </c>
      <c r="AZ464" s="14">
        <v>112</v>
      </c>
      <c r="BA464" s="14">
        <v>76</v>
      </c>
      <c r="BB464" s="14">
        <v>2460</v>
      </c>
      <c r="BD464" s="14">
        <v>-2</v>
      </c>
      <c r="BE464" s="14">
        <v>-88</v>
      </c>
    </row>
    <row r="465" spans="8:57" x14ac:dyDescent="0.25">
      <c r="H465" s="14">
        <v>-85</v>
      </c>
      <c r="I465" s="14">
        <v>669</v>
      </c>
      <c r="M465" s="14">
        <v>157</v>
      </c>
      <c r="X465" s="14">
        <v>-312</v>
      </c>
      <c r="AB465" s="14">
        <v>199</v>
      </c>
      <c r="AG465" s="14">
        <v>-89</v>
      </c>
      <c r="AJ465" s="14">
        <v>998</v>
      </c>
      <c r="AL465" s="14">
        <v>845</v>
      </c>
      <c r="AM465" s="14">
        <v>-25</v>
      </c>
      <c r="AP465" s="14">
        <v>-162</v>
      </c>
      <c r="AQ465" s="14">
        <v>34</v>
      </c>
      <c r="AR465" s="14">
        <v>289</v>
      </c>
      <c r="AS465" s="14">
        <v>138</v>
      </c>
      <c r="AT465" s="14">
        <v>249</v>
      </c>
      <c r="AU465" s="14">
        <v>39</v>
      </c>
      <c r="AV465" s="14">
        <v>-21</v>
      </c>
      <c r="AW465" s="14">
        <v>-58</v>
      </c>
      <c r="AX465" s="14">
        <v>361</v>
      </c>
      <c r="AY465" s="14">
        <v>-151</v>
      </c>
      <c r="AZ465" s="14">
        <v>106</v>
      </c>
      <c r="BA465" s="14">
        <v>75</v>
      </c>
      <c r="BB465" s="14">
        <v>-44</v>
      </c>
      <c r="BD465" s="14">
        <v>-11</v>
      </c>
      <c r="BE465" s="14">
        <v>-178</v>
      </c>
    </row>
    <row r="466" spans="8:57" x14ac:dyDescent="0.25">
      <c r="H466" s="14">
        <v>-117</v>
      </c>
      <c r="I466" s="14">
        <v>-952</v>
      </c>
      <c r="M466" s="14">
        <v>141</v>
      </c>
      <c r="X466" s="14">
        <v>-240</v>
      </c>
      <c r="AB466" s="14">
        <v>143</v>
      </c>
      <c r="AG466" s="14">
        <v>-155</v>
      </c>
      <c r="AJ466" s="14">
        <v>-21</v>
      </c>
      <c r="AL466" s="14">
        <v>59</v>
      </c>
      <c r="AM466" s="14">
        <v>-34</v>
      </c>
      <c r="AP466" s="14">
        <v>57</v>
      </c>
      <c r="AQ466" s="14">
        <v>25</v>
      </c>
      <c r="AR466" s="14">
        <v>-700</v>
      </c>
      <c r="AS466" s="14">
        <v>281</v>
      </c>
      <c r="AT466" s="14">
        <v>16</v>
      </c>
      <c r="AU466" s="14">
        <v>61</v>
      </c>
      <c r="AV466" s="14">
        <v>-54</v>
      </c>
      <c r="AW466" s="14">
        <v>-86</v>
      </c>
      <c r="AX466" s="14">
        <v>256</v>
      </c>
      <c r="AY466" s="14">
        <v>-195</v>
      </c>
      <c r="AZ466" s="14">
        <v>109</v>
      </c>
      <c r="BA466" s="14">
        <v>73</v>
      </c>
      <c r="BB466" s="14">
        <v>28</v>
      </c>
      <c r="BD466" s="14">
        <v>-14</v>
      </c>
      <c r="BE466" s="14">
        <v>-159</v>
      </c>
    </row>
    <row r="467" spans="8:57" x14ac:dyDescent="0.25">
      <c r="H467" s="14">
        <v>-128</v>
      </c>
      <c r="I467" s="14">
        <v>612</v>
      </c>
      <c r="M467" s="14">
        <v>118</v>
      </c>
      <c r="X467" s="14">
        <v>76</v>
      </c>
      <c r="AB467" s="14">
        <v>320</v>
      </c>
      <c r="AG467" s="14">
        <v>47</v>
      </c>
      <c r="AJ467" s="14">
        <v>116</v>
      </c>
      <c r="AL467" s="14">
        <v>-337</v>
      </c>
      <c r="AM467" s="14">
        <v>-52</v>
      </c>
      <c r="AP467" s="14">
        <v>-3</v>
      </c>
      <c r="AQ467" s="14">
        <v>1</v>
      </c>
      <c r="AR467" s="14">
        <v>227</v>
      </c>
      <c r="AS467" s="14">
        <v>-908</v>
      </c>
      <c r="AT467" s="14">
        <v>-115</v>
      </c>
      <c r="AU467" s="14">
        <v>25</v>
      </c>
      <c r="AV467" s="14">
        <v>-155</v>
      </c>
      <c r="AW467" s="14">
        <v>-82</v>
      </c>
      <c r="AX467" s="14">
        <v>235</v>
      </c>
      <c r="AY467" s="14">
        <v>-171</v>
      </c>
      <c r="AZ467" s="14">
        <v>110</v>
      </c>
      <c r="BA467" s="14">
        <v>1660</v>
      </c>
      <c r="BB467" s="14">
        <v>60</v>
      </c>
      <c r="BD467" s="14">
        <v>-11</v>
      </c>
      <c r="BE467" s="14">
        <v>-172</v>
      </c>
    </row>
    <row r="468" spans="8:57" x14ac:dyDescent="0.25">
      <c r="H468" s="14">
        <v>29</v>
      </c>
      <c r="I468" s="14">
        <v>152</v>
      </c>
      <c r="M468" s="14">
        <v>86</v>
      </c>
      <c r="X468" s="14">
        <v>-155</v>
      </c>
      <c r="AB468" s="14">
        <v>197</v>
      </c>
      <c r="AG468" s="14">
        <v>137</v>
      </c>
      <c r="AJ468" s="14">
        <v>169</v>
      </c>
      <c r="AL468" s="14">
        <v>66</v>
      </c>
      <c r="AM468" s="14">
        <v>14</v>
      </c>
      <c r="AP468" s="14">
        <v>54</v>
      </c>
      <c r="AQ468" s="14">
        <v>110</v>
      </c>
      <c r="AR468" s="14">
        <v>-102</v>
      </c>
      <c r="AS468" s="14">
        <v>-192</v>
      </c>
      <c r="AT468" s="14">
        <v>-71</v>
      </c>
      <c r="AU468" s="14">
        <v>-24</v>
      </c>
      <c r="AV468" s="14">
        <v>-112</v>
      </c>
      <c r="AW468" s="14">
        <v>-40</v>
      </c>
      <c r="AX468" s="14">
        <v>-94</v>
      </c>
      <c r="AY468" s="14">
        <v>113</v>
      </c>
      <c r="AZ468" s="14">
        <v>101</v>
      </c>
      <c r="BA468" s="14">
        <v>1565</v>
      </c>
      <c r="BB468" s="14">
        <v>2378</v>
      </c>
      <c r="BD468" s="14">
        <v>-12</v>
      </c>
      <c r="BE468" s="14">
        <v>-114</v>
      </c>
    </row>
    <row r="469" spans="8:57" x14ac:dyDescent="0.25">
      <c r="H469" s="14">
        <v>106</v>
      </c>
      <c r="I469" s="14">
        <v>607</v>
      </c>
      <c r="M469" s="14">
        <v>47</v>
      </c>
      <c r="X469" s="14">
        <v>-492</v>
      </c>
      <c r="AB469" s="14">
        <v>238</v>
      </c>
      <c r="AG469" s="14">
        <v>190</v>
      </c>
      <c r="AJ469" s="14">
        <v>-19</v>
      </c>
      <c r="AL469" s="14">
        <v>-163</v>
      </c>
      <c r="AM469" s="14">
        <v>-13</v>
      </c>
      <c r="AP469" s="14">
        <v>33</v>
      </c>
      <c r="AQ469" s="14">
        <v>54</v>
      </c>
      <c r="AR469" s="14">
        <v>303</v>
      </c>
      <c r="AS469" s="14">
        <v>-397</v>
      </c>
      <c r="AT469" s="14">
        <v>-408</v>
      </c>
      <c r="AU469" s="14">
        <v>72</v>
      </c>
      <c r="AV469" s="14">
        <v>-131</v>
      </c>
      <c r="AW469" s="14">
        <v>126</v>
      </c>
      <c r="AX469" s="14">
        <v>-142</v>
      </c>
      <c r="AY469" s="14">
        <v>-743</v>
      </c>
      <c r="AZ469" s="14">
        <v>114</v>
      </c>
      <c r="BA469" s="14">
        <v>1605</v>
      </c>
      <c r="BB469" s="14">
        <v>-81</v>
      </c>
      <c r="BD469" s="14">
        <v>-10</v>
      </c>
      <c r="BE469" s="14">
        <v>-282</v>
      </c>
    </row>
    <row r="470" spans="8:57" x14ac:dyDescent="0.25">
      <c r="H470" s="14">
        <v>142</v>
      </c>
      <c r="I470" s="14">
        <v>688</v>
      </c>
      <c r="M470" s="14">
        <v>103</v>
      </c>
      <c r="X470" s="14">
        <v>61</v>
      </c>
      <c r="AB470" s="14">
        <v>100</v>
      </c>
      <c r="AG470" s="14">
        <v>310</v>
      </c>
      <c r="AJ470" s="14">
        <v>132</v>
      </c>
      <c r="AL470" s="14">
        <v>484</v>
      </c>
      <c r="AM470" s="14">
        <v>-3</v>
      </c>
      <c r="AP470" s="14">
        <v>59</v>
      </c>
      <c r="AQ470" s="14">
        <v>53</v>
      </c>
      <c r="AR470" s="14">
        <v>165</v>
      </c>
      <c r="AS470" s="14">
        <v>-266</v>
      </c>
      <c r="AT470" s="14">
        <v>-824</v>
      </c>
      <c r="AU470" s="14">
        <v>109</v>
      </c>
      <c r="AV470" s="14">
        <v>28</v>
      </c>
      <c r="AW470" s="14">
        <v>-26</v>
      </c>
      <c r="AX470" s="14">
        <v>99</v>
      </c>
      <c r="AY470" s="14">
        <v>-241</v>
      </c>
      <c r="AZ470" s="14">
        <v>112</v>
      </c>
      <c r="BA470" s="14">
        <v>-313</v>
      </c>
      <c r="BB470" s="14">
        <v>-11</v>
      </c>
      <c r="BD470" s="14">
        <v>-3</v>
      </c>
      <c r="BE470" s="14">
        <v>34</v>
      </c>
    </row>
    <row r="471" spans="8:57" x14ac:dyDescent="0.25">
      <c r="H471" s="14">
        <v>-92</v>
      </c>
      <c r="I471" s="14">
        <v>-131</v>
      </c>
      <c r="M471" s="14">
        <v>115</v>
      </c>
      <c r="X471" s="14">
        <v>-553</v>
      </c>
      <c r="AB471" s="14">
        <v>241</v>
      </c>
      <c r="AG471" s="14">
        <v>425</v>
      </c>
      <c r="AJ471" s="14">
        <v>-32</v>
      </c>
      <c r="AL471" s="14">
        <v>-887</v>
      </c>
      <c r="AM471" s="14">
        <v>64</v>
      </c>
      <c r="AP471" s="14">
        <v>-266</v>
      </c>
      <c r="AQ471" s="14">
        <v>47</v>
      </c>
      <c r="AR471" s="14">
        <v>-107</v>
      </c>
      <c r="AS471" s="14">
        <v>738</v>
      </c>
      <c r="AT471" s="14">
        <v>-246</v>
      </c>
      <c r="AU471" s="14">
        <v>145</v>
      </c>
      <c r="AV471" s="14">
        <v>29</v>
      </c>
      <c r="AW471" s="14">
        <v>-22</v>
      </c>
      <c r="AX471" s="14">
        <v>133</v>
      </c>
      <c r="AY471" s="14">
        <v>-136</v>
      </c>
      <c r="AZ471" s="14">
        <v>112</v>
      </c>
      <c r="BA471" s="14">
        <v>-304</v>
      </c>
      <c r="BB471" s="14">
        <v>-2</v>
      </c>
      <c r="BD471" s="14">
        <v>-18</v>
      </c>
      <c r="BE471" s="14">
        <v>41</v>
      </c>
    </row>
    <row r="472" spans="8:57" x14ac:dyDescent="0.25">
      <c r="H472" s="14">
        <v>-55</v>
      </c>
      <c r="I472" s="14">
        <v>344</v>
      </c>
      <c r="M472" s="14">
        <v>573</v>
      </c>
      <c r="X472" s="14">
        <v>-301</v>
      </c>
      <c r="AB472" s="14">
        <v>201</v>
      </c>
      <c r="AG472" s="14">
        <v>556</v>
      </c>
      <c r="AJ472" s="14">
        <v>135</v>
      </c>
      <c r="AL472" s="14">
        <v>-194</v>
      </c>
      <c r="AM472" s="14">
        <v>189</v>
      </c>
      <c r="AP472" s="14">
        <v>-88</v>
      </c>
      <c r="AQ472" s="14">
        <v>37</v>
      </c>
      <c r="AR472" s="14">
        <v>988</v>
      </c>
      <c r="AS472" s="14">
        <v>151</v>
      </c>
      <c r="AT472" s="14">
        <v>22</v>
      </c>
      <c r="AU472" s="14">
        <v>-20</v>
      </c>
      <c r="AV472" s="14">
        <v>-16</v>
      </c>
      <c r="AW472" s="14">
        <v>-83</v>
      </c>
      <c r="AX472" s="14">
        <v>427</v>
      </c>
      <c r="AY472" s="14">
        <v>-180</v>
      </c>
      <c r="AZ472" s="14">
        <v>110</v>
      </c>
      <c r="BA472" s="14">
        <v>-295</v>
      </c>
      <c r="BB472" s="14">
        <v>-27</v>
      </c>
      <c r="BD472" s="14">
        <v>-12</v>
      </c>
      <c r="BE472" s="14">
        <v>247</v>
      </c>
    </row>
    <row r="473" spans="8:57" x14ac:dyDescent="0.25">
      <c r="H473" s="14">
        <v>128</v>
      </c>
      <c r="I473" s="14">
        <v>-30</v>
      </c>
      <c r="M473" s="14">
        <v>209</v>
      </c>
      <c r="X473" s="14">
        <v>924</v>
      </c>
      <c r="AB473" s="14">
        <v>262</v>
      </c>
      <c r="AG473" s="14">
        <v>-111</v>
      </c>
      <c r="AJ473" s="14">
        <v>-507</v>
      </c>
      <c r="AL473" s="14">
        <v>-142</v>
      </c>
      <c r="AM473" s="14">
        <v>113</v>
      </c>
      <c r="AP473" s="14">
        <v>-44</v>
      </c>
      <c r="AQ473" s="14">
        <v>51</v>
      </c>
      <c r="AR473" s="14">
        <v>-128</v>
      </c>
      <c r="AS473" s="14">
        <v>-183</v>
      </c>
      <c r="AT473" s="14">
        <v>-295</v>
      </c>
      <c r="AU473" s="14">
        <v>-106</v>
      </c>
      <c r="AV473" s="14">
        <v>18</v>
      </c>
      <c r="AW473" s="14">
        <v>-111</v>
      </c>
      <c r="AX473" s="14">
        <v>370</v>
      </c>
      <c r="AY473" s="14">
        <v>107</v>
      </c>
      <c r="AZ473" s="14">
        <v>110</v>
      </c>
      <c r="BA473" s="14">
        <v>234</v>
      </c>
      <c r="BB473" s="14">
        <v>9</v>
      </c>
      <c r="BD473" s="14">
        <v>-213</v>
      </c>
      <c r="BE473" s="14">
        <v>24</v>
      </c>
    </row>
    <row r="474" spans="8:57" x14ac:dyDescent="0.25">
      <c r="H474" s="14">
        <v>17</v>
      </c>
      <c r="I474" s="14">
        <v>90</v>
      </c>
      <c r="M474" s="14">
        <v>-69</v>
      </c>
      <c r="X474" s="14">
        <v>-132</v>
      </c>
      <c r="AB474" s="14">
        <v>250</v>
      </c>
      <c r="AG474" s="14">
        <v>-102</v>
      </c>
      <c r="AJ474" s="14">
        <v>305</v>
      </c>
      <c r="AL474" s="14">
        <v>324</v>
      </c>
      <c r="AM474" s="14">
        <v>80</v>
      </c>
      <c r="AP474" s="14">
        <v>116</v>
      </c>
      <c r="AQ474" s="14">
        <v>78</v>
      </c>
      <c r="AR474" s="14">
        <v>60</v>
      </c>
      <c r="AS474" s="14">
        <v>-136</v>
      </c>
      <c r="AT474" s="14">
        <v>-92</v>
      </c>
      <c r="AU474" s="14">
        <v>-61</v>
      </c>
      <c r="AV474" s="14">
        <v>57</v>
      </c>
      <c r="AW474" s="14">
        <v>-8</v>
      </c>
      <c r="AX474" s="14">
        <v>230</v>
      </c>
      <c r="AY474" s="14">
        <v>251</v>
      </c>
      <c r="AZ474" s="14">
        <v>102</v>
      </c>
      <c r="BA474" s="14">
        <v>263</v>
      </c>
      <c r="BB474" s="14">
        <v>41</v>
      </c>
      <c r="BD474" s="14">
        <v>-186</v>
      </c>
      <c r="BE474" s="14">
        <v>209</v>
      </c>
    </row>
    <row r="475" spans="8:57" x14ac:dyDescent="0.25">
      <c r="H475" s="14">
        <v>30</v>
      </c>
      <c r="I475" s="14">
        <v>319</v>
      </c>
      <c r="M475" s="14">
        <v>-262</v>
      </c>
      <c r="X475" s="14">
        <v>-80</v>
      </c>
      <c r="AB475" s="14">
        <v>102</v>
      </c>
      <c r="AG475" s="14">
        <v>-126</v>
      </c>
      <c r="AJ475" s="14">
        <v>634</v>
      </c>
      <c r="AL475" s="14">
        <v>-732</v>
      </c>
      <c r="AM475" s="14">
        <v>149</v>
      </c>
      <c r="AP475" s="14">
        <v>-49</v>
      </c>
      <c r="AQ475" s="14">
        <v>34</v>
      </c>
      <c r="AR475" s="14">
        <v>-801</v>
      </c>
      <c r="AS475" s="14">
        <v>-180</v>
      </c>
      <c r="AT475" s="14">
        <v>-111</v>
      </c>
      <c r="AU475" s="14">
        <v>69</v>
      </c>
      <c r="AV475" s="14">
        <v>-42</v>
      </c>
      <c r="AW475" s="14">
        <v>-34</v>
      </c>
      <c r="AX475" s="14">
        <v>254</v>
      </c>
      <c r="AY475" s="14">
        <v>293</v>
      </c>
      <c r="AZ475" s="14">
        <v>112</v>
      </c>
      <c r="BA475" s="14">
        <v>243</v>
      </c>
      <c r="BB475" s="14">
        <v>2339</v>
      </c>
      <c r="BD475" s="14">
        <v>-14083</v>
      </c>
      <c r="BE475" s="14">
        <v>24</v>
      </c>
    </row>
    <row r="476" spans="8:57" x14ac:dyDescent="0.25">
      <c r="H476" s="14">
        <v>20</v>
      </c>
      <c r="I476" s="14">
        <v>355</v>
      </c>
      <c r="M476" s="14">
        <v>-316</v>
      </c>
      <c r="X476" s="14">
        <v>-351</v>
      </c>
      <c r="AB476" s="14">
        <v>219</v>
      </c>
      <c r="AG476" s="14">
        <v>48</v>
      </c>
      <c r="AJ476" s="14">
        <v>-742</v>
      </c>
      <c r="AL476" s="14">
        <v>-148</v>
      </c>
      <c r="AM476" s="14">
        <v>88</v>
      </c>
      <c r="AP476" s="14">
        <v>-92</v>
      </c>
      <c r="AQ476" s="14">
        <v>25</v>
      </c>
      <c r="AR476" s="14">
        <v>-965</v>
      </c>
      <c r="AS476" s="14">
        <v>262</v>
      </c>
      <c r="AT476" s="14">
        <v>-659</v>
      </c>
      <c r="AU476" s="14">
        <v>98</v>
      </c>
      <c r="AV476" s="14">
        <v>136</v>
      </c>
      <c r="AW476" s="14">
        <v>-18</v>
      </c>
      <c r="AX476" s="14">
        <v>-64</v>
      </c>
      <c r="AY476" s="14">
        <v>194</v>
      </c>
      <c r="AZ476" s="14">
        <v>106</v>
      </c>
      <c r="BA476" s="14">
        <v>-260</v>
      </c>
      <c r="BB476" s="14">
        <v>-26</v>
      </c>
      <c r="BD476" s="14">
        <v>-1</v>
      </c>
      <c r="BE476" s="14">
        <v>-2</v>
      </c>
    </row>
    <row r="477" spans="8:57" x14ac:dyDescent="0.25">
      <c r="H477" s="14">
        <v>21</v>
      </c>
      <c r="I477" s="14">
        <v>197</v>
      </c>
      <c r="M477" s="14">
        <v>-302</v>
      </c>
      <c r="X477" s="14">
        <v>108</v>
      </c>
      <c r="AB477" s="14">
        <v>200</v>
      </c>
      <c r="AG477" s="14">
        <v>-151</v>
      </c>
      <c r="AJ477" s="14">
        <v>25</v>
      </c>
      <c r="AL477" s="14">
        <v>-129</v>
      </c>
      <c r="AM477" s="14">
        <v>43</v>
      </c>
      <c r="AP477" s="14">
        <v>-175</v>
      </c>
      <c r="AQ477" s="14">
        <v>117</v>
      </c>
      <c r="AR477" s="14">
        <v>-603</v>
      </c>
      <c r="AS477" s="14">
        <v>-184</v>
      </c>
      <c r="AT477" s="14">
        <v>-467</v>
      </c>
      <c r="AU477" s="14">
        <v>135</v>
      </c>
      <c r="AV477" s="14">
        <v>-60</v>
      </c>
      <c r="AW477" s="14">
        <v>-22</v>
      </c>
      <c r="AX477" s="14">
        <v>-9</v>
      </c>
      <c r="AY477" s="14">
        <v>-120</v>
      </c>
      <c r="AZ477" s="14">
        <v>109</v>
      </c>
      <c r="BA477" s="14">
        <v>-254</v>
      </c>
      <c r="BB477" s="14">
        <v>-5</v>
      </c>
      <c r="BD477" s="14">
        <v>-8</v>
      </c>
      <c r="BE477" s="14">
        <v>-5</v>
      </c>
    </row>
    <row r="478" spans="8:57" x14ac:dyDescent="0.25">
      <c r="H478" s="14">
        <v>8</v>
      </c>
      <c r="I478" s="14">
        <v>-124</v>
      </c>
      <c r="M478" s="14">
        <v>-200</v>
      </c>
      <c r="X478" s="14">
        <v>-501</v>
      </c>
      <c r="AB478" s="14">
        <v>248</v>
      </c>
      <c r="AG478" s="14">
        <v>202</v>
      </c>
      <c r="AJ478" s="14">
        <v>-128</v>
      </c>
      <c r="AL478" s="14">
        <v>645</v>
      </c>
      <c r="AM478" s="14">
        <v>47</v>
      </c>
      <c r="AP478" s="14">
        <v>-49</v>
      </c>
      <c r="AQ478" s="14">
        <v>-3</v>
      </c>
      <c r="AR478" s="14">
        <v>-213</v>
      </c>
      <c r="AS478" s="14">
        <v>-241</v>
      </c>
      <c r="AT478" s="14">
        <v>183</v>
      </c>
      <c r="AU478" s="14">
        <v>118</v>
      </c>
      <c r="AV478" s="14">
        <v>22</v>
      </c>
      <c r="AW478" s="14">
        <v>-18</v>
      </c>
      <c r="AX478" s="14">
        <v>-207</v>
      </c>
      <c r="AY478" s="14">
        <v>-291</v>
      </c>
      <c r="AZ478" s="14">
        <v>110</v>
      </c>
      <c r="BA478" s="14">
        <v>-265</v>
      </c>
      <c r="BB478" s="14">
        <v>-6</v>
      </c>
      <c r="BD478" s="14">
        <v>7</v>
      </c>
      <c r="BE478" s="14">
        <v>10</v>
      </c>
    </row>
    <row r="479" spans="8:57" x14ac:dyDescent="0.25">
      <c r="H479" s="14">
        <v>824</v>
      </c>
      <c r="I479" s="14">
        <v>-174</v>
      </c>
      <c r="M479" s="14">
        <v>784</v>
      </c>
      <c r="X479" s="14">
        <v>-79</v>
      </c>
      <c r="AB479" s="14">
        <v>118</v>
      </c>
      <c r="AG479" s="14">
        <v>336</v>
      </c>
      <c r="AJ479" s="14">
        <v>329</v>
      </c>
      <c r="AL479" s="14">
        <v>56</v>
      </c>
      <c r="AM479" s="14">
        <v>79</v>
      </c>
      <c r="AP479" s="14">
        <v>-164</v>
      </c>
      <c r="AQ479" s="14">
        <v>3</v>
      </c>
      <c r="AR479" s="14">
        <v>-96</v>
      </c>
      <c r="AS479" s="14">
        <v>-187</v>
      </c>
      <c r="AT479" s="14">
        <v>27</v>
      </c>
      <c r="AU479" s="14">
        <v>-139</v>
      </c>
      <c r="AV479" s="14">
        <v>-109</v>
      </c>
      <c r="AW479" s="14">
        <v>-67</v>
      </c>
      <c r="AX479" s="14">
        <v>-28</v>
      </c>
      <c r="AY479" s="14">
        <v>340</v>
      </c>
      <c r="AZ479" s="14">
        <v>101</v>
      </c>
      <c r="BA479" s="14">
        <v>695</v>
      </c>
      <c r="BB479" s="14">
        <v>-8</v>
      </c>
      <c r="BD479" s="14">
        <v>5</v>
      </c>
      <c r="BE479" s="14">
        <v>22</v>
      </c>
    </row>
    <row r="480" spans="8:57" x14ac:dyDescent="0.25">
      <c r="H480" s="14">
        <v>674</v>
      </c>
      <c r="I480" s="14">
        <v>140</v>
      </c>
      <c r="M480" s="14">
        <v>181</v>
      </c>
      <c r="X480" s="14">
        <v>251</v>
      </c>
      <c r="AB480" s="14">
        <v>108</v>
      </c>
      <c r="AG480" s="14">
        <v>447</v>
      </c>
      <c r="AJ480" s="14">
        <v>772</v>
      </c>
      <c r="AL480" s="14">
        <v>-633</v>
      </c>
      <c r="AM480" s="14">
        <v>7</v>
      </c>
      <c r="AP480" s="14">
        <v>61</v>
      </c>
      <c r="AQ480" s="14">
        <v>4</v>
      </c>
      <c r="AR480" s="14">
        <v>31</v>
      </c>
      <c r="AS480" s="14">
        <v>-238</v>
      </c>
      <c r="AT480" s="14">
        <v>-142</v>
      </c>
      <c r="AU480" s="14">
        <v>-121</v>
      </c>
      <c r="AV480" s="14">
        <v>26</v>
      </c>
      <c r="AW480" s="14">
        <v>-32</v>
      </c>
      <c r="AX480" s="14">
        <v>-107</v>
      </c>
      <c r="AY480" s="14">
        <v>292</v>
      </c>
      <c r="AZ480" s="14">
        <v>114</v>
      </c>
      <c r="BA480" s="14">
        <v>825</v>
      </c>
      <c r="BB480" s="14">
        <v>-3</v>
      </c>
      <c r="BD480" s="14">
        <v>13</v>
      </c>
      <c r="BE480" s="14">
        <v>5</v>
      </c>
    </row>
    <row r="481" spans="8:57" x14ac:dyDescent="0.25">
      <c r="H481" s="14">
        <v>679</v>
      </c>
      <c r="I481" s="14">
        <v>357</v>
      </c>
      <c r="M481" s="14">
        <v>187</v>
      </c>
      <c r="X481" s="14">
        <v>-160</v>
      </c>
      <c r="AB481" s="14">
        <v>200</v>
      </c>
      <c r="AG481" s="14">
        <v>587</v>
      </c>
      <c r="AJ481" s="14">
        <v>370</v>
      </c>
      <c r="AL481" s="14">
        <v>171</v>
      </c>
      <c r="AM481" s="14">
        <v>23</v>
      </c>
      <c r="AP481" s="14">
        <v>34</v>
      </c>
      <c r="AQ481" s="14">
        <v>4</v>
      </c>
      <c r="AR481" s="14">
        <v>-474</v>
      </c>
      <c r="AS481" s="14">
        <v>-352</v>
      </c>
      <c r="AT481" s="14">
        <v>-2</v>
      </c>
      <c r="AU481" s="14">
        <v>384</v>
      </c>
      <c r="AV481" s="14">
        <v>-84</v>
      </c>
      <c r="AW481" s="14">
        <v>-41</v>
      </c>
      <c r="AX481" s="14">
        <v>-534</v>
      </c>
      <c r="AY481" s="14">
        <v>613</v>
      </c>
      <c r="AZ481" s="14">
        <v>112</v>
      </c>
      <c r="BA481" s="14">
        <v>784</v>
      </c>
      <c r="BB481" s="14">
        <v>23</v>
      </c>
      <c r="BD481" s="14">
        <v>5</v>
      </c>
      <c r="BE481" s="14">
        <v>19</v>
      </c>
    </row>
    <row r="482" spans="8:57" x14ac:dyDescent="0.25">
      <c r="H482" s="14">
        <v>678</v>
      </c>
      <c r="I482" s="14">
        <v>310</v>
      </c>
      <c r="M482" s="14">
        <v>184</v>
      </c>
      <c r="X482" s="14">
        <v>-293</v>
      </c>
      <c r="AB482" s="14">
        <v>84</v>
      </c>
      <c r="AG482" s="14">
        <v>-104</v>
      </c>
      <c r="AJ482" s="14">
        <v>165</v>
      </c>
      <c r="AL482" s="14">
        <v>-275</v>
      </c>
      <c r="AM482" s="14">
        <v>18</v>
      </c>
      <c r="AP482" s="14">
        <v>30</v>
      </c>
      <c r="AQ482" s="14">
        <v>4</v>
      </c>
      <c r="AR482" s="14">
        <v>178</v>
      </c>
      <c r="AS482" s="14">
        <v>-243</v>
      </c>
      <c r="AT482" s="14">
        <v>17</v>
      </c>
      <c r="AU482" s="14">
        <v>-78</v>
      </c>
      <c r="AV482" s="14">
        <v>19</v>
      </c>
      <c r="AW482" s="14">
        <v>-161</v>
      </c>
      <c r="AX482" s="14">
        <v>-54</v>
      </c>
      <c r="AY482" s="14">
        <v>-122</v>
      </c>
      <c r="AZ482" s="14">
        <v>112</v>
      </c>
      <c r="BA482" s="14">
        <v>1801</v>
      </c>
      <c r="BB482" s="14">
        <v>2825</v>
      </c>
      <c r="BD482" s="14">
        <v>6</v>
      </c>
      <c r="BE482" s="14">
        <v>-74</v>
      </c>
    </row>
    <row r="483" spans="8:57" x14ac:dyDescent="0.25">
      <c r="H483" s="14">
        <v>715</v>
      </c>
      <c r="I483" s="14">
        <v>250</v>
      </c>
      <c r="M483" s="14">
        <v>174</v>
      </c>
      <c r="X483" s="14">
        <v>-25</v>
      </c>
      <c r="AB483" s="14">
        <v>40</v>
      </c>
      <c r="AG483" s="14">
        <v>-92</v>
      </c>
      <c r="AJ483" s="14">
        <v>476</v>
      </c>
      <c r="AL483" s="14">
        <v>-568</v>
      </c>
      <c r="AM483" s="14">
        <v>280</v>
      </c>
      <c r="AP483" s="14">
        <v>24</v>
      </c>
      <c r="AQ483" s="14">
        <v>1</v>
      </c>
      <c r="AR483" s="14">
        <v>230</v>
      </c>
      <c r="AS483" s="14">
        <v>230</v>
      </c>
      <c r="AT483" s="14">
        <v>8</v>
      </c>
      <c r="AU483" s="14">
        <v>-66</v>
      </c>
      <c r="AV483" s="14">
        <v>-15</v>
      </c>
      <c r="AW483" s="14">
        <v>-22</v>
      </c>
      <c r="AX483" s="14">
        <v>-161</v>
      </c>
      <c r="AY483" s="14">
        <v>133</v>
      </c>
      <c r="AZ483" s="14">
        <v>110</v>
      </c>
      <c r="BA483" s="14">
        <v>2275</v>
      </c>
      <c r="BB483" s="14">
        <v>-110</v>
      </c>
      <c r="BD483" s="14">
        <v>7</v>
      </c>
      <c r="BE483" s="14">
        <v>-178</v>
      </c>
    </row>
    <row r="484" spans="8:57" x14ac:dyDescent="0.25">
      <c r="H484" s="14">
        <v>744</v>
      </c>
      <c r="I484" s="14">
        <v>-108</v>
      </c>
      <c r="M484" s="14">
        <v>155</v>
      </c>
      <c r="X484" s="14">
        <v>-412</v>
      </c>
      <c r="AB484" s="14">
        <v>20</v>
      </c>
      <c r="AG484" s="14">
        <v>-152</v>
      </c>
      <c r="AJ484" s="14">
        <v>390</v>
      </c>
      <c r="AL484" s="14">
        <v>147</v>
      </c>
      <c r="AM484" s="14">
        <v>336</v>
      </c>
      <c r="AP484" s="14">
        <v>165</v>
      </c>
      <c r="AQ484" s="14">
        <v>1</v>
      </c>
      <c r="AR484" s="14">
        <v>300</v>
      </c>
      <c r="AS484" s="14">
        <v>202</v>
      </c>
      <c r="AT484" s="14">
        <v>3</v>
      </c>
      <c r="AU484" s="14">
        <v>-336</v>
      </c>
      <c r="AV484" s="14">
        <v>-92</v>
      </c>
      <c r="AW484" s="14">
        <v>-42</v>
      </c>
      <c r="AX484" s="14">
        <v>-152</v>
      </c>
      <c r="AY484" s="14">
        <v>328</v>
      </c>
      <c r="AZ484" s="14">
        <v>110</v>
      </c>
      <c r="BA484" s="14">
        <v>2287</v>
      </c>
      <c r="BB484" s="14">
        <v>-35</v>
      </c>
      <c r="BD484" s="14">
        <v>13</v>
      </c>
      <c r="BE484" s="14">
        <v>-155</v>
      </c>
    </row>
    <row r="485" spans="8:57" x14ac:dyDescent="0.25">
      <c r="H485" s="14">
        <v>688</v>
      </c>
      <c r="I485" s="14">
        <v>207</v>
      </c>
      <c r="M485" s="14">
        <v>129</v>
      </c>
      <c r="X485" s="14">
        <v>973</v>
      </c>
      <c r="AB485" s="14">
        <v>16</v>
      </c>
      <c r="AG485" s="14">
        <v>41</v>
      </c>
      <c r="AJ485" s="14">
        <v>106</v>
      </c>
      <c r="AL485" s="14">
        <v>62</v>
      </c>
      <c r="AM485" s="14">
        <v>271</v>
      </c>
      <c r="AP485" s="14">
        <v>183</v>
      </c>
      <c r="AQ485" s="14">
        <v>-1</v>
      </c>
      <c r="AR485" s="14">
        <v>-431</v>
      </c>
      <c r="AS485" s="14">
        <v>230</v>
      </c>
      <c r="AT485" s="14">
        <v>2</v>
      </c>
      <c r="AU485" s="14">
        <v>-48</v>
      </c>
      <c r="AV485" s="14">
        <v>-83</v>
      </c>
      <c r="AW485" s="14">
        <v>-1</v>
      </c>
      <c r="AX485" s="14">
        <v>-18</v>
      </c>
      <c r="AY485" s="14">
        <v>-150</v>
      </c>
      <c r="AZ485" s="14">
        <v>102</v>
      </c>
      <c r="BA485" s="14">
        <v>-414</v>
      </c>
      <c r="BB485" s="14">
        <v>-28</v>
      </c>
      <c r="BD485" s="14">
        <v>-1</v>
      </c>
      <c r="BE485" s="14">
        <v>-170</v>
      </c>
    </row>
    <row r="486" spans="8:57" x14ac:dyDescent="0.25">
      <c r="H486" s="14">
        <v>714</v>
      </c>
      <c r="I486" s="14">
        <v>957</v>
      </c>
      <c r="M486" s="14">
        <v>94</v>
      </c>
      <c r="X486" s="14">
        <v>-411</v>
      </c>
      <c r="AB486" s="14">
        <v>129</v>
      </c>
      <c r="AG486" s="14">
        <v>-74</v>
      </c>
      <c r="AJ486" s="14">
        <v>197</v>
      </c>
      <c r="AL486" s="14">
        <v>-19</v>
      </c>
      <c r="AM486" s="14">
        <v>176</v>
      </c>
      <c r="AP486" s="14">
        <v>138</v>
      </c>
      <c r="AQ486" s="14">
        <v>107</v>
      </c>
      <c r="AR486" s="14">
        <v>210</v>
      </c>
      <c r="AS486" s="14">
        <v>202</v>
      </c>
      <c r="AT486" s="14">
        <v>4</v>
      </c>
      <c r="AU486" s="14">
        <v>51</v>
      </c>
      <c r="AV486" s="14">
        <v>-106</v>
      </c>
      <c r="AW486" s="14">
        <v>-19</v>
      </c>
      <c r="AX486" s="14">
        <v>6</v>
      </c>
      <c r="AY486" s="14">
        <v>-202</v>
      </c>
      <c r="AZ486" s="14">
        <v>112</v>
      </c>
      <c r="BA486" s="14">
        <v>-432</v>
      </c>
      <c r="BB486" s="14">
        <v>-26</v>
      </c>
      <c r="BD486" s="14">
        <v>5</v>
      </c>
      <c r="BE486" s="14">
        <v>-115</v>
      </c>
    </row>
    <row r="487" spans="8:57" x14ac:dyDescent="0.25">
      <c r="H487" s="14">
        <v>689</v>
      </c>
      <c r="I487" s="14">
        <v>532</v>
      </c>
      <c r="M487" s="14">
        <v>51</v>
      </c>
      <c r="X487" s="14">
        <v>429</v>
      </c>
      <c r="AB487" s="14">
        <v>-7</v>
      </c>
      <c r="AG487" s="14">
        <v>183</v>
      </c>
      <c r="AJ487" s="14">
        <v>484</v>
      </c>
      <c r="AL487" s="14">
        <v>-835</v>
      </c>
      <c r="AM487" s="14">
        <v>165</v>
      </c>
      <c r="AP487" s="14">
        <v>-339</v>
      </c>
      <c r="AQ487" s="14">
        <v>157</v>
      </c>
      <c r="AR487" s="14">
        <v>-132</v>
      </c>
      <c r="AS487" s="14">
        <v>114</v>
      </c>
      <c r="AT487" s="14">
        <v>2</v>
      </c>
      <c r="AU487" s="14">
        <v>36</v>
      </c>
      <c r="AV487" s="14">
        <v>31</v>
      </c>
      <c r="AW487" s="14">
        <v>-32</v>
      </c>
      <c r="AX487" s="14">
        <v>54</v>
      </c>
      <c r="AY487" s="14">
        <v>794</v>
      </c>
      <c r="AZ487" s="14">
        <v>106</v>
      </c>
      <c r="BA487" s="14">
        <v>-406</v>
      </c>
      <c r="BB487" s="14">
        <v>-20</v>
      </c>
      <c r="BD487" s="14">
        <v>-17</v>
      </c>
      <c r="BE487" s="14">
        <v>-281</v>
      </c>
    </row>
    <row r="488" spans="8:57" x14ac:dyDescent="0.25">
      <c r="H488" s="14">
        <v>107</v>
      </c>
      <c r="I488" s="14">
        <v>155</v>
      </c>
      <c r="M488" s="14">
        <v>115</v>
      </c>
      <c r="X488" s="14">
        <v>357</v>
      </c>
      <c r="AB488" s="14">
        <v>5</v>
      </c>
      <c r="AG488" s="14">
        <v>252</v>
      </c>
      <c r="AJ488" s="14">
        <v>201</v>
      </c>
      <c r="AL488" s="14">
        <v>-607</v>
      </c>
      <c r="AM488" s="14">
        <v>710</v>
      </c>
      <c r="AP488" s="14">
        <v>-197</v>
      </c>
      <c r="AQ488" s="14">
        <v>-4</v>
      </c>
      <c r="AR488" s="14">
        <v>282</v>
      </c>
      <c r="AS488" s="14">
        <v>103</v>
      </c>
      <c r="AT488" s="14">
        <v>-1</v>
      </c>
      <c r="AU488" s="14">
        <v>151</v>
      </c>
      <c r="AV488" s="14">
        <v>34</v>
      </c>
      <c r="AW488" s="14">
        <v>-21</v>
      </c>
      <c r="AX488" s="14">
        <v>-95</v>
      </c>
      <c r="AY488" s="14">
        <v>684</v>
      </c>
      <c r="AZ488" s="14">
        <v>109</v>
      </c>
      <c r="BA488" s="14">
        <v>420</v>
      </c>
      <c r="BB488" s="14">
        <v>26</v>
      </c>
      <c r="BD488" s="14">
        <v>-16</v>
      </c>
      <c r="BE488" s="14">
        <v>29</v>
      </c>
    </row>
    <row r="489" spans="8:57" x14ac:dyDescent="0.25">
      <c r="H489" s="14">
        <v>-85</v>
      </c>
      <c r="I489" s="14">
        <v>644</v>
      </c>
      <c r="M489" s="14">
        <v>401</v>
      </c>
      <c r="X489" s="14">
        <v>-504</v>
      </c>
      <c r="AB489" s="14">
        <v>78</v>
      </c>
      <c r="AG489" s="14">
        <v>565</v>
      </c>
      <c r="AJ489" s="14">
        <v>394</v>
      </c>
      <c r="AL489" s="14">
        <v>-247</v>
      </c>
      <c r="AM489" s="14">
        <v>23</v>
      </c>
      <c r="AP489" s="14">
        <v>-111</v>
      </c>
      <c r="AQ489" s="14">
        <v>-59</v>
      </c>
      <c r="AR489" s="14">
        <v>172</v>
      </c>
      <c r="AS489" s="14">
        <v>226</v>
      </c>
      <c r="AT489" s="14">
        <v>-23</v>
      </c>
      <c r="AU489" s="14">
        <v>-75</v>
      </c>
      <c r="AV489" s="14">
        <v>-22</v>
      </c>
      <c r="AW489" s="14">
        <v>-25</v>
      </c>
      <c r="AX489" s="14">
        <v>10</v>
      </c>
      <c r="AY489" s="14">
        <v>152</v>
      </c>
      <c r="AZ489" s="14">
        <v>110</v>
      </c>
      <c r="BA489" s="14">
        <v>383</v>
      </c>
      <c r="BB489" s="14">
        <v>2818</v>
      </c>
      <c r="BD489" s="14">
        <v>-17</v>
      </c>
      <c r="BE489" s="14">
        <v>40</v>
      </c>
    </row>
    <row r="490" spans="8:57" x14ac:dyDescent="0.25">
      <c r="H490" s="14">
        <v>-92</v>
      </c>
      <c r="I490" s="14">
        <v>-92</v>
      </c>
      <c r="M490" s="14">
        <v>209</v>
      </c>
      <c r="X490" s="14">
        <v>113</v>
      </c>
      <c r="AB490" s="14">
        <v>229</v>
      </c>
      <c r="AG490" s="14">
        <v>659</v>
      </c>
      <c r="AJ490" s="14">
        <v>103</v>
      </c>
      <c r="AL490" s="14">
        <v>-168</v>
      </c>
      <c r="AM490" s="14">
        <v>54</v>
      </c>
      <c r="AP490" s="14">
        <v>523</v>
      </c>
      <c r="AQ490" s="14">
        <v>578</v>
      </c>
      <c r="AR490" s="14">
        <v>-120</v>
      </c>
      <c r="AS490" s="14">
        <v>160</v>
      </c>
      <c r="AT490" s="14">
        <v>-1</v>
      </c>
      <c r="AU490" s="14">
        <v>75</v>
      </c>
      <c r="AV490" s="14">
        <v>3</v>
      </c>
      <c r="AW490" s="14">
        <v>-19</v>
      </c>
      <c r="AX490" s="14">
        <v>171</v>
      </c>
      <c r="AY490" s="14">
        <v>133</v>
      </c>
      <c r="AZ490" s="14">
        <v>101</v>
      </c>
      <c r="BA490" s="14">
        <v>378</v>
      </c>
      <c r="BB490" s="14">
        <v>-97</v>
      </c>
      <c r="BD490" s="14">
        <v>-17</v>
      </c>
      <c r="BE490" s="14">
        <v>246</v>
      </c>
    </row>
    <row r="491" spans="8:57" x14ac:dyDescent="0.25">
      <c r="H491" s="14">
        <v>-51</v>
      </c>
      <c r="I491" s="14">
        <v>311</v>
      </c>
      <c r="M491" s="14">
        <v>108</v>
      </c>
      <c r="X491" s="14">
        <v>-115</v>
      </c>
      <c r="AB491" s="14">
        <v>103</v>
      </c>
      <c r="AG491" s="14">
        <v>-81</v>
      </c>
      <c r="AJ491" s="14">
        <v>196</v>
      </c>
      <c r="AL491" s="14">
        <v>-333</v>
      </c>
      <c r="AM491" s="14">
        <v>4</v>
      </c>
      <c r="AP491" s="14">
        <v>-84</v>
      </c>
      <c r="AQ491" s="14">
        <v>155</v>
      </c>
      <c r="AR491" s="14">
        <v>123</v>
      </c>
      <c r="AS491" s="14">
        <v>303</v>
      </c>
      <c r="AT491" s="14">
        <v>15</v>
      </c>
      <c r="AU491" s="14">
        <v>111</v>
      </c>
      <c r="AV491" s="14">
        <v>73</v>
      </c>
      <c r="AW491" s="14">
        <v>-17</v>
      </c>
      <c r="AX491" s="14">
        <v>36</v>
      </c>
      <c r="AY491" s="14">
        <v>361</v>
      </c>
      <c r="AZ491" s="14">
        <v>114</v>
      </c>
      <c r="BA491" s="14">
        <v>-500</v>
      </c>
      <c r="BB491" s="14">
        <v>-31</v>
      </c>
      <c r="BD491" s="14">
        <v>-16</v>
      </c>
      <c r="BE491" s="14">
        <v>26</v>
      </c>
    </row>
    <row r="492" spans="8:57" x14ac:dyDescent="0.25">
      <c r="H492" s="14">
        <v>-105</v>
      </c>
      <c r="I492" s="14">
        <v>-5</v>
      </c>
      <c r="M492" s="14">
        <v>19</v>
      </c>
      <c r="X492" s="14">
        <v>49</v>
      </c>
      <c r="AB492" s="14">
        <v>294</v>
      </c>
      <c r="AG492" s="14">
        <v>-120</v>
      </c>
      <c r="AJ492" s="14">
        <v>484</v>
      </c>
      <c r="AL492" s="14">
        <v>-3</v>
      </c>
      <c r="AM492" s="14">
        <v>5</v>
      </c>
      <c r="AP492" s="14">
        <v>333</v>
      </c>
      <c r="AQ492" s="14">
        <v>-4</v>
      </c>
      <c r="AR492" s="14">
        <v>-850</v>
      </c>
      <c r="AS492" s="14">
        <v>110</v>
      </c>
      <c r="AT492" s="14">
        <v>22</v>
      </c>
      <c r="AU492" s="14">
        <v>161</v>
      </c>
      <c r="AV492" s="14">
        <v>-28</v>
      </c>
      <c r="AW492" s="14">
        <v>-57</v>
      </c>
      <c r="AX492" s="14">
        <v>-65</v>
      </c>
      <c r="AY492" s="14">
        <v>-106</v>
      </c>
      <c r="AZ492" s="14">
        <v>112</v>
      </c>
      <c r="BA492" s="14">
        <v>-499</v>
      </c>
      <c r="BB492" s="14">
        <v>-25</v>
      </c>
      <c r="BD492" s="14">
        <v>-5</v>
      </c>
      <c r="BE492" s="14">
        <v>207</v>
      </c>
    </row>
    <row r="493" spans="8:57" x14ac:dyDescent="0.25">
      <c r="H493" s="14">
        <v>-121</v>
      </c>
      <c r="I493" s="14">
        <v>32</v>
      </c>
      <c r="M493" s="14">
        <v>-44</v>
      </c>
      <c r="X493" s="14">
        <v>106</v>
      </c>
      <c r="AB493" s="14">
        <v>369</v>
      </c>
      <c r="AG493" s="14">
        <v>-80</v>
      </c>
      <c r="AJ493" s="14">
        <v>205</v>
      </c>
      <c r="AL493" s="14">
        <v>107</v>
      </c>
      <c r="AM493" s="14">
        <v>-14</v>
      </c>
      <c r="AP493" s="14">
        <v>-268</v>
      </c>
      <c r="AQ493" s="14">
        <v>-59</v>
      </c>
      <c r="AR493" s="14">
        <v>150</v>
      </c>
      <c r="AS493" s="14">
        <v>919</v>
      </c>
      <c r="AT493" s="14">
        <v>5</v>
      </c>
      <c r="AU493" s="14">
        <v>173</v>
      </c>
      <c r="AV493" s="14">
        <v>738</v>
      </c>
      <c r="AW493" s="14">
        <v>-48</v>
      </c>
      <c r="AX493" s="14">
        <v>97</v>
      </c>
      <c r="AY493" s="14">
        <v>560</v>
      </c>
      <c r="AZ493" s="14">
        <v>100</v>
      </c>
      <c r="BA493" s="14">
        <v>-490</v>
      </c>
      <c r="BB493" s="14">
        <v>-23</v>
      </c>
      <c r="BD493" s="14">
        <v>-16</v>
      </c>
    </row>
    <row r="494" spans="8:57" x14ac:dyDescent="0.25">
      <c r="H494" s="14">
        <v>15</v>
      </c>
      <c r="I494" s="14">
        <v>-243</v>
      </c>
      <c r="M494" s="14">
        <v>-76</v>
      </c>
      <c r="X494" s="14">
        <v>-131</v>
      </c>
      <c r="AB494" s="14">
        <v>296</v>
      </c>
      <c r="AG494" s="14">
        <v>-88</v>
      </c>
      <c r="AJ494" s="14">
        <v>457</v>
      </c>
      <c r="AL494" s="14">
        <v>-77</v>
      </c>
      <c r="AM494" s="14">
        <v>-12</v>
      </c>
      <c r="AP494" s="14">
        <v>479</v>
      </c>
      <c r="AQ494" s="14">
        <v>890</v>
      </c>
      <c r="AR494" s="14">
        <v>-209</v>
      </c>
      <c r="AS494" s="14">
        <v>921</v>
      </c>
      <c r="AT494" s="14">
        <v>2</v>
      </c>
      <c r="AU494" s="14">
        <v>218</v>
      </c>
      <c r="AV494" s="14">
        <v>-84</v>
      </c>
      <c r="AW494" s="14">
        <v>-18</v>
      </c>
      <c r="AX494" s="14">
        <v>147</v>
      </c>
      <c r="AY494" s="14">
        <v>198</v>
      </c>
      <c r="AZ494" s="14">
        <v>112</v>
      </c>
      <c r="BA494" s="14">
        <v>-2409</v>
      </c>
      <c r="BB494" s="14">
        <v>-18</v>
      </c>
      <c r="BD494" s="14">
        <v>-17</v>
      </c>
    </row>
    <row r="495" spans="8:57" x14ac:dyDescent="0.25">
      <c r="H495" s="14">
        <v>-64</v>
      </c>
      <c r="I495" s="14">
        <v>296</v>
      </c>
      <c r="M495" s="14">
        <v>-78</v>
      </c>
      <c r="X495" s="14">
        <v>285</v>
      </c>
      <c r="AB495" s="14">
        <v>151</v>
      </c>
      <c r="AG495" s="14">
        <v>-164</v>
      </c>
      <c r="AJ495" s="14">
        <v>218</v>
      </c>
      <c r="AL495" s="14">
        <v>-286</v>
      </c>
      <c r="AM495" s="14">
        <v>-71</v>
      </c>
      <c r="AP495" s="14">
        <v>-134</v>
      </c>
      <c r="AQ495" s="14">
        <v>156</v>
      </c>
      <c r="AR495" s="14">
        <v>-170</v>
      </c>
      <c r="AS495" s="14">
        <v>508</v>
      </c>
      <c r="AT495" s="14">
        <v>-1</v>
      </c>
      <c r="AU495" s="14">
        <v>61</v>
      </c>
      <c r="AV495" s="14">
        <v>6</v>
      </c>
      <c r="AW495" s="14">
        <v>-53</v>
      </c>
      <c r="AX495" s="14">
        <v>96</v>
      </c>
      <c r="AY495" s="14">
        <v>173</v>
      </c>
      <c r="AZ495" s="14">
        <v>112</v>
      </c>
      <c r="BA495" s="14">
        <v>-4772</v>
      </c>
      <c r="BB495" s="14">
        <v>25</v>
      </c>
      <c r="BD495" s="14">
        <v>33</v>
      </c>
    </row>
    <row r="496" spans="8:57" x14ac:dyDescent="0.25">
      <c r="H496" s="14">
        <v>526</v>
      </c>
      <c r="I496" s="14">
        <v>769</v>
      </c>
      <c r="M496" s="14">
        <v>-56</v>
      </c>
      <c r="X496" s="14">
        <v>114</v>
      </c>
      <c r="AB496" s="14">
        <v>349</v>
      </c>
      <c r="AG496" s="14">
        <v>23</v>
      </c>
      <c r="AJ496" s="14">
        <v>406</v>
      </c>
      <c r="AL496" s="14">
        <v>-849</v>
      </c>
      <c r="AM496" s="14">
        <v>37</v>
      </c>
      <c r="AP496" s="14">
        <v>70</v>
      </c>
      <c r="AQ496" s="14">
        <v>-4</v>
      </c>
      <c r="AR496" s="14">
        <v>-130</v>
      </c>
      <c r="AS496" s="14">
        <v>190</v>
      </c>
      <c r="AT496" s="14">
        <v>3</v>
      </c>
      <c r="AU496" s="14">
        <v>64</v>
      </c>
      <c r="AV496" s="14">
        <v>-94</v>
      </c>
      <c r="AW496" s="14">
        <v>-8</v>
      </c>
      <c r="AX496" s="14">
        <v>36</v>
      </c>
      <c r="AY496" s="14">
        <v>525</v>
      </c>
      <c r="AZ496" s="14">
        <v>110</v>
      </c>
      <c r="BA496" s="14">
        <v>1081</v>
      </c>
      <c r="BB496" s="14">
        <v>2819</v>
      </c>
      <c r="BD496" s="14">
        <v>-87</v>
      </c>
    </row>
    <row r="497" spans="8:56" x14ac:dyDescent="0.25">
      <c r="H497" s="14">
        <v>525</v>
      </c>
      <c r="I497" s="14">
        <v>738</v>
      </c>
      <c r="M497" s="14">
        <v>483</v>
      </c>
      <c r="X497" s="14">
        <v>493</v>
      </c>
      <c r="AB497" s="14">
        <v>330</v>
      </c>
      <c r="AG497" s="14">
        <v>-45</v>
      </c>
      <c r="AJ497" s="14">
        <v>370</v>
      </c>
      <c r="AL497" s="14">
        <v>866</v>
      </c>
      <c r="AM497" s="14">
        <v>-13</v>
      </c>
      <c r="AP497" s="14">
        <v>263</v>
      </c>
      <c r="AQ497" s="14">
        <v>-59</v>
      </c>
      <c r="AR497" s="14">
        <v>-510</v>
      </c>
      <c r="AS497" s="14">
        <v>-409</v>
      </c>
      <c r="AT497" s="14">
        <v>1</v>
      </c>
      <c r="AU497" s="14">
        <v>-102</v>
      </c>
      <c r="AV497" s="14">
        <v>-1</v>
      </c>
      <c r="AW497" s="14">
        <v>-79</v>
      </c>
      <c r="AX497" s="14">
        <v>60</v>
      </c>
      <c r="AY497" s="14">
        <v>205</v>
      </c>
      <c r="AZ497" s="14">
        <v>638</v>
      </c>
      <c r="BA497" s="14">
        <v>1653</v>
      </c>
      <c r="BB497" s="14">
        <v>57</v>
      </c>
      <c r="BD497" s="14">
        <v>-1616</v>
      </c>
    </row>
    <row r="498" spans="8:56" x14ac:dyDescent="0.25">
      <c r="H498" s="14">
        <v>110</v>
      </c>
      <c r="I498" s="14">
        <v>-160</v>
      </c>
      <c r="M498" s="14">
        <v>190</v>
      </c>
      <c r="X498" s="14">
        <v>-209</v>
      </c>
      <c r="AB498" s="14">
        <v>125</v>
      </c>
      <c r="AG498" s="14">
        <v>162</v>
      </c>
      <c r="AJ498" s="14">
        <v>271</v>
      </c>
      <c r="AL498" s="14">
        <v>149</v>
      </c>
      <c r="AM498" s="14">
        <v>-144</v>
      </c>
      <c r="AP498" s="14">
        <v>-3</v>
      </c>
      <c r="AQ498" s="14">
        <v>113</v>
      </c>
      <c r="AR498" s="14">
        <v>170</v>
      </c>
      <c r="AS498" s="14">
        <v>-674</v>
      </c>
      <c r="AT498" s="14">
        <v>-279</v>
      </c>
      <c r="AU498" s="14">
        <v>-26</v>
      </c>
      <c r="AV498" s="14">
        <v>-120</v>
      </c>
      <c r="AW498" s="14">
        <v>-227</v>
      </c>
      <c r="AX498" s="14">
        <v>-110</v>
      </c>
      <c r="AY498" s="14">
        <v>177</v>
      </c>
      <c r="AZ498" s="14">
        <v>106</v>
      </c>
      <c r="BA498" s="14">
        <v>1684</v>
      </c>
      <c r="BB498" s="14">
        <v>1</v>
      </c>
      <c r="BD498" s="14">
        <v>-1</v>
      </c>
    </row>
    <row r="499" spans="8:56" x14ac:dyDescent="0.25">
      <c r="H499" s="14">
        <v>551</v>
      </c>
      <c r="I499" s="14">
        <v>-334</v>
      </c>
      <c r="M499" s="14">
        <v>184</v>
      </c>
      <c r="X499" s="14">
        <v>-581</v>
      </c>
      <c r="AB499" s="14">
        <v>107</v>
      </c>
      <c r="AG499" s="14">
        <v>248</v>
      </c>
      <c r="AJ499" s="14">
        <v>194</v>
      </c>
      <c r="AL499" s="14">
        <v>167</v>
      </c>
      <c r="AM499" s="14">
        <v>-8</v>
      </c>
      <c r="AP499" s="14">
        <v>-1</v>
      </c>
      <c r="AQ499" s="14">
        <v>161</v>
      </c>
      <c r="AR499" s="14">
        <v>-316</v>
      </c>
      <c r="AS499" s="14">
        <v>-363</v>
      </c>
      <c r="AT499" s="14">
        <v>33</v>
      </c>
      <c r="AU499" s="14">
        <v>100</v>
      </c>
      <c r="AV499" s="14">
        <v>-30</v>
      </c>
      <c r="AW499" s="14">
        <v>163</v>
      </c>
      <c r="AX499" s="14">
        <v>-165</v>
      </c>
      <c r="AY499" s="14">
        <v>166</v>
      </c>
      <c r="AZ499" s="14">
        <v>126</v>
      </c>
      <c r="BA499" s="14">
        <v>2278</v>
      </c>
      <c r="BB499" s="14">
        <v>-4</v>
      </c>
      <c r="BD499" s="14">
        <v>-5</v>
      </c>
    </row>
    <row r="500" spans="8:56" x14ac:dyDescent="0.25">
      <c r="H500" s="14">
        <v>519</v>
      </c>
      <c r="I500" s="14">
        <v>634</v>
      </c>
      <c r="M500" s="14">
        <v>166</v>
      </c>
      <c r="X500" s="14">
        <v>-216</v>
      </c>
      <c r="AB500" s="14">
        <v>137</v>
      </c>
      <c r="AG500" s="14">
        <v>486</v>
      </c>
      <c r="AJ500" s="14">
        <v>143</v>
      </c>
      <c r="AL500" s="14">
        <v>51</v>
      </c>
      <c r="AM500" s="14">
        <v>-29</v>
      </c>
      <c r="AP500" s="14">
        <v>44</v>
      </c>
      <c r="AQ500" s="14">
        <v>-4</v>
      </c>
      <c r="AR500" s="14">
        <v>124</v>
      </c>
      <c r="AS500" s="14">
        <v>-511</v>
      </c>
      <c r="AT500" s="14">
        <v>19</v>
      </c>
      <c r="AU500" s="14">
        <v>-37</v>
      </c>
      <c r="AV500" s="14">
        <v>-57</v>
      </c>
      <c r="AW500" s="14">
        <v>837</v>
      </c>
      <c r="AX500" s="14">
        <v>-299</v>
      </c>
      <c r="AY500" s="14">
        <v>175</v>
      </c>
      <c r="AZ500" s="14">
        <v>106</v>
      </c>
      <c r="BA500" s="14">
        <v>788</v>
      </c>
      <c r="BB500" s="14">
        <v>-30</v>
      </c>
      <c r="BD500" s="14">
        <v>-1</v>
      </c>
    </row>
    <row r="501" spans="8:56" x14ac:dyDescent="0.25">
      <c r="H501" s="14">
        <v>147</v>
      </c>
      <c r="I501" s="14">
        <v>-427</v>
      </c>
      <c r="M501" s="14">
        <v>140</v>
      </c>
      <c r="X501" s="14">
        <v>-222</v>
      </c>
      <c r="AB501" s="14">
        <v>991</v>
      </c>
      <c r="AG501" s="14">
        <v>616</v>
      </c>
      <c r="AJ501" s="14">
        <v>646</v>
      </c>
      <c r="AL501" s="14">
        <v>-2</v>
      </c>
      <c r="AM501" s="14">
        <v>23</v>
      </c>
      <c r="AP501" s="14">
        <v>-344</v>
      </c>
      <c r="AQ501" s="14">
        <v>-59</v>
      </c>
      <c r="AR501" s="14">
        <v>-6</v>
      </c>
      <c r="AS501" s="14">
        <v>-168</v>
      </c>
      <c r="AT501" s="14">
        <v>3</v>
      </c>
      <c r="AU501" s="14">
        <v>612</v>
      </c>
      <c r="AV501" s="14">
        <v>-154</v>
      </c>
      <c r="AW501" s="14">
        <v>404</v>
      </c>
      <c r="AX501" s="14">
        <v>-262</v>
      </c>
      <c r="AY501" s="14">
        <v>162</v>
      </c>
      <c r="AZ501" s="14">
        <v>112</v>
      </c>
      <c r="BA501" s="14">
        <v>721</v>
      </c>
      <c r="BB501" s="14">
        <v>786</v>
      </c>
      <c r="BD501" s="14">
        <v>-1</v>
      </c>
    </row>
    <row r="502" spans="8:56" x14ac:dyDescent="0.25">
      <c r="H502" s="14">
        <v>531</v>
      </c>
      <c r="I502" s="14">
        <v>-431</v>
      </c>
      <c r="M502" s="14">
        <v>109</v>
      </c>
      <c r="X502" s="14">
        <v>223</v>
      </c>
      <c r="AB502" s="14">
        <v>132</v>
      </c>
      <c r="AG502" s="14">
        <v>-83</v>
      </c>
      <c r="AJ502" s="14">
        <v>380</v>
      </c>
      <c r="AL502" s="14">
        <v>-164</v>
      </c>
      <c r="AM502" s="14">
        <v>42</v>
      </c>
      <c r="AP502" s="14">
        <v>66</v>
      </c>
      <c r="AQ502" s="14">
        <v>557</v>
      </c>
      <c r="AR502" s="14">
        <v>464</v>
      </c>
      <c r="AS502" s="14">
        <v>-201</v>
      </c>
      <c r="AT502" s="14">
        <v>3</v>
      </c>
      <c r="AU502" s="14">
        <v>-140</v>
      </c>
      <c r="AV502" s="14">
        <v>-116</v>
      </c>
      <c r="AW502" s="14">
        <v>114</v>
      </c>
      <c r="AX502" s="14">
        <v>429</v>
      </c>
      <c r="AY502" s="14">
        <v>597</v>
      </c>
      <c r="AZ502" s="14">
        <v>120</v>
      </c>
      <c r="BA502" s="14">
        <v>386</v>
      </c>
      <c r="BB502" s="14">
        <v>172</v>
      </c>
      <c r="BD502" s="14">
        <v>11</v>
      </c>
    </row>
    <row r="503" spans="8:56" x14ac:dyDescent="0.25">
      <c r="H503" s="14">
        <v>491</v>
      </c>
      <c r="I503" s="14">
        <v>701</v>
      </c>
      <c r="M503" s="14">
        <v>82</v>
      </c>
      <c r="X503" s="14">
        <v>916</v>
      </c>
      <c r="AB503" s="14">
        <v>896</v>
      </c>
      <c r="AG503" s="14">
        <v>-74</v>
      </c>
      <c r="AJ503" s="14">
        <v>121</v>
      </c>
      <c r="AL503" s="14">
        <v>182</v>
      </c>
      <c r="AM503" s="14">
        <v>55</v>
      </c>
      <c r="AP503" s="14">
        <v>689</v>
      </c>
      <c r="AQ503" s="14">
        <v>310</v>
      </c>
      <c r="AR503" s="14">
        <v>-683</v>
      </c>
      <c r="AS503" s="14">
        <v>-420</v>
      </c>
      <c r="AT503" s="14">
        <v>-1</v>
      </c>
      <c r="AU503" s="14">
        <v>-53</v>
      </c>
      <c r="AV503" s="14">
        <v>-131</v>
      </c>
      <c r="AW503" s="14">
        <v>-24</v>
      </c>
      <c r="AX503" s="14">
        <v>-149</v>
      </c>
      <c r="AY503" s="14">
        <v>192</v>
      </c>
      <c r="AZ503" s="14">
        <v>114</v>
      </c>
      <c r="BA503" s="14">
        <v>305</v>
      </c>
      <c r="BB503" s="14">
        <v>3</v>
      </c>
      <c r="BD503" s="14">
        <v>9</v>
      </c>
    </row>
    <row r="504" spans="8:56" x14ac:dyDescent="0.25">
      <c r="H504" s="14">
        <v>252</v>
      </c>
      <c r="I504" s="14">
        <v>827</v>
      </c>
      <c r="M504" s="14">
        <v>53</v>
      </c>
      <c r="X504" s="14">
        <v>242</v>
      </c>
      <c r="AB504" s="14">
        <v>106</v>
      </c>
      <c r="AG504" s="14">
        <v>-41</v>
      </c>
      <c r="AJ504" s="14">
        <v>406</v>
      </c>
      <c r="AL504" s="14">
        <v>-62</v>
      </c>
      <c r="AM504" s="14">
        <v>18</v>
      </c>
      <c r="AP504" s="14">
        <v>-193</v>
      </c>
      <c r="AQ504" s="14">
        <v>641</v>
      </c>
      <c r="AR504" s="14">
        <v>414</v>
      </c>
      <c r="AS504" s="14">
        <v>-442</v>
      </c>
      <c r="AT504" s="14">
        <v>5</v>
      </c>
      <c r="AU504" s="14">
        <v>18</v>
      </c>
      <c r="AV504" s="14">
        <v>27</v>
      </c>
      <c r="AW504" s="14">
        <v>399</v>
      </c>
      <c r="AX504" s="14">
        <v>-121</v>
      </c>
      <c r="AY504" s="14">
        <v>174</v>
      </c>
      <c r="AZ504" s="14">
        <v>114</v>
      </c>
      <c r="BA504" s="14">
        <v>164</v>
      </c>
      <c r="BB504" s="14">
        <v>5</v>
      </c>
      <c r="BD504" s="14">
        <v>11</v>
      </c>
    </row>
    <row r="505" spans="8:56" x14ac:dyDescent="0.25">
      <c r="H505" s="14">
        <v>239</v>
      </c>
      <c r="I505" s="14">
        <v>-184</v>
      </c>
      <c r="M505" s="14">
        <v>27</v>
      </c>
      <c r="X505" s="14">
        <v>13</v>
      </c>
      <c r="AB505" s="14">
        <v>100</v>
      </c>
      <c r="AG505" s="14">
        <v>-58</v>
      </c>
      <c r="AJ505" s="14">
        <v>243</v>
      </c>
      <c r="AL505" s="14">
        <v>473</v>
      </c>
      <c r="AM505" s="14">
        <v>17</v>
      </c>
      <c r="AP505" s="14">
        <v>580</v>
      </c>
      <c r="AQ505" s="14">
        <v>228</v>
      </c>
      <c r="AR505" s="14">
        <v>-106</v>
      </c>
      <c r="AS505" s="14">
        <v>143</v>
      </c>
      <c r="AT505" s="14">
        <v>3</v>
      </c>
      <c r="AU505" s="14">
        <v>-16</v>
      </c>
      <c r="AV505" s="14">
        <v>28</v>
      </c>
      <c r="AW505" s="14">
        <v>236</v>
      </c>
      <c r="AX505" s="14">
        <v>163</v>
      </c>
      <c r="AY505" s="14">
        <v>306</v>
      </c>
      <c r="AZ505" s="14">
        <v>119</v>
      </c>
      <c r="BA505" s="14">
        <v>54</v>
      </c>
      <c r="BB505" s="14">
        <v>3</v>
      </c>
      <c r="BD505" s="14">
        <v>11</v>
      </c>
    </row>
    <row r="506" spans="8:56" x14ac:dyDescent="0.25">
      <c r="H506" s="14">
        <v>-295</v>
      </c>
      <c r="I506" s="14">
        <v>-104</v>
      </c>
      <c r="M506" s="14">
        <v>951</v>
      </c>
      <c r="X506" s="14">
        <v>-200</v>
      </c>
      <c r="AB506" s="14">
        <v>841</v>
      </c>
      <c r="AG506" s="14">
        <v>-180</v>
      </c>
      <c r="AJ506" s="14">
        <v>159</v>
      </c>
      <c r="AL506" s="14">
        <v>303</v>
      </c>
      <c r="AM506" s="14">
        <v>29</v>
      </c>
      <c r="AP506" s="14">
        <v>-294</v>
      </c>
      <c r="AQ506" s="14">
        <v>651</v>
      </c>
      <c r="AR506" s="14">
        <v>298</v>
      </c>
      <c r="AS506" s="14">
        <v>142</v>
      </c>
      <c r="AT506" s="14">
        <v>-1</v>
      </c>
      <c r="AU506" s="14">
        <v>-24</v>
      </c>
      <c r="AV506" s="14">
        <v>-16</v>
      </c>
      <c r="AW506" s="14">
        <v>-89</v>
      </c>
      <c r="AX506" s="14">
        <v>209</v>
      </c>
      <c r="AY506" s="14">
        <v>158</v>
      </c>
      <c r="AZ506" s="14">
        <v>135</v>
      </c>
      <c r="BA506" s="14">
        <v>684</v>
      </c>
      <c r="BB506" s="14">
        <v>-62</v>
      </c>
      <c r="BD506" s="14">
        <v>11</v>
      </c>
    </row>
    <row r="507" spans="8:56" x14ac:dyDescent="0.25">
      <c r="H507" s="14">
        <v>-4947</v>
      </c>
      <c r="I507" s="14">
        <v>750</v>
      </c>
      <c r="M507" s="14">
        <v>468</v>
      </c>
      <c r="X507" s="14">
        <v>-457</v>
      </c>
      <c r="AB507" s="14">
        <v>534</v>
      </c>
      <c r="AG507" s="14">
        <v>38</v>
      </c>
      <c r="AJ507" s="14">
        <v>121</v>
      </c>
      <c r="AL507" s="14">
        <v>-30</v>
      </c>
      <c r="AM507" s="14">
        <v>469</v>
      </c>
      <c r="AP507" s="14">
        <v>291</v>
      </c>
      <c r="AQ507" s="14">
        <v>201</v>
      </c>
      <c r="AR507" s="14">
        <v>177</v>
      </c>
      <c r="AS507" s="14">
        <v>464</v>
      </c>
      <c r="AT507" s="14">
        <v>-102</v>
      </c>
      <c r="AU507" s="14">
        <v>49</v>
      </c>
      <c r="AV507" s="14">
        <v>15</v>
      </c>
      <c r="AW507" s="14">
        <v>-46</v>
      </c>
      <c r="AX507" s="14">
        <v>325</v>
      </c>
      <c r="AY507" s="14">
        <v>152</v>
      </c>
      <c r="AZ507" s="14">
        <v>100</v>
      </c>
      <c r="BA507" s="14">
        <v>596</v>
      </c>
      <c r="BB507" s="14">
        <v>6</v>
      </c>
      <c r="BD507" s="14">
        <v>12</v>
      </c>
    </row>
    <row r="508" spans="8:56" x14ac:dyDescent="0.25">
      <c r="H508" s="14">
        <v>1633</v>
      </c>
      <c r="I508" s="14">
        <v>743</v>
      </c>
      <c r="M508" s="14">
        <v>275</v>
      </c>
      <c r="X508" s="14">
        <v>260</v>
      </c>
      <c r="AB508" s="14">
        <v>890</v>
      </c>
      <c r="AG508" s="14">
        <v>-95</v>
      </c>
      <c r="AJ508" s="14">
        <v>698</v>
      </c>
      <c r="AL508" s="14">
        <v>-45</v>
      </c>
      <c r="AM508" s="14">
        <v>289</v>
      </c>
      <c r="AP508" s="14">
        <v>-154</v>
      </c>
      <c r="AQ508" s="14">
        <v>636</v>
      </c>
      <c r="AR508" s="14">
        <v>-496</v>
      </c>
      <c r="AS508" s="14">
        <v>125</v>
      </c>
      <c r="AT508" s="14">
        <v>1</v>
      </c>
      <c r="AU508" s="14">
        <v>45</v>
      </c>
      <c r="AV508" s="14">
        <v>50</v>
      </c>
      <c r="AW508" s="14">
        <v>945</v>
      </c>
      <c r="AX508" s="14">
        <v>279</v>
      </c>
      <c r="AY508" s="14">
        <v>10</v>
      </c>
      <c r="AZ508" s="14">
        <v>112</v>
      </c>
      <c r="BA508" s="14">
        <v>567</v>
      </c>
      <c r="BB508" s="14">
        <v>1</v>
      </c>
      <c r="BD508" s="14">
        <v>11</v>
      </c>
    </row>
    <row r="509" spans="8:56" x14ac:dyDescent="0.25">
      <c r="H509" s="14">
        <v>3111</v>
      </c>
      <c r="I509" s="14">
        <v>157</v>
      </c>
      <c r="M509" s="14">
        <v>113</v>
      </c>
      <c r="X509" s="14">
        <v>424</v>
      </c>
      <c r="AB509" s="14">
        <v>105</v>
      </c>
      <c r="AG509" s="14">
        <v>168</v>
      </c>
      <c r="AJ509" s="14">
        <v>219</v>
      </c>
      <c r="AL509" s="14">
        <v>-831</v>
      </c>
      <c r="AM509" s="14">
        <v>181</v>
      </c>
      <c r="AP509" s="14">
        <v>47</v>
      </c>
      <c r="AQ509" s="14">
        <v>180</v>
      </c>
      <c r="AR509" s="14">
        <v>956</v>
      </c>
      <c r="AS509" s="14">
        <v>204</v>
      </c>
      <c r="AT509" s="14">
        <v>17</v>
      </c>
      <c r="AU509" s="14">
        <v>9</v>
      </c>
      <c r="AV509" s="14">
        <v>-34</v>
      </c>
      <c r="AW509" s="14">
        <v>456</v>
      </c>
      <c r="AX509" s="14">
        <v>-232</v>
      </c>
      <c r="AY509" s="14">
        <v>-622</v>
      </c>
      <c r="AZ509" s="14">
        <v>112</v>
      </c>
      <c r="BA509" s="14">
        <v>492</v>
      </c>
      <c r="BB509" s="14">
        <v>-6</v>
      </c>
      <c r="BD509" s="14">
        <v>12</v>
      </c>
    </row>
    <row r="510" spans="8:56" x14ac:dyDescent="0.25">
      <c r="H510" s="14">
        <v>2724</v>
      </c>
      <c r="I510" s="14">
        <v>895</v>
      </c>
      <c r="M510" s="14">
        <v>1</v>
      </c>
      <c r="X510" s="14">
        <v>-203</v>
      </c>
      <c r="AB510" s="14">
        <v>703</v>
      </c>
      <c r="AG510" s="14">
        <v>240</v>
      </c>
      <c r="AJ510" s="14">
        <v>470</v>
      </c>
      <c r="AL510" s="14">
        <v>350</v>
      </c>
      <c r="AM510" s="14">
        <v>438</v>
      </c>
      <c r="AP510" s="14">
        <v>138</v>
      </c>
      <c r="AQ510" s="14">
        <v>662</v>
      </c>
      <c r="AR510" s="14">
        <v>-124</v>
      </c>
      <c r="AS510" s="14">
        <v>202</v>
      </c>
      <c r="AT510" s="14">
        <v>9</v>
      </c>
      <c r="AU510" s="14">
        <v>-2</v>
      </c>
      <c r="AV510" s="14">
        <v>120</v>
      </c>
      <c r="AW510" s="14">
        <v>128</v>
      </c>
      <c r="AX510" s="14">
        <v>374</v>
      </c>
      <c r="AY510" s="14">
        <v>-422</v>
      </c>
      <c r="AZ510" s="14">
        <v>110</v>
      </c>
      <c r="BA510" s="14">
        <v>-896</v>
      </c>
      <c r="BB510" s="14">
        <v>-3</v>
      </c>
      <c r="BD510" s="14">
        <v>14</v>
      </c>
    </row>
    <row r="511" spans="8:56" x14ac:dyDescent="0.25">
      <c r="H511" s="14">
        <v>2538</v>
      </c>
      <c r="I511" s="14">
        <v>-218</v>
      </c>
      <c r="M511" s="14">
        <v>-74</v>
      </c>
      <c r="X511" s="14">
        <v>140</v>
      </c>
      <c r="AB511" s="14">
        <v>119</v>
      </c>
      <c r="AG511" s="14">
        <v>488</v>
      </c>
      <c r="AJ511" s="14">
        <v>370</v>
      </c>
      <c r="AL511" s="14">
        <v>-164</v>
      </c>
      <c r="AM511" s="14">
        <v>268</v>
      </c>
      <c r="AP511" s="14">
        <v>6</v>
      </c>
      <c r="AQ511" s="14">
        <v>132</v>
      </c>
      <c r="AR511" s="14">
        <v>16</v>
      </c>
      <c r="AS511" s="14">
        <v>-893</v>
      </c>
      <c r="AT511" s="14">
        <v>5</v>
      </c>
      <c r="AU511" s="14">
        <v>-66</v>
      </c>
      <c r="AV511" s="14">
        <v>-53</v>
      </c>
      <c r="AW511" s="14">
        <v>-272</v>
      </c>
      <c r="AX511" s="14">
        <v>127</v>
      </c>
      <c r="AY511" s="14">
        <v>-955</v>
      </c>
      <c r="AZ511" s="14">
        <v>638</v>
      </c>
      <c r="BA511" s="14">
        <v>-235</v>
      </c>
      <c r="BB511" s="14">
        <v>787</v>
      </c>
      <c r="BD511" s="14">
        <v>15</v>
      </c>
    </row>
    <row r="512" spans="8:56" x14ac:dyDescent="0.25">
      <c r="H512" s="14">
        <v>4348</v>
      </c>
      <c r="I512" s="14">
        <v>102</v>
      </c>
      <c r="M512" s="14">
        <v>-107</v>
      </c>
      <c r="X512" s="14">
        <v>-9</v>
      </c>
      <c r="AB512" s="14">
        <v>951</v>
      </c>
      <c r="AG512" s="14">
        <v>595</v>
      </c>
      <c r="AJ512" s="14">
        <v>242</v>
      </c>
      <c r="AL512" s="14">
        <v>-60</v>
      </c>
      <c r="AM512" s="14">
        <v>209</v>
      </c>
      <c r="AP512" s="14">
        <v>113</v>
      </c>
      <c r="AQ512" s="14">
        <v>650</v>
      </c>
      <c r="AR512" s="14">
        <v>-884</v>
      </c>
      <c r="AS512" s="14">
        <v>177</v>
      </c>
      <c r="AT512" s="14">
        <v>3</v>
      </c>
      <c r="AU512" s="14">
        <v>28</v>
      </c>
      <c r="AV512" s="14">
        <v>34</v>
      </c>
      <c r="AW512" s="14">
        <v>450</v>
      </c>
      <c r="AX512" s="14">
        <v>192</v>
      </c>
      <c r="AY512" s="14">
        <v>-270</v>
      </c>
      <c r="AZ512" s="14">
        <v>106</v>
      </c>
      <c r="BA512" s="14">
        <v>682</v>
      </c>
      <c r="BB512" s="14">
        <v>175</v>
      </c>
      <c r="BD512" s="14">
        <v>14</v>
      </c>
    </row>
    <row r="513" spans="8:56" x14ac:dyDescent="0.25">
      <c r="H513" s="14">
        <v>-292</v>
      </c>
      <c r="I513" s="14">
        <v>232</v>
      </c>
      <c r="M513" s="14">
        <v>-109</v>
      </c>
      <c r="X513" s="14">
        <v>421</v>
      </c>
      <c r="AB513" s="14">
        <v>949</v>
      </c>
      <c r="AG513" s="14">
        <v>-68</v>
      </c>
      <c r="AJ513" s="14">
        <v>158</v>
      </c>
      <c r="AL513" s="14">
        <v>-790</v>
      </c>
      <c r="AM513" s="14">
        <v>-18</v>
      </c>
      <c r="AP513" s="14">
        <v>-3</v>
      </c>
      <c r="AQ513" s="14">
        <v>127</v>
      </c>
      <c r="AR513" s="14">
        <v>-924</v>
      </c>
      <c r="AS513" s="14">
        <v>251</v>
      </c>
      <c r="AT513" s="14">
        <v>-1</v>
      </c>
      <c r="AU513" s="14">
        <v>-25</v>
      </c>
      <c r="AV513" s="14">
        <v>-99</v>
      </c>
      <c r="AW513" s="14">
        <v>266</v>
      </c>
      <c r="AX513" s="14">
        <v>299</v>
      </c>
      <c r="AY513" s="14">
        <v>-570</v>
      </c>
      <c r="AZ513" s="14">
        <v>126</v>
      </c>
      <c r="BA513" s="14">
        <v>358</v>
      </c>
      <c r="BB513" s="14">
        <v>6</v>
      </c>
      <c r="BD513" s="14">
        <v>14</v>
      </c>
    </row>
    <row r="514" spans="8:56" x14ac:dyDescent="0.25">
      <c r="H514" s="14">
        <v>-4449</v>
      </c>
      <c r="I514" s="14">
        <v>117</v>
      </c>
      <c r="M514" s="14">
        <v>-74</v>
      </c>
      <c r="X514" s="14">
        <v>47</v>
      </c>
      <c r="AB514" s="14">
        <v>129</v>
      </c>
      <c r="AG514" s="14">
        <v>-90</v>
      </c>
      <c r="AJ514" s="14">
        <v>120</v>
      </c>
      <c r="AL514" s="14">
        <v>-267</v>
      </c>
      <c r="AM514" s="14">
        <v>-24</v>
      </c>
      <c r="AP514" s="14">
        <v>-396</v>
      </c>
      <c r="AQ514" s="14">
        <v>682</v>
      </c>
      <c r="AR514" s="14">
        <v>-591</v>
      </c>
      <c r="AS514" s="14">
        <v>211</v>
      </c>
      <c r="AT514" s="14">
        <v>-1</v>
      </c>
      <c r="AU514" s="14">
        <v>-4</v>
      </c>
      <c r="AV514" s="14">
        <v>32</v>
      </c>
      <c r="AW514" s="14">
        <v>622</v>
      </c>
      <c r="AX514" s="14">
        <v>862</v>
      </c>
      <c r="AY514" s="14">
        <v>-330</v>
      </c>
      <c r="AZ514" s="14">
        <v>106</v>
      </c>
      <c r="BA514" s="14">
        <v>322</v>
      </c>
      <c r="BB514" s="14">
        <v>4</v>
      </c>
      <c r="BD514" s="14">
        <v>14</v>
      </c>
    </row>
    <row r="515" spans="8:56" x14ac:dyDescent="0.25">
      <c r="H515" s="14">
        <v>1760</v>
      </c>
      <c r="I515" s="14">
        <v>-514</v>
      </c>
      <c r="M515" s="14">
        <v>493</v>
      </c>
      <c r="X515" s="14">
        <v>481</v>
      </c>
      <c r="AB515" s="14">
        <v>288</v>
      </c>
      <c r="AG515" s="14">
        <v>-11</v>
      </c>
      <c r="AJ515" s="14">
        <v>699</v>
      </c>
      <c r="AL515" s="14">
        <v>-369</v>
      </c>
      <c r="AM515" s="14">
        <v>-89</v>
      </c>
      <c r="AP515" s="14">
        <v>77</v>
      </c>
      <c r="AQ515" s="14">
        <v>401</v>
      </c>
      <c r="AR515" s="14">
        <v>-186</v>
      </c>
      <c r="AS515" s="14">
        <v>253</v>
      </c>
      <c r="AT515" s="14">
        <v>-4</v>
      </c>
      <c r="AU515" s="14">
        <v>-39</v>
      </c>
      <c r="AV515" s="14">
        <v>-84</v>
      </c>
      <c r="AW515" s="14">
        <v>300</v>
      </c>
      <c r="AX515" s="14">
        <v>609</v>
      </c>
      <c r="AY515" s="14">
        <v>-175</v>
      </c>
      <c r="AZ515" s="14">
        <v>112</v>
      </c>
      <c r="BA515" s="14">
        <v>202</v>
      </c>
      <c r="BB515" s="14">
        <v>-2</v>
      </c>
      <c r="BD515" s="14">
        <v>6</v>
      </c>
    </row>
    <row r="516" spans="8:56" x14ac:dyDescent="0.25">
      <c r="H516" s="14">
        <v>3316</v>
      </c>
      <c r="I516" s="14">
        <v>195</v>
      </c>
      <c r="M516" s="14">
        <v>142</v>
      </c>
      <c r="X516" s="14">
        <v>-153</v>
      </c>
      <c r="AB516" s="14">
        <v>228</v>
      </c>
      <c r="AG516" s="14">
        <v>-50</v>
      </c>
      <c r="AJ516" s="14">
        <v>219</v>
      </c>
      <c r="AL516" s="14">
        <v>101</v>
      </c>
      <c r="AM516" s="14">
        <v>-14</v>
      </c>
      <c r="AP516" s="14">
        <v>549</v>
      </c>
      <c r="AQ516" s="14">
        <v>640</v>
      </c>
      <c r="AR516" s="14">
        <v>-85</v>
      </c>
      <c r="AS516" s="14">
        <v>196</v>
      </c>
      <c r="AT516" s="14">
        <v>2</v>
      </c>
      <c r="AU516" s="14">
        <v>25</v>
      </c>
      <c r="AV516" s="14">
        <v>26</v>
      </c>
      <c r="AW516" s="14">
        <v>845</v>
      </c>
      <c r="AX516" s="14">
        <v>-161</v>
      </c>
      <c r="AY516" s="14">
        <v>-117</v>
      </c>
      <c r="AZ516" s="14">
        <v>120</v>
      </c>
      <c r="BA516" s="14">
        <v>176</v>
      </c>
      <c r="BB516" s="14">
        <v>2</v>
      </c>
      <c r="BD516" s="14">
        <v>15</v>
      </c>
    </row>
    <row r="517" spans="8:56" x14ac:dyDescent="0.25">
      <c r="H517" s="14">
        <v>2904</v>
      </c>
      <c r="I517" s="14">
        <v>342</v>
      </c>
      <c r="M517" s="14">
        <v>-1</v>
      </c>
      <c r="X517" s="14">
        <v>-501</v>
      </c>
      <c r="AB517" s="14">
        <v>142</v>
      </c>
      <c r="AG517" s="14">
        <v>-176</v>
      </c>
      <c r="AJ517" s="14">
        <v>459</v>
      </c>
      <c r="AL517" s="14">
        <v>-278</v>
      </c>
      <c r="AM517" s="14">
        <v>-6</v>
      </c>
      <c r="AP517" s="14">
        <v>-587</v>
      </c>
      <c r="AQ517" s="14">
        <v>353</v>
      </c>
      <c r="AR517" s="14">
        <v>1</v>
      </c>
      <c r="AS517" s="14">
        <v>240</v>
      </c>
      <c r="AT517" s="14">
        <v>-192</v>
      </c>
      <c r="AU517" s="14">
        <v>-16</v>
      </c>
      <c r="AV517" s="14">
        <v>-5</v>
      </c>
      <c r="AW517" s="14">
        <v>-179</v>
      </c>
      <c r="AX517" s="14">
        <v>-46</v>
      </c>
      <c r="AY517" s="14">
        <v>-140</v>
      </c>
      <c r="AZ517" s="14">
        <v>114</v>
      </c>
      <c r="BA517" s="14">
        <v>150</v>
      </c>
      <c r="BB517" s="14">
        <v>-46</v>
      </c>
      <c r="BD517" s="14">
        <v>15</v>
      </c>
    </row>
    <row r="518" spans="8:56" x14ac:dyDescent="0.25">
      <c r="H518" s="14">
        <v>2708</v>
      </c>
      <c r="I518" s="14">
        <v>819</v>
      </c>
      <c r="M518" s="14">
        <v>8</v>
      </c>
      <c r="X518" s="14">
        <v>-363</v>
      </c>
      <c r="AB518" s="14">
        <v>596</v>
      </c>
      <c r="AG518" s="14">
        <v>35</v>
      </c>
      <c r="AL518" s="14">
        <v>129</v>
      </c>
      <c r="AM518" s="14">
        <v>-62</v>
      </c>
      <c r="AP518" s="14">
        <v>-628</v>
      </c>
      <c r="AQ518" s="14">
        <v>869</v>
      </c>
      <c r="AR518" s="14">
        <v>-471</v>
      </c>
      <c r="AS518" s="14">
        <v>204</v>
      </c>
      <c r="AT518" s="14">
        <v>-1</v>
      </c>
      <c r="AU518" s="14">
        <v>-26</v>
      </c>
      <c r="AV518" s="14">
        <v>-86</v>
      </c>
      <c r="AW518" s="14">
        <v>296</v>
      </c>
      <c r="AX518" s="14">
        <v>-161</v>
      </c>
      <c r="AY518" s="14">
        <v>261</v>
      </c>
      <c r="AZ518" s="14">
        <v>114</v>
      </c>
      <c r="BA518" s="14">
        <v>821</v>
      </c>
      <c r="BB518" s="14">
        <v>-53</v>
      </c>
      <c r="BD518" s="14">
        <v>-61</v>
      </c>
    </row>
    <row r="519" spans="8:56" x14ac:dyDescent="0.25">
      <c r="H519" s="14">
        <v>-417</v>
      </c>
      <c r="I519" s="14">
        <v>-682</v>
      </c>
      <c r="M519" s="14">
        <v>813</v>
      </c>
      <c r="X519" s="14">
        <v>409</v>
      </c>
      <c r="AB519" s="14">
        <v>484</v>
      </c>
      <c r="AG519" s="14">
        <v>-105</v>
      </c>
      <c r="AL519" s="14">
        <v>84</v>
      </c>
      <c r="AM519" s="14">
        <v>-762</v>
      </c>
      <c r="AP519" s="14">
        <v>-142</v>
      </c>
      <c r="AQ519" s="14">
        <v>949</v>
      </c>
      <c r="AR519" s="14">
        <v>139</v>
      </c>
      <c r="AS519" s="14">
        <v>172</v>
      </c>
      <c r="AT519" s="14">
        <v>28</v>
      </c>
      <c r="AU519" s="14">
        <v>-312</v>
      </c>
      <c r="AV519" s="14">
        <v>-62</v>
      </c>
      <c r="AW519" s="14">
        <v>175</v>
      </c>
      <c r="AX519" s="14">
        <v>33</v>
      </c>
      <c r="AY519" s="14">
        <v>-142</v>
      </c>
      <c r="AZ519" s="14">
        <v>119</v>
      </c>
      <c r="BA519" s="14">
        <v>769</v>
      </c>
      <c r="BB519" s="14">
        <v>1</v>
      </c>
      <c r="BD519" s="14">
        <v>-31</v>
      </c>
    </row>
    <row r="520" spans="8:56" x14ac:dyDescent="0.25">
      <c r="H520" s="14">
        <v>4720</v>
      </c>
      <c r="I520" s="14">
        <v>232</v>
      </c>
      <c r="M520" s="14">
        <v>17</v>
      </c>
      <c r="X520" s="14">
        <v>787</v>
      </c>
      <c r="AB520" s="14">
        <v>359</v>
      </c>
      <c r="AG520" s="14">
        <v>166</v>
      </c>
      <c r="AL520" s="14">
        <v>113</v>
      </c>
      <c r="AM520" s="14">
        <v>-539</v>
      </c>
      <c r="AP520" s="14">
        <v>-653</v>
      </c>
      <c r="AQ520" s="14">
        <v>968</v>
      </c>
      <c r="AR520" s="14">
        <v>-30</v>
      </c>
      <c r="AS520" s="14">
        <v>262</v>
      </c>
      <c r="AT520" s="14">
        <v>19</v>
      </c>
      <c r="AU520" s="14">
        <v>-37</v>
      </c>
      <c r="AV520" s="14">
        <v>-106</v>
      </c>
      <c r="AW520" s="14">
        <v>106</v>
      </c>
      <c r="AX520" s="14">
        <v>-442</v>
      </c>
      <c r="AY520" s="14">
        <v>299</v>
      </c>
      <c r="AZ520" s="14">
        <v>135</v>
      </c>
      <c r="BA520" s="14">
        <v>429</v>
      </c>
      <c r="BB520" s="14">
        <v>1</v>
      </c>
      <c r="BD520" s="14">
        <v>-7792</v>
      </c>
    </row>
    <row r="521" spans="8:56" x14ac:dyDescent="0.25">
      <c r="H521" s="14">
        <v>4656</v>
      </c>
      <c r="I521" s="14">
        <v>139</v>
      </c>
      <c r="M521" s="14">
        <v>501</v>
      </c>
      <c r="X521" s="14">
        <v>142</v>
      </c>
      <c r="AB521" s="14">
        <v>149</v>
      </c>
      <c r="AG521" s="14">
        <v>245</v>
      </c>
      <c r="AL521" s="14">
        <v>-138</v>
      </c>
      <c r="AM521" s="14">
        <v>-699</v>
      </c>
      <c r="AP521" s="14">
        <v>337</v>
      </c>
      <c r="AQ521" s="14">
        <v>988</v>
      </c>
      <c r="AR521" s="14">
        <v>390</v>
      </c>
      <c r="AS521" s="14">
        <v>265</v>
      </c>
      <c r="AT521" s="14">
        <v>6</v>
      </c>
      <c r="AU521" s="14">
        <v>-582</v>
      </c>
      <c r="AV521" s="14">
        <v>33</v>
      </c>
      <c r="AW521" s="14">
        <v>510</v>
      </c>
      <c r="AX521" s="14">
        <v>336</v>
      </c>
      <c r="AY521" s="14">
        <v>-269</v>
      </c>
      <c r="AZ521" s="14">
        <v>100</v>
      </c>
      <c r="BA521" s="14">
        <v>-258</v>
      </c>
      <c r="BB521" s="14">
        <v>-1</v>
      </c>
      <c r="BD521" s="14">
        <v>-2</v>
      </c>
    </row>
    <row r="522" spans="8:56" x14ac:dyDescent="0.25">
      <c r="H522" s="14">
        <v>2655</v>
      </c>
      <c r="M522" s="14">
        <v>136</v>
      </c>
      <c r="X522" s="14">
        <v>-209</v>
      </c>
      <c r="AB522" s="14">
        <v>276</v>
      </c>
      <c r="AG522" s="14">
        <v>465</v>
      </c>
      <c r="AL522" s="14">
        <v>881</v>
      </c>
      <c r="AM522" s="14">
        <v>-376</v>
      </c>
      <c r="AP522" s="14">
        <v>-158</v>
      </c>
      <c r="AQ522" s="14">
        <v>633</v>
      </c>
      <c r="AR522" s="14">
        <v>-425</v>
      </c>
      <c r="AS522" s="14">
        <v>229</v>
      </c>
      <c r="AT522" s="14">
        <v>3</v>
      </c>
      <c r="AU522" s="14">
        <v>-18</v>
      </c>
      <c r="AV522" s="14">
        <v>31</v>
      </c>
      <c r="AW522" s="14">
        <v>166</v>
      </c>
      <c r="AX522" s="14">
        <v>199</v>
      </c>
      <c r="AY522" s="14">
        <v>116</v>
      </c>
      <c r="AZ522" s="14">
        <v>112</v>
      </c>
      <c r="BA522" s="14">
        <v>-228</v>
      </c>
      <c r="BB522" s="14">
        <v>296</v>
      </c>
      <c r="BD522" s="14">
        <v>-5</v>
      </c>
    </row>
    <row r="523" spans="8:56" x14ac:dyDescent="0.25">
      <c r="H523" s="14">
        <v>2619</v>
      </c>
      <c r="M523" s="14">
        <v>-1</v>
      </c>
      <c r="X523" s="14">
        <v>-630</v>
      </c>
      <c r="AB523" s="14">
        <v>221</v>
      </c>
      <c r="AG523" s="14">
        <v>597</v>
      </c>
      <c r="AL523" s="14">
        <v>-239</v>
      </c>
      <c r="AM523" s="14">
        <v>769</v>
      </c>
      <c r="AP523" s="14">
        <v>-393</v>
      </c>
      <c r="AQ523" s="14">
        <v>950</v>
      </c>
      <c r="AR523" s="14">
        <v>370</v>
      </c>
      <c r="AS523" s="14">
        <v>-304</v>
      </c>
      <c r="AT523" s="14">
        <v>4</v>
      </c>
      <c r="AU523" s="14">
        <v>45</v>
      </c>
      <c r="AV523" s="14">
        <v>-19</v>
      </c>
      <c r="AW523" s="14">
        <v>15</v>
      </c>
      <c r="AX523" s="14">
        <v>276</v>
      </c>
      <c r="AY523" s="14">
        <v>106</v>
      </c>
      <c r="AZ523" s="14">
        <v>112</v>
      </c>
      <c r="BA523" s="14">
        <v>158</v>
      </c>
      <c r="BB523" s="14">
        <v>279</v>
      </c>
      <c r="BD523" s="14">
        <v>1</v>
      </c>
    </row>
    <row r="524" spans="8:56" x14ac:dyDescent="0.25">
      <c r="H524" s="14">
        <v>1180</v>
      </c>
      <c r="M524" s="14">
        <v>8</v>
      </c>
      <c r="X524" s="14">
        <v>294</v>
      </c>
      <c r="AB524" s="14">
        <v>294</v>
      </c>
      <c r="AG524" s="14">
        <v>-57</v>
      </c>
      <c r="AL524" s="14">
        <v>779</v>
      </c>
      <c r="AM524" s="14">
        <v>-755</v>
      </c>
      <c r="AP524" s="14">
        <v>-271</v>
      </c>
      <c r="AQ524" s="14">
        <v>633</v>
      </c>
      <c r="AR524" s="14">
        <v>-134</v>
      </c>
      <c r="AS524" s="14">
        <v>-256</v>
      </c>
      <c r="AT524" s="14">
        <v>-4</v>
      </c>
      <c r="AU524" s="14">
        <v>3</v>
      </c>
      <c r="AV524" s="14">
        <v>3</v>
      </c>
      <c r="AW524" s="14">
        <v>527</v>
      </c>
      <c r="AX524" s="14">
        <v>-303</v>
      </c>
      <c r="AY524" s="14">
        <v>477</v>
      </c>
      <c r="AZ524" s="14">
        <v>110</v>
      </c>
      <c r="BA524" s="14">
        <v>543</v>
      </c>
      <c r="BB524" s="14">
        <v>-2</v>
      </c>
      <c r="BD524" s="14">
        <v>-1</v>
      </c>
    </row>
    <row r="525" spans="8:56" x14ac:dyDescent="0.25">
      <c r="H525" s="14">
        <v>1164</v>
      </c>
      <c r="M525" s="14">
        <v>821</v>
      </c>
      <c r="X525" s="14">
        <v>588</v>
      </c>
      <c r="AB525" s="14">
        <v>257</v>
      </c>
      <c r="AG525" s="14">
        <v>-70</v>
      </c>
      <c r="AL525" s="14">
        <v>-269</v>
      </c>
      <c r="AM525" s="14">
        <v>-554</v>
      </c>
      <c r="AP525" s="14">
        <v>-204</v>
      </c>
      <c r="AQ525" s="14">
        <v>950</v>
      </c>
      <c r="AR525" s="14">
        <v>267</v>
      </c>
      <c r="AS525" s="14">
        <v>-237</v>
      </c>
      <c r="AT525" s="14">
        <v>-3</v>
      </c>
      <c r="AU525" s="14">
        <v>-17</v>
      </c>
      <c r="AV525" s="14">
        <v>62</v>
      </c>
      <c r="AW525" s="14">
        <v>334</v>
      </c>
      <c r="AX525" s="14">
        <v>-207</v>
      </c>
      <c r="AY525" s="14">
        <v>-116</v>
      </c>
      <c r="AZ525" s="14">
        <v>638</v>
      </c>
      <c r="BA525" s="14">
        <v>133</v>
      </c>
      <c r="BB525" s="14">
        <v>2</v>
      </c>
      <c r="BD525" s="14">
        <v>-1</v>
      </c>
    </row>
    <row r="526" spans="8:56" x14ac:dyDescent="0.25">
      <c r="H526" s="14">
        <v>295</v>
      </c>
      <c r="M526" s="14">
        <v>17</v>
      </c>
      <c r="AB526" s="14">
        <v>368</v>
      </c>
      <c r="AG526" s="14">
        <v>1</v>
      </c>
      <c r="AL526" s="14">
        <v>224</v>
      </c>
      <c r="AM526" s="14">
        <v>-708</v>
      </c>
      <c r="AP526" s="14">
        <v>463</v>
      </c>
      <c r="AQ526" s="14">
        <v>88</v>
      </c>
      <c r="AR526" s="14">
        <v>186</v>
      </c>
      <c r="AS526" s="14">
        <v>-168</v>
      </c>
      <c r="AT526" s="14">
        <v>-1</v>
      </c>
      <c r="AU526" s="14">
        <v>23</v>
      </c>
      <c r="AV526" s="14">
        <v>19</v>
      </c>
      <c r="AW526" s="14">
        <v>318</v>
      </c>
      <c r="AX526" s="14">
        <v>438</v>
      </c>
      <c r="AY526" s="14">
        <v>-279</v>
      </c>
      <c r="AZ526" s="14">
        <v>106</v>
      </c>
      <c r="BA526" s="14">
        <v>-402</v>
      </c>
      <c r="BB526" s="14">
        <v>1</v>
      </c>
      <c r="BD526" s="14">
        <v>1</v>
      </c>
    </row>
    <row r="527" spans="8:56" x14ac:dyDescent="0.25">
      <c r="H527" s="14">
        <v>291</v>
      </c>
      <c r="M527" s="14">
        <v>108</v>
      </c>
      <c r="AB527" s="14">
        <v>404</v>
      </c>
      <c r="AG527" s="14">
        <v>-49</v>
      </c>
      <c r="AL527" s="14">
        <v>-193</v>
      </c>
      <c r="AM527" s="14">
        <v>-383</v>
      </c>
      <c r="AP527" s="14">
        <v>-90</v>
      </c>
      <c r="AQ527" s="14">
        <v>88</v>
      </c>
      <c r="AR527" s="14">
        <v>-570</v>
      </c>
      <c r="AS527" s="14">
        <v>-131</v>
      </c>
      <c r="AT527" s="14">
        <v>-173</v>
      </c>
      <c r="AU527" s="14">
        <v>9</v>
      </c>
      <c r="AV527" s="14">
        <v>-168</v>
      </c>
      <c r="AW527" s="14">
        <v>-100</v>
      </c>
      <c r="AX527" s="14">
        <v>336</v>
      </c>
      <c r="AY527" s="14">
        <v>-347</v>
      </c>
      <c r="AZ527" s="14">
        <v>126</v>
      </c>
      <c r="BA527" s="14">
        <v>105</v>
      </c>
      <c r="BB527" s="14">
        <v>41</v>
      </c>
      <c r="BD527" s="14">
        <v>8</v>
      </c>
    </row>
    <row r="528" spans="8:56" x14ac:dyDescent="0.25">
      <c r="M528" s="14">
        <v>-73</v>
      </c>
      <c r="AB528" s="14">
        <v>259</v>
      </c>
      <c r="AG528" s="14">
        <v>-177</v>
      </c>
      <c r="AL528" s="14">
        <v>657</v>
      </c>
      <c r="AM528" s="14">
        <v>770</v>
      </c>
      <c r="AP528" s="14">
        <v>69</v>
      </c>
      <c r="AQ528" s="14">
        <v>120</v>
      </c>
      <c r="AR528" s="14">
        <v>121</v>
      </c>
      <c r="AS528" s="14">
        <v>-112</v>
      </c>
      <c r="AT528" s="14">
        <v>-1</v>
      </c>
      <c r="AU528" s="14">
        <v>49</v>
      </c>
      <c r="AV528" s="14">
        <v>-53</v>
      </c>
      <c r="AW528" s="14">
        <v>-58</v>
      </c>
      <c r="AX528" s="14">
        <v>-197</v>
      </c>
      <c r="AY528" s="14">
        <v>-259</v>
      </c>
      <c r="AZ528" s="14">
        <v>106</v>
      </c>
      <c r="BA528" s="14">
        <v>268</v>
      </c>
      <c r="BB528" s="14">
        <v>-48</v>
      </c>
      <c r="BD528" s="14">
        <v>-1</v>
      </c>
    </row>
    <row r="529" spans="13:56" x14ac:dyDescent="0.25">
      <c r="M529" s="14">
        <v>140</v>
      </c>
      <c r="AB529" s="14">
        <v>268</v>
      </c>
      <c r="AG529" s="14">
        <v>-98</v>
      </c>
      <c r="AL529" s="14">
        <v>173</v>
      </c>
      <c r="AM529" s="14">
        <v>-26</v>
      </c>
      <c r="AP529" s="14">
        <v>354</v>
      </c>
      <c r="AQ529" s="14">
        <v>555</v>
      </c>
      <c r="AR529" s="14">
        <v>-820</v>
      </c>
      <c r="AS529" s="14">
        <v>-321</v>
      </c>
      <c r="AT529" s="14">
        <v>39</v>
      </c>
      <c r="AU529" s="14">
        <v>-6</v>
      </c>
      <c r="AV529" s="14">
        <v>81</v>
      </c>
      <c r="AW529" s="14">
        <v>867</v>
      </c>
      <c r="AX529" s="14">
        <v>151</v>
      </c>
      <c r="AY529" s="14">
        <v>-141</v>
      </c>
      <c r="AZ529" s="14">
        <v>112</v>
      </c>
      <c r="BA529" s="14">
        <v>392</v>
      </c>
      <c r="BB529" s="14">
        <v>-318</v>
      </c>
      <c r="BD529" s="14">
        <v>-8</v>
      </c>
    </row>
    <row r="530" spans="13:56" x14ac:dyDescent="0.25">
      <c r="M530" s="14">
        <v>1</v>
      </c>
      <c r="AB530" s="14">
        <v>294</v>
      </c>
      <c r="AG530" s="14">
        <v>-114</v>
      </c>
      <c r="AL530" s="14">
        <v>688</v>
      </c>
      <c r="AM530" s="14">
        <v>-609</v>
      </c>
      <c r="AP530" s="14">
        <v>6</v>
      </c>
      <c r="AQ530" s="14">
        <v>382</v>
      </c>
      <c r="AR530" s="14">
        <v>40</v>
      </c>
      <c r="AS530" s="14">
        <v>-236</v>
      </c>
      <c r="AT530" s="14">
        <v>13</v>
      </c>
      <c r="AU530" s="14">
        <v>2</v>
      </c>
      <c r="AV530" s="14">
        <v>-18</v>
      </c>
      <c r="AW530" s="14">
        <v>603</v>
      </c>
      <c r="AX530" s="14">
        <v>-19</v>
      </c>
      <c r="AY530" s="14">
        <v>-130</v>
      </c>
      <c r="AZ530" s="14">
        <v>120</v>
      </c>
      <c r="BA530" s="14">
        <v>-617</v>
      </c>
      <c r="BB530" s="14">
        <v>10</v>
      </c>
      <c r="BD530" s="14">
        <v>-8</v>
      </c>
    </row>
    <row r="531" spans="13:56" x14ac:dyDescent="0.25">
      <c r="M531" s="14">
        <v>-26</v>
      </c>
      <c r="AB531" s="14">
        <v>210</v>
      </c>
      <c r="AG531" s="14">
        <v>1</v>
      </c>
      <c r="AL531" s="14">
        <v>-206</v>
      </c>
      <c r="AM531" s="14">
        <v>143</v>
      </c>
      <c r="AP531" s="14">
        <v>19</v>
      </c>
      <c r="AQ531" s="14">
        <v>518</v>
      </c>
      <c r="AR531" s="14">
        <v>-234</v>
      </c>
      <c r="AS531" s="14">
        <v>-414</v>
      </c>
      <c r="AT531" s="14">
        <v>5</v>
      </c>
      <c r="AU531" s="14">
        <v>15</v>
      </c>
      <c r="AV531" s="14">
        <v>-20</v>
      </c>
      <c r="AW531" s="14">
        <v>636</v>
      </c>
      <c r="AX531" s="14">
        <v>8.07</v>
      </c>
      <c r="AY531" s="14">
        <v>-354</v>
      </c>
      <c r="AZ531" s="14">
        <v>114</v>
      </c>
      <c r="BA531" s="14">
        <v>454</v>
      </c>
      <c r="BB531" s="14">
        <v>-66</v>
      </c>
      <c r="BD531" s="14">
        <v>-8</v>
      </c>
    </row>
    <row r="532" spans="13:56" x14ac:dyDescent="0.25">
      <c r="M532" s="14">
        <v>619</v>
      </c>
      <c r="AB532" s="14">
        <v>160</v>
      </c>
      <c r="AG532" s="14">
        <v>-101</v>
      </c>
      <c r="AL532" s="14">
        <v>643</v>
      </c>
      <c r="AM532" s="14">
        <v>-930</v>
      </c>
      <c r="AP532" s="14">
        <v>51</v>
      </c>
      <c r="AQ532" s="14">
        <v>130</v>
      </c>
      <c r="AR532" s="14">
        <v>-285</v>
      </c>
      <c r="AS532" s="14">
        <v>-685</v>
      </c>
      <c r="AT532" s="14">
        <v>5</v>
      </c>
      <c r="AU532" s="14">
        <v>-3</v>
      </c>
      <c r="AV532" s="14">
        <v>-162</v>
      </c>
      <c r="AW532" s="14">
        <v>2</v>
      </c>
      <c r="AX532" s="14">
        <v>135</v>
      </c>
      <c r="AY532" s="14">
        <v>-292</v>
      </c>
      <c r="AZ532" s="14">
        <v>114</v>
      </c>
      <c r="BA532" s="14">
        <v>327</v>
      </c>
      <c r="BB532" s="14">
        <v>-62</v>
      </c>
      <c r="BD532" s="14">
        <v>-8</v>
      </c>
    </row>
    <row r="533" spans="13:56" x14ac:dyDescent="0.25">
      <c r="M533" s="14">
        <v>4</v>
      </c>
      <c r="AB533" s="14">
        <v>137</v>
      </c>
      <c r="AG533" s="14">
        <v>-197</v>
      </c>
      <c r="AL533" s="14">
        <v>230</v>
      </c>
      <c r="AM533" s="14">
        <v>166</v>
      </c>
      <c r="AP533" s="14">
        <v>350</v>
      </c>
      <c r="AQ533" s="14">
        <v>152</v>
      </c>
      <c r="AR533" s="14">
        <v>-199</v>
      </c>
      <c r="AS533" s="14">
        <v>-396</v>
      </c>
      <c r="AT533" s="14">
        <v>5</v>
      </c>
      <c r="AU533" s="14">
        <v>-2</v>
      </c>
      <c r="AV533" s="14">
        <v>-67</v>
      </c>
      <c r="AW533" s="14">
        <v>332</v>
      </c>
      <c r="AX533" s="14">
        <v>-463</v>
      </c>
      <c r="AY533" s="14">
        <v>-384</v>
      </c>
      <c r="AZ533" s="14">
        <v>119</v>
      </c>
      <c r="BA533" s="14">
        <v>21</v>
      </c>
      <c r="BB533" s="14">
        <v>-30</v>
      </c>
      <c r="BD533" s="14">
        <v>-8</v>
      </c>
    </row>
    <row r="534" spans="13:56" x14ac:dyDescent="0.25">
      <c r="M534" s="14">
        <v>174</v>
      </c>
      <c r="AB534" s="14">
        <v>711</v>
      </c>
      <c r="AG534" s="14">
        <v>426</v>
      </c>
      <c r="AL534" s="14">
        <v>-204</v>
      </c>
      <c r="AM534" s="14">
        <v>-760</v>
      </c>
      <c r="AP534" s="14">
        <v>55</v>
      </c>
      <c r="AQ534" s="14">
        <v>-120</v>
      </c>
      <c r="AR534" s="14">
        <v>-112</v>
      </c>
      <c r="AS534" s="14">
        <v>-736</v>
      </c>
      <c r="AT534" s="14">
        <v>5</v>
      </c>
      <c r="AU534" s="14">
        <v>11</v>
      </c>
      <c r="AV534" s="14">
        <v>-45</v>
      </c>
      <c r="AW534" s="14">
        <v>5</v>
      </c>
      <c r="AX534" s="14">
        <v>47</v>
      </c>
      <c r="AY534" s="14">
        <v>207</v>
      </c>
      <c r="AZ534" s="14">
        <v>135</v>
      </c>
      <c r="BA534" s="14">
        <v>-125</v>
      </c>
      <c r="BB534" s="14">
        <v>-173</v>
      </c>
      <c r="BD534" s="14">
        <v>-3</v>
      </c>
    </row>
    <row r="535" spans="13:56" x14ac:dyDescent="0.25">
      <c r="M535" s="14">
        <v>152</v>
      </c>
      <c r="AB535" s="14">
        <v>150</v>
      </c>
      <c r="AG535" s="14">
        <v>6</v>
      </c>
      <c r="AL535" s="14">
        <v>74</v>
      </c>
      <c r="AM535" s="14">
        <v>-533</v>
      </c>
      <c r="AP535" s="14">
        <v>703</v>
      </c>
      <c r="AQ535" s="14">
        <v>-208</v>
      </c>
      <c r="AR535" s="14">
        <v>-440</v>
      </c>
      <c r="AS535" s="14">
        <v>-881</v>
      </c>
      <c r="AT535" s="14">
        <v>3</v>
      </c>
      <c r="AU535" s="14">
        <v>7</v>
      </c>
      <c r="AV535" s="14">
        <v>-112</v>
      </c>
      <c r="AW535" s="14">
        <v>95</v>
      </c>
      <c r="AX535" s="14">
        <v>161</v>
      </c>
      <c r="AY535" s="14">
        <v>806</v>
      </c>
      <c r="AZ535" s="14">
        <v>118</v>
      </c>
      <c r="BA535" s="14">
        <v>813</v>
      </c>
      <c r="BB535" s="14">
        <v>1165</v>
      </c>
      <c r="BD535" s="14">
        <v>-8</v>
      </c>
    </row>
    <row r="536" spans="13:56" x14ac:dyDescent="0.25">
      <c r="M536" s="14">
        <v>1</v>
      </c>
      <c r="AB536" s="14">
        <v>140</v>
      </c>
      <c r="AG536" s="14">
        <v>155</v>
      </c>
      <c r="AL536" s="14">
        <v>91</v>
      </c>
      <c r="AM536" s="14">
        <v>159</v>
      </c>
      <c r="AP536" s="14">
        <v>-428</v>
      </c>
      <c r="AQ536" s="14">
        <v>-95</v>
      </c>
      <c r="AR536" s="14">
        <v>10</v>
      </c>
      <c r="AS536" s="14">
        <v>-107</v>
      </c>
      <c r="AT536" s="14">
        <v>-101</v>
      </c>
      <c r="AU536" s="14">
        <v>2</v>
      </c>
      <c r="AV536" s="14">
        <v>-110</v>
      </c>
      <c r="AW536" s="14">
        <v>253</v>
      </c>
      <c r="AX536" s="14">
        <v>5</v>
      </c>
      <c r="AY536" s="14">
        <v>560</v>
      </c>
      <c r="AZ536" s="14">
        <v>112</v>
      </c>
      <c r="BA536" s="14">
        <v>71</v>
      </c>
      <c r="BB536" s="14">
        <v>-11</v>
      </c>
      <c r="BD536" s="14">
        <v>9</v>
      </c>
    </row>
    <row r="537" spans="13:56" x14ac:dyDescent="0.25">
      <c r="M537" s="14">
        <v>-22</v>
      </c>
      <c r="AB537" s="14">
        <v>617</v>
      </c>
      <c r="AG537" s="14">
        <v>-98</v>
      </c>
      <c r="AL537" s="14">
        <v>-75</v>
      </c>
      <c r="AM537" s="14">
        <v>-141</v>
      </c>
      <c r="AP537" s="14">
        <v>-450</v>
      </c>
      <c r="AQ537" s="14">
        <v>122</v>
      </c>
      <c r="AR537" s="14">
        <v>-331</v>
      </c>
      <c r="AS537" s="14">
        <v>101</v>
      </c>
      <c r="AT537" s="14">
        <v>2</v>
      </c>
      <c r="AU537" s="14">
        <v>-15</v>
      </c>
      <c r="AV537" s="14">
        <v>-95</v>
      </c>
      <c r="AW537" s="14">
        <v>-220</v>
      </c>
      <c r="AX537" s="14">
        <v>106</v>
      </c>
      <c r="AY537" s="14">
        <v>779</v>
      </c>
      <c r="AZ537" s="14">
        <v>107</v>
      </c>
      <c r="BA537" s="14">
        <v>249</v>
      </c>
      <c r="BB537" s="14">
        <v>28</v>
      </c>
      <c r="BD537" s="14">
        <v>-24</v>
      </c>
    </row>
    <row r="538" spans="13:56" x14ac:dyDescent="0.25">
      <c r="M538" s="14">
        <v>580</v>
      </c>
      <c r="AB538" s="14">
        <v>841</v>
      </c>
      <c r="AG538" s="14">
        <v>353</v>
      </c>
      <c r="AL538" s="14">
        <v>-233</v>
      </c>
      <c r="AM538" s="14">
        <v>-430</v>
      </c>
      <c r="AP538" s="14">
        <v>-100</v>
      </c>
      <c r="AQ538" s="14">
        <v>570</v>
      </c>
      <c r="AR538" s="14">
        <v>940</v>
      </c>
      <c r="AS538" s="14">
        <v>133</v>
      </c>
      <c r="AT538" s="14">
        <v>18</v>
      </c>
      <c r="AU538" s="14">
        <v>11</v>
      </c>
      <c r="AV538" s="14">
        <v>18</v>
      </c>
      <c r="AW538" s="14">
        <v>134</v>
      </c>
      <c r="AX538" s="14">
        <v>27</v>
      </c>
      <c r="AY538" s="14">
        <v>-763</v>
      </c>
      <c r="AZ538" s="14">
        <v>109</v>
      </c>
      <c r="BA538" s="14">
        <v>27</v>
      </c>
      <c r="BB538" s="14">
        <v>74</v>
      </c>
      <c r="BD538" s="14">
        <v>-70</v>
      </c>
    </row>
    <row r="539" spans="13:56" x14ac:dyDescent="0.25">
      <c r="M539" s="14">
        <v>4</v>
      </c>
      <c r="AB539" s="14">
        <v>124</v>
      </c>
      <c r="AG539" s="14">
        <v>392</v>
      </c>
      <c r="AL539" s="14">
        <v>28</v>
      </c>
      <c r="AM539" s="14">
        <v>-104</v>
      </c>
      <c r="AP539" s="14">
        <v>-500</v>
      </c>
      <c r="AQ539" s="14">
        <v>290</v>
      </c>
      <c r="AR539" s="14">
        <v>-316</v>
      </c>
      <c r="AS539" s="14">
        <v>-269</v>
      </c>
      <c r="AT539" s="14">
        <v>8</v>
      </c>
      <c r="AU539" s="14">
        <v>-4</v>
      </c>
      <c r="AV539" s="14">
        <v>26</v>
      </c>
      <c r="AW539" s="14">
        <v>-4</v>
      </c>
      <c r="AX539" s="14">
        <v>26</v>
      </c>
      <c r="AY539" s="14">
        <v>-352</v>
      </c>
      <c r="AZ539" s="14">
        <v>105</v>
      </c>
      <c r="BA539" s="14">
        <v>861</v>
      </c>
      <c r="BB539" s="14">
        <v>139</v>
      </c>
      <c r="BD539" s="14">
        <v>-6095</v>
      </c>
    </row>
    <row r="540" spans="13:56" x14ac:dyDescent="0.25">
      <c r="M540" s="14">
        <v>19</v>
      </c>
      <c r="AB540" s="14">
        <v>924</v>
      </c>
      <c r="AG540" s="14">
        <v>129</v>
      </c>
      <c r="AL540" s="14">
        <v>61</v>
      </c>
      <c r="AM540" s="14">
        <v>692</v>
      </c>
      <c r="AP540" s="14">
        <v>579</v>
      </c>
      <c r="AQ540" s="14">
        <v>517</v>
      </c>
      <c r="AR540" s="14">
        <v>-3</v>
      </c>
      <c r="AS540" s="14">
        <v>-570</v>
      </c>
      <c r="AT540" s="14">
        <v>9</v>
      </c>
      <c r="AU540" s="14">
        <v>64</v>
      </c>
      <c r="AV540" s="14">
        <v>-16</v>
      </c>
      <c r="AW540" s="14">
        <v>53</v>
      </c>
      <c r="AX540" s="14">
        <v>550</v>
      </c>
      <c r="AY540" s="14">
        <v>-763</v>
      </c>
      <c r="AZ540" s="14">
        <v>111</v>
      </c>
      <c r="BA540" s="14">
        <v>-532</v>
      </c>
      <c r="BB540" s="14">
        <v>13</v>
      </c>
      <c r="BD540" s="14">
        <v>-2</v>
      </c>
    </row>
    <row r="541" spans="13:56" x14ac:dyDescent="0.25">
      <c r="M541" s="14">
        <v>36</v>
      </c>
      <c r="AB541" s="14">
        <v>457</v>
      </c>
      <c r="AG541" s="14">
        <v>52</v>
      </c>
      <c r="AL541" s="14">
        <v>-29</v>
      </c>
      <c r="AM541" s="14">
        <v>-275</v>
      </c>
      <c r="AP541" s="14">
        <v>-161</v>
      </c>
      <c r="AQ541" s="14">
        <v>132</v>
      </c>
      <c r="AR541" s="14">
        <v>-83</v>
      </c>
      <c r="AS541" s="14">
        <v>610</v>
      </c>
      <c r="AT541" s="14">
        <v>-3</v>
      </c>
      <c r="AU541" s="14">
        <v>-26</v>
      </c>
      <c r="AV541" s="14">
        <v>-6</v>
      </c>
      <c r="AW541" s="14">
        <v>733</v>
      </c>
      <c r="AX541" s="14">
        <v>557</v>
      </c>
      <c r="AY541" s="14">
        <v>114</v>
      </c>
      <c r="AZ541" s="14">
        <v>104</v>
      </c>
      <c r="BA541" s="14">
        <v>833</v>
      </c>
      <c r="BB541" s="14">
        <v>-128</v>
      </c>
      <c r="BD541" s="14">
        <v>-5</v>
      </c>
    </row>
    <row r="542" spans="13:56" x14ac:dyDescent="0.25">
      <c r="AB542" s="14">
        <v>860</v>
      </c>
      <c r="AG542" s="14">
        <v>174</v>
      </c>
      <c r="AL542" s="14">
        <v>-55</v>
      </c>
      <c r="AM542" s="14">
        <v>-215</v>
      </c>
      <c r="AP542" s="14">
        <v>-261</v>
      </c>
      <c r="AQ542" s="14">
        <v>142</v>
      </c>
      <c r="AR542" s="14">
        <v>-26</v>
      </c>
      <c r="AS542" s="14">
        <v>411</v>
      </c>
      <c r="AT542" s="14">
        <v>3</v>
      </c>
      <c r="AU542" s="14">
        <v>19</v>
      </c>
      <c r="AV542" s="14">
        <v>-7</v>
      </c>
      <c r="AW542" s="14">
        <v>430</v>
      </c>
      <c r="AX542" s="14">
        <v>49</v>
      </c>
      <c r="AY542" s="14">
        <v>120</v>
      </c>
      <c r="AZ542" s="14">
        <v>108</v>
      </c>
      <c r="BA542" s="14">
        <v>49</v>
      </c>
      <c r="BB542" s="14">
        <v>-32</v>
      </c>
      <c r="BD542" s="14">
        <v>-1</v>
      </c>
    </row>
    <row r="543" spans="13:56" x14ac:dyDescent="0.25">
      <c r="AB543" s="14">
        <v>512</v>
      </c>
      <c r="AG543" s="14">
        <v>-44</v>
      </c>
      <c r="AL543" s="14">
        <v>5</v>
      </c>
      <c r="AM543" s="14">
        <v>-851</v>
      </c>
      <c r="AP543" s="14">
        <v>-292</v>
      </c>
      <c r="AQ543" s="14">
        <v>-126</v>
      </c>
      <c r="AR543" s="14">
        <v>422</v>
      </c>
      <c r="AS543" s="14">
        <v>644</v>
      </c>
      <c r="AT543" s="14">
        <v>3</v>
      </c>
      <c r="AU543" s="14">
        <v>47</v>
      </c>
      <c r="AV543" s="14">
        <v>22</v>
      </c>
      <c r="AW543" s="14">
        <v>319</v>
      </c>
      <c r="AX543" s="14">
        <v>203</v>
      </c>
      <c r="AY543" s="14">
        <v>-566</v>
      </c>
      <c r="AZ543" s="14">
        <v>110</v>
      </c>
      <c r="BA543" s="14">
        <v>945</v>
      </c>
      <c r="BB543" s="14">
        <v>-116</v>
      </c>
      <c r="BD543" s="14">
        <v>5</v>
      </c>
    </row>
    <row r="544" spans="13:56" x14ac:dyDescent="0.25">
      <c r="AB544" s="14">
        <v>329</v>
      </c>
      <c r="AG544" s="14">
        <v>40</v>
      </c>
      <c r="AL544" s="14">
        <v>72</v>
      </c>
      <c r="AM544" s="14">
        <v>-113</v>
      </c>
      <c r="AP544" s="14">
        <v>-221</v>
      </c>
      <c r="AQ544" s="14">
        <v>-212</v>
      </c>
      <c r="AR544" s="14">
        <v>88</v>
      </c>
      <c r="AS544" s="14">
        <v>-660</v>
      </c>
      <c r="AT544" s="14">
        <v>-1</v>
      </c>
      <c r="AU544" s="14">
        <v>45</v>
      </c>
      <c r="AV544" s="14">
        <v>-448</v>
      </c>
      <c r="AW544" s="14">
        <v>-122</v>
      </c>
      <c r="AX544" s="14">
        <v>11</v>
      </c>
      <c r="AY544" s="14">
        <v>-222</v>
      </c>
      <c r="AZ544" s="14">
        <v>110</v>
      </c>
      <c r="BA544" s="14">
        <v>369</v>
      </c>
      <c r="BB544" s="14">
        <v>1086</v>
      </c>
      <c r="BD544" s="14">
        <v>6</v>
      </c>
    </row>
    <row r="545" spans="28:56" x14ac:dyDescent="0.25">
      <c r="AB545" s="14">
        <v>406</v>
      </c>
      <c r="AG545" s="14">
        <v>147</v>
      </c>
      <c r="AL545" s="14">
        <v>91</v>
      </c>
      <c r="AM545" s="14">
        <v>756</v>
      </c>
      <c r="AP545" s="14">
        <v>280</v>
      </c>
      <c r="AQ545" s="14">
        <v>-99</v>
      </c>
      <c r="AR545" s="14">
        <v>671</v>
      </c>
      <c r="AS545" s="14">
        <v>370</v>
      </c>
      <c r="AT545" s="14">
        <v>1</v>
      </c>
      <c r="AU545" s="14">
        <v>82</v>
      </c>
      <c r="AV545" s="14">
        <v>-92</v>
      </c>
      <c r="AW545" s="14">
        <v>225</v>
      </c>
      <c r="AX545" s="14">
        <v>107</v>
      </c>
      <c r="AY545" s="14">
        <v>376</v>
      </c>
      <c r="AZ545" s="14">
        <v>113</v>
      </c>
      <c r="BA545" s="14">
        <v>414</v>
      </c>
      <c r="BB545" s="14">
        <v>-15</v>
      </c>
      <c r="BD545" s="14">
        <v>5</v>
      </c>
    </row>
    <row r="546" spans="28:56" x14ac:dyDescent="0.25">
      <c r="AB546" s="14">
        <v>123</v>
      </c>
      <c r="AG546" s="14">
        <v>-133</v>
      </c>
      <c r="AL546" s="14">
        <v>-91</v>
      </c>
      <c r="AM546" s="14">
        <v>367</v>
      </c>
      <c r="AP546" s="14">
        <v>-131</v>
      </c>
      <c r="AQ546" s="14">
        <v>114</v>
      </c>
      <c r="AR546" s="14">
        <v>145</v>
      </c>
      <c r="AS546" s="14">
        <v>144</v>
      </c>
      <c r="AT546" s="14">
        <v>-189</v>
      </c>
      <c r="AU546" s="14">
        <v>41</v>
      </c>
      <c r="AV546" s="14">
        <v>99</v>
      </c>
      <c r="AW546" s="14">
        <v>-356</v>
      </c>
      <c r="AX546" s="14">
        <v>30</v>
      </c>
      <c r="AY546" s="14">
        <v>-645</v>
      </c>
      <c r="AZ546" s="14">
        <v>112</v>
      </c>
      <c r="BA546" s="14">
        <v>121</v>
      </c>
      <c r="BB546" s="14">
        <v>29</v>
      </c>
      <c r="BD546" s="14">
        <v>5</v>
      </c>
    </row>
    <row r="547" spans="28:56" x14ac:dyDescent="0.25">
      <c r="AB547" s="14">
        <v>63</v>
      </c>
      <c r="AG547" s="14">
        <v>353</v>
      </c>
      <c r="AL547" s="14">
        <v>-24</v>
      </c>
      <c r="AM547" s="14">
        <v>942</v>
      </c>
      <c r="AP547" s="14">
        <v>46</v>
      </c>
      <c r="AQ547" s="14">
        <v>584</v>
      </c>
      <c r="AR547" s="14">
        <v>322</v>
      </c>
      <c r="AS547" s="14">
        <v>140</v>
      </c>
      <c r="AT547" s="14">
        <v>28</v>
      </c>
      <c r="AU547" s="14">
        <v>-23</v>
      </c>
      <c r="AV547" s="14">
        <v>-47</v>
      </c>
      <c r="AW547" s="14">
        <v>437</v>
      </c>
      <c r="AX547" s="14">
        <v>28</v>
      </c>
      <c r="AY547" s="14">
        <v>-399</v>
      </c>
      <c r="AZ547" s="14">
        <v>103</v>
      </c>
      <c r="BA547" s="14">
        <v>805</v>
      </c>
      <c r="BB547" s="14">
        <v>-11</v>
      </c>
      <c r="BD547" s="14">
        <v>5</v>
      </c>
    </row>
    <row r="548" spans="28:56" x14ac:dyDescent="0.25">
      <c r="AB548" s="14">
        <v>-152</v>
      </c>
      <c r="AG548" s="14">
        <v>393</v>
      </c>
      <c r="AL548" s="14">
        <v>-48</v>
      </c>
      <c r="AM548" s="14">
        <v>969</v>
      </c>
      <c r="AP548" s="14">
        <v>210</v>
      </c>
      <c r="AQ548" s="14">
        <v>127</v>
      </c>
      <c r="AR548" s="14">
        <v>396</v>
      </c>
      <c r="AS548" s="14">
        <v>145</v>
      </c>
      <c r="AT548" s="14">
        <v>19</v>
      </c>
      <c r="AU548" s="14">
        <v>38</v>
      </c>
      <c r="AV548" s="14">
        <v>-33</v>
      </c>
      <c r="AW548" s="14">
        <v>-3</v>
      </c>
      <c r="AX548" s="14">
        <v>545</v>
      </c>
      <c r="AY548" s="14">
        <v>-428</v>
      </c>
      <c r="AZ548" s="14">
        <v>112</v>
      </c>
      <c r="BA548" s="14">
        <v>362</v>
      </c>
      <c r="BB548" s="14">
        <v>72</v>
      </c>
      <c r="BD548" s="14">
        <v>10</v>
      </c>
    </row>
    <row r="549" spans="28:56" x14ac:dyDescent="0.25">
      <c r="AB549" s="14">
        <v>-49</v>
      </c>
      <c r="AG549" s="14">
        <v>128</v>
      </c>
      <c r="AL549" s="14">
        <v>-80</v>
      </c>
      <c r="AM549" s="14">
        <v>-334</v>
      </c>
      <c r="AP549" s="14">
        <v>9</v>
      </c>
      <c r="AQ549" s="14">
        <v>426</v>
      </c>
      <c r="AR549" s="14">
        <v>173</v>
      </c>
      <c r="AS549" s="14">
        <v>-857</v>
      </c>
      <c r="AT549" s="14">
        <v>-3</v>
      </c>
      <c r="AU549" s="14">
        <v>18</v>
      </c>
      <c r="AV549" s="14">
        <v>-204</v>
      </c>
      <c r="AW549" s="14">
        <v>13</v>
      </c>
      <c r="AX549" s="14">
        <v>552</v>
      </c>
      <c r="AY549" s="14">
        <v>205</v>
      </c>
      <c r="AZ549" s="14">
        <v>111</v>
      </c>
      <c r="BA549" s="14">
        <v>346</v>
      </c>
      <c r="BB549" s="14">
        <v>169</v>
      </c>
      <c r="BD549" s="14">
        <v>5</v>
      </c>
    </row>
    <row r="550" spans="28:56" x14ac:dyDescent="0.25">
      <c r="AB550" s="14">
        <v>841</v>
      </c>
      <c r="AG550" s="14">
        <v>57</v>
      </c>
      <c r="AL550" s="14">
        <v>16</v>
      </c>
      <c r="AM550" s="14">
        <v>735</v>
      </c>
      <c r="AP550" s="14">
        <v>130</v>
      </c>
      <c r="AQ550" s="14">
        <v>51</v>
      </c>
      <c r="AR550" s="14">
        <v>190</v>
      </c>
      <c r="AS550" s="14">
        <v>800</v>
      </c>
      <c r="AT550" s="14">
        <v>-1</v>
      </c>
      <c r="AU550" s="14">
        <v>-14</v>
      </c>
      <c r="AV550" s="14">
        <v>-47</v>
      </c>
      <c r="AW550" s="14">
        <v>867</v>
      </c>
      <c r="AX550" s="14">
        <v>176</v>
      </c>
      <c r="AY550" s="14">
        <v>435</v>
      </c>
      <c r="AZ550" s="14">
        <v>110</v>
      </c>
      <c r="BA550" s="14">
        <v>745</v>
      </c>
      <c r="BB550" s="14">
        <v>-80</v>
      </c>
      <c r="BD550" s="14">
        <v>6</v>
      </c>
    </row>
    <row r="551" spans="28:56" x14ac:dyDescent="0.25">
      <c r="AB551" s="14">
        <v>308</v>
      </c>
      <c r="AG551" s="14">
        <v>163</v>
      </c>
      <c r="AL551" s="14">
        <v>9</v>
      </c>
      <c r="AM551" s="14">
        <v>-565</v>
      </c>
      <c r="AP551" s="14">
        <v>-408</v>
      </c>
      <c r="AQ551" s="14">
        <v>52</v>
      </c>
      <c r="AR551" s="14">
        <v>79</v>
      </c>
      <c r="AS551" s="14">
        <v>-627</v>
      </c>
      <c r="AT551" s="14">
        <v>4</v>
      </c>
      <c r="AU551" s="14">
        <v>-8</v>
      </c>
      <c r="AV551" s="14">
        <v>-92</v>
      </c>
      <c r="AW551" s="14">
        <v>611</v>
      </c>
      <c r="AX551" s="14">
        <v>14</v>
      </c>
      <c r="AY551" s="14">
        <v>124</v>
      </c>
      <c r="AZ551" s="14">
        <v>937</v>
      </c>
      <c r="BA551" s="14">
        <v>-311</v>
      </c>
      <c r="BB551" s="14">
        <v>19</v>
      </c>
      <c r="BD551" s="14">
        <v>292</v>
      </c>
    </row>
    <row r="552" spans="28:56" x14ac:dyDescent="0.25">
      <c r="AB552" s="14">
        <v>152</v>
      </c>
      <c r="AG552" s="14">
        <v>-44</v>
      </c>
      <c r="AL552" s="14">
        <v>52</v>
      </c>
      <c r="AM552" s="14">
        <v>-499</v>
      </c>
      <c r="AP552" s="14">
        <v>69</v>
      </c>
      <c r="AQ552" s="14">
        <v>-68</v>
      </c>
      <c r="AR552" s="14">
        <v>-61</v>
      </c>
      <c r="AS552" s="14">
        <v>-780</v>
      </c>
      <c r="AT552" s="14">
        <v>4</v>
      </c>
      <c r="AU552" s="14">
        <v>28</v>
      </c>
      <c r="AV552" s="14">
        <v>-146</v>
      </c>
      <c r="AW552" s="14">
        <v>719</v>
      </c>
      <c r="AX552" s="14">
        <v>-8</v>
      </c>
      <c r="AY552" s="14">
        <v>554</v>
      </c>
      <c r="AZ552" s="14">
        <v>108</v>
      </c>
      <c r="BA552" s="14">
        <v>532</v>
      </c>
      <c r="BB552" s="14">
        <v>-4</v>
      </c>
      <c r="BD552" s="14">
        <v>615</v>
      </c>
    </row>
    <row r="553" spans="28:56" x14ac:dyDescent="0.25">
      <c r="AB553" s="14">
        <v>-48</v>
      </c>
      <c r="AG553" s="14">
        <v>20</v>
      </c>
      <c r="AL553" s="14">
        <v>98</v>
      </c>
      <c r="AM553" s="14">
        <v>710</v>
      </c>
      <c r="AP553" s="14">
        <v>539</v>
      </c>
      <c r="AQ553" s="14">
        <v>-89</v>
      </c>
      <c r="AR553" s="14">
        <v>259</v>
      </c>
      <c r="AS553" s="14">
        <v>-572</v>
      </c>
      <c r="AT553" s="14">
        <v>-2</v>
      </c>
      <c r="AU553" s="14">
        <v>22</v>
      </c>
      <c r="AV553" s="14">
        <v>-146</v>
      </c>
      <c r="AW553" s="14">
        <v>144</v>
      </c>
      <c r="AX553" s="14">
        <v>-2</v>
      </c>
      <c r="AY553" s="14">
        <v>103</v>
      </c>
      <c r="AZ553" s="14">
        <v>126</v>
      </c>
      <c r="BA553" s="14">
        <v>964</v>
      </c>
      <c r="BB553" s="14">
        <v>-28</v>
      </c>
      <c r="BD553" s="14">
        <v>255</v>
      </c>
    </row>
    <row r="554" spans="28:56" x14ac:dyDescent="0.25">
      <c r="AB554" s="14">
        <v>-843</v>
      </c>
      <c r="AG554" s="14">
        <v>165</v>
      </c>
      <c r="AL554" s="14">
        <v>-261</v>
      </c>
      <c r="AM554" s="14">
        <v>-974</v>
      </c>
      <c r="AP554" s="14">
        <v>-575</v>
      </c>
      <c r="AQ554" s="14">
        <v>70</v>
      </c>
      <c r="AR554" s="14">
        <v>-106</v>
      </c>
      <c r="AS554" s="14">
        <v>-758</v>
      </c>
      <c r="AT554" s="14">
        <v>-2</v>
      </c>
      <c r="AU554" s="14">
        <v>131</v>
      </c>
      <c r="AV554" s="14">
        <v>-107</v>
      </c>
      <c r="AW554" s="14">
        <v>974</v>
      </c>
      <c r="AX554" s="14">
        <v>-179</v>
      </c>
      <c r="AY554" s="14">
        <v>149</v>
      </c>
      <c r="AZ554" s="14">
        <v>114</v>
      </c>
      <c r="BA554" s="14">
        <v>615</v>
      </c>
      <c r="BB554" s="14">
        <v>-781</v>
      </c>
      <c r="BD554" s="14">
        <v>612</v>
      </c>
    </row>
    <row r="555" spans="28:56" x14ac:dyDescent="0.25">
      <c r="AB555" s="14">
        <v>-154</v>
      </c>
      <c r="AG555" s="14">
        <v>-135</v>
      </c>
      <c r="AL555" s="14">
        <v>145</v>
      </c>
      <c r="AM555" s="14">
        <v>14</v>
      </c>
      <c r="AP555" s="14">
        <v>-584</v>
      </c>
      <c r="AQ555" s="14">
        <v>113</v>
      </c>
      <c r="AR555" s="14">
        <v>124</v>
      </c>
      <c r="AS555" s="14">
        <v>-709</v>
      </c>
      <c r="AT555" s="14">
        <v>-188</v>
      </c>
      <c r="AU555" s="14">
        <v>71</v>
      </c>
      <c r="AV555" s="14">
        <v>18</v>
      </c>
      <c r="AW555" s="14">
        <v>607</v>
      </c>
      <c r="AX555" s="14">
        <v>447</v>
      </c>
      <c r="AY555" s="14">
        <v>532</v>
      </c>
      <c r="AZ555" s="14">
        <v>111</v>
      </c>
      <c r="BA555" s="14">
        <v>558</v>
      </c>
      <c r="BB555" s="14">
        <v>397</v>
      </c>
      <c r="BD555" s="14">
        <v>360</v>
      </c>
    </row>
    <row r="556" spans="28:56" x14ac:dyDescent="0.25">
      <c r="AB556" s="14">
        <v>-47</v>
      </c>
      <c r="AG556" s="14">
        <v>353</v>
      </c>
      <c r="AL556" s="14">
        <v>186</v>
      </c>
      <c r="AM556" s="14">
        <v>-543</v>
      </c>
      <c r="AP556" s="14">
        <v>330</v>
      </c>
      <c r="AQ556" s="14">
        <v>543</v>
      </c>
      <c r="AR556" s="14">
        <v>46</v>
      </c>
      <c r="AS556" s="14">
        <v>-671</v>
      </c>
      <c r="AT556" s="14">
        <v>42</v>
      </c>
      <c r="AU556" s="14">
        <v>54</v>
      </c>
      <c r="AV556" s="14">
        <v>27</v>
      </c>
      <c r="AW556" s="14">
        <v>105</v>
      </c>
      <c r="AX556" s="14">
        <v>-230</v>
      </c>
      <c r="AY556" s="14">
        <v>348</v>
      </c>
      <c r="AZ556" s="14">
        <v>117</v>
      </c>
      <c r="BA556" s="14">
        <v>372</v>
      </c>
      <c r="BB556" s="14">
        <v>-4</v>
      </c>
      <c r="BD556" s="14">
        <v>228</v>
      </c>
    </row>
    <row r="557" spans="28:56" x14ac:dyDescent="0.25">
      <c r="AB557" s="14">
        <v>841</v>
      </c>
      <c r="AG557" s="14">
        <v>392</v>
      </c>
      <c r="AL557" s="14">
        <v>41</v>
      </c>
      <c r="AM557" s="14">
        <v>-424</v>
      </c>
      <c r="AP557" s="14">
        <v>-454</v>
      </c>
      <c r="AQ557" s="14">
        <v>574</v>
      </c>
      <c r="AR557" s="14">
        <v>-159</v>
      </c>
      <c r="AS557" s="14">
        <v>-686</v>
      </c>
      <c r="AT557" s="14">
        <v>13</v>
      </c>
      <c r="AU557" s="14">
        <v>56</v>
      </c>
      <c r="AV557" s="14">
        <v>-15</v>
      </c>
      <c r="AW557" s="14">
        <v>508</v>
      </c>
      <c r="AX557" s="14">
        <v>140</v>
      </c>
      <c r="AY557" s="14">
        <v>521</v>
      </c>
      <c r="AZ557" s="14">
        <v>155</v>
      </c>
      <c r="BA557" s="14">
        <v>-127</v>
      </c>
      <c r="BB557" s="14">
        <v>16</v>
      </c>
      <c r="BD557" s="14">
        <v>633</v>
      </c>
    </row>
    <row r="558" spans="28:56" x14ac:dyDescent="0.25">
      <c r="AB558" s="14">
        <v>1</v>
      </c>
      <c r="AG558" s="14">
        <v>129</v>
      </c>
      <c r="AL558" s="14">
        <v>-142</v>
      </c>
      <c r="AM558" s="14">
        <v>125</v>
      </c>
      <c r="AP558" s="14">
        <v>-215</v>
      </c>
      <c r="AQ558" s="14">
        <v>490</v>
      </c>
      <c r="AR558" s="14">
        <v>-30</v>
      </c>
      <c r="AS558" s="14">
        <v>-649</v>
      </c>
      <c r="AT558" s="14">
        <v>8</v>
      </c>
      <c r="AU558" s="14">
        <v>19</v>
      </c>
      <c r="AV558" s="14">
        <v>-20</v>
      </c>
      <c r="AW558" s="14">
        <v>165</v>
      </c>
      <c r="AX558" s="14">
        <v>483</v>
      </c>
      <c r="AY558" s="14">
        <v>534</v>
      </c>
      <c r="AZ558" s="14">
        <v>116</v>
      </c>
      <c r="BA558" s="14">
        <v>11</v>
      </c>
      <c r="BB558" s="14">
        <v>2</v>
      </c>
      <c r="BD558" s="14">
        <v>56</v>
      </c>
    </row>
    <row r="559" spans="28:56" x14ac:dyDescent="0.25">
      <c r="AB559" s="14">
        <v>-159</v>
      </c>
      <c r="AG559" s="14">
        <v>53</v>
      </c>
      <c r="AL559" s="14">
        <v>104</v>
      </c>
      <c r="AM559" s="14">
        <v>-313</v>
      </c>
      <c r="AP559" s="14">
        <v>466</v>
      </c>
      <c r="AQ559" s="14">
        <v>133</v>
      </c>
      <c r="AR559" s="14">
        <v>-620</v>
      </c>
      <c r="AS559" s="14">
        <v>290</v>
      </c>
      <c r="AT559" s="14">
        <v>-4</v>
      </c>
      <c r="AU559" s="14">
        <v>17</v>
      </c>
      <c r="AV559" s="14">
        <v>-20</v>
      </c>
      <c r="AW559" s="14">
        <v>154</v>
      </c>
      <c r="AX559" s="14">
        <v>100</v>
      </c>
      <c r="AY559" s="14">
        <v>349</v>
      </c>
      <c r="AZ559" s="14">
        <v>119</v>
      </c>
      <c r="BA559" s="14">
        <v>851</v>
      </c>
      <c r="BB559" s="14">
        <v>-56</v>
      </c>
      <c r="BD559" s="14">
        <v>28</v>
      </c>
    </row>
    <row r="560" spans="28:56" x14ac:dyDescent="0.25">
      <c r="AB560" s="14">
        <v>213</v>
      </c>
      <c r="AG560" s="14">
        <v>164</v>
      </c>
      <c r="AL560" s="14">
        <v>152</v>
      </c>
      <c r="AM560" s="14">
        <v>-4</v>
      </c>
      <c r="AP560" s="14">
        <v>-72</v>
      </c>
      <c r="AQ560" s="14">
        <v>455</v>
      </c>
      <c r="AR560" s="14">
        <v>-190</v>
      </c>
      <c r="AS560" s="14">
        <v>276</v>
      </c>
      <c r="AT560" s="14">
        <v>3</v>
      </c>
      <c r="AU560" s="14">
        <v>22</v>
      </c>
      <c r="AV560" s="14">
        <v>-85</v>
      </c>
      <c r="AW560" s="14">
        <v>524</v>
      </c>
      <c r="AX560" s="14">
        <v>116</v>
      </c>
      <c r="AY560" s="14">
        <v>-32</v>
      </c>
      <c r="AZ560" s="14">
        <v>146</v>
      </c>
      <c r="BA560" s="14">
        <v>188</v>
      </c>
      <c r="BB560" s="14">
        <v>-531</v>
      </c>
      <c r="BD560" s="14">
        <v>40</v>
      </c>
    </row>
    <row r="561" spans="28:56" x14ac:dyDescent="0.25">
      <c r="AB561" s="14">
        <v>372</v>
      </c>
      <c r="AG561" s="14">
        <v>-44</v>
      </c>
      <c r="AL561" s="14">
        <v>36</v>
      </c>
      <c r="AM561" s="14">
        <v>-282</v>
      </c>
      <c r="AP561" s="14">
        <v>68</v>
      </c>
      <c r="AQ561" s="14">
        <v>-179</v>
      </c>
      <c r="AR561" s="14">
        <v>514</v>
      </c>
      <c r="AS561" s="14">
        <v>288</v>
      </c>
      <c r="AT561" s="14">
        <v>-6</v>
      </c>
      <c r="AU561" s="14">
        <v>23</v>
      </c>
      <c r="AV561" s="14">
        <v>698</v>
      </c>
      <c r="AW561" s="14">
        <v>332</v>
      </c>
      <c r="AX561" s="14">
        <v>-167</v>
      </c>
      <c r="AY561" s="14">
        <v>472</v>
      </c>
      <c r="AZ561" s="14">
        <v>118</v>
      </c>
      <c r="BA561" s="14">
        <v>352</v>
      </c>
      <c r="BB561" s="14">
        <v>1123</v>
      </c>
      <c r="BD561" s="14">
        <v>25</v>
      </c>
    </row>
    <row r="562" spans="28:56" x14ac:dyDescent="0.25">
      <c r="AB562" s="14">
        <v>-15</v>
      </c>
      <c r="AG562" s="14">
        <v>47</v>
      </c>
      <c r="AL562" s="14">
        <v>-76</v>
      </c>
      <c r="AM562" s="14">
        <v>-538</v>
      </c>
      <c r="AP562" s="14">
        <v>356</v>
      </c>
      <c r="AQ562" s="14">
        <v>-331</v>
      </c>
      <c r="AR562" s="14">
        <v>470</v>
      </c>
      <c r="AS562" s="14">
        <v>275</v>
      </c>
      <c r="AT562" s="14">
        <v>2</v>
      </c>
      <c r="AU562" s="14">
        <v>123</v>
      </c>
      <c r="AV562" s="14">
        <v>-108</v>
      </c>
      <c r="AW562" s="14">
        <v>668</v>
      </c>
      <c r="AX562" s="14">
        <v>232</v>
      </c>
      <c r="AY562" s="14">
        <v>338</v>
      </c>
      <c r="AZ562" s="14">
        <v>112</v>
      </c>
      <c r="BA562" s="14">
        <v>248</v>
      </c>
      <c r="BB562" s="14">
        <v>57</v>
      </c>
      <c r="BD562" s="14">
        <v>79</v>
      </c>
    </row>
    <row r="563" spans="28:56" x14ac:dyDescent="0.25">
      <c r="AB563" s="14">
        <v>12</v>
      </c>
      <c r="AG563" s="14">
        <v>87</v>
      </c>
      <c r="AL563" s="14">
        <v>1</v>
      </c>
      <c r="AM563" s="14">
        <v>320</v>
      </c>
      <c r="AP563" s="14">
        <v>11</v>
      </c>
      <c r="AQ563" s="14">
        <v>-293</v>
      </c>
      <c r="AR563" s="14">
        <v>440</v>
      </c>
      <c r="AS563" s="14">
        <v>-513</v>
      </c>
      <c r="AT563" s="14">
        <v>-114</v>
      </c>
      <c r="AU563" s="14">
        <v>103</v>
      </c>
      <c r="AV563" s="14">
        <v>-57</v>
      </c>
      <c r="AW563" s="14">
        <v>322</v>
      </c>
      <c r="AX563" s="14">
        <v>-37</v>
      </c>
      <c r="AY563" s="14">
        <v>707</v>
      </c>
      <c r="AZ563" s="14">
        <v>107</v>
      </c>
      <c r="BA563" s="14">
        <v>199</v>
      </c>
      <c r="BB563" s="14">
        <v>1</v>
      </c>
      <c r="BD563" s="14">
        <v>31</v>
      </c>
    </row>
    <row r="564" spans="28:56" x14ac:dyDescent="0.25">
      <c r="AB564" s="14">
        <v>866</v>
      </c>
      <c r="AG564" s="14">
        <v>155</v>
      </c>
      <c r="AL564" s="14">
        <v>79</v>
      </c>
      <c r="AM564" s="14">
        <v>369</v>
      </c>
      <c r="AP564" s="14">
        <v>28</v>
      </c>
      <c r="AQ564" s="14">
        <v>-5</v>
      </c>
      <c r="AR564" s="14">
        <v>-390</v>
      </c>
      <c r="AS564" s="14">
        <v>-256</v>
      </c>
      <c r="AT564" s="14">
        <v>1</v>
      </c>
      <c r="AU564" s="14">
        <v>49</v>
      </c>
      <c r="AV564" s="14">
        <v>-251</v>
      </c>
      <c r="AW564" s="14">
        <v>105</v>
      </c>
      <c r="AX564" s="14">
        <v>100</v>
      </c>
      <c r="AY564" s="14">
        <v>493</v>
      </c>
      <c r="AZ564" s="14">
        <v>109</v>
      </c>
      <c r="BA564" s="14">
        <v>903</v>
      </c>
      <c r="BB564" s="14">
        <v>-4</v>
      </c>
      <c r="BD564" s="14">
        <v>34</v>
      </c>
    </row>
    <row r="565" spans="28:56" x14ac:dyDescent="0.25">
      <c r="AB565" s="14">
        <v>929</v>
      </c>
      <c r="AG565" s="14">
        <v>181</v>
      </c>
      <c r="AL565" s="14">
        <v>-11</v>
      </c>
      <c r="AM565" s="14">
        <v>466</v>
      </c>
      <c r="AP565" s="14">
        <v>50</v>
      </c>
      <c r="AQ565" s="14">
        <v>-41</v>
      </c>
      <c r="AR565" s="14">
        <v>363</v>
      </c>
      <c r="AS565" s="14">
        <v>-224</v>
      </c>
      <c r="AT565" s="14">
        <v>21</v>
      </c>
      <c r="AU565" s="14">
        <v>12</v>
      </c>
      <c r="AV565" s="14">
        <v>-80</v>
      </c>
      <c r="AW565" s="14">
        <v>98</v>
      </c>
      <c r="AX565" s="14">
        <v>-115</v>
      </c>
      <c r="AY565" s="14">
        <v>356</v>
      </c>
      <c r="AZ565" s="14">
        <v>105</v>
      </c>
      <c r="BA565" s="14">
        <v>765</v>
      </c>
      <c r="BB565" s="14">
        <v>-30</v>
      </c>
      <c r="BD565" s="14">
        <v>45</v>
      </c>
    </row>
    <row r="566" spans="28:56" x14ac:dyDescent="0.25">
      <c r="AB566" s="14">
        <v>673</v>
      </c>
      <c r="AG566" s="14">
        <v>354</v>
      </c>
      <c r="AL566" s="14">
        <v>30</v>
      </c>
      <c r="AM566" s="14">
        <v>728</v>
      </c>
      <c r="AP566" s="14">
        <v>-339</v>
      </c>
      <c r="AQ566" s="14">
        <v>447</v>
      </c>
      <c r="AR566" s="14">
        <v>158</v>
      </c>
      <c r="AS566" s="14">
        <v>-255</v>
      </c>
      <c r="AT566" s="14">
        <v>9</v>
      </c>
      <c r="AU566" s="14">
        <v>46</v>
      </c>
      <c r="AV566" s="14">
        <v>-147</v>
      </c>
      <c r="AW566" s="14">
        <v>332</v>
      </c>
      <c r="AX566" s="14">
        <v>100</v>
      </c>
      <c r="AY566" s="14">
        <v>319</v>
      </c>
      <c r="AZ566" s="14">
        <v>111</v>
      </c>
      <c r="BA566" s="14">
        <v>183</v>
      </c>
      <c r="BB566" s="14">
        <v>786</v>
      </c>
      <c r="BD566" s="14">
        <v>66</v>
      </c>
    </row>
    <row r="567" spans="28:56" x14ac:dyDescent="0.25">
      <c r="AB567" s="14">
        <v>-100</v>
      </c>
      <c r="AG567" s="14">
        <v>394</v>
      </c>
      <c r="AL567" s="14">
        <v>44</v>
      </c>
      <c r="AM567" s="14">
        <v>138</v>
      </c>
      <c r="AP567" s="14">
        <v>53</v>
      </c>
      <c r="AQ567" s="14">
        <v>64</v>
      </c>
      <c r="AR567" s="14">
        <v>116</v>
      </c>
      <c r="AS567" s="14">
        <v>-114</v>
      </c>
      <c r="AT567" s="14">
        <v>8</v>
      </c>
      <c r="AU567" s="14">
        <v>-159</v>
      </c>
      <c r="AV567" s="14">
        <v>-33</v>
      </c>
      <c r="AW567" s="14">
        <v>210</v>
      </c>
      <c r="AX567" s="14">
        <v>328</v>
      </c>
      <c r="AY567" s="14">
        <v>-278</v>
      </c>
      <c r="AZ567" s="14">
        <v>104</v>
      </c>
      <c r="BA567" s="14">
        <v>454</v>
      </c>
      <c r="BB567" s="14">
        <v>172</v>
      </c>
      <c r="BD567" s="14">
        <v>39</v>
      </c>
    </row>
    <row r="568" spans="28:56" x14ac:dyDescent="0.25">
      <c r="AB568" s="14">
        <v>-10</v>
      </c>
      <c r="AG568" s="14">
        <v>128</v>
      </c>
      <c r="AL568" s="14">
        <v>13</v>
      </c>
      <c r="AM568" s="14">
        <v>194</v>
      </c>
      <c r="AP568" s="14">
        <v>693</v>
      </c>
      <c r="AQ568" s="14">
        <v>82</v>
      </c>
      <c r="AR568" s="14">
        <v>168</v>
      </c>
      <c r="AS568" s="14">
        <v>-533</v>
      </c>
      <c r="AT568" s="14">
        <v>6</v>
      </c>
      <c r="AU568" s="14">
        <v>58</v>
      </c>
      <c r="AV568" s="14">
        <v>-119</v>
      </c>
      <c r="AW568" s="14">
        <v>69</v>
      </c>
      <c r="AX568" s="14">
        <v>502</v>
      </c>
      <c r="AY568" s="14">
        <v>-16</v>
      </c>
      <c r="AZ568" s="14">
        <v>108</v>
      </c>
      <c r="BA568" s="14">
        <v>733</v>
      </c>
      <c r="BB568" s="14">
        <v>3</v>
      </c>
      <c r="BD568" s="14">
        <v>45</v>
      </c>
    </row>
    <row r="569" spans="28:56" x14ac:dyDescent="0.25">
      <c r="AB569" s="14">
        <v>-35</v>
      </c>
      <c r="AG569" s="14">
        <v>58</v>
      </c>
      <c r="AL569" s="14">
        <v>-47</v>
      </c>
      <c r="AM569" s="14">
        <v>-651</v>
      </c>
      <c r="AP569" s="14">
        <v>-362</v>
      </c>
      <c r="AQ569" s="14">
        <v>403</v>
      </c>
      <c r="AR569" s="14">
        <v>410</v>
      </c>
      <c r="AS569" s="14">
        <v>839</v>
      </c>
      <c r="AT569" s="14">
        <v>-12</v>
      </c>
      <c r="AU569" s="14">
        <v>87</v>
      </c>
      <c r="AV569" s="14">
        <v>-239</v>
      </c>
      <c r="AW569" s="14">
        <v>24</v>
      </c>
      <c r="AX569" s="14">
        <v>642</v>
      </c>
      <c r="AY569" s="14">
        <v>279</v>
      </c>
      <c r="AZ569" s="14">
        <v>110</v>
      </c>
      <c r="BA569" s="14">
        <v>364</v>
      </c>
      <c r="BB569" s="14">
        <v>5</v>
      </c>
      <c r="BD569" s="14">
        <v>11</v>
      </c>
    </row>
    <row r="570" spans="28:56" x14ac:dyDescent="0.25">
      <c r="AB570" s="14">
        <v>29</v>
      </c>
      <c r="AG570" s="14">
        <v>246</v>
      </c>
      <c r="AL570" s="14">
        <v>-14</v>
      </c>
      <c r="AM570" s="14">
        <v>-220</v>
      </c>
      <c r="AP570" s="14">
        <v>-406</v>
      </c>
      <c r="AQ570" s="14">
        <v>-111</v>
      </c>
      <c r="AR570" s="14">
        <v>-103</v>
      </c>
      <c r="AS570" s="14">
        <v>331</v>
      </c>
      <c r="AT570" s="14">
        <v>-13</v>
      </c>
      <c r="AU570" s="14">
        <v>66</v>
      </c>
      <c r="AV570" s="14">
        <v>-303</v>
      </c>
      <c r="AW570" s="14">
        <v>-4</v>
      </c>
      <c r="AX570" s="14">
        <v>247</v>
      </c>
      <c r="AY570" s="14">
        <v>-14</v>
      </c>
      <c r="AZ570" s="14">
        <v>110</v>
      </c>
      <c r="BA570" s="14">
        <v>315</v>
      </c>
      <c r="BB570" s="14">
        <v>3</v>
      </c>
      <c r="BD570" s="14">
        <v>41</v>
      </c>
    </row>
    <row r="571" spans="28:56" x14ac:dyDescent="0.25">
      <c r="AB571" s="14">
        <v>143</v>
      </c>
      <c r="AG571" s="14">
        <v>-44</v>
      </c>
      <c r="AL571" s="14">
        <v>5</v>
      </c>
      <c r="AM571" s="14">
        <v>820</v>
      </c>
      <c r="AP571" s="14">
        <v>572</v>
      </c>
      <c r="AQ571" s="14">
        <v>-242</v>
      </c>
      <c r="AR571" s="14">
        <v>435</v>
      </c>
      <c r="AS571" s="14">
        <v>694</v>
      </c>
      <c r="AT571" s="14">
        <v>12</v>
      </c>
      <c r="AU571" s="14">
        <v>295</v>
      </c>
      <c r="AV571" s="14">
        <v>-233</v>
      </c>
      <c r="AW571" s="14">
        <v>-17</v>
      </c>
      <c r="AX571" s="14">
        <v>160</v>
      </c>
      <c r="AY571" s="14">
        <v>172</v>
      </c>
      <c r="AZ571" s="14">
        <v>113</v>
      </c>
      <c r="BA571" s="14">
        <v>733</v>
      </c>
      <c r="BB571" s="14">
        <v>-62</v>
      </c>
      <c r="BD571" s="14">
        <v>47</v>
      </c>
    </row>
    <row r="572" spans="28:56" x14ac:dyDescent="0.25">
      <c r="AB572" s="14">
        <v>-101</v>
      </c>
      <c r="AG572" s="14">
        <v>57</v>
      </c>
      <c r="AL572" s="14">
        <v>49</v>
      </c>
      <c r="AM572" s="14">
        <v>-718</v>
      </c>
      <c r="AP572" s="14">
        <v>-211</v>
      </c>
      <c r="AQ572" s="14">
        <v>-363</v>
      </c>
      <c r="AR572" s="14">
        <v>-188</v>
      </c>
      <c r="AS572" s="14">
        <v>-502</v>
      </c>
      <c r="AT572" s="14">
        <v>-188</v>
      </c>
      <c r="AU572" s="14">
        <v>-413</v>
      </c>
      <c r="AV572" s="14">
        <v>18</v>
      </c>
      <c r="AW572" s="14">
        <v>168</v>
      </c>
      <c r="AX572" s="14">
        <v>-50</v>
      </c>
      <c r="AY572" s="14">
        <v>-280</v>
      </c>
      <c r="AZ572" s="14">
        <v>112</v>
      </c>
      <c r="BA572" s="14">
        <v>358</v>
      </c>
      <c r="BB572" s="14">
        <v>32</v>
      </c>
      <c r="BD572" s="14">
        <v>85</v>
      </c>
    </row>
    <row r="573" spans="28:56" x14ac:dyDescent="0.25">
      <c r="AB573" s="14">
        <v>24</v>
      </c>
      <c r="AG573" s="14">
        <v>114</v>
      </c>
      <c r="AL573" s="14">
        <v>-3</v>
      </c>
      <c r="AM573" s="14">
        <v>-422</v>
      </c>
      <c r="AP573" s="14">
        <v>-149</v>
      </c>
      <c r="AQ573" s="14">
        <v>108</v>
      </c>
      <c r="AR573" s="14">
        <v>636</v>
      </c>
      <c r="AS573" s="14">
        <v>392</v>
      </c>
      <c r="AT573" s="14">
        <v>-1</v>
      </c>
      <c r="AU573" s="14">
        <v>795</v>
      </c>
      <c r="AV573" s="14">
        <v>9</v>
      </c>
      <c r="AW573" s="14">
        <v>65</v>
      </c>
      <c r="AX573" s="14">
        <v>59</v>
      </c>
      <c r="AY573" s="14">
        <v>-16</v>
      </c>
      <c r="AZ573" s="14">
        <v>103</v>
      </c>
      <c r="BA573" s="14">
        <v>314</v>
      </c>
      <c r="BB573" s="14">
        <v>39</v>
      </c>
      <c r="BD573" s="14">
        <v>76</v>
      </c>
    </row>
    <row r="574" spans="28:56" x14ac:dyDescent="0.25">
      <c r="AB574" s="14">
        <v>-5</v>
      </c>
      <c r="AG574" s="14">
        <v>81</v>
      </c>
      <c r="AL574" s="14">
        <v>94</v>
      </c>
      <c r="AM574" s="14">
        <v>-676</v>
      </c>
      <c r="AP574" s="14">
        <v>284</v>
      </c>
      <c r="AQ574" s="14">
        <v>-2</v>
      </c>
      <c r="AR574" s="14">
        <v>123</v>
      </c>
      <c r="AS574" s="14">
        <v>390</v>
      </c>
      <c r="AT574" s="14">
        <v>29</v>
      </c>
      <c r="AU574" s="14">
        <v>209</v>
      </c>
      <c r="AV574" s="14">
        <v>-18</v>
      </c>
      <c r="AW574" s="14">
        <v>16</v>
      </c>
      <c r="AX574" s="14">
        <v>88</v>
      </c>
      <c r="AY574" s="14">
        <v>280</v>
      </c>
      <c r="AZ574" s="14">
        <v>112</v>
      </c>
      <c r="BA574" s="14">
        <v>162</v>
      </c>
      <c r="BB574" s="14">
        <v>-3</v>
      </c>
      <c r="BD574" s="14">
        <v>85</v>
      </c>
    </row>
    <row r="575" spans="28:56" x14ac:dyDescent="0.25">
      <c r="AB575" s="14">
        <v>-5</v>
      </c>
      <c r="AG575" s="14">
        <v>461</v>
      </c>
      <c r="AL575" s="14">
        <v>-93</v>
      </c>
      <c r="AM575" s="14">
        <v>-404</v>
      </c>
      <c r="AP575" s="14">
        <v>-134</v>
      </c>
      <c r="AQ575" s="14">
        <v>-179</v>
      </c>
      <c r="AR575" s="14">
        <v>-232</v>
      </c>
      <c r="AS575" s="14">
        <v>559</v>
      </c>
      <c r="AT575" s="14">
        <v>19</v>
      </c>
      <c r="AU575" s="14">
        <v>678</v>
      </c>
      <c r="AV575" s="14">
        <v>25</v>
      </c>
      <c r="AW575" s="14">
        <v>-3</v>
      </c>
      <c r="AX575" s="14">
        <v>-166</v>
      </c>
      <c r="AY575" s="14">
        <v>-14</v>
      </c>
      <c r="AZ575" s="14">
        <v>111</v>
      </c>
      <c r="BA575" s="14">
        <v>134</v>
      </c>
      <c r="BB575" s="14">
        <v>-3</v>
      </c>
      <c r="BD575" s="14">
        <v>71</v>
      </c>
    </row>
    <row r="576" spans="28:56" x14ac:dyDescent="0.25">
      <c r="AB576" s="14">
        <v>-1</v>
      </c>
      <c r="AG576" s="14">
        <v>528</v>
      </c>
      <c r="AL576" s="14">
        <v>-220</v>
      </c>
      <c r="AM576" s="14">
        <v>771</v>
      </c>
      <c r="AP576" s="14">
        <v>45</v>
      </c>
      <c r="AQ576" s="14">
        <v>-5</v>
      </c>
      <c r="AR576" s="14">
        <v>-79</v>
      </c>
      <c r="AS576" s="14">
        <v>120</v>
      </c>
      <c r="AT576" s="14">
        <v>9</v>
      </c>
      <c r="AU576" s="14">
        <v>158</v>
      </c>
      <c r="AV576" s="14">
        <v>22</v>
      </c>
      <c r="AW576" s="14">
        <v>-64</v>
      </c>
      <c r="AX576" s="14">
        <v>23</v>
      </c>
      <c r="AY576" s="14">
        <v>172</v>
      </c>
      <c r="AZ576" s="14">
        <v>110</v>
      </c>
      <c r="BA576" s="14">
        <v>330</v>
      </c>
      <c r="BB576" s="14">
        <v>1006</v>
      </c>
      <c r="BD576" s="14">
        <v>93</v>
      </c>
    </row>
    <row r="577" spans="28:56" x14ac:dyDescent="0.25">
      <c r="AB577" s="14">
        <v>2</v>
      </c>
      <c r="AG577" s="14">
        <v>126</v>
      </c>
      <c r="AL577" s="14">
        <v>-30</v>
      </c>
      <c r="AM577" s="14">
        <v>-710</v>
      </c>
      <c r="AP577" s="14">
        <v>204</v>
      </c>
      <c r="AQ577" s="14">
        <v>34</v>
      </c>
      <c r="AR577" s="14">
        <v>-65</v>
      </c>
      <c r="AS577" s="14">
        <v>-479</v>
      </c>
      <c r="AT577" s="14">
        <v>-4</v>
      </c>
      <c r="AU577" s="14">
        <v>-238</v>
      </c>
      <c r="AV577" s="14">
        <v>-159</v>
      </c>
      <c r="AW577" s="14">
        <v>179</v>
      </c>
      <c r="AX577" s="14">
        <v>61</v>
      </c>
      <c r="AY577" s="14">
        <v>-280</v>
      </c>
      <c r="AZ577" s="14">
        <v>937</v>
      </c>
      <c r="BA577" s="14">
        <v>195</v>
      </c>
      <c r="BB577" s="14">
        <v>3</v>
      </c>
      <c r="BD577" s="14">
        <v>83</v>
      </c>
    </row>
    <row r="578" spans="28:56" x14ac:dyDescent="0.25">
      <c r="AB578" s="14">
        <v>6</v>
      </c>
      <c r="AG578" s="14">
        <v>87</v>
      </c>
      <c r="AL578" s="14">
        <v>-46</v>
      </c>
      <c r="AM578" s="14">
        <v>-433</v>
      </c>
      <c r="AP578" s="14">
        <v>9</v>
      </c>
      <c r="AQ578" s="14">
        <v>-74</v>
      </c>
      <c r="AR578" s="14">
        <v>763</v>
      </c>
      <c r="AS578" s="14">
        <v>-737</v>
      </c>
      <c r="AT578" s="14">
        <v>-3</v>
      </c>
      <c r="AU578" s="14">
        <v>-74</v>
      </c>
      <c r="AV578" s="14">
        <v>157</v>
      </c>
      <c r="AW578" s="14">
        <v>38</v>
      </c>
      <c r="AX578" s="14">
        <v>-99</v>
      </c>
      <c r="AY578" s="14">
        <v>-16</v>
      </c>
      <c r="AZ578" s="14">
        <v>108</v>
      </c>
      <c r="BA578" s="14">
        <v>227</v>
      </c>
      <c r="BB578" s="14">
        <v>77</v>
      </c>
      <c r="BD578" s="14">
        <v>84</v>
      </c>
    </row>
    <row r="579" spans="28:56" x14ac:dyDescent="0.25">
      <c r="AB579" s="14">
        <v>-13</v>
      </c>
      <c r="AG579" s="14">
        <v>-126</v>
      </c>
      <c r="AL579" s="14">
        <v>109</v>
      </c>
      <c r="AM579" s="14">
        <v>-686</v>
      </c>
      <c r="AP579" s="14">
        <v>131</v>
      </c>
      <c r="AQ579" s="14">
        <v>12</v>
      </c>
      <c r="AR579" s="14">
        <v>637</v>
      </c>
      <c r="AS579" s="14">
        <v>-653</v>
      </c>
      <c r="AT579" s="14">
        <v>-11</v>
      </c>
      <c r="AU579" s="14">
        <v>140</v>
      </c>
      <c r="AV579" s="14">
        <v>-173</v>
      </c>
      <c r="AW579" s="14">
        <v>21</v>
      </c>
      <c r="AX579" s="14">
        <v>33</v>
      </c>
      <c r="AY579" s="14">
        <v>280</v>
      </c>
      <c r="AZ579" s="14">
        <v>126</v>
      </c>
      <c r="BA579" s="14">
        <v>241</v>
      </c>
      <c r="BB579" s="14">
        <v>88</v>
      </c>
      <c r="BD579" s="14">
        <v>-22</v>
      </c>
    </row>
    <row r="580" spans="28:56" x14ac:dyDescent="0.25">
      <c r="AB580" s="14">
        <v>-10</v>
      </c>
      <c r="AG580" s="14">
        <v>95</v>
      </c>
      <c r="AL580" s="14">
        <v>38</v>
      </c>
      <c r="AM580" s="14">
        <v>-396</v>
      </c>
      <c r="AP580" s="14">
        <v>-2</v>
      </c>
      <c r="AQ580" s="14">
        <v>30</v>
      </c>
      <c r="AR580" s="14">
        <v>-123</v>
      </c>
      <c r="AS580" s="14">
        <v>-816</v>
      </c>
      <c r="AT580" s="14">
        <v>9</v>
      </c>
      <c r="AU580" s="14">
        <v>-244</v>
      </c>
      <c r="AV580" s="14">
        <v>216</v>
      </c>
      <c r="AW580" s="14">
        <v>-3</v>
      </c>
      <c r="AX580" s="14">
        <v>580</v>
      </c>
      <c r="AY580" s="14">
        <v>-14</v>
      </c>
      <c r="AZ580" s="14">
        <v>114</v>
      </c>
      <c r="BA580" s="14">
        <v>807</v>
      </c>
      <c r="BB580" s="14">
        <v>-149</v>
      </c>
      <c r="BD580" s="14">
        <v>-15</v>
      </c>
    </row>
    <row r="581" spans="28:56" x14ac:dyDescent="0.25">
      <c r="AB581" s="14">
        <v>37</v>
      </c>
      <c r="AG581" s="14">
        <v>206</v>
      </c>
      <c r="AL581" s="14">
        <v>1</v>
      </c>
      <c r="AM581" s="14">
        <v>772</v>
      </c>
      <c r="AP581" s="14">
        <v>-404</v>
      </c>
      <c r="AQ581" s="14">
        <v>41</v>
      </c>
      <c r="AR581" s="14">
        <v>115</v>
      </c>
      <c r="AS581" s="14">
        <v>114</v>
      </c>
      <c r="AT581" s="14">
        <v>-251</v>
      </c>
      <c r="AU581" s="14">
        <v>148</v>
      </c>
      <c r="AV581" s="14">
        <v>-73</v>
      </c>
      <c r="AW581" s="14">
        <v>-25</v>
      </c>
      <c r="AX581" s="14">
        <v>48</v>
      </c>
      <c r="AY581" s="14">
        <v>172</v>
      </c>
      <c r="AZ581" s="14">
        <v>111</v>
      </c>
      <c r="BA581" s="14">
        <v>731</v>
      </c>
      <c r="BB581" s="14">
        <v>93</v>
      </c>
      <c r="BD581" s="14">
        <v>12</v>
      </c>
    </row>
    <row r="582" spans="28:56" x14ac:dyDescent="0.25">
      <c r="AB582" s="14">
        <v>101</v>
      </c>
      <c r="AG582" s="14">
        <v>119</v>
      </c>
      <c r="AL582" s="14">
        <v>-19</v>
      </c>
      <c r="AM582" s="14">
        <v>-106</v>
      </c>
      <c r="AP582" s="14">
        <v>70</v>
      </c>
      <c r="AR582" s="14">
        <v>-187</v>
      </c>
      <c r="AS582" s="14">
        <v>121</v>
      </c>
      <c r="AT582" s="14">
        <v>2</v>
      </c>
      <c r="AU582" s="14">
        <v>-655</v>
      </c>
      <c r="AV582" s="14">
        <v>508</v>
      </c>
      <c r="AW582" s="14">
        <v>181</v>
      </c>
      <c r="AX582" s="14">
        <v>337</v>
      </c>
      <c r="AY582" s="14">
        <v>-27</v>
      </c>
      <c r="AZ582" s="14">
        <v>117</v>
      </c>
      <c r="BA582" s="14">
        <v>398</v>
      </c>
      <c r="BB582" s="14">
        <v>-1</v>
      </c>
      <c r="BD582" s="14">
        <v>23</v>
      </c>
    </row>
    <row r="583" spans="28:56" x14ac:dyDescent="0.25">
      <c r="AB583" s="14">
        <v>-843</v>
      </c>
      <c r="AG583" s="14">
        <v>289</v>
      </c>
      <c r="AL583" s="14">
        <v>29</v>
      </c>
      <c r="AM583" s="14">
        <v>-550</v>
      </c>
      <c r="AP583" s="14">
        <v>534</v>
      </c>
      <c r="AR583" s="14">
        <v>272</v>
      </c>
      <c r="AS583" s="14">
        <v>-760</v>
      </c>
      <c r="AT583" s="14">
        <v>46</v>
      </c>
      <c r="AU583" s="14">
        <v>-195</v>
      </c>
      <c r="AV583" s="14">
        <v>-55</v>
      </c>
      <c r="AW583" s="14">
        <v>38</v>
      </c>
      <c r="AX583" s="14">
        <v>262</v>
      </c>
      <c r="AY583" s="14">
        <v>-25</v>
      </c>
      <c r="AZ583" s="14">
        <v>155</v>
      </c>
      <c r="BA583" s="14">
        <v>914</v>
      </c>
      <c r="BB583" s="14">
        <v>1139</v>
      </c>
      <c r="BD583" s="14">
        <v>-5</v>
      </c>
    </row>
    <row r="584" spans="28:56" x14ac:dyDescent="0.25">
      <c r="AB584" s="14">
        <v>143</v>
      </c>
      <c r="AG584" s="14">
        <v>320</v>
      </c>
      <c r="AL584" s="14">
        <v>25</v>
      </c>
      <c r="AM584" s="14">
        <v>764</v>
      </c>
      <c r="AP584" s="14">
        <v>-550</v>
      </c>
      <c r="AR584" s="14">
        <v>211</v>
      </c>
      <c r="AS584" s="14">
        <v>-731</v>
      </c>
      <c r="AT584" s="14">
        <v>19</v>
      </c>
      <c r="AU584" s="14">
        <v>368</v>
      </c>
      <c r="AV584" s="14">
        <v>50</v>
      </c>
      <c r="AW584" s="14">
        <v>14</v>
      </c>
      <c r="AX584" s="14">
        <v>-771</v>
      </c>
      <c r="AY584" s="14">
        <v>615</v>
      </c>
      <c r="AZ584" s="14">
        <v>116</v>
      </c>
      <c r="BA584" s="14">
        <v>212</v>
      </c>
      <c r="BB584" s="14">
        <v>61</v>
      </c>
      <c r="BD584" s="14">
        <v>12</v>
      </c>
    </row>
    <row r="585" spans="28:56" x14ac:dyDescent="0.25">
      <c r="AB585" s="14">
        <v>-669</v>
      </c>
      <c r="AG585" s="14">
        <v>112</v>
      </c>
      <c r="AL585" s="14">
        <v>47</v>
      </c>
      <c r="AM585" s="14">
        <v>-805</v>
      </c>
      <c r="AP585" s="14">
        <v>330</v>
      </c>
      <c r="AR585" s="14">
        <v>168</v>
      </c>
      <c r="AS585" s="14">
        <v>595</v>
      </c>
      <c r="AT585" s="14">
        <v>8</v>
      </c>
      <c r="AU585" s="14">
        <v>-298</v>
      </c>
      <c r="AV585" s="14">
        <v>-198</v>
      </c>
      <c r="AW585" s="14">
        <v>-2</v>
      </c>
      <c r="AX585" s="14">
        <v>221</v>
      </c>
      <c r="AY585" s="14">
        <v>6</v>
      </c>
      <c r="AZ585" s="14">
        <v>119</v>
      </c>
      <c r="BA585" s="14">
        <v>315</v>
      </c>
      <c r="BB585" s="14">
        <v>3</v>
      </c>
      <c r="BD585" s="14">
        <v>4</v>
      </c>
    </row>
    <row r="586" spans="28:56" x14ac:dyDescent="0.25">
      <c r="AB586" s="14">
        <v>-381</v>
      </c>
      <c r="AG586" s="14">
        <v>32</v>
      </c>
      <c r="AL586" s="14">
        <v>10</v>
      </c>
      <c r="AM586" s="14">
        <v>257</v>
      </c>
      <c r="AP586" s="14">
        <v>-364</v>
      </c>
      <c r="AR586" s="14">
        <v>219</v>
      </c>
      <c r="AS586" s="14">
        <v>613</v>
      </c>
      <c r="AT586" s="14">
        <v>5</v>
      </c>
      <c r="AU586" s="14">
        <v>-379</v>
      </c>
      <c r="AV586" s="14">
        <v>-11</v>
      </c>
      <c r="AW586" s="14">
        <v>-34</v>
      </c>
      <c r="AX586" s="14">
        <v>266</v>
      </c>
      <c r="AY586" s="14">
        <v>169</v>
      </c>
      <c r="AZ586" s="14">
        <v>146</v>
      </c>
      <c r="BA586" s="14">
        <v>223</v>
      </c>
      <c r="BB586" s="14">
        <v>4</v>
      </c>
      <c r="BD586" s="14">
        <v>23</v>
      </c>
    </row>
    <row r="587" spans="28:56" x14ac:dyDescent="0.25">
      <c r="AB587" s="14">
        <v>-145</v>
      </c>
      <c r="AG587" s="14">
        <v>-45</v>
      </c>
      <c r="AL587" s="14">
        <v>113</v>
      </c>
      <c r="AM587" s="14">
        <v>-383</v>
      </c>
      <c r="AP587" s="14">
        <v>470</v>
      </c>
      <c r="AR587" s="14">
        <v>74</v>
      </c>
      <c r="AS587" s="14">
        <v>167</v>
      </c>
      <c r="AT587" s="14">
        <v>-16</v>
      </c>
      <c r="AU587" s="14">
        <v>-807</v>
      </c>
      <c r="AV587" s="14">
        <v>-189</v>
      </c>
      <c r="AW587" s="14">
        <v>186</v>
      </c>
      <c r="AX587" s="14">
        <v>168</v>
      </c>
      <c r="AY587" s="14">
        <v>-426</v>
      </c>
      <c r="AZ587" s="14">
        <v>118</v>
      </c>
      <c r="BA587" s="14">
        <v>796</v>
      </c>
      <c r="BB587" s="14">
        <v>-12</v>
      </c>
      <c r="BD587" s="14">
        <v>-16</v>
      </c>
    </row>
    <row r="588" spans="28:56" x14ac:dyDescent="0.25">
      <c r="AB588" s="14">
        <v>113</v>
      </c>
      <c r="AG588" s="14">
        <v>3</v>
      </c>
      <c r="AL588" s="14">
        <v>-148</v>
      </c>
      <c r="AM588" s="14">
        <v>-422</v>
      </c>
      <c r="AP588" s="14">
        <v>-96</v>
      </c>
      <c r="AR588" s="14">
        <v>-79</v>
      </c>
      <c r="AS588" s="14">
        <v>169</v>
      </c>
      <c r="AT588" s="14">
        <v>2</v>
      </c>
      <c r="AU588" s="14">
        <v>923</v>
      </c>
      <c r="AV588" s="14">
        <v>6</v>
      </c>
      <c r="AW588" s="14">
        <v>45</v>
      </c>
      <c r="AX588" s="14">
        <v>249</v>
      </c>
      <c r="AY588" s="14">
        <v>-10</v>
      </c>
      <c r="AZ588" s="14">
        <v>112</v>
      </c>
      <c r="BA588" s="14">
        <v>-522</v>
      </c>
      <c r="BB588" s="14">
        <v>-166</v>
      </c>
      <c r="BD588" s="14">
        <v>21</v>
      </c>
    </row>
    <row r="589" spans="28:56" x14ac:dyDescent="0.25">
      <c r="AB589" s="14">
        <v>310</v>
      </c>
      <c r="AL589" s="14">
        <v>-134</v>
      </c>
      <c r="AM589" s="14">
        <v>667</v>
      </c>
      <c r="AP589" s="14">
        <v>66</v>
      </c>
      <c r="AR589" s="14">
        <v>255</v>
      </c>
      <c r="AS589" s="14">
        <v>-110</v>
      </c>
      <c r="AT589" s="14">
        <v>-15</v>
      </c>
      <c r="AU589" s="14">
        <v>-301</v>
      </c>
      <c r="AV589" s="14">
        <v>-66</v>
      </c>
      <c r="AW589" s="14">
        <v>84</v>
      </c>
      <c r="AX589" s="14">
        <v>362</v>
      </c>
      <c r="AY589" s="14">
        <v>919</v>
      </c>
      <c r="AZ589" s="14">
        <v>107</v>
      </c>
      <c r="BA589" s="14">
        <v>143</v>
      </c>
      <c r="BB589" s="14">
        <v>2</v>
      </c>
      <c r="BD589" s="14">
        <v>-12</v>
      </c>
    </row>
    <row r="590" spans="28:56" x14ac:dyDescent="0.25">
      <c r="AB590" s="14">
        <v>206</v>
      </c>
      <c r="AL590" s="14">
        <v>-34</v>
      </c>
      <c r="AM590" s="14">
        <v>-129</v>
      </c>
      <c r="AP590" s="14">
        <v>340</v>
      </c>
      <c r="AR590" s="14">
        <v>-104</v>
      </c>
      <c r="AS590" s="14">
        <v>-108</v>
      </c>
      <c r="AT590" s="14">
        <v>15</v>
      </c>
      <c r="AU590" s="14">
        <v>145</v>
      </c>
      <c r="AV590" s="14">
        <v>-160</v>
      </c>
      <c r="AW590" s="14">
        <v>-54</v>
      </c>
      <c r="AX590" s="14">
        <v>267</v>
      </c>
      <c r="AY590" s="14">
        <v>-26</v>
      </c>
      <c r="AZ590" s="14">
        <v>109</v>
      </c>
      <c r="BA590" s="14">
        <v>-43</v>
      </c>
      <c r="BB590" s="14">
        <v>10</v>
      </c>
      <c r="BD590" s="14">
        <v>21</v>
      </c>
    </row>
    <row r="591" spans="28:56" x14ac:dyDescent="0.25">
      <c r="AB591" s="14">
        <v>-14</v>
      </c>
      <c r="AL591" s="14">
        <v>-67</v>
      </c>
      <c r="AM591" s="14">
        <v>-115</v>
      </c>
      <c r="AP591" s="14">
        <v>9</v>
      </c>
      <c r="AR591" s="14">
        <v>121</v>
      </c>
      <c r="AS591" s="14">
        <v>184</v>
      </c>
      <c r="AT591" s="14">
        <v>11</v>
      </c>
      <c r="AU591" s="14">
        <v>-432</v>
      </c>
      <c r="AV591" s="14">
        <v>-211</v>
      </c>
      <c r="AW591" s="14">
        <v>24</v>
      </c>
      <c r="AX591" s="14">
        <v>177</v>
      </c>
      <c r="AY591" s="14">
        <v>154</v>
      </c>
      <c r="AZ591" s="14">
        <v>105</v>
      </c>
      <c r="BA591" s="14">
        <v>-40</v>
      </c>
      <c r="BB591" s="14">
        <v>-66</v>
      </c>
      <c r="BD591" s="14">
        <v>-18</v>
      </c>
    </row>
    <row r="592" spans="28:56" x14ac:dyDescent="0.25">
      <c r="AB592" s="14">
        <v>-20</v>
      </c>
      <c r="AL592" s="14">
        <v>32</v>
      </c>
      <c r="AM592" s="14">
        <v>-984</v>
      </c>
      <c r="AP592" s="14">
        <v>20</v>
      </c>
      <c r="AR592" s="14">
        <v>57</v>
      </c>
      <c r="AS592" s="14">
        <v>184</v>
      </c>
      <c r="AT592" s="14">
        <v>2</v>
      </c>
      <c r="AU592" s="14">
        <v>-21</v>
      </c>
      <c r="AV592" s="14">
        <v>-234</v>
      </c>
      <c r="AW592" s="14">
        <v>-4</v>
      </c>
      <c r="AX592" s="14">
        <v>524</v>
      </c>
      <c r="AY592" s="14">
        <v>-167</v>
      </c>
      <c r="AZ592" s="14">
        <v>111</v>
      </c>
      <c r="BA592" s="14">
        <v>-45</v>
      </c>
      <c r="BB592" s="14">
        <v>-62</v>
      </c>
      <c r="BD592" s="14">
        <v>12</v>
      </c>
    </row>
    <row r="593" spans="28:56" x14ac:dyDescent="0.25">
      <c r="AB593" s="14">
        <v>-2</v>
      </c>
      <c r="AL593" s="14">
        <v>-26</v>
      </c>
      <c r="AM593" s="14">
        <v>-107</v>
      </c>
      <c r="AP593" s="14">
        <v>46</v>
      </c>
      <c r="AR593" s="14">
        <v>-760</v>
      </c>
      <c r="AS593" s="14">
        <v>480</v>
      </c>
      <c r="AT593" s="14">
        <v>-2</v>
      </c>
      <c r="AU593" s="14">
        <v>-119</v>
      </c>
      <c r="AV593" s="14">
        <v>24</v>
      </c>
      <c r="AW593" s="14">
        <v>-72</v>
      </c>
      <c r="AX593" s="14">
        <v>213</v>
      </c>
      <c r="AY593" s="14">
        <v>-20</v>
      </c>
      <c r="AZ593" s="14">
        <v>104</v>
      </c>
      <c r="BA593" s="14">
        <v>-41</v>
      </c>
      <c r="BB593" s="14">
        <v>-30</v>
      </c>
      <c r="BD593" s="14">
        <v>-19</v>
      </c>
    </row>
    <row r="594" spans="28:56" x14ac:dyDescent="0.25">
      <c r="AB594" s="14">
        <v>-62</v>
      </c>
      <c r="AL594" s="14">
        <v>-30</v>
      </c>
      <c r="AM594" s="14">
        <v>661</v>
      </c>
      <c r="AP594" s="14">
        <v>-346</v>
      </c>
      <c r="AR594" s="14">
        <v>-240</v>
      </c>
      <c r="AS594" s="14">
        <v>465</v>
      </c>
      <c r="AT594" s="14">
        <v>8</v>
      </c>
      <c r="AU594" s="14">
        <v>-447</v>
      </c>
      <c r="AV594" s="14">
        <v>15</v>
      </c>
      <c r="AW594" s="14">
        <v>147</v>
      </c>
      <c r="AX594" s="14">
        <v>225</v>
      </c>
      <c r="AY594" s="14">
        <v>377</v>
      </c>
      <c r="AZ594" s="14">
        <v>108</v>
      </c>
      <c r="BA594" s="14">
        <v>-36</v>
      </c>
      <c r="BB594" s="14">
        <v>-173</v>
      </c>
      <c r="BD594" s="14">
        <v>16</v>
      </c>
    </row>
    <row r="595" spans="28:56" x14ac:dyDescent="0.25">
      <c r="AB595" s="14">
        <v>8</v>
      </c>
      <c r="AL595" s="14">
        <v>-43</v>
      </c>
      <c r="AM595" s="14">
        <v>-253</v>
      </c>
      <c r="AP595" s="14">
        <v>55</v>
      </c>
      <c r="AR595" s="14">
        <v>-120</v>
      </c>
      <c r="AS595" s="14">
        <v>-280</v>
      </c>
      <c r="AT595" s="14">
        <v>3</v>
      </c>
      <c r="AU595" s="14">
        <v>-134</v>
      </c>
      <c r="AV595" s="14">
        <v>-23</v>
      </c>
      <c r="AW595" s="14">
        <v>41</v>
      </c>
      <c r="AX595" s="14">
        <v>301</v>
      </c>
      <c r="AY595" s="14">
        <v>-11</v>
      </c>
      <c r="AZ595" s="14">
        <v>110</v>
      </c>
      <c r="BA595" s="14">
        <v>-33</v>
      </c>
      <c r="BB595" s="14">
        <v>1165</v>
      </c>
      <c r="BD595" s="14">
        <v>-5</v>
      </c>
    </row>
    <row r="596" spans="28:56" x14ac:dyDescent="0.25">
      <c r="AB596" s="14">
        <v>64</v>
      </c>
      <c r="AL596" s="14">
        <v>19</v>
      </c>
      <c r="AM596" s="14">
        <v>106</v>
      </c>
      <c r="AP596" s="14">
        <v>691</v>
      </c>
      <c r="AR596" s="14">
        <v>248</v>
      </c>
      <c r="AS596" s="14">
        <v>113</v>
      </c>
      <c r="AT596" s="14">
        <v>2</v>
      </c>
      <c r="AU596" s="14">
        <v>-81</v>
      </c>
      <c r="AV596" s="14">
        <v>17</v>
      </c>
      <c r="AW596" s="14">
        <v>78</v>
      </c>
      <c r="AX596" s="14">
        <v>258</v>
      </c>
      <c r="AY596" s="14">
        <v>124</v>
      </c>
      <c r="AZ596" s="14">
        <v>110</v>
      </c>
      <c r="BA596" s="14">
        <v>-49</v>
      </c>
      <c r="BB596" s="14">
        <v>11</v>
      </c>
      <c r="BD596" s="14">
        <v>24</v>
      </c>
    </row>
    <row r="597" spans="28:56" x14ac:dyDescent="0.25">
      <c r="AB597" s="14">
        <v>85</v>
      </c>
      <c r="AL597" s="14">
        <v>55</v>
      </c>
      <c r="AM597" s="14">
        <v>-795</v>
      </c>
      <c r="AP597" s="14">
        <v>-365</v>
      </c>
      <c r="AR597" s="14">
        <v>557</v>
      </c>
      <c r="AS597" s="14">
        <v>-218</v>
      </c>
      <c r="AT597" s="14">
        <v>-15</v>
      </c>
      <c r="AU597" s="14">
        <v>-69</v>
      </c>
      <c r="AV597" s="14">
        <v>26</v>
      </c>
      <c r="AW597" s="14">
        <v>-57</v>
      </c>
      <c r="AX597" s="14">
        <v>323</v>
      </c>
      <c r="AY597" s="14">
        <v>-339</v>
      </c>
      <c r="AZ597" s="14">
        <v>113</v>
      </c>
      <c r="BA597" s="14">
        <v>-55</v>
      </c>
      <c r="BB597" s="14">
        <v>28</v>
      </c>
      <c r="BD597" s="14">
        <v>23</v>
      </c>
    </row>
    <row r="598" spans="28:56" x14ac:dyDescent="0.25">
      <c r="AB598" s="14">
        <v>74</v>
      </c>
      <c r="AL598" s="14">
        <v>2</v>
      </c>
      <c r="AM598" s="14">
        <v>-118</v>
      </c>
      <c r="AP598" s="14">
        <v>572</v>
      </c>
      <c r="AR598" s="14">
        <v>-240</v>
      </c>
      <c r="AS598" s="14">
        <v>-506</v>
      </c>
      <c r="AT598" s="14">
        <v>5</v>
      </c>
      <c r="AU598" s="14">
        <v>193</v>
      </c>
      <c r="AV598" s="14">
        <v>-133</v>
      </c>
      <c r="AW598" s="14">
        <v>15</v>
      </c>
      <c r="AX598" s="14">
        <v>549</v>
      </c>
      <c r="AY598" s="14">
        <v>-14</v>
      </c>
      <c r="AZ598" s="14">
        <v>112</v>
      </c>
      <c r="BA598" s="14">
        <v>-53</v>
      </c>
      <c r="BB598" s="14">
        <v>139</v>
      </c>
      <c r="BD598" s="14">
        <v>17</v>
      </c>
    </row>
    <row r="599" spans="28:56" x14ac:dyDescent="0.25">
      <c r="AB599" s="14">
        <v>-96</v>
      </c>
      <c r="AL599" s="14">
        <v>-12</v>
      </c>
      <c r="AM599" s="14">
        <v>711</v>
      </c>
      <c r="AP599" s="14">
        <v>-202</v>
      </c>
      <c r="AR599" s="14">
        <v>231</v>
      </c>
      <c r="AS599" s="14">
        <v>127</v>
      </c>
      <c r="AT599" s="14">
        <v>5</v>
      </c>
      <c r="AU599" s="14">
        <v>-57</v>
      </c>
      <c r="AV599" s="14">
        <v>128</v>
      </c>
      <c r="AW599" s="14">
        <v>-3</v>
      </c>
      <c r="AX599" s="14">
        <v>173</v>
      </c>
      <c r="AY599" s="14">
        <v>240</v>
      </c>
      <c r="AZ599" s="14">
        <v>103</v>
      </c>
      <c r="BA599" s="14">
        <v>-50</v>
      </c>
      <c r="BB599" s="14">
        <v>130</v>
      </c>
      <c r="BD599" s="14">
        <v>1</v>
      </c>
    </row>
    <row r="600" spans="28:56" x14ac:dyDescent="0.25">
      <c r="AB600" s="14">
        <v>110</v>
      </c>
      <c r="AL600" s="14">
        <v>96</v>
      </c>
      <c r="AM600" s="14">
        <v>323</v>
      </c>
      <c r="AP600" s="14">
        <v>286</v>
      </c>
      <c r="AR600" s="14">
        <v>-279</v>
      </c>
      <c r="AS600" s="14">
        <v>-535</v>
      </c>
      <c r="AT600" s="14">
        <v>5</v>
      </c>
      <c r="AU600" s="14">
        <v>97</v>
      </c>
      <c r="AV600" s="14">
        <v>-69</v>
      </c>
      <c r="AW600" s="14">
        <v>-52</v>
      </c>
      <c r="AX600" s="14">
        <v>313</v>
      </c>
      <c r="AY600" s="14">
        <v>-16</v>
      </c>
      <c r="AZ600" s="14">
        <v>112</v>
      </c>
      <c r="BA600" s="14">
        <v>-52</v>
      </c>
      <c r="BB600" s="14">
        <v>-31</v>
      </c>
      <c r="BD600" s="14">
        <v>21</v>
      </c>
    </row>
    <row r="601" spans="28:56" x14ac:dyDescent="0.25">
      <c r="AB601" s="14">
        <v>-102</v>
      </c>
      <c r="AL601" s="14">
        <v>-105</v>
      </c>
      <c r="AM601" s="14">
        <v>942</v>
      </c>
      <c r="AP601" s="14">
        <v>-141</v>
      </c>
      <c r="AR601" s="14">
        <v>171</v>
      </c>
      <c r="AS601" s="14">
        <v>112</v>
      </c>
      <c r="AT601" s="14">
        <v>154</v>
      </c>
      <c r="AU601" s="14">
        <v>32</v>
      </c>
      <c r="AV601" s="14">
        <v>173</v>
      </c>
      <c r="AW601" s="14">
        <v>161</v>
      </c>
      <c r="AX601" s="14">
        <v>155</v>
      </c>
      <c r="AY601" s="14">
        <v>223</v>
      </c>
      <c r="AZ601" s="14">
        <v>111</v>
      </c>
      <c r="BA601" s="14">
        <v>-52</v>
      </c>
      <c r="BB601" s="14">
        <v>-18</v>
      </c>
      <c r="BD601" s="14">
        <v>-48</v>
      </c>
    </row>
    <row r="602" spans="28:56" x14ac:dyDescent="0.25">
      <c r="AB602" s="14">
        <v>-161</v>
      </c>
      <c r="AL602" s="14">
        <v>-77</v>
      </c>
      <c r="AM602" s="14">
        <v>925</v>
      </c>
      <c r="AP602" s="14">
        <v>45</v>
      </c>
      <c r="AR602" s="14">
        <v>360</v>
      </c>
      <c r="AS602" s="14">
        <v>803</v>
      </c>
      <c r="AT602" s="14">
        <v>8</v>
      </c>
      <c r="AU602" s="14">
        <v>-16</v>
      </c>
      <c r="AV602" s="14">
        <v>-311</v>
      </c>
      <c r="AW602" s="14">
        <v>37</v>
      </c>
      <c r="AX602" s="14">
        <v>855</v>
      </c>
      <c r="AY602" s="14">
        <v>-549</v>
      </c>
      <c r="AZ602" s="14">
        <v>110</v>
      </c>
      <c r="BA602" s="14">
        <v>56</v>
      </c>
      <c r="BB602" s="14">
        <v>-27</v>
      </c>
      <c r="BD602" s="14">
        <v>-73</v>
      </c>
    </row>
    <row r="603" spans="28:56" x14ac:dyDescent="0.25">
      <c r="AB603" s="14">
        <v>-558</v>
      </c>
      <c r="AL603" s="14">
        <v>-42</v>
      </c>
      <c r="AM603" s="14">
        <v>-224</v>
      </c>
      <c r="AP603" s="14">
        <v>200</v>
      </c>
      <c r="AR603" s="14">
        <v>113</v>
      </c>
      <c r="AS603" s="14">
        <v>391</v>
      </c>
      <c r="AT603" s="14">
        <v>-32</v>
      </c>
      <c r="AU603" s="14">
        <v>48</v>
      </c>
      <c r="AV603" s="14">
        <v>-904</v>
      </c>
      <c r="AW603" s="14">
        <v>73</v>
      </c>
      <c r="AX603" s="14">
        <v>969</v>
      </c>
      <c r="AY603" s="14">
        <v>-522</v>
      </c>
      <c r="AZ603" s="14">
        <v>937</v>
      </c>
      <c r="BA603" s="14">
        <v>60</v>
      </c>
      <c r="BB603" s="14">
        <v>-300</v>
      </c>
      <c r="BD603" s="14">
        <v>-92</v>
      </c>
    </row>
    <row r="604" spans="28:56" x14ac:dyDescent="0.25">
      <c r="AB604" s="14">
        <v>-128</v>
      </c>
      <c r="AL604" s="14">
        <v>-93</v>
      </c>
      <c r="AM604" s="14">
        <v>171</v>
      </c>
      <c r="AP604" s="14">
        <v>9</v>
      </c>
      <c r="AR604" s="14">
        <v>196</v>
      </c>
      <c r="AS604" s="14">
        <v>148</v>
      </c>
      <c r="AT604" s="14">
        <v>1</v>
      </c>
      <c r="AU604" s="14">
        <v>131</v>
      </c>
      <c r="AV604" s="14">
        <v>-135</v>
      </c>
      <c r="AW604" s="14">
        <v>-48</v>
      </c>
      <c r="AX604" s="14">
        <v>-263</v>
      </c>
      <c r="AY604" s="14">
        <v>-244</v>
      </c>
      <c r="AZ604" s="14">
        <v>108</v>
      </c>
      <c r="BA604" s="14">
        <v>62</v>
      </c>
      <c r="BB604" s="14">
        <v>22</v>
      </c>
      <c r="BD604" s="14">
        <v>-138</v>
      </c>
    </row>
    <row r="605" spans="28:56" x14ac:dyDescent="0.25">
      <c r="AB605" s="14">
        <v>249</v>
      </c>
      <c r="AL605" s="14">
        <v>13</v>
      </c>
      <c r="AM605" s="14">
        <v>-836</v>
      </c>
      <c r="AP605" s="14">
        <v>129</v>
      </c>
      <c r="AR605" s="14">
        <v>380</v>
      </c>
      <c r="AS605" s="14">
        <v>164</v>
      </c>
      <c r="AT605" s="14">
        <v>-5</v>
      </c>
      <c r="AU605" s="14">
        <v>-781</v>
      </c>
      <c r="AV605" s="14">
        <v>-524</v>
      </c>
      <c r="AW605" s="14">
        <v>22</v>
      </c>
      <c r="AX605" s="14">
        <v>-557</v>
      </c>
      <c r="AY605" s="14">
        <v>-391</v>
      </c>
      <c r="AZ605" s="14">
        <v>126</v>
      </c>
      <c r="BA605" s="14">
        <v>56</v>
      </c>
      <c r="BB605" s="14">
        <v>-118</v>
      </c>
      <c r="BD605" s="14">
        <v>-32</v>
      </c>
    </row>
    <row r="606" spans="28:56" x14ac:dyDescent="0.25">
      <c r="AB606" s="14">
        <v>352</v>
      </c>
      <c r="AL606" s="14">
        <v>8</v>
      </c>
      <c r="AM606" s="14">
        <v>-551</v>
      </c>
      <c r="AP606" s="14">
        <v>-3</v>
      </c>
      <c r="AR606" s="14">
        <v>133</v>
      </c>
      <c r="AS606" s="14">
        <v>-160</v>
      </c>
      <c r="AT606" s="14">
        <v>-51</v>
      </c>
      <c r="AU606" s="14">
        <v>-96</v>
      </c>
      <c r="AV606" s="14">
        <v>224</v>
      </c>
      <c r="AW606" s="14">
        <v>-4</v>
      </c>
      <c r="AX606" s="14">
        <v>-891</v>
      </c>
      <c r="AY606" s="14">
        <v>-311</v>
      </c>
      <c r="AZ606" s="14">
        <v>114</v>
      </c>
      <c r="BA606" s="14">
        <v>57</v>
      </c>
      <c r="BB606" s="14">
        <v>54</v>
      </c>
      <c r="BD606" s="14">
        <v>-32</v>
      </c>
    </row>
    <row r="607" spans="28:56" x14ac:dyDescent="0.25">
      <c r="AB607" s="14">
        <v>673</v>
      </c>
      <c r="AL607" s="14">
        <v>-56</v>
      </c>
      <c r="AM607" s="14">
        <v>665</v>
      </c>
      <c r="AP607" s="14">
        <v>-405</v>
      </c>
      <c r="AR607" s="14">
        <v>421</v>
      </c>
      <c r="AS607" s="14">
        <v>300</v>
      </c>
      <c r="AT607" s="14">
        <v>72</v>
      </c>
      <c r="AU607" s="14">
        <v>-17</v>
      </c>
      <c r="AV607" s="14">
        <v>-137</v>
      </c>
      <c r="AW607" s="14">
        <v>-31</v>
      </c>
      <c r="AX607" s="14">
        <v>-704</v>
      </c>
      <c r="AY607" s="14">
        <v>485</v>
      </c>
      <c r="AZ607" s="14">
        <v>111</v>
      </c>
      <c r="BA607" s="14">
        <v>57</v>
      </c>
      <c r="BB607" s="14">
        <v>494</v>
      </c>
      <c r="BD607" s="14">
        <v>-78</v>
      </c>
    </row>
    <row r="608" spans="28:56" x14ac:dyDescent="0.25">
      <c r="AB608" s="14">
        <v>315</v>
      </c>
      <c r="AL608" s="14">
        <v>-34</v>
      </c>
      <c r="AM608" s="14">
        <v>-972</v>
      </c>
      <c r="AP608" s="14">
        <v>70</v>
      </c>
      <c r="AR608" s="14">
        <v>-186</v>
      </c>
      <c r="AS608" s="14">
        <v>720</v>
      </c>
      <c r="AT608" s="14">
        <v>3</v>
      </c>
      <c r="AU608" s="14">
        <v>193</v>
      </c>
      <c r="AV608" s="14">
        <v>-219</v>
      </c>
      <c r="AW608" s="14">
        <v>146</v>
      </c>
      <c r="AX608" s="14">
        <v>627</v>
      </c>
      <c r="AY608" s="14">
        <v>-385</v>
      </c>
      <c r="AZ608" s="14">
        <v>117</v>
      </c>
      <c r="BA608" s="14">
        <v>-14</v>
      </c>
      <c r="BB608" s="14">
        <v>-7</v>
      </c>
      <c r="BD608" s="14">
        <v>3</v>
      </c>
    </row>
    <row r="609" spans="28:56" x14ac:dyDescent="0.25">
      <c r="AB609" s="14">
        <v>578</v>
      </c>
      <c r="AL609" s="14">
        <v>43</v>
      </c>
      <c r="AM609" s="14">
        <v>16</v>
      </c>
      <c r="AP609" s="14">
        <v>551</v>
      </c>
      <c r="AR609" s="14">
        <v>617</v>
      </c>
      <c r="AS609" s="14">
        <v>140</v>
      </c>
      <c r="AT609" s="14">
        <v>83</v>
      </c>
      <c r="AU609" s="14">
        <v>2</v>
      </c>
      <c r="AV609" s="14">
        <v>-775</v>
      </c>
      <c r="AW609" s="14">
        <v>35</v>
      </c>
      <c r="AX609" s="14">
        <v>-778</v>
      </c>
      <c r="AY609" s="14">
        <v>-326</v>
      </c>
      <c r="AZ609" s="14">
        <v>155</v>
      </c>
      <c r="BA609" s="14">
        <v>-10</v>
      </c>
      <c r="BB609" s="14">
        <v>21</v>
      </c>
      <c r="BD609" s="14">
        <v>-60</v>
      </c>
    </row>
    <row r="610" spans="28:56" x14ac:dyDescent="0.25">
      <c r="AB610" s="14">
        <v>-758</v>
      </c>
      <c r="AL610" s="14">
        <v>-125</v>
      </c>
      <c r="AM610" s="14">
        <v>-537</v>
      </c>
      <c r="AP610" s="14">
        <v>-7</v>
      </c>
      <c r="AR610" s="14">
        <v>150</v>
      </c>
      <c r="AS610" s="14">
        <v>486</v>
      </c>
      <c r="AT610" s="14">
        <v>1</v>
      </c>
      <c r="AU610" s="14">
        <v>-61</v>
      </c>
      <c r="AV610" s="14">
        <v>-136</v>
      </c>
      <c r="AW610" s="14">
        <v>75</v>
      </c>
      <c r="AX610" s="14">
        <v>-291</v>
      </c>
      <c r="AY610" s="14">
        <v>494</v>
      </c>
      <c r="AZ610" s="14">
        <v>116</v>
      </c>
      <c r="BA610" s="14">
        <v>-12</v>
      </c>
      <c r="BB610" s="14">
        <v>-447</v>
      </c>
      <c r="BD610" s="14">
        <v>-49</v>
      </c>
    </row>
    <row r="611" spans="28:56" x14ac:dyDescent="0.25">
      <c r="AB611" s="14">
        <v>105</v>
      </c>
      <c r="AL611" s="14">
        <v>18</v>
      </c>
      <c r="AM611" s="14">
        <v>-425</v>
      </c>
      <c r="AP611" s="14">
        <v>-593</v>
      </c>
      <c r="AR611" s="14">
        <v>-217</v>
      </c>
      <c r="AS611" s="14">
        <v>449</v>
      </c>
      <c r="AT611" s="14">
        <v>-21</v>
      </c>
      <c r="AU611" s="14">
        <v>23</v>
      </c>
      <c r="AV611" s="14">
        <v>-388</v>
      </c>
      <c r="AW611" s="14">
        <v>-51</v>
      </c>
      <c r="AX611" s="14">
        <v>-86</v>
      </c>
      <c r="AY611" s="14">
        <v>-54</v>
      </c>
      <c r="AZ611" s="14">
        <v>119</v>
      </c>
      <c r="BA611" s="14">
        <v>-12</v>
      </c>
      <c r="BB611" s="14">
        <v>1173</v>
      </c>
      <c r="BD611" s="14">
        <v>-39</v>
      </c>
    </row>
    <row r="612" spans="28:56" x14ac:dyDescent="0.25">
      <c r="AB612" s="14">
        <v>-210</v>
      </c>
      <c r="AL612" s="14">
        <v>-26</v>
      </c>
      <c r="AM612" s="14">
        <v>125</v>
      </c>
      <c r="AP612" s="14">
        <v>-347</v>
      </c>
      <c r="AR612" s="14">
        <v>-85</v>
      </c>
      <c r="AS612" s="14">
        <v>282</v>
      </c>
      <c r="AT612" s="14">
        <v>-33</v>
      </c>
      <c r="AU612" s="14">
        <v>846</v>
      </c>
      <c r="AV612" s="14">
        <v>-556</v>
      </c>
      <c r="AW612" s="14">
        <v>15</v>
      </c>
      <c r="AX612" s="14">
        <v>-523</v>
      </c>
      <c r="AY612" s="14">
        <v>-227</v>
      </c>
      <c r="AZ612" s="14">
        <v>146</v>
      </c>
      <c r="BA612" s="14">
        <v>-6</v>
      </c>
      <c r="BB612" s="14">
        <v>92</v>
      </c>
      <c r="BD612" s="14">
        <v>-54</v>
      </c>
    </row>
    <row r="613" spans="28:56" x14ac:dyDescent="0.25">
      <c r="AB613" s="14">
        <v>-11</v>
      </c>
      <c r="AL613" s="14">
        <v>54</v>
      </c>
      <c r="AM613" s="14">
        <v>-313</v>
      </c>
      <c r="AP613" s="14">
        <v>-135</v>
      </c>
      <c r="AR613" s="14">
        <v>-43</v>
      </c>
      <c r="AS613" s="14">
        <v>-293</v>
      </c>
      <c r="AT613" s="14">
        <v>57</v>
      </c>
      <c r="AU613" s="14">
        <v>-15</v>
      </c>
      <c r="AV613" s="14">
        <v>129</v>
      </c>
      <c r="AW613" s="14">
        <v>-3</v>
      </c>
      <c r="AX613" s="14">
        <v>-155</v>
      </c>
      <c r="AY613" s="14">
        <v>200</v>
      </c>
      <c r="AZ613" s="14">
        <v>118</v>
      </c>
      <c r="BA613" s="14">
        <v>-6</v>
      </c>
      <c r="BB613" s="14">
        <v>58</v>
      </c>
      <c r="BD613" s="14">
        <v>-3</v>
      </c>
    </row>
    <row r="614" spans="28:56" x14ac:dyDescent="0.25">
      <c r="AB614" s="14">
        <v>158</v>
      </c>
      <c r="AL614" s="14">
        <v>-40</v>
      </c>
      <c r="AM614" s="14">
        <v>-4</v>
      </c>
      <c r="AP614" s="14">
        <v>-524</v>
      </c>
      <c r="AR614" s="14">
        <v>747</v>
      </c>
      <c r="AS614" s="14">
        <v>508</v>
      </c>
      <c r="AT614" s="14">
        <v>-7</v>
      </c>
      <c r="AU614" s="14">
        <v>651</v>
      </c>
      <c r="AV614" s="14">
        <v>-315</v>
      </c>
      <c r="AW614" s="14">
        <v>-42</v>
      </c>
      <c r="AX614" s="14">
        <v>-894</v>
      </c>
      <c r="AY614" s="14">
        <v>-19</v>
      </c>
      <c r="AZ614" s="14">
        <v>121</v>
      </c>
      <c r="BA614" s="14">
        <v>-76</v>
      </c>
      <c r="BB614" s="14">
        <v>30</v>
      </c>
      <c r="BD614" s="14">
        <v>7</v>
      </c>
    </row>
    <row r="615" spans="28:56" x14ac:dyDescent="0.25">
      <c r="AB615" s="14">
        <v>94</v>
      </c>
      <c r="AL615" s="14">
        <v>-57</v>
      </c>
      <c r="AM615" s="14">
        <v>-282</v>
      </c>
      <c r="AP615" s="14">
        <v>-202</v>
      </c>
      <c r="AR615" s="14">
        <v>654</v>
      </c>
      <c r="AS615" s="14">
        <v>-466</v>
      </c>
      <c r="AT615" s="14">
        <v>139</v>
      </c>
      <c r="AU615" s="14">
        <v>-79</v>
      </c>
      <c r="AV615" s="14">
        <v>-853</v>
      </c>
      <c r="AW615" s="14">
        <v>152</v>
      </c>
      <c r="AX615" s="14">
        <v>426</v>
      </c>
      <c r="AY615" s="14">
        <v>122</v>
      </c>
      <c r="AZ615" s="14">
        <v>116</v>
      </c>
      <c r="BA615" s="14">
        <v>-81</v>
      </c>
      <c r="BB615" s="14">
        <v>106</v>
      </c>
      <c r="BD615" s="14">
        <v>69</v>
      </c>
    </row>
    <row r="616" spans="28:56" x14ac:dyDescent="0.25">
      <c r="AB616" s="14">
        <v>72</v>
      </c>
      <c r="AL616" s="14">
        <v>-39</v>
      </c>
      <c r="AM616" s="14">
        <v>-540</v>
      </c>
      <c r="AP616" s="14">
        <v>-243</v>
      </c>
      <c r="AR616" s="14">
        <v>-95</v>
      </c>
      <c r="AS616" s="14">
        <v>439</v>
      </c>
      <c r="AT616" s="14">
        <v>1</v>
      </c>
      <c r="AU616" s="14">
        <v>82</v>
      </c>
      <c r="AV616" s="14">
        <v>931</v>
      </c>
      <c r="AW616" s="14">
        <v>32</v>
      </c>
      <c r="AX616" s="14">
        <v>-44</v>
      </c>
      <c r="AY616" s="14">
        <v>-198</v>
      </c>
      <c r="AZ616" s="14">
        <v>118</v>
      </c>
      <c r="BA616" s="14">
        <v>-86</v>
      </c>
      <c r="BB616" s="14">
        <v>60</v>
      </c>
      <c r="BD616" s="14">
        <v>-77</v>
      </c>
    </row>
    <row r="617" spans="28:56" x14ac:dyDescent="0.25">
      <c r="AB617" s="14">
        <v>-1</v>
      </c>
      <c r="AL617" s="14">
        <v>-112</v>
      </c>
      <c r="AM617" s="14">
        <v>320</v>
      </c>
      <c r="AP617" s="14">
        <v>-168</v>
      </c>
      <c r="AR617" s="14">
        <v>118</v>
      </c>
      <c r="AS617" s="14">
        <v>374</v>
      </c>
      <c r="AT617" s="14">
        <v>-11</v>
      </c>
      <c r="AU617" s="14">
        <v>923</v>
      </c>
      <c r="AV617" s="14">
        <v>-338</v>
      </c>
      <c r="AW617" s="14">
        <v>62</v>
      </c>
      <c r="AX617" s="14">
        <v>-161</v>
      </c>
      <c r="AY617" s="14">
        <v>-391</v>
      </c>
      <c r="AZ617" s="14">
        <v>118</v>
      </c>
      <c r="BA617" s="14">
        <v>-82</v>
      </c>
      <c r="BB617" s="14">
        <v>57</v>
      </c>
      <c r="BD617" s="14">
        <v>-61</v>
      </c>
    </row>
    <row r="618" spans="28:56" x14ac:dyDescent="0.25">
      <c r="AB618" s="14">
        <v>603</v>
      </c>
      <c r="AL618" s="14">
        <v>11</v>
      </c>
      <c r="AM618" s="14">
        <v>369</v>
      </c>
      <c r="AP618" s="14">
        <v>343</v>
      </c>
      <c r="AR618" s="14">
        <v>-182</v>
      </c>
      <c r="AS618" s="14">
        <v>-125</v>
      </c>
      <c r="AT618" s="14">
        <v>-3</v>
      </c>
      <c r="AU618" s="14">
        <v>41</v>
      </c>
      <c r="AV618" s="14">
        <v>-134</v>
      </c>
      <c r="AW618" s="14">
        <v>-45</v>
      </c>
      <c r="AX618" s="14">
        <v>-324</v>
      </c>
      <c r="AY618" s="14">
        <v>171</v>
      </c>
      <c r="AZ618" s="14">
        <v>960</v>
      </c>
      <c r="BA618" s="14">
        <v>-84</v>
      </c>
      <c r="BB618" s="14">
        <v>1</v>
      </c>
      <c r="BD618" s="14">
        <v>-118</v>
      </c>
    </row>
    <row r="619" spans="28:56" x14ac:dyDescent="0.25">
      <c r="AB619" s="14">
        <v>145</v>
      </c>
      <c r="AL619" s="14">
        <v>-1</v>
      </c>
      <c r="AM619" s="14">
        <v>466</v>
      </c>
      <c r="AP619" s="14">
        <v>-214</v>
      </c>
      <c r="AR619" s="14">
        <v>275</v>
      </c>
      <c r="AS619" s="14">
        <v>113</v>
      </c>
      <c r="AT619" s="14">
        <v>-6</v>
      </c>
      <c r="AU619" s="14">
        <v>-47</v>
      </c>
      <c r="AV619" s="14">
        <v>-195</v>
      </c>
      <c r="AW619" s="14">
        <v>41</v>
      </c>
      <c r="AX619" s="14">
        <v>709</v>
      </c>
      <c r="AY619" s="14">
        <v>-21</v>
      </c>
      <c r="AZ619" s="14">
        <v>194</v>
      </c>
      <c r="BA619" s="14">
        <v>-84</v>
      </c>
      <c r="BB619" s="14">
        <v>-4</v>
      </c>
      <c r="BD619" s="14">
        <v>-125</v>
      </c>
    </row>
    <row r="620" spans="28:56" x14ac:dyDescent="0.25">
      <c r="AB620" s="14">
        <v>10</v>
      </c>
      <c r="AL620" s="14">
        <v>-39</v>
      </c>
      <c r="AM620" s="14">
        <v>325</v>
      </c>
      <c r="AP620" s="14">
        <v>-148</v>
      </c>
      <c r="AR620" s="14">
        <v>234</v>
      </c>
      <c r="AS620" s="14">
        <v>-447</v>
      </c>
      <c r="AT620" s="14">
        <v>-2</v>
      </c>
      <c r="AU620" s="14">
        <v>151</v>
      </c>
      <c r="AV620" s="14">
        <v>256</v>
      </c>
      <c r="AW620" s="14">
        <v>70</v>
      </c>
      <c r="AX620" s="14">
        <v>-824</v>
      </c>
      <c r="AY620" s="14">
        <v>109</v>
      </c>
      <c r="AZ620" s="14">
        <v>-666</v>
      </c>
      <c r="BA620" s="14">
        <v>37</v>
      </c>
      <c r="BB620" s="14">
        <v>-30</v>
      </c>
      <c r="BD620" s="14">
        <v>-61</v>
      </c>
    </row>
    <row r="621" spans="28:56" x14ac:dyDescent="0.25">
      <c r="AB621" s="14">
        <v>-18</v>
      </c>
      <c r="AL621" s="14">
        <v>-43</v>
      </c>
      <c r="AM621" s="14">
        <v>610</v>
      </c>
      <c r="AP621" s="14">
        <v>-167</v>
      </c>
      <c r="AR621" s="14">
        <v>159</v>
      </c>
      <c r="AS621" s="14">
        <v>-361</v>
      </c>
      <c r="AT621" s="14">
        <v>-7</v>
      </c>
      <c r="AU621" s="14">
        <v>-285</v>
      </c>
      <c r="AV621" s="14">
        <v>924</v>
      </c>
      <c r="AW621" s="14">
        <v>-55</v>
      </c>
      <c r="AX621" s="14">
        <v>679</v>
      </c>
      <c r="AY621" s="14">
        <v>-153</v>
      </c>
      <c r="AZ621" s="14">
        <v>388</v>
      </c>
      <c r="BA621" s="14">
        <v>40</v>
      </c>
      <c r="BB621" s="14">
        <v>786</v>
      </c>
      <c r="BD621" s="14">
        <v>-68</v>
      </c>
    </row>
    <row r="622" spans="28:56" x14ac:dyDescent="0.25">
      <c r="AB622" s="14">
        <v>-25</v>
      </c>
      <c r="AL622" s="14">
        <v>-7</v>
      </c>
      <c r="AM622" s="14">
        <v>602</v>
      </c>
      <c r="AP622" s="14">
        <v>-213</v>
      </c>
      <c r="AR622" s="14">
        <v>-613</v>
      </c>
      <c r="AS622" s="14">
        <v>-139</v>
      </c>
      <c r="AT622" s="14">
        <v>5</v>
      </c>
      <c r="AU622" s="14">
        <v>276</v>
      </c>
      <c r="AV622" s="14">
        <v>-103</v>
      </c>
      <c r="AW622" s="14">
        <v>42</v>
      </c>
      <c r="AX622" s="14">
        <v>201</v>
      </c>
      <c r="AY622" s="14">
        <v>-433</v>
      </c>
      <c r="AZ622" s="14">
        <v>199</v>
      </c>
      <c r="BA622" s="14">
        <v>44</v>
      </c>
      <c r="BB622" s="14">
        <v>172</v>
      </c>
      <c r="BD622" s="14">
        <v>-75</v>
      </c>
    </row>
    <row r="623" spans="28:56" x14ac:dyDescent="0.25">
      <c r="AB623" s="14">
        <v>9</v>
      </c>
      <c r="AL623" s="14">
        <v>-98</v>
      </c>
      <c r="AM623" s="14">
        <v>-380</v>
      </c>
      <c r="AP623" s="14">
        <v>-138</v>
      </c>
      <c r="AR623" s="14">
        <v>-569</v>
      </c>
      <c r="AS623" s="14">
        <v>-184</v>
      </c>
      <c r="AT623" s="14">
        <v>-10</v>
      </c>
      <c r="AU623" s="14">
        <v>-1</v>
      </c>
      <c r="AV623" s="14">
        <v>111</v>
      </c>
      <c r="AW623" s="14">
        <v>71</v>
      </c>
      <c r="AX623" s="14">
        <v>-139</v>
      </c>
      <c r="AY623" s="14">
        <v>249</v>
      </c>
      <c r="AZ623" s="14">
        <v>-734</v>
      </c>
      <c r="BA623" s="14">
        <v>36</v>
      </c>
      <c r="BB623" s="14">
        <v>3</v>
      </c>
      <c r="BD623" s="14">
        <v>-21</v>
      </c>
    </row>
    <row r="624" spans="28:56" x14ac:dyDescent="0.25">
      <c r="AB624" s="14">
        <v>-4</v>
      </c>
      <c r="AL624" s="14">
        <v>15</v>
      </c>
      <c r="AM624" s="14">
        <v>-144</v>
      </c>
      <c r="AP624" s="14">
        <v>-210</v>
      </c>
      <c r="AR624" s="14">
        <v>-182</v>
      </c>
      <c r="AS624" s="14">
        <v>119</v>
      </c>
      <c r="AT624" s="14">
        <v>15</v>
      </c>
      <c r="AU624" s="14">
        <v>34</v>
      </c>
      <c r="AV624" s="14">
        <v>179</v>
      </c>
      <c r="AW624" s="14">
        <v>-49</v>
      </c>
      <c r="AX624" s="14">
        <v>257</v>
      </c>
      <c r="AY624" s="14">
        <v>150</v>
      </c>
      <c r="AZ624" s="14">
        <v>-119</v>
      </c>
      <c r="BA624" s="14">
        <v>37</v>
      </c>
      <c r="BB624" s="14">
        <v>3</v>
      </c>
      <c r="BD624" s="14">
        <v>-57</v>
      </c>
    </row>
    <row r="625" spans="28:56" x14ac:dyDescent="0.25">
      <c r="AB625" s="14">
        <v>-7</v>
      </c>
      <c r="AL625" s="14">
        <v>28</v>
      </c>
      <c r="AM625" s="14">
        <v>266</v>
      </c>
      <c r="AP625" s="14">
        <v>-52</v>
      </c>
      <c r="AR625" s="14">
        <v>574</v>
      </c>
      <c r="AS625" s="14">
        <v>-548</v>
      </c>
      <c r="AT625" s="14">
        <v>33</v>
      </c>
      <c r="AU625" s="14">
        <v>56</v>
      </c>
      <c r="AV625" s="14">
        <v>210</v>
      </c>
      <c r="AW625" s="14">
        <v>33</v>
      </c>
      <c r="AX625" s="14">
        <v>-27</v>
      </c>
      <c r="AY625" s="14">
        <v>-16</v>
      </c>
      <c r="AZ625" s="14">
        <v>-308</v>
      </c>
      <c r="BA625" s="14">
        <v>37</v>
      </c>
      <c r="BB625" s="14">
        <v>5</v>
      </c>
      <c r="BD625" s="14">
        <v>-700</v>
      </c>
    </row>
    <row r="626" spans="28:56" x14ac:dyDescent="0.25">
      <c r="AB626" s="14">
        <v>1</v>
      </c>
      <c r="AL626" s="14">
        <v>157</v>
      </c>
      <c r="AM626" s="14">
        <v>450</v>
      </c>
      <c r="AP626" s="14">
        <v>-107</v>
      </c>
      <c r="AR626" s="14">
        <v>275</v>
      </c>
      <c r="AS626" s="14">
        <v>-279</v>
      </c>
      <c r="AT626" s="14">
        <v>2</v>
      </c>
      <c r="AU626" s="14">
        <v>-391</v>
      </c>
      <c r="AV626" s="14">
        <v>-114</v>
      </c>
      <c r="AW626" s="14">
        <v>74</v>
      </c>
      <c r="AX626" s="14">
        <v>131</v>
      </c>
      <c r="AY626" s="14">
        <v>860</v>
      </c>
      <c r="AZ626" s="14">
        <v>-103</v>
      </c>
      <c r="BA626" s="14">
        <v>79</v>
      </c>
      <c r="BB626" s="14">
        <v>-62</v>
      </c>
      <c r="BD626" s="14">
        <v>-61</v>
      </c>
    </row>
    <row r="627" spans="28:56" x14ac:dyDescent="0.25">
      <c r="AB627" s="14">
        <v>2</v>
      </c>
      <c r="AL627" s="14">
        <v>-187</v>
      </c>
      <c r="AM627" s="14">
        <v>-652</v>
      </c>
      <c r="AP627" s="14">
        <v>463</v>
      </c>
      <c r="AR627" s="14">
        <v>120</v>
      </c>
      <c r="AS627" s="14">
        <v>591</v>
      </c>
      <c r="AT627" s="14">
        <v>-1</v>
      </c>
      <c r="AU627" s="14">
        <v>611</v>
      </c>
      <c r="AV627" s="14">
        <v>177</v>
      </c>
      <c r="AW627" s="14">
        <v>-45</v>
      </c>
      <c r="AX627" s="14">
        <v>342</v>
      </c>
      <c r="AY627" s="14">
        <v>-172</v>
      </c>
      <c r="AZ627" s="14">
        <v>-623</v>
      </c>
      <c r="BA627" s="14">
        <v>71</v>
      </c>
      <c r="BB627" s="14">
        <v>8</v>
      </c>
      <c r="BD627" s="14">
        <v>-49</v>
      </c>
    </row>
    <row r="628" spans="28:56" x14ac:dyDescent="0.25">
      <c r="AB628" s="14">
        <v>2</v>
      </c>
      <c r="AL628" s="14">
        <v>16</v>
      </c>
      <c r="AM628" s="14">
        <v>629</v>
      </c>
      <c r="AP628" s="14">
        <v>-61</v>
      </c>
      <c r="AR628" s="14">
        <v>59</v>
      </c>
      <c r="AS628" s="14">
        <v>278</v>
      </c>
      <c r="AT628" s="14">
        <v>1</v>
      </c>
      <c r="AU628" s="14">
        <v>564</v>
      </c>
      <c r="AV628" s="14">
        <v>215</v>
      </c>
      <c r="AW628" s="14">
        <v>41</v>
      </c>
      <c r="AX628" s="14">
        <v>-534</v>
      </c>
      <c r="AY628" s="14">
        <v>-405</v>
      </c>
      <c r="AZ628" s="14">
        <v>-389</v>
      </c>
      <c r="BA628" s="14">
        <v>77</v>
      </c>
      <c r="BB628" s="14">
        <v>-6</v>
      </c>
      <c r="BD628" s="14">
        <v>-64</v>
      </c>
    </row>
    <row r="629" spans="28:56" x14ac:dyDescent="0.25">
      <c r="AB629" s="14">
        <v>1</v>
      </c>
      <c r="AL629" s="14">
        <v>51</v>
      </c>
      <c r="AM629" s="14">
        <v>550</v>
      </c>
      <c r="AP629" s="14">
        <v>69</v>
      </c>
      <c r="AR629" s="14">
        <v>-710</v>
      </c>
      <c r="AS629" s="14">
        <v>-559</v>
      </c>
      <c r="AT629" s="14">
        <v>30</v>
      </c>
      <c r="AU629" s="14">
        <v>-121</v>
      </c>
      <c r="AV629" s="14">
        <v>149</v>
      </c>
      <c r="AW629" s="14">
        <v>79</v>
      </c>
      <c r="AX629" s="14">
        <v>481</v>
      </c>
      <c r="AY629" s="14">
        <v>226</v>
      </c>
      <c r="AZ629" s="14">
        <v>-350</v>
      </c>
      <c r="BA629" s="14">
        <v>73</v>
      </c>
      <c r="BB629" s="14">
        <v>-11</v>
      </c>
      <c r="BD629" s="14">
        <v>12</v>
      </c>
    </row>
    <row r="630" spans="28:56" x14ac:dyDescent="0.25">
      <c r="AB630" s="14">
        <v>-4</v>
      </c>
      <c r="AL630" s="14">
        <v>3</v>
      </c>
      <c r="AM630" s="14">
        <v>-311</v>
      </c>
      <c r="AP630" s="14">
        <v>329</v>
      </c>
      <c r="AR630" s="14">
        <v>-260</v>
      </c>
      <c r="AS630" s="14">
        <v>284</v>
      </c>
      <c r="AT630" s="14">
        <v>-1</v>
      </c>
      <c r="AU630" s="14">
        <v>-59</v>
      </c>
      <c r="AV630" s="14">
        <v>267</v>
      </c>
      <c r="AW630" s="14">
        <v>-53</v>
      </c>
      <c r="AX630" s="14">
        <v>-170</v>
      </c>
      <c r="AY630" s="14">
        <v>117</v>
      </c>
      <c r="AZ630" s="14">
        <v>-521</v>
      </c>
      <c r="BA630" s="14">
        <v>79</v>
      </c>
      <c r="BB630" s="14">
        <v>-64</v>
      </c>
      <c r="BD630" s="14">
        <v>5</v>
      </c>
    </row>
    <row r="631" spans="28:56" x14ac:dyDescent="0.25">
      <c r="AB631" s="14">
        <v>1</v>
      </c>
      <c r="AL631" s="14">
        <v>284</v>
      </c>
      <c r="AM631" s="14">
        <v>173</v>
      </c>
      <c r="AP631" s="14">
        <v>15</v>
      </c>
      <c r="AR631" s="14">
        <v>-80</v>
      </c>
      <c r="AS631" s="14">
        <v>288</v>
      </c>
      <c r="AT631" s="14">
        <v>6</v>
      </c>
      <c r="AU631" s="14">
        <v>728</v>
      </c>
      <c r="AV631" s="14">
        <v>350</v>
      </c>
      <c r="AW631" s="14">
        <v>41</v>
      </c>
      <c r="AX631" s="14">
        <v>114</v>
      </c>
      <c r="AY631" s="14">
        <v>145</v>
      </c>
      <c r="AZ631" s="14">
        <v>-410</v>
      </c>
      <c r="BA631" s="14">
        <v>77</v>
      </c>
      <c r="BB631" s="14">
        <v>416</v>
      </c>
      <c r="BD631" s="14">
        <v>-59</v>
      </c>
    </row>
    <row r="632" spans="28:56" x14ac:dyDescent="0.25">
      <c r="AB632" s="14">
        <v>127</v>
      </c>
      <c r="AL632" s="14">
        <v>-417</v>
      </c>
      <c r="AM632" s="14">
        <v>608</v>
      </c>
      <c r="AP632" s="14">
        <v>19</v>
      </c>
      <c r="AR632" s="14">
        <v>253</v>
      </c>
      <c r="AS632" s="14">
        <v>-107</v>
      </c>
      <c r="AT632" s="14">
        <v>-3</v>
      </c>
      <c r="AU632" s="14">
        <v>-143</v>
      </c>
      <c r="AV632" s="14">
        <v>576</v>
      </c>
      <c r="AW632" s="14">
        <v>72</v>
      </c>
      <c r="AX632" s="14">
        <v>-626</v>
      </c>
      <c r="AY632" s="14">
        <v>-18</v>
      </c>
      <c r="AZ632" s="14">
        <v>419</v>
      </c>
      <c r="BA632" s="14">
        <v>64</v>
      </c>
      <c r="BB632" s="14">
        <v>176</v>
      </c>
      <c r="BD632" s="14">
        <v>-67</v>
      </c>
    </row>
    <row r="633" spans="28:56" x14ac:dyDescent="0.25">
      <c r="AB633" s="14">
        <v>574</v>
      </c>
      <c r="AL633" s="14">
        <v>84</v>
      </c>
      <c r="AM633" s="14">
        <v>-424</v>
      </c>
      <c r="AP633" s="14">
        <v>52</v>
      </c>
      <c r="AR633" s="14">
        <v>575</v>
      </c>
      <c r="AS633" s="14">
        <v>736</v>
      </c>
      <c r="AT633" s="14">
        <v>29</v>
      </c>
      <c r="AU633" s="14">
        <v>-277</v>
      </c>
      <c r="AV633" s="14">
        <v>-393</v>
      </c>
      <c r="AW633" s="14">
        <v>-47</v>
      </c>
      <c r="AX633" s="14">
        <v>153</v>
      </c>
      <c r="AY633" s="14">
        <v>855</v>
      </c>
      <c r="AZ633" s="14">
        <v>856</v>
      </c>
      <c r="BA633" s="14">
        <v>71</v>
      </c>
      <c r="BB633" s="14">
        <v>9</v>
      </c>
      <c r="BD633" s="14">
        <v>-94</v>
      </c>
    </row>
    <row r="634" spans="28:56" x14ac:dyDescent="0.25">
      <c r="AB634" s="14">
        <v>171</v>
      </c>
      <c r="AL634" s="14">
        <v>40</v>
      </c>
      <c r="AM634" s="14">
        <v>224</v>
      </c>
      <c r="AP634" s="14">
        <v>-331</v>
      </c>
      <c r="AR634" s="14">
        <v>-180</v>
      </c>
      <c r="AS634" s="14">
        <v>804</v>
      </c>
      <c r="AT634" s="14">
        <v>123</v>
      </c>
      <c r="AU634" s="14">
        <v>38</v>
      </c>
      <c r="AV634" s="14">
        <v>-133</v>
      </c>
      <c r="AW634" s="14">
        <v>43</v>
      </c>
      <c r="AX634" s="14">
        <v>434</v>
      </c>
      <c r="AY634" s="14">
        <v>-193</v>
      </c>
      <c r="AZ634" s="14">
        <v>645</v>
      </c>
      <c r="BA634" s="14">
        <v>71</v>
      </c>
      <c r="BB634" s="14">
        <v>6</v>
      </c>
      <c r="BD634" s="14">
        <v>-157</v>
      </c>
    </row>
    <row r="635" spans="28:56" x14ac:dyDescent="0.25">
      <c r="AB635" s="14">
        <v>-107</v>
      </c>
      <c r="AL635" s="14">
        <v>-78</v>
      </c>
      <c r="AM635" s="14">
        <v>196</v>
      </c>
      <c r="AP635" s="14">
        <v>53</v>
      </c>
      <c r="AR635" s="14">
        <v>235</v>
      </c>
      <c r="AS635" s="14">
        <v>711</v>
      </c>
      <c r="AT635" s="14">
        <v>-12</v>
      </c>
      <c r="AU635" s="14">
        <v>16</v>
      </c>
      <c r="AV635" s="14">
        <v>277</v>
      </c>
      <c r="AW635" s="14">
        <v>74</v>
      </c>
      <c r="AX635" s="14">
        <v>-168</v>
      </c>
      <c r="AY635" s="14">
        <v>-307</v>
      </c>
      <c r="AZ635" s="14">
        <v>-837</v>
      </c>
      <c r="BA635" s="14">
        <v>67</v>
      </c>
      <c r="BB635" s="14">
        <v>-7</v>
      </c>
      <c r="BD635" s="14">
        <v>-24</v>
      </c>
    </row>
    <row r="636" spans="28:56" x14ac:dyDescent="0.25">
      <c r="AB636" s="14">
        <v>29</v>
      </c>
      <c r="AL636" s="14">
        <v>-33</v>
      </c>
      <c r="AM636" s="14">
        <v>-646</v>
      </c>
      <c r="AP636" s="14">
        <v>709</v>
      </c>
      <c r="AR636" s="14">
        <v>-265</v>
      </c>
      <c r="AS636" s="14">
        <v>108</v>
      </c>
      <c r="AT636" s="14">
        <v>6</v>
      </c>
      <c r="AU636" s="14">
        <v>-401</v>
      </c>
      <c r="AV636" s="14">
        <v>-282</v>
      </c>
      <c r="AW636" s="14">
        <v>-51</v>
      </c>
      <c r="AX636" s="14">
        <v>735</v>
      </c>
      <c r="AY636" s="14">
        <v>245</v>
      </c>
      <c r="AZ636" s="14">
        <v>-130</v>
      </c>
      <c r="BA636" s="14">
        <v>65</v>
      </c>
      <c r="BB636" s="14">
        <v>-14</v>
      </c>
      <c r="BD636" s="14">
        <v>-6</v>
      </c>
    </row>
    <row r="637" spans="28:56" x14ac:dyDescent="0.25">
      <c r="AB637" s="14">
        <v>-5</v>
      </c>
      <c r="AL637" s="14">
        <v>57</v>
      </c>
      <c r="AM637" s="14">
        <v>171</v>
      </c>
      <c r="AP637" s="14">
        <v>-147</v>
      </c>
      <c r="AR637" s="14">
        <v>175</v>
      </c>
      <c r="AS637" s="14">
        <v>273</v>
      </c>
      <c r="AT637" s="14">
        <v>-4</v>
      </c>
      <c r="AU637" s="14">
        <v>-169</v>
      </c>
      <c r="AV637" s="14">
        <v>144</v>
      </c>
      <c r="AW637" s="14">
        <v>30</v>
      </c>
      <c r="AX637" s="14">
        <v>410</v>
      </c>
      <c r="AY637" s="14">
        <v>-45</v>
      </c>
      <c r="AZ637" s="14">
        <v>123</v>
      </c>
      <c r="BA637" s="14">
        <v>65</v>
      </c>
      <c r="BB637" s="14">
        <v>10</v>
      </c>
      <c r="BD637" s="14">
        <v>-53</v>
      </c>
    </row>
    <row r="638" spans="28:56" x14ac:dyDescent="0.25">
      <c r="AB638" s="14">
        <v>1</v>
      </c>
      <c r="AL638" s="14">
        <v>-22</v>
      </c>
      <c r="AM638" s="14">
        <v>328</v>
      </c>
      <c r="AP638" s="14">
        <v>-424</v>
      </c>
      <c r="AR638" s="14">
        <v>400</v>
      </c>
      <c r="AS638" s="14">
        <v>184</v>
      </c>
      <c r="AT638" s="14">
        <v>1</v>
      </c>
      <c r="AU638" s="14">
        <v>-67</v>
      </c>
      <c r="AV638" s="14">
        <v>181</v>
      </c>
      <c r="AW638" s="14">
        <v>74</v>
      </c>
      <c r="AX638" s="14">
        <v>287</v>
      </c>
      <c r="AY638" s="14">
        <v>286</v>
      </c>
      <c r="AZ638" s="14">
        <v>-209</v>
      </c>
      <c r="BA638" s="14">
        <v>-42</v>
      </c>
      <c r="BB638" s="14">
        <v>-66</v>
      </c>
      <c r="BD638" s="14">
        <v>-21</v>
      </c>
    </row>
    <row r="639" spans="28:56" x14ac:dyDescent="0.25">
      <c r="AB639" s="14">
        <v>7</v>
      </c>
      <c r="AL639" s="14">
        <v>-7</v>
      </c>
      <c r="AM639" s="14">
        <v>-741</v>
      </c>
      <c r="AP639" s="14">
        <v>-359</v>
      </c>
      <c r="AR639" s="14">
        <v>410</v>
      </c>
      <c r="AS639" s="14">
        <v>-437</v>
      </c>
      <c r="AT639" s="14">
        <v>4</v>
      </c>
      <c r="AU639" s="14">
        <v>49</v>
      </c>
      <c r="AV639" s="14">
        <v>-504</v>
      </c>
      <c r="AW639" s="14">
        <v>-53</v>
      </c>
      <c r="AX639" s="14">
        <v>204</v>
      </c>
      <c r="AY639" s="14">
        <v>14</v>
      </c>
      <c r="AZ639" s="14">
        <v>117</v>
      </c>
      <c r="BA639" s="14">
        <v>-46</v>
      </c>
      <c r="BB639" s="14">
        <v>-62</v>
      </c>
      <c r="BD639" s="14">
        <v>8</v>
      </c>
    </row>
    <row r="640" spans="28:56" x14ac:dyDescent="0.25">
      <c r="AB640" s="14">
        <v>2</v>
      </c>
      <c r="AL640" s="14">
        <v>-11</v>
      </c>
      <c r="AM640" s="14">
        <v>455</v>
      </c>
      <c r="AP640" s="14">
        <v>-963</v>
      </c>
      <c r="AR640" s="14">
        <v>-128</v>
      </c>
      <c r="AS640" s="14">
        <v>-262</v>
      </c>
      <c r="AT640" s="14">
        <v>1</v>
      </c>
      <c r="AU640" s="14">
        <v>22</v>
      </c>
      <c r="AV640" s="14">
        <v>260</v>
      </c>
      <c r="AW640" s="14">
        <v>25</v>
      </c>
      <c r="AX640" s="14">
        <v>531</v>
      </c>
      <c r="AY640" s="14">
        <v>446</v>
      </c>
      <c r="AZ640" s="14">
        <v>533</v>
      </c>
      <c r="BA640" s="14">
        <v>-49</v>
      </c>
      <c r="BB640" s="14">
        <v>-30</v>
      </c>
      <c r="BD640" s="14">
        <v>-21</v>
      </c>
    </row>
    <row r="641" spans="28:56" x14ac:dyDescent="0.25">
      <c r="AB641" s="14">
        <v>14</v>
      </c>
      <c r="AL641" s="14">
        <v>-31</v>
      </c>
      <c r="AM641" s="14">
        <v>441</v>
      </c>
      <c r="AP641" s="14">
        <v>-434</v>
      </c>
      <c r="AR641" s="14">
        <v>-116</v>
      </c>
      <c r="AS641" s="14">
        <v>-221</v>
      </c>
      <c r="AT641" s="14">
        <v>6</v>
      </c>
      <c r="AU641" s="14">
        <v>-35</v>
      </c>
      <c r="AV641" s="14">
        <v>-439</v>
      </c>
      <c r="AW641" s="14">
        <v>79</v>
      </c>
      <c r="AX641" s="14">
        <v>51</v>
      </c>
      <c r="AY641" s="14">
        <v>-149</v>
      </c>
      <c r="AZ641" s="14">
        <v>-140</v>
      </c>
      <c r="BA641" s="14">
        <v>-39</v>
      </c>
      <c r="BB641" s="14">
        <v>-173</v>
      </c>
      <c r="BD641" s="14">
        <v>-92</v>
      </c>
    </row>
    <row r="642" spans="28:56" x14ac:dyDescent="0.25">
      <c r="AB642" s="14">
        <v>-8</v>
      </c>
      <c r="AL642" s="14">
        <v>97</v>
      </c>
      <c r="AM642" s="14">
        <v>-833</v>
      </c>
      <c r="AP642" s="14">
        <v>16</v>
      </c>
      <c r="AR642" s="14">
        <v>-950</v>
      </c>
      <c r="AS642" s="14">
        <v>346</v>
      </c>
      <c r="AT642" s="14">
        <v>15</v>
      </c>
      <c r="AU642" s="14">
        <v>-27</v>
      </c>
      <c r="AV642" s="14">
        <v>179</v>
      </c>
      <c r="AW642" s="14">
        <v>-51</v>
      </c>
      <c r="AX642" s="14">
        <v>305</v>
      </c>
      <c r="AY642" s="14">
        <v>-283</v>
      </c>
      <c r="AZ642" s="14">
        <v>173</v>
      </c>
      <c r="BA642" s="14">
        <v>-37</v>
      </c>
      <c r="BB642" s="14">
        <v>1165</v>
      </c>
      <c r="BD642" s="14">
        <v>-92</v>
      </c>
    </row>
    <row r="643" spans="28:56" x14ac:dyDescent="0.25">
      <c r="AB643" s="14">
        <v>-8</v>
      </c>
      <c r="AL643" s="14">
        <v>-177</v>
      </c>
      <c r="AM643" s="14">
        <v>138</v>
      </c>
      <c r="AP643" s="14">
        <v>-90</v>
      </c>
      <c r="AR643" s="14">
        <v>301</v>
      </c>
      <c r="AS643" s="14">
        <v>-201</v>
      </c>
      <c r="AT643" s="14">
        <v>-6</v>
      </c>
      <c r="AU643" s="14">
        <v>-54</v>
      </c>
      <c r="AV643" s="14">
        <v>183</v>
      </c>
      <c r="AW643" s="14">
        <v>28</v>
      </c>
      <c r="AX643" s="14">
        <v>277</v>
      </c>
      <c r="AY643" s="14">
        <v>285</v>
      </c>
      <c r="AZ643" s="14">
        <v>195</v>
      </c>
      <c r="BA643" s="14">
        <v>-37</v>
      </c>
      <c r="BB643" s="14">
        <v>-11</v>
      </c>
      <c r="BD643" s="14">
        <v>-21</v>
      </c>
    </row>
    <row r="644" spans="28:56" x14ac:dyDescent="0.25">
      <c r="AB644" s="14">
        <v>-470</v>
      </c>
      <c r="AL644" s="14">
        <v>44</v>
      </c>
      <c r="AM644" s="14">
        <v>292</v>
      </c>
      <c r="AP644" s="14">
        <v>-111</v>
      </c>
      <c r="AR644" s="14">
        <v>186</v>
      </c>
      <c r="AS644" s="14">
        <v>-517</v>
      </c>
      <c r="AT644" s="14">
        <v>-21</v>
      </c>
      <c r="AU644" s="14">
        <v>-29</v>
      </c>
      <c r="AV644" s="14">
        <v>184</v>
      </c>
      <c r="AW644" s="14">
        <v>64</v>
      </c>
      <c r="AX644" s="14">
        <v>-830</v>
      </c>
      <c r="AY644" s="14">
        <v>-44</v>
      </c>
      <c r="AZ644" s="14">
        <v>69</v>
      </c>
      <c r="BA644" s="14">
        <v>-20</v>
      </c>
      <c r="BB644" s="14">
        <v>74</v>
      </c>
      <c r="BD644" s="14">
        <v>-21</v>
      </c>
    </row>
    <row r="645" spans="28:56" x14ac:dyDescent="0.25">
      <c r="AB645" s="14">
        <v>-388</v>
      </c>
      <c r="AL645" s="14">
        <v>6</v>
      </c>
      <c r="AM645" s="14">
        <v>-124</v>
      </c>
      <c r="AP645" s="14">
        <v>588</v>
      </c>
      <c r="AR645" s="14">
        <v>614</v>
      </c>
      <c r="AS645" s="14">
        <v>11</v>
      </c>
      <c r="AT645" s="14">
        <v>1</v>
      </c>
      <c r="AU645" s="14">
        <v>35</v>
      </c>
      <c r="AV645" s="14">
        <v>181</v>
      </c>
      <c r="AW645" s="14">
        <v>-20</v>
      </c>
      <c r="AX645" s="14">
        <v>193</v>
      </c>
      <c r="AY645" s="14">
        <v>293</v>
      </c>
      <c r="AZ645" s="14">
        <v>-64</v>
      </c>
      <c r="BA645" s="14">
        <v>-20</v>
      </c>
      <c r="BB645" s="14">
        <v>28</v>
      </c>
      <c r="BD645" s="14">
        <v>-32</v>
      </c>
    </row>
    <row r="646" spans="28:56" x14ac:dyDescent="0.25">
      <c r="AB646" s="14">
        <v>-176</v>
      </c>
      <c r="AL646" s="14">
        <v>-6</v>
      </c>
      <c r="AM646" s="14">
        <v>966</v>
      </c>
      <c r="AP646" s="14">
        <v>-270</v>
      </c>
      <c r="AR646" s="14">
        <v>157</v>
      </c>
      <c r="AS646" s="14">
        <v>192</v>
      </c>
      <c r="AT646" s="14">
        <v>3</v>
      </c>
      <c r="AU646" s="14">
        <v>529</v>
      </c>
      <c r="AV646" s="14">
        <v>169</v>
      </c>
      <c r="AW646" s="14">
        <v>19</v>
      </c>
      <c r="AX646" s="14">
        <v>227</v>
      </c>
      <c r="AY646" s="14">
        <v>23</v>
      </c>
      <c r="AZ646" s="14">
        <v>112</v>
      </c>
      <c r="BA646" s="14">
        <v>-26</v>
      </c>
      <c r="BB646" s="14">
        <v>139</v>
      </c>
      <c r="BD646" s="14">
        <v>-32</v>
      </c>
    </row>
    <row r="647" spans="28:56" x14ac:dyDescent="0.25">
      <c r="AB647" s="14">
        <v>170</v>
      </c>
      <c r="AL647" s="14">
        <v>-70</v>
      </c>
      <c r="AM647" s="14">
        <v>653</v>
      </c>
      <c r="AP647" s="14">
        <v>-145</v>
      </c>
      <c r="AR647" s="14">
        <v>-210</v>
      </c>
      <c r="AS647" s="14">
        <v>193</v>
      </c>
      <c r="AT647" s="14">
        <v>-4</v>
      </c>
      <c r="AU647" s="14">
        <v>-166</v>
      </c>
      <c r="AV647" s="14">
        <v>161</v>
      </c>
      <c r="AW647" s="14">
        <v>91</v>
      </c>
      <c r="AX647" s="14">
        <v>176</v>
      </c>
      <c r="AY647" s="14">
        <v>479</v>
      </c>
      <c r="AZ647" s="14">
        <v>70</v>
      </c>
      <c r="BA647" s="14">
        <v>-22</v>
      </c>
      <c r="BB647" s="14">
        <v>86</v>
      </c>
      <c r="BD647" s="14">
        <v>-70</v>
      </c>
    </row>
    <row r="648" spans="28:56" x14ac:dyDescent="0.25">
      <c r="AB648" s="14">
        <v>351</v>
      </c>
      <c r="AL648" s="14">
        <v>76</v>
      </c>
      <c r="AM648" s="14">
        <v>-140</v>
      </c>
      <c r="AP648" s="14">
        <v>-221</v>
      </c>
      <c r="AR648" s="14">
        <v>-64</v>
      </c>
      <c r="AS648" s="14">
        <v>-195</v>
      </c>
      <c r="AT648" s="14">
        <v>2</v>
      </c>
      <c r="AU648" s="14">
        <v>-106</v>
      </c>
      <c r="AV648" s="14">
        <v>170</v>
      </c>
      <c r="AW648" s="14">
        <v>-35</v>
      </c>
      <c r="AX648" s="14">
        <v>237</v>
      </c>
      <c r="AY648" s="14">
        <v>-44</v>
      </c>
      <c r="AZ648" s="14">
        <v>-66</v>
      </c>
      <c r="BA648" s="14">
        <v>-1</v>
      </c>
      <c r="BB648" s="14">
        <v>-65</v>
      </c>
      <c r="BD648" s="14">
        <v>-705</v>
      </c>
    </row>
    <row r="649" spans="28:56" x14ac:dyDescent="0.25">
      <c r="AB649" s="14">
        <v>188</v>
      </c>
      <c r="AL649" s="14">
        <v>39</v>
      </c>
      <c r="AM649" s="14">
        <v>-424</v>
      </c>
      <c r="AP649" s="14">
        <v>246</v>
      </c>
      <c r="AR649" s="14">
        <v>-81</v>
      </c>
      <c r="AS649" s="14">
        <v>450</v>
      </c>
      <c r="AT649" s="14">
        <v>11</v>
      </c>
      <c r="AU649" s="14">
        <v>-30</v>
      </c>
      <c r="AV649" s="14">
        <v>181</v>
      </c>
      <c r="AW649" s="14">
        <v>81</v>
      </c>
      <c r="AX649" s="14">
        <v>375</v>
      </c>
      <c r="AY649" s="14">
        <v>-24</v>
      </c>
      <c r="AZ649" s="14">
        <v>-66</v>
      </c>
      <c r="BA649" s="14">
        <v>2</v>
      </c>
      <c r="BB649" s="14">
        <v>-113</v>
      </c>
      <c r="BD649" s="14">
        <v>-94</v>
      </c>
    </row>
    <row r="650" spans="28:56" x14ac:dyDescent="0.25">
      <c r="AB650" s="14">
        <v>-7</v>
      </c>
      <c r="AL650" s="14">
        <v>13</v>
      </c>
      <c r="AM650" s="14">
        <v>366</v>
      </c>
      <c r="AP650" s="14">
        <v>-197</v>
      </c>
      <c r="AR650" s="14">
        <v>838</v>
      </c>
      <c r="AS650" s="14">
        <v>-115</v>
      </c>
      <c r="AT650" s="14">
        <v>1</v>
      </c>
      <c r="AU650" s="14">
        <v>-11</v>
      </c>
      <c r="AV650" s="14">
        <v>537</v>
      </c>
      <c r="AW650" s="14">
        <v>66</v>
      </c>
      <c r="AX650" s="14">
        <v>265</v>
      </c>
      <c r="AY650" s="14">
        <v>-40</v>
      </c>
      <c r="AZ650" s="14">
        <v>-201</v>
      </c>
      <c r="BA650" s="14">
        <v>-14</v>
      </c>
      <c r="BB650" s="14">
        <v>-36</v>
      </c>
      <c r="BD650" s="14">
        <v>-94</v>
      </c>
    </row>
    <row r="651" spans="28:56" x14ac:dyDescent="0.25">
      <c r="AB651" s="14">
        <v>-18</v>
      </c>
      <c r="AL651" s="14">
        <v>220</v>
      </c>
      <c r="AM651" s="14">
        <v>-253</v>
      </c>
      <c r="AP651" s="14">
        <v>56</v>
      </c>
      <c r="AR651" s="14">
        <v>690</v>
      </c>
      <c r="AS651" s="14">
        <v>-356</v>
      </c>
      <c r="AT651" s="14">
        <v>-6</v>
      </c>
      <c r="AU651" s="14">
        <v>-409</v>
      </c>
      <c r="AV651" s="14">
        <v>115</v>
      </c>
      <c r="AW651" s="14">
        <v>-44</v>
      </c>
      <c r="AX651" s="14">
        <v>169</v>
      </c>
      <c r="AY651" s="14">
        <v>-1</v>
      </c>
      <c r="AZ651" s="14">
        <v>-139</v>
      </c>
      <c r="BA651" s="14">
        <v>-14</v>
      </c>
      <c r="BB651" s="14">
        <v>-247</v>
      </c>
      <c r="BD651" s="14">
        <v>-24</v>
      </c>
    </row>
    <row r="652" spans="28:56" x14ac:dyDescent="0.25">
      <c r="AB652" s="14">
        <v>-6</v>
      </c>
      <c r="AL652" s="14">
        <v>65</v>
      </c>
      <c r="AM652" s="14">
        <v>-126</v>
      </c>
      <c r="AP652" s="14">
        <v>36</v>
      </c>
      <c r="AR652" s="14">
        <v>-79</v>
      </c>
      <c r="AS652" s="14">
        <v>-354</v>
      </c>
      <c r="AT652" s="14">
        <v>-2</v>
      </c>
      <c r="AU652" s="14">
        <v>-22</v>
      </c>
      <c r="AV652" s="14">
        <v>90</v>
      </c>
      <c r="AW652" s="14">
        <v>98</v>
      </c>
      <c r="AX652" s="14">
        <v>529</v>
      </c>
      <c r="AY652" s="14">
        <v>-68</v>
      </c>
      <c r="AZ652" s="14">
        <v>-221</v>
      </c>
      <c r="BA652" s="14">
        <v>-16</v>
      </c>
      <c r="BB652" s="14">
        <v>1145</v>
      </c>
      <c r="BD652" s="14">
        <v>-24</v>
      </c>
    </row>
    <row r="653" spans="28:56" x14ac:dyDescent="0.25">
      <c r="AB653" s="14">
        <v>-60</v>
      </c>
      <c r="AL653" s="14">
        <v>207</v>
      </c>
      <c r="AM653" s="14">
        <v>619</v>
      </c>
      <c r="AP653" s="14">
        <v>-63</v>
      </c>
      <c r="AR653" s="14">
        <v>122</v>
      </c>
      <c r="AS653" s="14">
        <v>-689</v>
      </c>
      <c r="AT653" s="14">
        <v>-3</v>
      </c>
      <c r="AU653" s="14">
        <v>9</v>
      </c>
      <c r="AV653" s="14">
        <v>-40</v>
      </c>
      <c r="AW653" s="14">
        <v>95</v>
      </c>
      <c r="AX653" s="14">
        <v>202</v>
      </c>
      <c r="AY653" s="14">
        <v>-9</v>
      </c>
      <c r="AZ653" s="14">
        <v>-167</v>
      </c>
      <c r="BA653" s="14">
        <v>-15</v>
      </c>
      <c r="BB653" s="14">
        <v>3</v>
      </c>
      <c r="BD653" s="14">
        <v>-21</v>
      </c>
    </row>
    <row r="654" spans="28:56" x14ac:dyDescent="0.25">
      <c r="AB654" s="14">
        <v>8</v>
      </c>
      <c r="AL654" s="14">
        <v>-334</v>
      </c>
      <c r="AM654" s="14">
        <v>-821</v>
      </c>
      <c r="AP654" s="14">
        <v>-281</v>
      </c>
      <c r="AR654" s="14">
        <v>-180</v>
      </c>
      <c r="AS654" s="14">
        <v>153</v>
      </c>
      <c r="AT654" s="14">
        <v>-21</v>
      </c>
      <c r="AU654" s="14">
        <v>12</v>
      </c>
      <c r="AV654" s="14">
        <v>-340</v>
      </c>
      <c r="AW654" s="14">
        <v>-48</v>
      </c>
      <c r="AX654" s="14">
        <v>232</v>
      </c>
      <c r="AY654" s="14">
        <v>-33</v>
      </c>
      <c r="AZ654" s="14">
        <v>-123</v>
      </c>
      <c r="BA654" s="14">
        <v>-21</v>
      </c>
      <c r="BB654" s="14">
        <v>129</v>
      </c>
      <c r="BD654" s="14">
        <v>-22</v>
      </c>
    </row>
    <row r="655" spans="28:56" x14ac:dyDescent="0.25">
      <c r="AB655" s="14">
        <v>68</v>
      </c>
      <c r="AL655" s="14">
        <v>-132</v>
      </c>
      <c r="AM655" s="14">
        <v>261</v>
      </c>
      <c r="AP655" s="14">
        <v>-122</v>
      </c>
      <c r="AR655" s="14">
        <v>297</v>
      </c>
      <c r="AS655" s="14">
        <v>-328</v>
      </c>
      <c r="AT655" s="14">
        <v>-18</v>
      </c>
      <c r="AU655" s="14">
        <v>-66</v>
      </c>
      <c r="AV655" s="14">
        <v>671</v>
      </c>
      <c r="AW655" s="14">
        <v>-464</v>
      </c>
      <c r="AX655" s="14">
        <v>309</v>
      </c>
      <c r="AY655" s="14">
        <v>-703</v>
      </c>
      <c r="AZ655" s="14">
        <v>-210</v>
      </c>
      <c r="BA655" s="14">
        <v>-21</v>
      </c>
      <c r="BB655" s="14">
        <v>2</v>
      </c>
      <c r="BD655" s="14">
        <v>-86</v>
      </c>
    </row>
    <row r="656" spans="28:56" x14ac:dyDescent="0.25">
      <c r="AB656" s="14">
        <v>89</v>
      </c>
      <c r="AL656" s="14">
        <v>-131</v>
      </c>
      <c r="AM656" s="14">
        <v>155</v>
      </c>
      <c r="AP656" s="14">
        <v>47</v>
      </c>
      <c r="AR656" s="14">
        <v>109</v>
      </c>
      <c r="AS656" s="14">
        <v>680</v>
      </c>
      <c r="AT656" s="14">
        <v>1</v>
      </c>
      <c r="AU656" s="14">
        <v>3</v>
      </c>
      <c r="AV656" s="14">
        <v>872</v>
      </c>
      <c r="AW656" s="14">
        <v>-102</v>
      </c>
      <c r="AX656" s="14">
        <v>332</v>
      </c>
      <c r="AY656" s="14">
        <v>-2</v>
      </c>
      <c r="AZ656" s="14">
        <v>-199</v>
      </c>
      <c r="BA656" s="14">
        <v>55</v>
      </c>
      <c r="BB656" s="14">
        <v>40</v>
      </c>
      <c r="BD656" s="14">
        <v>-104</v>
      </c>
    </row>
    <row r="657" spans="28:56" x14ac:dyDescent="0.25">
      <c r="AB657" s="14">
        <v>72</v>
      </c>
      <c r="AL657" s="14">
        <v>-369</v>
      </c>
      <c r="AM657" s="14">
        <v>-110</v>
      </c>
      <c r="AP657" s="14">
        <v>169</v>
      </c>
      <c r="AR657" s="14">
        <v>361</v>
      </c>
      <c r="AS657" s="14">
        <v>616</v>
      </c>
      <c r="AT657" s="14">
        <v>-2</v>
      </c>
      <c r="AU657" s="14">
        <v>8</v>
      </c>
      <c r="AV657" s="14">
        <v>192</v>
      </c>
      <c r="AW657" s="14">
        <v>523</v>
      </c>
      <c r="AX657" s="14">
        <v>252</v>
      </c>
      <c r="AY657" s="14">
        <v>-3</v>
      </c>
      <c r="AZ657" s="14">
        <v>127</v>
      </c>
      <c r="BA657" s="14">
        <v>54</v>
      </c>
      <c r="BB657" s="14">
        <v>-906</v>
      </c>
      <c r="BD657" s="14">
        <v>77</v>
      </c>
    </row>
    <row r="658" spans="28:56" x14ac:dyDescent="0.25">
      <c r="AB658" s="14">
        <v>-127</v>
      </c>
      <c r="AL658" s="14">
        <v>-88</v>
      </c>
      <c r="AM658" s="14">
        <v>530</v>
      </c>
      <c r="AP658" s="14">
        <v>13</v>
      </c>
      <c r="AR658" s="14">
        <v>-701</v>
      </c>
      <c r="AS658" s="14">
        <v>-654</v>
      </c>
      <c r="AT658" s="14">
        <v>2</v>
      </c>
      <c r="AU658" s="14">
        <v>19</v>
      </c>
      <c r="AV658" s="14">
        <v>-116</v>
      </c>
      <c r="AW658" s="14">
        <v>-912</v>
      </c>
      <c r="AX658" s="14">
        <v>512</v>
      </c>
      <c r="AY658" s="14">
        <v>-25</v>
      </c>
      <c r="AZ658" s="14">
        <v>14</v>
      </c>
      <c r="BA658" s="14">
        <v>58</v>
      </c>
      <c r="BB658" s="14">
        <v>-580</v>
      </c>
      <c r="BD658" s="14">
        <v>-115</v>
      </c>
    </row>
    <row r="659" spans="28:56" x14ac:dyDescent="0.25">
      <c r="AB659" s="14">
        <v>-105</v>
      </c>
      <c r="AL659" s="14">
        <v>-25</v>
      </c>
      <c r="AM659" s="14">
        <v>529</v>
      </c>
      <c r="AP659" s="14">
        <v>120</v>
      </c>
      <c r="AR659" s="14">
        <v>-510</v>
      </c>
      <c r="AS659" s="14">
        <v>-180</v>
      </c>
      <c r="AT659" s="14">
        <v>3</v>
      </c>
      <c r="AU659" s="14">
        <v>15</v>
      </c>
      <c r="AV659" s="14">
        <v>-602</v>
      </c>
      <c r="AW659" s="14">
        <v>437</v>
      </c>
      <c r="AX659" s="14">
        <v>159</v>
      </c>
      <c r="AY659" s="14">
        <v>437</v>
      </c>
      <c r="AZ659" s="14">
        <v>19</v>
      </c>
      <c r="BA659" s="14">
        <v>64</v>
      </c>
      <c r="BB659" s="14">
        <v>-971</v>
      </c>
      <c r="BD659" s="14">
        <v>-125</v>
      </c>
    </row>
    <row r="660" spans="28:56" x14ac:dyDescent="0.25">
      <c r="AB660" s="14">
        <v>469</v>
      </c>
      <c r="AL660" s="14">
        <v>-89</v>
      </c>
      <c r="AM660" s="14">
        <v>-152</v>
      </c>
      <c r="AP660" s="14">
        <v>1</v>
      </c>
      <c r="AR660" s="14">
        <v>-124</v>
      </c>
      <c r="AS660" s="14">
        <v>-181</v>
      </c>
      <c r="AT660" s="14">
        <v>2</v>
      </c>
      <c r="AU660" s="14">
        <v>2</v>
      </c>
      <c r="AV660" s="14">
        <v>260</v>
      </c>
      <c r="AW660" s="14">
        <v>394</v>
      </c>
      <c r="AX660" s="14">
        <v>293</v>
      </c>
      <c r="AY660" s="14">
        <v>-367</v>
      </c>
      <c r="AZ660" s="14">
        <v>-64</v>
      </c>
      <c r="BA660" s="14">
        <v>64</v>
      </c>
      <c r="BB660" s="14">
        <v>-653</v>
      </c>
      <c r="BD660" s="14">
        <v>-57</v>
      </c>
    </row>
    <row r="661" spans="28:56" x14ac:dyDescent="0.25">
      <c r="AB661" s="14">
        <v>658</v>
      </c>
      <c r="AL661" s="14">
        <v>-153</v>
      </c>
      <c r="AM661" s="14">
        <v>370</v>
      </c>
      <c r="AP661" s="14">
        <v>-394</v>
      </c>
      <c r="AR661" s="14">
        <v>647</v>
      </c>
      <c r="AS661" s="14">
        <v>-147</v>
      </c>
      <c r="AT661" s="14">
        <v>8</v>
      </c>
      <c r="AU661" s="14">
        <v>13</v>
      </c>
      <c r="AV661" s="14">
        <v>44</v>
      </c>
      <c r="AW661" s="14">
        <v>-455</v>
      </c>
      <c r="AX661" s="14">
        <v>942</v>
      </c>
      <c r="AY661" s="14">
        <v>-1</v>
      </c>
      <c r="AZ661" s="14">
        <v>-139</v>
      </c>
      <c r="BA661" s="14">
        <v>-23</v>
      </c>
      <c r="BB661" s="14">
        <v>-1012</v>
      </c>
      <c r="BD661" s="14">
        <v>357</v>
      </c>
    </row>
    <row r="662" spans="28:56" x14ac:dyDescent="0.25">
      <c r="AB662" s="14">
        <v>349</v>
      </c>
      <c r="AL662" s="14">
        <v>302</v>
      </c>
      <c r="AM662" s="14">
        <v>172</v>
      </c>
      <c r="AP662" s="14">
        <v>71</v>
      </c>
      <c r="AR662" s="14">
        <v>310</v>
      </c>
      <c r="AS662" s="14">
        <v>-392</v>
      </c>
      <c r="AT662" s="14">
        <v>-6</v>
      </c>
      <c r="AU662" s="14">
        <v>-3</v>
      </c>
      <c r="AV662" s="14">
        <v>156</v>
      </c>
      <c r="AW662" s="14">
        <v>-215</v>
      </c>
      <c r="AX662" s="14">
        <v>789</v>
      </c>
      <c r="AY662" s="14">
        <v>-4</v>
      </c>
      <c r="AZ662" s="14">
        <v>-49</v>
      </c>
      <c r="BA662" s="14">
        <v>-24</v>
      </c>
      <c r="BB662" s="14">
        <v>-909</v>
      </c>
      <c r="BD662" s="14">
        <v>531</v>
      </c>
    </row>
    <row r="663" spans="28:56" x14ac:dyDescent="0.25">
      <c r="AB663" s="14">
        <v>609</v>
      </c>
      <c r="AL663" s="14">
        <v>-43</v>
      </c>
      <c r="AM663" s="14">
        <v>-160</v>
      </c>
      <c r="AR663" s="14">
        <v>101</v>
      </c>
      <c r="AS663" s="14">
        <v>162</v>
      </c>
      <c r="AT663" s="14">
        <v>-3</v>
      </c>
      <c r="AU663" s="14">
        <v>39</v>
      </c>
      <c r="AV663" s="14">
        <v>221</v>
      </c>
      <c r="AW663" s="14">
        <v>395</v>
      </c>
      <c r="AX663" s="14">
        <v>908</v>
      </c>
      <c r="AY663" s="14">
        <v>-44</v>
      </c>
      <c r="AZ663" s="14">
        <v>-26</v>
      </c>
      <c r="BA663" s="14">
        <v>-19</v>
      </c>
      <c r="BB663" s="14">
        <v>-898</v>
      </c>
      <c r="BD663" s="14">
        <v>8</v>
      </c>
    </row>
    <row r="664" spans="28:56" x14ac:dyDescent="0.25">
      <c r="AB664" s="14">
        <v>-756</v>
      </c>
      <c r="AL664" s="14">
        <v>1</v>
      </c>
      <c r="AM664" s="14">
        <v>925</v>
      </c>
      <c r="AR664" s="14">
        <v>49</v>
      </c>
      <c r="AS664" s="14">
        <v>112</v>
      </c>
      <c r="AT664" s="14">
        <v>9</v>
      </c>
      <c r="AU664" s="14">
        <v>-6</v>
      </c>
      <c r="AV664" s="14">
        <v>-211</v>
      </c>
      <c r="AW664" s="14">
        <v>-921</v>
      </c>
      <c r="AX664" s="14">
        <v>-231</v>
      </c>
      <c r="AY664" s="14">
        <v>319</v>
      </c>
      <c r="AZ664" s="14">
        <v>197</v>
      </c>
      <c r="BA664" s="14">
        <v>-19</v>
      </c>
      <c r="BB664" s="14">
        <v>-969</v>
      </c>
      <c r="BD664" s="14">
        <v>43</v>
      </c>
    </row>
    <row r="665" spans="28:56" x14ac:dyDescent="0.25">
      <c r="AB665" s="14">
        <v>85</v>
      </c>
      <c r="AL665" s="14">
        <v>94</v>
      </c>
      <c r="AM665" s="14">
        <v>325</v>
      </c>
      <c r="AR665" s="14">
        <v>-72</v>
      </c>
      <c r="AS665" s="14">
        <v>-124</v>
      </c>
      <c r="AT665" s="14">
        <v>-2</v>
      </c>
      <c r="AU665" s="14">
        <v>24</v>
      </c>
      <c r="AV665" s="14">
        <v>-842</v>
      </c>
      <c r="AW665" s="14">
        <v>590</v>
      </c>
      <c r="AX665" s="14">
        <v>-375</v>
      </c>
      <c r="AY665" s="14">
        <v>-143</v>
      </c>
      <c r="AZ665" s="14">
        <v>64</v>
      </c>
      <c r="BA665" s="14">
        <v>5</v>
      </c>
      <c r="BB665" s="14">
        <v>-943</v>
      </c>
      <c r="BD665" s="14">
        <v>-7</v>
      </c>
    </row>
    <row r="666" spans="28:56" x14ac:dyDescent="0.25">
      <c r="AB666" s="14">
        <v>-218</v>
      </c>
      <c r="AL666" s="14">
        <v>195</v>
      </c>
      <c r="AM666" s="14">
        <v>-157</v>
      </c>
      <c r="AR666" s="14">
        <v>15</v>
      </c>
      <c r="AS666" s="14">
        <v>-175</v>
      </c>
      <c r="AT666" s="14">
        <v>7</v>
      </c>
      <c r="AU666" s="14">
        <v>27</v>
      </c>
      <c r="AV666" s="14">
        <v>182</v>
      </c>
      <c r="AW666" s="14">
        <v>508</v>
      </c>
      <c r="AX666" s="14">
        <v>-869</v>
      </c>
      <c r="AY666" s="14">
        <v>-2</v>
      </c>
      <c r="AZ666" s="14">
        <v>6</v>
      </c>
      <c r="BA666" s="14">
        <v>5</v>
      </c>
      <c r="BB666" s="14">
        <v>-896</v>
      </c>
      <c r="BD666" s="14">
        <v>11</v>
      </c>
    </row>
    <row r="667" spans="28:56" x14ac:dyDescent="0.25">
      <c r="AB667" s="14">
        <v>8</v>
      </c>
      <c r="AL667" s="14">
        <v>166</v>
      </c>
      <c r="AM667" s="14">
        <v>-684</v>
      </c>
      <c r="AR667" s="14">
        <v>137</v>
      </c>
      <c r="AS667" s="14">
        <v>-685</v>
      </c>
      <c r="AT667" s="14">
        <v>-4</v>
      </c>
      <c r="AU667" s="14">
        <v>5</v>
      </c>
      <c r="AV667" s="14">
        <v>215</v>
      </c>
      <c r="AW667" s="14">
        <v>235</v>
      </c>
      <c r="AX667" s="14">
        <v>-595</v>
      </c>
      <c r="AY667" s="14">
        <v>-4</v>
      </c>
      <c r="AZ667" s="14">
        <v>106</v>
      </c>
      <c r="BA667" s="14">
        <v>-34</v>
      </c>
      <c r="BB667" s="14">
        <v>-1025</v>
      </c>
      <c r="BD667" s="14">
        <v>-37</v>
      </c>
    </row>
    <row r="668" spans="28:56" x14ac:dyDescent="0.25">
      <c r="AB668" s="14">
        <v>166</v>
      </c>
      <c r="AL668" s="14">
        <v>-47</v>
      </c>
      <c r="AM668" s="14">
        <v>183</v>
      </c>
      <c r="AR668" s="14">
        <v>226</v>
      </c>
      <c r="AS668" s="14">
        <v>-198</v>
      </c>
      <c r="AT668" s="14">
        <v>3</v>
      </c>
      <c r="AU668" s="14">
        <v>10</v>
      </c>
      <c r="AV668" s="14">
        <v>231</v>
      </c>
      <c r="AW668" s="14">
        <v>-108</v>
      </c>
      <c r="AX668" s="14">
        <v>-203</v>
      </c>
      <c r="AY668" s="14">
        <v>-26</v>
      </c>
      <c r="AZ668" s="14">
        <v>106</v>
      </c>
      <c r="BA668" s="14">
        <v>-36</v>
      </c>
      <c r="BB668" s="14">
        <v>-577</v>
      </c>
      <c r="BD668" s="14">
        <v>-54</v>
      </c>
    </row>
    <row r="669" spans="28:56" x14ac:dyDescent="0.25">
      <c r="AB669" s="14">
        <v>64</v>
      </c>
      <c r="AL669" s="14">
        <v>92</v>
      </c>
      <c r="AM669" s="14">
        <v>-924</v>
      </c>
      <c r="AR669" s="14">
        <v>247</v>
      </c>
      <c r="AS669" s="14">
        <v>192</v>
      </c>
      <c r="AT669" s="14">
        <v>-10</v>
      </c>
      <c r="AU669" s="14">
        <v>8</v>
      </c>
      <c r="AV669" s="14">
        <v>219</v>
      </c>
      <c r="AW669" s="14">
        <v>215</v>
      </c>
      <c r="AX669" s="14">
        <v>-637</v>
      </c>
      <c r="AY669" s="14">
        <v>917</v>
      </c>
      <c r="AZ669" s="14">
        <v>167</v>
      </c>
      <c r="BA669" s="14">
        <v>-42</v>
      </c>
      <c r="BB669" s="14">
        <v>-952</v>
      </c>
      <c r="BD669" s="14">
        <v>-166</v>
      </c>
    </row>
    <row r="670" spans="28:56" x14ac:dyDescent="0.25">
      <c r="AB670" s="14">
        <v>90</v>
      </c>
      <c r="AL670" s="14">
        <v>-414</v>
      </c>
      <c r="AM670" s="14">
        <v>-912</v>
      </c>
      <c r="AR670" s="14">
        <v>281</v>
      </c>
      <c r="AS670" s="14">
        <v>-739</v>
      </c>
      <c r="AT670" s="14">
        <v>-2</v>
      </c>
      <c r="AU670" s="14">
        <v>27</v>
      </c>
      <c r="AV670" s="14">
        <v>244</v>
      </c>
      <c r="AW670" s="14">
        <v>-309</v>
      </c>
      <c r="AX670" s="14">
        <v>-286</v>
      </c>
      <c r="AY670" s="14">
        <v>-256</v>
      </c>
      <c r="AZ670" s="14">
        <v>-902</v>
      </c>
      <c r="BA670" s="14">
        <v>-41</v>
      </c>
      <c r="BB670" s="14">
        <v>-106</v>
      </c>
      <c r="BD670" s="14">
        <v>-54</v>
      </c>
    </row>
    <row r="671" spans="28:56" x14ac:dyDescent="0.25">
      <c r="AB671" s="14">
        <v>667</v>
      </c>
      <c r="AL671" s="14">
        <v>-292</v>
      </c>
      <c r="AM671" s="14">
        <v>300</v>
      </c>
      <c r="AR671" s="14">
        <v>378</v>
      </c>
      <c r="AS671" s="14">
        <v>-893</v>
      </c>
      <c r="AT671" s="14">
        <v>4</v>
      </c>
      <c r="AU671" s="14">
        <v>-7</v>
      </c>
      <c r="AV671" s="14">
        <v>246</v>
      </c>
      <c r="AW671" s="14">
        <v>-897</v>
      </c>
      <c r="AX671" s="14">
        <v>132</v>
      </c>
      <c r="AY671" s="14">
        <v>-4</v>
      </c>
      <c r="AZ671" s="14">
        <v>-885</v>
      </c>
      <c r="BA671" s="14">
        <v>-48</v>
      </c>
      <c r="BB671" s="14">
        <v>-700</v>
      </c>
      <c r="BD671" s="14">
        <v>-62</v>
      </c>
    </row>
    <row r="672" spans="28:56" x14ac:dyDescent="0.25">
      <c r="AB672" s="14">
        <v>-13</v>
      </c>
      <c r="AL672" s="14">
        <v>-148</v>
      </c>
      <c r="AM672" s="14">
        <v>-650</v>
      </c>
      <c r="AR672" s="14">
        <v>137</v>
      </c>
      <c r="AS672" s="14">
        <v>-466</v>
      </c>
      <c r="AT672" s="14">
        <v>16</v>
      </c>
      <c r="AU672" s="14">
        <v>9</v>
      </c>
      <c r="AV672" s="14">
        <v>242</v>
      </c>
      <c r="AW672" s="14">
        <v>927</v>
      </c>
      <c r="AX672" s="14">
        <v>-510</v>
      </c>
      <c r="AY672" s="14">
        <v>-54</v>
      </c>
      <c r="AZ672" s="14">
        <v>51</v>
      </c>
      <c r="BA672" s="14">
        <v>-48</v>
      </c>
      <c r="BB672" s="14">
        <v>-304</v>
      </c>
      <c r="BD672" s="14">
        <v>-134</v>
      </c>
    </row>
    <row r="673" spans="28:56" x14ac:dyDescent="0.25">
      <c r="AB673" s="14">
        <v>-22</v>
      </c>
      <c r="AL673" s="14">
        <v>-358</v>
      </c>
      <c r="AM673" s="14">
        <v>-250</v>
      </c>
      <c r="AR673" s="14">
        <v>-132</v>
      </c>
      <c r="AS673" s="14">
        <v>-214</v>
      </c>
      <c r="AT673" s="14">
        <v>-4</v>
      </c>
      <c r="AU673" s="14">
        <v>18</v>
      </c>
      <c r="AV673" s="14">
        <v>227</v>
      </c>
      <c r="AW673" s="14">
        <v>-347</v>
      </c>
      <c r="AX673" s="14">
        <v>-138</v>
      </c>
      <c r="AY673" s="14">
        <v>756</v>
      </c>
      <c r="AZ673" s="14">
        <v>-41</v>
      </c>
      <c r="BA673" s="14">
        <v>1</v>
      </c>
      <c r="BB673" s="14">
        <v>-224</v>
      </c>
      <c r="BD673" s="14">
        <v>-239</v>
      </c>
    </row>
    <row r="674" spans="28:56" x14ac:dyDescent="0.25">
      <c r="AB674" s="14">
        <v>-5</v>
      </c>
      <c r="AL674" s="14">
        <v>-331</v>
      </c>
      <c r="AM674" s="14">
        <v>102</v>
      </c>
      <c r="AR674" s="14">
        <v>116</v>
      </c>
      <c r="AS674" s="14">
        <v>-904</v>
      </c>
      <c r="AT674" s="14">
        <v>34</v>
      </c>
      <c r="AU674" s="14">
        <v>-9</v>
      </c>
      <c r="AV674" s="14">
        <v>127</v>
      </c>
      <c r="AW674" s="14">
        <v>-237</v>
      </c>
      <c r="AX674" s="14">
        <v>-687</v>
      </c>
      <c r="AY674" s="14">
        <v>-417</v>
      </c>
      <c r="AZ674" s="14">
        <v>-25</v>
      </c>
      <c r="BA674" s="14">
        <v>3</v>
      </c>
      <c r="BB674" s="14">
        <v>-271</v>
      </c>
      <c r="BD674" s="14">
        <v>-55</v>
      </c>
    </row>
    <row r="675" spans="28:56" x14ac:dyDescent="0.25">
      <c r="AB675" s="14">
        <v>2</v>
      </c>
      <c r="AL675" s="14">
        <v>-350</v>
      </c>
      <c r="AM675" s="14">
        <v>-258</v>
      </c>
      <c r="AR675" s="14">
        <v>-690</v>
      </c>
      <c r="AS675" s="14">
        <v>-885</v>
      </c>
      <c r="AT675" s="14">
        <v>-3</v>
      </c>
      <c r="AU675" s="14">
        <v>20</v>
      </c>
      <c r="AV675" s="14">
        <v>541</v>
      </c>
      <c r="AW675" s="14">
        <v>348</v>
      </c>
      <c r="AX675" s="14">
        <v>374</v>
      </c>
      <c r="AY675" s="14">
        <v>-4</v>
      </c>
      <c r="AZ675" s="14">
        <v>195</v>
      </c>
      <c r="BA675" s="14">
        <v>7</v>
      </c>
      <c r="BB675" s="14">
        <v>-195</v>
      </c>
      <c r="BD675" s="14">
        <v>18</v>
      </c>
    </row>
    <row r="676" spans="28:56" x14ac:dyDescent="0.25">
      <c r="AB676" s="14">
        <v>3</v>
      </c>
      <c r="AL676" s="14">
        <v>-33</v>
      </c>
      <c r="AM676" s="14">
        <v>-588</v>
      </c>
      <c r="AR676" s="14">
        <v>-200</v>
      </c>
      <c r="AS676" s="14">
        <v>-855</v>
      </c>
      <c r="AT676" s="14">
        <v>7</v>
      </c>
      <c r="AU676" s="14">
        <v>16</v>
      </c>
      <c r="AV676" s="14">
        <v>474</v>
      </c>
      <c r="AW676" s="14">
        <v>805</v>
      </c>
      <c r="AX676" s="14">
        <v>-39</v>
      </c>
      <c r="AY676" s="14">
        <v>-59</v>
      </c>
      <c r="AZ676" s="14">
        <v>-700</v>
      </c>
      <c r="BA676" s="14">
        <v>5</v>
      </c>
      <c r="BB676" s="14">
        <v>-876</v>
      </c>
      <c r="BD676" s="14">
        <v>45</v>
      </c>
    </row>
    <row r="677" spans="28:56" x14ac:dyDescent="0.25">
      <c r="AB677" s="14">
        <v>2</v>
      </c>
      <c r="AL677" s="14">
        <v>-181</v>
      </c>
      <c r="AM677" s="14">
        <v>-400</v>
      </c>
      <c r="AR677" s="14">
        <v>-140</v>
      </c>
      <c r="AS677" s="14">
        <v>-561</v>
      </c>
      <c r="AT677" s="14">
        <v>-3</v>
      </c>
      <c r="AU677" s="14">
        <v>20</v>
      </c>
      <c r="AV677" s="14">
        <v>-440</v>
      </c>
      <c r="AW677" s="14">
        <v>-868</v>
      </c>
      <c r="AX677" s="14">
        <v>-153</v>
      </c>
      <c r="AY677" s="14">
        <v>841</v>
      </c>
      <c r="AZ677" s="14">
        <v>409</v>
      </c>
      <c r="BA677" s="14">
        <v>11</v>
      </c>
      <c r="BB677" s="14">
        <v>-613</v>
      </c>
      <c r="BD677" s="14">
        <v>-20</v>
      </c>
    </row>
    <row r="678" spans="28:56" x14ac:dyDescent="0.25">
      <c r="AB678" s="14">
        <v>1</v>
      </c>
      <c r="AL678" s="14">
        <v>-108</v>
      </c>
      <c r="AM678" s="14">
        <v>-100</v>
      </c>
      <c r="AR678" s="14">
        <v>281</v>
      </c>
      <c r="AS678" s="14">
        <v>-507</v>
      </c>
      <c r="AT678" s="14">
        <v>4</v>
      </c>
      <c r="AU678" s="14">
        <v>-12</v>
      </c>
      <c r="AV678" s="14">
        <v>-455</v>
      </c>
      <c r="AW678" s="14">
        <v>273</v>
      </c>
      <c r="AX678" s="14">
        <v>-294</v>
      </c>
      <c r="AY678" s="14">
        <v>-181</v>
      </c>
      <c r="AZ678" s="14">
        <v>196</v>
      </c>
      <c r="BA678" s="14">
        <v>11</v>
      </c>
      <c r="BB678" s="14">
        <v>-419</v>
      </c>
      <c r="BD678" s="14">
        <v>43</v>
      </c>
    </row>
    <row r="679" spans="28:56" x14ac:dyDescent="0.25">
      <c r="AB679" s="14">
        <v>1</v>
      </c>
      <c r="AL679" s="14">
        <v>-30</v>
      </c>
      <c r="AM679" s="14">
        <v>-307</v>
      </c>
      <c r="AR679" s="14">
        <v>612</v>
      </c>
      <c r="AS679" s="14">
        <v>-168</v>
      </c>
      <c r="AT679" s="14">
        <v>5</v>
      </c>
      <c r="AU679" s="14">
        <v>-21</v>
      </c>
      <c r="AV679" s="14">
        <v>-545</v>
      </c>
      <c r="AW679" s="14">
        <v>265</v>
      </c>
      <c r="AX679" s="14">
        <v>703</v>
      </c>
      <c r="AY679" s="14">
        <v>2</v>
      </c>
      <c r="AZ679" s="14">
        <v>-774</v>
      </c>
      <c r="BA679" s="14">
        <v>650</v>
      </c>
      <c r="BB679" s="14">
        <v>-1031</v>
      </c>
      <c r="BD679" s="14">
        <v>37</v>
      </c>
    </row>
    <row r="680" spans="28:56" x14ac:dyDescent="0.25">
      <c r="AB680" s="14">
        <v>-4</v>
      </c>
      <c r="AL680" s="14">
        <v>7</v>
      </c>
      <c r="AM680" s="14">
        <v>720</v>
      </c>
      <c r="AR680" s="14">
        <v>-150</v>
      </c>
      <c r="AS680" s="14">
        <v>-415</v>
      </c>
      <c r="AT680" s="14">
        <v>-2</v>
      </c>
      <c r="AU680" s="14">
        <v>13</v>
      </c>
      <c r="AV680" s="14">
        <v>-742</v>
      </c>
      <c r="AW680" s="14">
        <v>257</v>
      </c>
      <c r="AX680" s="14">
        <v>-691</v>
      </c>
      <c r="AY680" s="14">
        <v>-6</v>
      </c>
      <c r="AZ680" s="14">
        <v>392</v>
      </c>
      <c r="BA680" s="14">
        <v>5</v>
      </c>
      <c r="BB680" s="14">
        <v>-617</v>
      </c>
      <c r="BD680" s="14">
        <v>-61</v>
      </c>
    </row>
    <row r="681" spans="28:56" x14ac:dyDescent="0.25">
      <c r="AB681" s="14">
        <v>2</v>
      </c>
      <c r="AL681" s="14">
        <v>106</v>
      </c>
      <c r="AM681" s="14">
        <v>111</v>
      </c>
      <c r="AR681" s="14">
        <v>236</v>
      </c>
      <c r="AS681" s="14">
        <v>287</v>
      </c>
      <c r="AT681" s="14">
        <v>1</v>
      </c>
      <c r="AU681" s="14">
        <v>20</v>
      </c>
      <c r="AV681" s="14">
        <v>-574</v>
      </c>
      <c r="AW681" s="14">
        <v>264</v>
      </c>
      <c r="AX681" s="14">
        <v>210</v>
      </c>
      <c r="AY681" s="14">
        <v>-55</v>
      </c>
      <c r="AZ681" s="14">
        <v>66</v>
      </c>
      <c r="BA681" s="14">
        <v>-207</v>
      </c>
      <c r="BB681" s="14">
        <v>-251</v>
      </c>
      <c r="BD681" s="14">
        <v>-48</v>
      </c>
    </row>
    <row r="682" spans="28:56" x14ac:dyDescent="0.25">
      <c r="AB682" s="14">
        <v>179</v>
      </c>
      <c r="AL682" s="14">
        <v>177</v>
      </c>
      <c r="AM682" s="14">
        <v>-315</v>
      </c>
      <c r="AR682" s="14">
        <v>-260</v>
      </c>
      <c r="AS682" s="14">
        <v>206</v>
      </c>
      <c r="AT682" s="14">
        <v>-5</v>
      </c>
      <c r="AU682" s="14">
        <v>42</v>
      </c>
      <c r="AV682" s="14">
        <v>-580</v>
      </c>
      <c r="AW682" s="14">
        <v>256</v>
      </c>
      <c r="AX682" s="14">
        <v>496</v>
      </c>
      <c r="AY682" s="14">
        <v>922</v>
      </c>
      <c r="AZ682" s="14">
        <v>-69</v>
      </c>
      <c r="BA682" s="14">
        <v>-762</v>
      </c>
      <c r="BB682" s="14">
        <v>-704</v>
      </c>
      <c r="BD682" s="14">
        <v>-72</v>
      </c>
    </row>
    <row r="683" spans="28:56" x14ac:dyDescent="0.25">
      <c r="AB683" s="14">
        <v>-249</v>
      </c>
      <c r="AL683" s="14">
        <v>153</v>
      </c>
      <c r="AM683" s="14">
        <v>688</v>
      </c>
      <c r="AR683" s="14">
        <v>186</v>
      </c>
      <c r="AS683" s="14">
        <v>-274</v>
      </c>
      <c r="AT683" s="14">
        <v>-4</v>
      </c>
      <c r="AU683" s="14">
        <v>-28</v>
      </c>
      <c r="AV683" s="14">
        <v>-645</v>
      </c>
      <c r="AW683" s="14">
        <v>257</v>
      </c>
      <c r="AX683" s="14">
        <v>-152</v>
      </c>
      <c r="AY683" s="14">
        <v>506</v>
      </c>
      <c r="AZ683" s="14">
        <v>125</v>
      </c>
      <c r="BA683" s="14">
        <v>76</v>
      </c>
      <c r="BB683" s="14">
        <v>-416</v>
      </c>
      <c r="BD683" s="14">
        <v>-79</v>
      </c>
    </row>
    <row r="684" spans="28:56" x14ac:dyDescent="0.25">
      <c r="AB684" s="14">
        <v>459</v>
      </c>
      <c r="AL684" s="14">
        <v>-92</v>
      </c>
      <c r="AM684" s="14">
        <v>-117</v>
      </c>
      <c r="AR684" s="14">
        <v>160</v>
      </c>
      <c r="AS684" s="14">
        <v>-125</v>
      </c>
      <c r="AT684" s="14">
        <v>-13</v>
      </c>
      <c r="AU684" s="14">
        <v>-127</v>
      </c>
      <c r="AV684" s="14">
        <v>-828</v>
      </c>
      <c r="AW684" s="14">
        <v>-791</v>
      </c>
      <c r="AX684" s="14">
        <v>232</v>
      </c>
      <c r="AY684" s="14">
        <v>2</v>
      </c>
      <c r="AZ684" s="14">
        <v>65</v>
      </c>
      <c r="BA684" s="14">
        <v>-213</v>
      </c>
      <c r="BB684" s="14">
        <v>-634</v>
      </c>
      <c r="BD684" s="14">
        <v>-82</v>
      </c>
    </row>
    <row r="685" spans="28:56" x14ac:dyDescent="0.25">
      <c r="AB685" s="14">
        <v>21</v>
      </c>
      <c r="AL685" s="14">
        <v>-104</v>
      </c>
      <c r="AM685" s="14">
        <v>725</v>
      </c>
      <c r="AR685" s="14">
        <v>990</v>
      </c>
      <c r="AS685" s="14">
        <v>113</v>
      </c>
      <c r="AT685" s="14">
        <v>3</v>
      </c>
      <c r="AU685" s="14">
        <v>-19</v>
      </c>
      <c r="AV685" s="14">
        <v>444</v>
      </c>
      <c r="AW685" s="14">
        <v>-109</v>
      </c>
      <c r="AX685" s="14">
        <v>-24</v>
      </c>
      <c r="AY685" s="14">
        <v>-6</v>
      </c>
      <c r="AZ685" s="14">
        <v>-76</v>
      </c>
      <c r="BA685" s="14">
        <v>-105</v>
      </c>
      <c r="BB685" s="14">
        <v>306</v>
      </c>
      <c r="BD685" s="14">
        <v>-27</v>
      </c>
    </row>
    <row r="686" spans="28:56" x14ac:dyDescent="0.25">
      <c r="AB686" s="14">
        <v>-212</v>
      </c>
      <c r="AL686" s="14">
        <v>-29</v>
      </c>
      <c r="AM686" s="14">
        <v>-451</v>
      </c>
      <c r="AR686" s="14">
        <v>-149</v>
      </c>
      <c r="AS686" s="14">
        <v>-117</v>
      </c>
      <c r="AT686" s="14">
        <v>4</v>
      </c>
      <c r="AU686" s="14">
        <v>305</v>
      </c>
      <c r="AV686" s="14">
        <v>559</v>
      </c>
      <c r="AW686" s="14">
        <v>-111</v>
      </c>
      <c r="AX686" s="14">
        <v>203</v>
      </c>
      <c r="AY686" s="14">
        <v>-99</v>
      </c>
      <c r="AZ686" s="14">
        <v>114</v>
      </c>
      <c r="BA686" s="14">
        <v>691</v>
      </c>
      <c r="BB686" s="14">
        <v>590</v>
      </c>
      <c r="BD686" s="14">
        <v>-35</v>
      </c>
    </row>
    <row r="687" spans="28:56" x14ac:dyDescent="0.25">
      <c r="AB687" s="14">
        <v>-141</v>
      </c>
      <c r="AL687" s="14">
        <v>-61</v>
      </c>
      <c r="AM687" s="14">
        <v>-430</v>
      </c>
      <c r="AR687" s="14">
        <v>-105</v>
      </c>
      <c r="AS687" s="14">
        <v>-648</v>
      </c>
      <c r="AT687" s="14">
        <v>-4</v>
      </c>
      <c r="AU687" s="14">
        <v>225</v>
      </c>
      <c r="AV687" s="14">
        <v>201</v>
      </c>
      <c r="AW687" s="14">
        <v>-786</v>
      </c>
      <c r="AX687" s="14">
        <v>433</v>
      </c>
      <c r="AY687" s="14">
        <v>-423</v>
      </c>
      <c r="AZ687" s="14">
        <v>217</v>
      </c>
      <c r="BA687" s="14">
        <v>353</v>
      </c>
      <c r="BB687" s="14">
        <v>388</v>
      </c>
      <c r="BD687" s="14">
        <v>-84</v>
      </c>
    </row>
    <row r="688" spans="28:56" x14ac:dyDescent="0.25">
      <c r="AB688" s="14">
        <v>841</v>
      </c>
      <c r="AL688" s="14">
        <v>-14</v>
      </c>
      <c r="AM688" s="14">
        <v>-149</v>
      </c>
      <c r="AR688" s="14">
        <v>-640</v>
      </c>
      <c r="AS688" s="14">
        <v>-401</v>
      </c>
      <c r="AT688" s="14">
        <v>1</v>
      </c>
      <c r="AU688" s="14">
        <v>-157</v>
      </c>
      <c r="AV688" s="14">
        <v>441</v>
      </c>
      <c r="AW688" s="14">
        <v>-107</v>
      </c>
      <c r="AX688" s="14">
        <v>-993</v>
      </c>
      <c r="AY688" s="14">
        <v>-51</v>
      </c>
      <c r="AZ688" s="14">
        <v>-797</v>
      </c>
      <c r="BA688" s="14">
        <v>9</v>
      </c>
      <c r="BB688" s="14">
        <v>626</v>
      </c>
      <c r="BD688" s="14">
        <v>5</v>
      </c>
    </row>
    <row r="689" spans="28:56" x14ac:dyDescent="0.25">
      <c r="AB689" s="14">
        <v>197</v>
      </c>
      <c r="AL689" s="14">
        <v>58</v>
      </c>
      <c r="AM689" s="14">
        <v>163</v>
      </c>
      <c r="AR689" s="14">
        <v>341</v>
      </c>
      <c r="AS689" s="14">
        <v>-138</v>
      </c>
      <c r="AT689" s="14">
        <v>78</v>
      </c>
      <c r="AU689" s="14">
        <v>-171</v>
      </c>
      <c r="AV689" s="14">
        <v>674</v>
      </c>
      <c r="AW689" s="14">
        <v>-109</v>
      </c>
      <c r="AX689" s="14">
        <v>136</v>
      </c>
      <c r="AY689" s="14">
        <v>-1</v>
      </c>
      <c r="AZ689" s="14">
        <v>348</v>
      </c>
      <c r="BA689" s="14">
        <v>-241</v>
      </c>
      <c r="BB689" s="14">
        <v>291</v>
      </c>
      <c r="BD689" s="14">
        <v>-1</v>
      </c>
    </row>
    <row r="690" spans="28:56" x14ac:dyDescent="0.25">
      <c r="AB690" s="14">
        <v>-586</v>
      </c>
      <c r="AL690" s="14">
        <v>-19</v>
      </c>
      <c r="AM690" s="14">
        <v>-334</v>
      </c>
      <c r="AR690" s="14">
        <v>215</v>
      </c>
      <c r="AS690" s="14">
        <v>224</v>
      </c>
      <c r="AT690" s="14">
        <v>1</v>
      </c>
      <c r="AU690" s="14">
        <v>133</v>
      </c>
      <c r="AV690" s="14">
        <v>62</v>
      </c>
      <c r="AW690" s="14">
        <v>-382</v>
      </c>
      <c r="AX690" s="14">
        <v>-780</v>
      </c>
      <c r="AY690" s="14">
        <v>-2</v>
      </c>
      <c r="AZ690" s="14">
        <v>222</v>
      </c>
      <c r="BA690" s="14">
        <v>-143</v>
      </c>
      <c r="BB690" s="14">
        <v>482</v>
      </c>
      <c r="BD690" s="14">
        <v>-13</v>
      </c>
    </row>
    <row r="691" spans="28:56" x14ac:dyDescent="0.25">
      <c r="AB691" s="14">
        <v>634</v>
      </c>
      <c r="AL691" s="14">
        <v>-141</v>
      </c>
      <c r="AM691" s="14">
        <v>184</v>
      </c>
      <c r="AR691" s="14">
        <v>487</v>
      </c>
      <c r="AS691" s="14">
        <v>-134</v>
      </c>
      <c r="AT691" s="14">
        <v>2</v>
      </c>
      <c r="AU691" s="14">
        <v>-550</v>
      </c>
      <c r="AV691" s="14">
        <v>59</v>
      </c>
      <c r="AW691" s="14">
        <v>-505</v>
      </c>
      <c r="AX691" s="14">
        <v>-461</v>
      </c>
      <c r="AY691" s="14">
        <v>-36</v>
      </c>
      <c r="AZ691" s="14">
        <v>-865</v>
      </c>
      <c r="BA691" s="14">
        <v>164</v>
      </c>
      <c r="BB691" s="14">
        <v>501</v>
      </c>
      <c r="BD691" s="14">
        <v>-45</v>
      </c>
    </row>
    <row r="692" spans="28:56" x14ac:dyDescent="0.25">
      <c r="AB692" s="14">
        <v>736</v>
      </c>
      <c r="AL692" s="14">
        <v>-75</v>
      </c>
      <c r="AM692" s="14">
        <v>-806</v>
      </c>
      <c r="AR692" s="14">
        <v>130</v>
      </c>
      <c r="AS692" s="14">
        <v>-272</v>
      </c>
      <c r="AT692" s="14">
        <v>11</v>
      </c>
      <c r="AU692" s="14">
        <v>-164</v>
      </c>
      <c r="AV692" s="14">
        <v>2</v>
      </c>
      <c r="AW692" s="14">
        <v>-551</v>
      </c>
      <c r="AX692" s="14">
        <v>-680</v>
      </c>
      <c r="AY692" s="14">
        <v>807</v>
      </c>
      <c r="AZ692" s="14">
        <v>-349</v>
      </c>
      <c r="BA692" s="14">
        <v>-273</v>
      </c>
      <c r="BB692" s="14">
        <v>231</v>
      </c>
      <c r="BD692" s="14">
        <v>-59</v>
      </c>
    </row>
    <row r="693" spans="28:56" x14ac:dyDescent="0.25">
      <c r="AB693" s="14">
        <v>316</v>
      </c>
      <c r="AL693" s="14">
        <v>-105</v>
      </c>
      <c r="AM693" s="14">
        <v>164</v>
      </c>
      <c r="AR693" s="14">
        <v>-271</v>
      </c>
      <c r="AS693" s="14">
        <v>153</v>
      </c>
      <c r="AT693" s="14">
        <v>-3</v>
      </c>
      <c r="AU693" s="14">
        <v>-919</v>
      </c>
      <c r="AV693" s="14">
        <v>2</v>
      </c>
      <c r="AW693" s="14">
        <v>16</v>
      </c>
      <c r="AX693" s="14">
        <v>-113</v>
      </c>
      <c r="AY693" s="14">
        <v>121</v>
      </c>
      <c r="AZ693" s="14">
        <v>-622</v>
      </c>
      <c r="BA693" s="14">
        <v>-143</v>
      </c>
      <c r="BB693" s="14">
        <v>220</v>
      </c>
      <c r="BD693" s="14">
        <v>-3</v>
      </c>
    </row>
    <row r="694" spans="28:56" x14ac:dyDescent="0.25">
      <c r="AB694" s="14">
        <v>905</v>
      </c>
      <c r="AL694" s="14">
        <v>-46</v>
      </c>
      <c r="AM694" s="14">
        <v>33</v>
      </c>
      <c r="AR694" s="14">
        <v>520</v>
      </c>
      <c r="AS694" s="14">
        <v>251</v>
      </c>
      <c r="AT694" s="14">
        <v>26</v>
      </c>
      <c r="AU694" s="14">
        <v>-104</v>
      </c>
      <c r="AV694" s="14">
        <v>2</v>
      </c>
      <c r="AW694" s="14">
        <v>17</v>
      </c>
      <c r="AX694" s="14">
        <v>526</v>
      </c>
      <c r="AY694" s="14">
        <v>-113</v>
      </c>
      <c r="AZ694" s="14">
        <v>-214</v>
      </c>
      <c r="BA694" s="14">
        <v>121</v>
      </c>
      <c r="BB694" s="14">
        <v>-149</v>
      </c>
      <c r="BD694" s="14">
        <v>-32</v>
      </c>
    </row>
    <row r="695" spans="28:56" x14ac:dyDescent="0.25">
      <c r="AB695" s="14">
        <v>-819</v>
      </c>
      <c r="AL695" s="14">
        <v>-185</v>
      </c>
      <c r="AM695" s="14">
        <v>475</v>
      </c>
      <c r="AR695" s="14">
        <v>357</v>
      </c>
      <c r="AS695" s="14">
        <v>333</v>
      </c>
      <c r="AT695" s="14">
        <v>-2</v>
      </c>
      <c r="AU695" s="14">
        <v>-296</v>
      </c>
      <c r="AV695" s="14">
        <v>5</v>
      </c>
      <c r="AW695" s="14">
        <v>-92</v>
      </c>
      <c r="AX695" s="14">
        <v>-243</v>
      </c>
      <c r="AY695" s="14">
        <v>121</v>
      </c>
      <c r="AZ695" s="14">
        <v>-775</v>
      </c>
      <c r="BA695" s="14">
        <v>343</v>
      </c>
      <c r="BB695" s="14">
        <v>250</v>
      </c>
      <c r="BD695" s="14">
        <v>18</v>
      </c>
    </row>
    <row r="696" spans="28:56" x14ac:dyDescent="0.25">
      <c r="AB696" s="14">
        <v>7</v>
      </c>
      <c r="AL696" s="14">
        <v>40</v>
      </c>
      <c r="AM696" s="14">
        <v>695</v>
      </c>
      <c r="AR696" s="14">
        <v>544</v>
      </c>
      <c r="AS696" s="14">
        <v>143</v>
      </c>
      <c r="AT696" s="14">
        <v>7</v>
      </c>
      <c r="AU696" s="14">
        <v>-813</v>
      </c>
      <c r="AV696" s="14">
        <v>19</v>
      </c>
      <c r="AW696" s="14">
        <v>-72</v>
      </c>
      <c r="AX696" s="14">
        <v>706</v>
      </c>
      <c r="AY696" s="14">
        <v>-108</v>
      </c>
      <c r="AZ696" s="14">
        <v>-596</v>
      </c>
      <c r="BA696" s="14">
        <v>11</v>
      </c>
      <c r="BB696" s="14">
        <v>-79</v>
      </c>
      <c r="BD696" s="14">
        <v>-77</v>
      </c>
    </row>
    <row r="697" spans="28:56" x14ac:dyDescent="0.25">
      <c r="AB697" s="14">
        <v>-181</v>
      </c>
      <c r="AL697" s="14">
        <v>10</v>
      </c>
      <c r="AM697" s="14">
        <v>-206</v>
      </c>
      <c r="AR697" s="14">
        <v>485</v>
      </c>
      <c r="AS697" s="14">
        <v>-102</v>
      </c>
      <c r="AT697" s="14">
        <v>-7</v>
      </c>
      <c r="AU697" s="14">
        <v>41</v>
      </c>
      <c r="AV697" s="14">
        <v>-4</v>
      </c>
      <c r="AW697" s="14">
        <v>32</v>
      </c>
      <c r="AX697" s="14">
        <v>380</v>
      </c>
      <c r="AY697" s="14">
        <v>103</v>
      </c>
      <c r="AZ697" s="14">
        <v>-420</v>
      </c>
      <c r="BA697" s="14">
        <v>218</v>
      </c>
      <c r="BB697" s="14">
        <v>5</v>
      </c>
      <c r="BD697" s="14">
        <v>-60</v>
      </c>
    </row>
    <row r="698" spans="28:56" x14ac:dyDescent="0.25">
      <c r="AB698" s="14">
        <v>908</v>
      </c>
      <c r="AL698" s="14">
        <v>40</v>
      </c>
      <c r="AM698" s="14">
        <v>-440</v>
      </c>
      <c r="AR698" s="14">
        <v>476</v>
      </c>
      <c r="AS698" s="14">
        <v>-486</v>
      </c>
      <c r="AT698" s="14">
        <v>2</v>
      </c>
      <c r="AU698" s="14">
        <v>-232</v>
      </c>
      <c r="AW698" s="14">
        <v>30</v>
      </c>
      <c r="AX698" s="14">
        <v>352</v>
      </c>
      <c r="AY698" s="14">
        <v>217</v>
      </c>
      <c r="AZ698" s="14">
        <v>-620</v>
      </c>
      <c r="BA698" s="14">
        <v>-164</v>
      </c>
      <c r="BB698" s="14">
        <v>2773</v>
      </c>
      <c r="BD698" s="14">
        <v>-122</v>
      </c>
    </row>
    <row r="699" spans="28:56" x14ac:dyDescent="0.25">
      <c r="AB699" s="14">
        <v>-197</v>
      </c>
      <c r="AL699" s="14">
        <v>83</v>
      </c>
      <c r="AM699" s="14">
        <v>104</v>
      </c>
      <c r="AR699" s="14">
        <v>165</v>
      </c>
      <c r="AS699" s="14">
        <v>-481</v>
      </c>
      <c r="AT699" s="14">
        <v>-3</v>
      </c>
      <c r="AU699" s="14">
        <v>28</v>
      </c>
      <c r="AW699" s="14">
        <v>-329</v>
      </c>
      <c r="AX699" s="14">
        <v>173</v>
      </c>
      <c r="AY699" s="14">
        <v>311</v>
      </c>
      <c r="AZ699" s="14">
        <v>-481</v>
      </c>
      <c r="BA699" s="14">
        <v>-858</v>
      </c>
      <c r="BB699" s="14">
        <v>-744</v>
      </c>
      <c r="BD699" s="14">
        <v>-70</v>
      </c>
    </row>
    <row r="700" spans="28:56" x14ac:dyDescent="0.25">
      <c r="AB700" s="14">
        <v>-41</v>
      </c>
      <c r="AL700" s="14">
        <v>90</v>
      </c>
      <c r="AM700" s="14">
        <v>-188</v>
      </c>
      <c r="AR700" s="14">
        <v>485</v>
      </c>
      <c r="AS700" s="14">
        <v>-285</v>
      </c>
      <c r="AT700" s="14">
        <v>5</v>
      </c>
      <c r="AU700" s="14">
        <v>-27</v>
      </c>
      <c r="AW700" s="14">
        <v>-334</v>
      </c>
      <c r="AX700" s="14">
        <v>574</v>
      </c>
      <c r="AY700" s="14">
        <v>-220</v>
      </c>
      <c r="AZ700" s="14">
        <v>392</v>
      </c>
      <c r="BA700" s="14">
        <v>-625</v>
      </c>
      <c r="BB700" s="14">
        <v>1239</v>
      </c>
      <c r="BD700" s="14">
        <v>-69</v>
      </c>
    </row>
    <row r="701" spans="28:56" x14ac:dyDescent="0.25">
      <c r="AB701" s="14">
        <v>-18</v>
      </c>
      <c r="AL701" s="14">
        <v>-67</v>
      </c>
      <c r="AM701" s="14">
        <v>562</v>
      </c>
      <c r="AR701" s="14">
        <v>-384</v>
      </c>
      <c r="AS701" s="14">
        <v>-153</v>
      </c>
      <c r="AT701" s="14">
        <v>11</v>
      </c>
      <c r="AU701" s="14">
        <v>59</v>
      </c>
      <c r="AW701" s="14">
        <v>-163</v>
      </c>
      <c r="AX701" s="14">
        <v>59</v>
      </c>
      <c r="AY701" s="14">
        <v>-373</v>
      </c>
      <c r="AZ701" s="14">
        <v>891</v>
      </c>
      <c r="BA701" s="14">
        <v>-192</v>
      </c>
      <c r="BB701" s="14">
        <v>-264</v>
      </c>
      <c r="BD701" s="14">
        <v>-72</v>
      </c>
    </row>
    <row r="702" spans="28:56" x14ac:dyDescent="0.25">
      <c r="AB702" s="14">
        <v>-440</v>
      </c>
      <c r="AL702" s="14">
        <v>-137</v>
      </c>
      <c r="AM702" s="14">
        <v>-985</v>
      </c>
      <c r="AR702" s="14">
        <v>-272</v>
      </c>
      <c r="AS702" s="14">
        <v>-294</v>
      </c>
      <c r="AT702" s="14">
        <v>105</v>
      </c>
      <c r="AU702" s="14">
        <v>-26</v>
      </c>
      <c r="AW702" s="14">
        <v>35</v>
      </c>
      <c r="AX702" s="14">
        <v>272</v>
      </c>
      <c r="AY702" s="14">
        <v>120</v>
      </c>
      <c r="AZ702" s="14">
        <v>152</v>
      </c>
      <c r="BA702" s="14">
        <v>213</v>
      </c>
      <c r="BB702" s="14">
        <v>-491</v>
      </c>
      <c r="BD702" s="14">
        <v>-80</v>
      </c>
    </row>
    <row r="703" spans="28:56" x14ac:dyDescent="0.25">
      <c r="AB703" s="14">
        <v>187</v>
      </c>
      <c r="AL703" s="14">
        <v>43</v>
      </c>
      <c r="AM703" s="14">
        <v>241</v>
      </c>
      <c r="AR703" s="14">
        <v>-94</v>
      </c>
      <c r="AS703" s="14">
        <v>-452</v>
      </c>
      <c r="AT703" s="14">
        <v>-64</v>
      </c>
      <c r="AU703" s="14">
        <v>64</v>
      </c>
      <c r="AW703" s="14">
        <v>33</v>
      </c>
      <c r="AX703" s="14">
        <v>268</v>
      </c>
      <c r="AY703" s="14">
        <v>-983</v>
      </c>
      <c r="AZ703" s="14">
        <v>-306</v>
      </c>
      <c r="BA703" s="14">
        <v>103</v>
      </c>
      <c r="BB703" s="14">
        <v>1950</v>
      </c>
      <c r="BD703" s="14">
        <v>-23</v>
      </c>
    </row>
    <row r="704" spans="28:56" x14ac:dyDescent="0.25">
      <c r="AB704" s="14">
        <v>54</v>
      </c>
      <c r="AL704" s="14">
        <v>-34</v>
      </c>
      <c r="AM704" s="14">
        <v>-288</v>
      </c>
      <c r="AR704" s="14">
        <v>-28</v>
      </c>
      <c r="AS704" s="14">
        <v>124</v>
      </c>
      <c r="AT704" s="14">
        <v>-161</v>
      </c>
      <c r="AU704" s="14">
        <v>85</v>
      </c>
      <c r="AW704" s="14">
        <v>-305</v>
      </c>
      <c r="AX704" s="14">
        <v>-538</v>
      </c>
      <c r="AY704" s="14">
        <v>121</v>
      </c>
      <c r="AZ704" s="14">
        <v>-404</v>
      </c>
      <c r="BA704" s="14">
        <v>116</v>
      </c>
      <c r="BB704" s="14">
        <v>63</v>
      </c>
      <c r="BD704" s="14">
        <v>3</v>
      </c>
    </row>
    <row r="705" spans="28:56" x14ac:dyDescent="0.25">
      <c r="AB705" s="14">
        <v>400</v>
      </c>
      <c r="AL705" s="14">
        <v>-101</v>
      </c>
      <c r="AM705" s="14">
        <v>-774</v>
      </c>
      <c r="AR705" s="14">
        <v>-17</v>
      </c>
      <c r="AS705" s="14">
        <v>-127</v>
      </c>
      <c r="AT705" s="14">
        <v>10</v>
      </c>
      <c r="AU705" s="14">
        <v>-395</v>
      </c>
      <c r="AW705" s="14">
        <v>-303</v>
      </c>
      <c r="AX705" s="14">
        <v>186</v>
      </c>
      <c r="AY705" s="14">
        <v>-945</v>
      </c>
      <c r="AZ705" s="14">
        <v>471</v>
      </c>
      <c r="BA705" s="14">
        <v>-176</v>
      </c>
      <c r="BB705" s="14">
        <v>426</v>
      </c>
      <c r="BD705" s="14">
        <v>103</v>
      </c>
    </row>
    <row r="706" spans="28:56" x14ac:dyDescent="0.25">
      <c r="AB706" s="14">
        <v>-414</v>
      </c>
      <c r="AL706" s="14">
        <v>88</v>
      </c>
      <c r="AM706" s="14">
        <v>-930</v>
      </c>
      <c r="AR706" s="14">
        <v>-112</v>
      </c>
      <c r="AS706" s="14">
        <v>-285</v>
      </c>
      <c r="AT706" s="14">
        <v>8</v>
      </c>
      <c r="AU706" s="14">
        <v>64</v>
      </c>
      <c r="AW706" s="14">
        <v>-192</v>
      </c>
      <c r="AX706" s="14">
        <v>187</v>
      </c>
      <c r="AY706" s="14">
        <v>775</v>
      </c>
      <c r="AZ706" s="14">
        <v>-250</v>
      </c>
      <c r="BA706" s="14">
        <v>-183</v>
      </c>
      <c r="BB706" s="14">
        <v>584</v>
      </c>
      <c r="BD706" s="14">
        <v>-67</v>
      </c>
    </row>
    <row r="707" spans="28:56" x14ac:dyDescent="0.25">
      <c r="AB707" s="14">
        <v>-352</v>
      </c>
      <c r="AL707" s="14">
        <v>-12</v>
      </c>
      <c r="AM707" s="14">
        <v>310</v>
      </c>
      <c r="AR707" s="14">
        <v>-149</v>
      </c>
      <c r="AS707" s="14">
        <v>125</v>
      </c>
      <c r="AT707" s="14">
        <v>-3</v>
      </c>
      <c r="AU707" s="14">
        <v>-153</v>
      </c>
      <c r="AW707" s="14">
        <v>-1</v>
      </c>
      <c r="AX707" s="14">
        <v>198</v>
      </c>
      <c r="AY707" s="14">
        <v>237</v>
      </c>
      <c r="AZ707" s="14">
        <v>-56</v>
      </c>
      <c r="BA707" s="14">
        <v>-114</v>
      </c>
      <c r="BB707" s="14">
        <v>140</v>
      </c>
      <c r="BD707" s="14">
        <v>-55</v>
      </c>
    </row>
    <row r="708" spans="28:56" x14ac:dyDescent="0.25">
      <c r="AB708" s="14">
        <v>-17</v>
      </c>
      <c r="AL708" s="14">
        <v>7</v>
      </c>
      <c r="AM708" s="14">
        <v>-327</v>
      </c>
      <c r="AR708" s="14">
        <v>-273</v>
      </c>
      <c r="AS708" s="14">
        <v>141</v>
      </c>
      <c r="AT708" s="14">
        <v>3</v>
      </c>
      <c r="AU708" s="14">
        <v>106</v>
      </c>
      <c r="AW708" s="14">
        <v>-1</v>
      </c>
      <c r="AX708" s="14">
        <v>252</v>
      </c>
      <c r="AY708" s="14">
        <v>309</v>
      </c>
      <c r="AZ708" s="14">
        <v>762</v>
      </c>
      <c r="BA708" s="14">
        <v>-937</v>
      </c>
      <c r="BB708" s="14">
        <v>341</v>
      </c>
      <c r="BD708" s="14">
        <v>-70</v>
      </c>
    </row>
    <row r="709" spans="28:56" x14ac:dyDescent="0.25">
      <c r="AB709" s="14">
        <v>934</v>
      </c>
      <c r="AL709" s="14">
        <v>60</v>
      </c>
      <c r="AM709" s="14">
        <v>157</v>
      </c>
      <c r="AR709" s="14">
        <v>-807</v>
      </c>
      <c r="AS709" s="14">
        <v>-192</v>
      </c>
      <c r="AT709" s="14">
        <v>63</v>
      </c>
      <c r="AU709" s="14">
        <v>59</v>
      </c>
      <c r="AW709" s="14">
        <v>-1</v>
      </c>
      <c r="AX709" s="14">
        <v>373</v>
      </c>
      <c r="AY709" s="14">
        <v>-218</v>
      </c>
      <c r="AZ709" s="14">
        <v>-544</v>
      </c>
      <c r="BA709" s="14">
        <v>290</v>
      </c>
      <c r="BB709" s="14">
        <v>3219</v>
      </c>
      <c r="BD709" s="14">
        <v>-28</v>
      </c>
    </row>
    <row r="710" spans="28:56" x14ac:dyDescent="0.25">
      <c r="AB710" s="14">
        <v>-555</v>
      </c>
      <c r="AL710" s="14">
        <v>78</v>
      </c>
      <c r="AM710" s="14">
        <v>-936</v>
      </c>
      <c r="AR710" s="14">
        <v>-749</v>
      </c>
      <c r="AS710" s="14">
        <v>523</v>
      </c>
      <c r="AT710" s="14">
        <v>8</v>
      </c>
      <c r="AU710" s="14">
        <v>119</v>
      </c>
      <c r="AW710" s="14">
        <v>-1</v>
      </c>
      <c r="AX710" s="14">
        <v>285</v>
      </c>
      <c r="AY710" s="14">
        <v>-359</v>
      </c>
      <c r="AZ710" s="14">
        <v>334</v>
      </c>
      <c r="BA710" s="14">
        <v>298</v>
      </c>
      <c r="BB710" s="14">
        <v>479</v>
      </c>
      <c r="BD710" s="14">
        <v>-49</v>
      </c>
    </row>
    <row r="711" spans="28:56" x14ac:dyDescent="0.25">
      <c r="AB711" s="14">
        <v>162</v>
      </c>
      <c r="AL711" s="14">
        <v>426</v>
      </c>
      <c r="AM711" s="14">
        <v>164</v>
      </c>
      <c r="AR711" s="14">
        <v>-560</v>
      </c>
      <c r="AS711" s="14">
        <v>-663</v>
      </c>
      <c r="AT711" s="14">
        <v>4</v>
      </c>
      <c r="AU711" s="14">
        <v>392</v>
      </c>
      <c r="AW711" s="14">
        <v>-1</v>
      </c>
      <c r="AX711" s="14">
        <v>185</v>
      </c>
      <c r="AY711" s="14">
        <v>940</v>
      </c>
      <c r="AZ711" s="14">
        <v>195</v>
      </c>
      <c r="BA711" s="14">
        <v>177</v>
      </c>
      <c r="BB711" s="14">
        <v>707</v>
      </c>
      <c r="BD711" s="14">
        <v>-9</v>
      </c>
    </row>
    <row r="712" spans="28:56" x14ac:dyDescent="0.25">
      <c r="AB712" s="14">
        <v>163</v>
      </c>
      <c r="AL712" s="14">
        <v>-131</v>
      </c>
      <c r="AM712" s="14">
        <v>194</v>
      </c>
      <c r="AR712" s="14">
        <v>-300</v>
      </c>
      <c r="AS712" s="14">
        <v>567</v>
      </c>
      <c r="AT712" s="14">
        <v>13</v>
      </c>
      <c r="AU712" s="14">
        <v>-54</v>
      </c>
      <c r="AW712" s="14">
        <v>-1</v>
      </c>
      <c r="AX712" s="14">
        <v>494</v>
      </c>
      <c r="AY712" s="14">
        <v>665</v>
      </c>
      <c r="AZ712" s="14">
        <v>73</v>
      </c>
      <c r="BA712" s="14">
        <v>23</v>
      </c>
      <c r="BB712" s="14">
        <v>664</v>
      </c>
      <c r="BD712" s="14">
        <v>-19</v>
      </c>
    </row>
    <row r="713" spans="28:56" x14ac:dyDescent="0.25">
      <c r="AB713" s="14">
        <v>390</v>
      </c>
      <c r="AL713" s="14">
        <v>-364</v>
      </c>
      <c r="AM713" s="14">
        <v>403</v>
      </c>
      <c r="AR713" s="14">
        <v>-315</v>
      </c>
      <c r="AS713" s="14">
        <v>-33</v>
      </c>
      <c r="AT713" s="14">
        <v>11</v>
      </c>
      <c r="AU713" s="14">
        <v>-218</v>
      </c>
      <c r="AW713" s="14">
        <v>101</v>
      </c>
      <c r="AX713" s="14">
        <v>233</v>
      </c>
      <c r="AY713" s="14">
        <v>-258</v>
      </c>
      <c r="AZ713" s="14">
        <v>-72</v>
      </c>
      <c r="BA713" s="14">
        <v>-250</v>
      </c>
      <c r="BB713" s="14">
        <v>81</v>
      </c>
      <c r="BD713" s="14">
        <v>-88</v>
      </c>
    </row>
    <row r="714" spans="28:56" x14ac:dyDescent="0.25">
      <c r="AB714" s="14">
        <v>-583</v>
      </c>
      <c r="AL714" s="14">
        <v>149</v>
      </c>
      <c r="AM714" s="14">
        <v>787</v>
      </c>
      <c r="AR714" s="14">
        <v>873</v>
      </c>
      <c r="AS714" s="14">
        <v>73</v>
      </c>
      <c r="AT714" s="14">
        <v>-783</v>
      </c>
      <c r="AU714" s="14">
        <v>81</v>
      </c>
      <c r="AW714" s="14">
        <v>128</v>
      </c>
      <c r="AX714" s="14">
        <v>225</v>
      </c>
      <c r="AY714" s="14">
        <v>177</v>
      </c>
      <c r="AZ714" s="14">
        <v>108</v>
      </c>
      <c r="BA714" s="14">
        <v>-208</v>
      </c>
      <c r="BB714" s="14">
        <v>-93</v>
      </c>
      <c r="BD714" s="14">
        <v>-145</v>
      </c>
    </row>
    <row r="715" spans="28:56" x14ac:dyDescent="0.25">
      <c r="AB715" s="14">
        <v>320</v>
      </c>
      <c r="AL715" s="14">
        <v>-70</v>
      </c>
      <c r="AM715" s="14">
        <v>949</v>
      </c>
      <c r="AR715" s="14">
        <v>405</v>
      </c>
      <c r="AS715" s="14">
        <v>-37</v>
      </c>
      <c r="AT715" s="14">
        <v>28</v>
      </c>
      <c r="AU715" s="14">
        <v>233</v>
      </c>
      <c r="AW715" s="14">
        <v>128</v>
      </c>
      <c r="AX715" s="14">
        <v>293</v>
      </c>
      <c r="AY715" s="14">
        <v>-107</v>
      </c>
      <c r="AZ715" s="14">
        <v>74</v>
      </c>
      <c r="BA715" s="14">
        <v>-113</v>
      </c>
      <c r="BB715" s="14">
        <v>-67</v>
      </c>
      <c r="BD715" s="14">
        <v>-1</v>
      </c>
    </row>
    <row r="716" spans="28:56" x14ac:dyDescent="0.25">
      <c r="AB716" s="14">
        <v>183</v>
      </c>
      <c r="AL716" s="14">
        <v>-144</v>
      </c>
      <c r="AM716" s="14">
        <v>-191</v>
      </c>
      <c r="AR716" s="14">
        <v>-115</v>
      </c>
      <c r="AS716" s="14">
        <v>-372</v>
      </c>
      <c r="AT716" s="14">
        <v>4</v>
      </c>
      <c r="AU716" s="14">
        <v>-77</v>
      </c>
      <c r="AW716" s="14">
        <v>101</v>
      </c>
      <c r="AX716" s="14">
        <v>335</v>
      </c>
      <c r="AY716" s="14">
        <v>599</v>
      </c>
      <c r="AZ716" s="14">
        <v>-71</v>
      </c>
      <c r="BA716" s="14">
        <v>-393</v>
      </c>
      <c r="BB716" s="14">
        <v>-328</v>
      </c>
      <c r="BD716" s="14">
        <v>7</v>
      </c>
    </row>
    <row r="717" spans="28:56" x14ac:dyDescent="0.25">
      <c r="AB717" s="14">
        <v>162</v>
      </c>
      <c r="AL717" s="14">
        <v>-89</v>
      </c>
      <c r="AM717" s="14">
        <v>-780</v>
      </c>
      <c r="AR717" s="14">
        <v>-79</v>
      </c>
      <c r="AS717" s="14">
        <v>165</v>
      </c>
      <c r="AT717" s="14">
        <v>-6</v>
      </c>
      <c r="AU717" s="14">
        <v>-34</v>
      </c>
      <c r="AW717" s="14">
        <v>128</v>
      </c>
      <c r="AX717" s="14">
        <v>247</v>
      </c>
      <c r="AY717" s="14">
        <v>-301</v>
      </c>
      <c r="AZ717" s="14">
        <v>-123</v>
      </c>
      <c r="BA717" s="14">
        <v>-596</v>
      </c>
      <c r="BB717" s="14">
        <v>-24</v>
      </c>
      <c r="BD717" s="14">
        <v>-24</v>
      </c>
    </row>
    <row r="718" spans="28:56" x14ac:dyDescent="0.25">
      <c r="AB718" s="14">
        <v>-141</v>
      </c>
      <c r="AL718" s="14">
        <v>-119</v>
      </c>
      <c r="AM718" s="14">
        <v>954</v>
      </c>
      <c r="AR718" s="14">
        <v>21</v>
      </c>
      <c r="AS718" s="14">
        <v>195</v>
      </c>
      <c r="AT718" s="14">
        <v>6</v>
      </c>
      <c r="AU718" s="14">
        <v>871</v>
      </c>
      <c r="AW718" s="14">
        <v>128</v>
      </c>
      <c r="AX718" s="14">
        <v>100</v>
      </c>
      <c r="AY718" s="14">
        <v>-372</v>
      </c>
      <c r="AZ718" s="14">
        <v>-290</v>
      </c>
      <c r="BA718" s="14">
        <v>951</v>
      </c>
      <c r="BB718" s="14">
        <v>-75</v>
      </c>
      <c r="BD718" s="14">
        <v>6</v>
      </c>
    </row>
    <row r="719" spans="28:56" x14ac:dyDescent="0.25">
      <c r="AB719" s="14">
        <v>188</v>
      </c>
      <c r="AL719" s="14">
        <v>67</v>
      </c>
      <c r="AM719" s="14">
        <v>-25</v>
      </c>
      <c r="AR719" s="14">
        <v>-2</v>
      </c>
      <c r="AS719" s="14">
        <v>-478</v>
      </c>
      <c r="AT719" s="14">
        <v>15</v>
      </c>
      <c r="AU719" s="14">
        <v>28</v>
      </c>
      <c r="AW719" s="14">
        <v>57</v>
      </c>
      <c r="AX719" s="14">
        <v>136</v>
      </c>
      <c r="AY719" s="14">
        <v>264</v>
      </c>
      <c r="AZ719" s="14">
        <v>-140</v>
      </c>
      <c r="BA719" s="14">
        <v>128</v>
      </c>
      <c r="BB719" s="14">
        <v>77</v>
      </c>
      <c r="BD719" s="14">
        <v>-67</v>
      </c>
    </row>
    <row r="720" spans="28:56" x14ac:dyDescent="0.25">
      <c r="AB720" s="14">
        <v>249</v>
      </c>
      <c r="AL720" s="14">
        <v>-271</v>
      </c>
      <c r="AM720" s="14">
        <v>-210</v>
      </c>
      <c r="AR720" s="14">
        <v>23</v>
      </c>
      <c r="AS720" s="14">
        <v>-146</v>
      </c>
      <c r="AT720" s="14">
        <v>4</v>
      </c>
      <c r="AU720" s="14">
        <v>355</v>
      </c>
      <c r="AW720" s="14">
        <v>68</v>
      </c>
      <c r="AX720" s="14">
        <v>275</v>
      </c>
      <c r="AY720" s="14">
        <v>-407</v>
      </c>
      <c r="AZ720" s="14">
        <v>-211</v>
      </c>
      <c r="BA720" s="14">
        <v>354</v>
      </c>
      <c r="BB720" s="14">
        <v>510</v>
      </c>
      <c r="BD720" s="14">
        <v>-118</v>
      </c>
    </row>
    <row r="721" spans="28:56" x14ac:dyDescent="0.25">
      <c r="AB721" s="14">
        <v>-33</v>
      </c>
      <c r="AL721" s="14">
        <v>52</v>
      </c>
      <c r="AM721" s="14">
        <v>507</v>
      </c>
      <c r="AR721" s="14">
        <v>15</v>
      </c>
      <c r="AS721" s="14">
        <v>95</v>
      </c>
      <c r="AT721" s="14">
        <v>2</v>
      </c>
      <c r="AU721" s="14">
        <v>-79</v>
      </c>
      <c r="AW721" s="14">
        <v>72</v>
      </c>
      <c r="AX721" s="14">
        <v>721</v>
      </c>
      <c r="AY721" s="14">
        <v>-725</v>
      </c>
      <c r="AZ721" s="14">
        <v>-167</v>
      </c>
      <c r="BA721" s="14">
        <v>106</v>
      </c>
      <c r="BB721" s="14">
        <v>53</v>
      </c>
      <c r="BD721" s="14">
        <v>39</v>
      </c>
    </row>
    <row r="722" spans="28:56" x14ac:dyDescent="0.25">
      <c r="AB722" s="14">
        <v>-13</v>
      </c>
      <c r="AL722" s="14">
        <v>26</v>
      </c>
      <c r="AM722" s="14">
        <v>-336</v>
      </c>
      <c r="AR722" s="14">
        <v>-5</v>
      </c>
      <c r="AS722" s="14">
        <v>-251</v>
      </c>
      <c r="AT722" s="14">
        <v>91</v>
      </c>
      <c r="AU722" s="14">
        <v>-758</v>
      </c>
      <c r="AW722" s="14">
        <v>84</v>
      </c>
      <c r="AX722" s="14">
        <v>101</v>
      </c>
      <c r="AY722" s="14">
        <v>901</v>
      </c>
      <c r="AZ722" s="14">
        <v>-192</v>
      </c>
      <c r="BA722" s="14">
        <v>232</v>
      </c>
      <c r="BB722" s="14">
        <v>287</v>
      </c>
      <c r="BD722" s="14">
        <v>54</v>
      </c>
    </row>
    <row r="723" spans="28:56" x14ac:dyDescent="0.25">
      <c r="AB723" s="14">
        <v>-5</v>
      </c>
      <c r="AL723" s="14">
        <v>-90</v>
      </c>
      <c r="AM723" s="14">
        <v>-137</v>
      </c>
      <c r="AR723" s="14">
        <v>101</v>
      </c>
      <c r="AS723" s="14">
        <v>595</v>
      </c>
      <c r="AT723" s="14">
        <v>-29</v>
      </c>
      <c r="AU723" s="14">
        <v>-12</v>
      </c>
      <c r="AW723" s="14">
        <v>85</v>
      </c>
      <c r="AX723" s="14">
        <v>120</v>
      </c>
      <c r="AY723" s="14">
        <v>738</v>
      </c>
      <c r="AZ723" s="14">
        <v>-164</v>
      </c>
      <c r="BA723" s="14">
        <v>-372</v>
      </c>
      <c r="BB723" s="14">
        <v>-6</v>
      </c>
      <c r="BD723" s="14">
        <v>3</v>
      </c>
    </row>
    <row r="724" spans="28:56" x14ac:dyDescent="0.25">
      <c r="AB724" s="14">
        <v>45</v>
      </c>
      <c r="AL724" s="14">
        <v>-81</v>
      </c>
      <c r="AM724" s="14">
        <v>-945</v>
      </c>
      <c r="AR724" s="14">
        <v>-109</v>
      </c>
      <c r="AS724" s="14">
        <v>-65</v>
      </c>
      <c r="AT724" s="14">
        <v>-66</v>
      </c>
      <c r="AU724" s="14">
        <v>43</v>
      </c>
      <c r="AW724" s="14">
        <v>84</v>
      </c>
      <c r="AX724" s="14">
        <v>-558</v>
      </c>
      <c r="AY724" s="14">
        <v>-247</v>
      </c>
      <c r="AZ724" s="14">
        <v>122</v>
      </c>
      <c r="BA724" s="14">
        <v>205</v>
      </c>
      <c r="BB724" s="14">
        <v>288</v>
      </c>
      <c r="BD724" s="14">
        <v>-7</v>
      </c>
    </row>
    <row r="725" spans="28:56" x14ac:dyDescent="0.25">
      <c r="AB725" s="14">
        <v>53</v>
      </c>
      <c r="AL725" s="14">
        <v>-52</v>
      </c>
      <c r="AM725" s="14">
        <v>-334</v>
      </c>
      <c r="AR725" s="14">
        <v>-27</v>
      </c>
      <c r="AS725" s="14">
        <v>73</v>
      </c>
      <c r="AT725" s="14">
        <v>-14</v>
      </c>
      <c r="AU725" s="14">
        <v>-2</v>
      </c>
      <c r="AW725" s="14">
        <v>84</v>
      </c>
      <c r="AX725" s="14">
        <v>-380</v>
      </c>
      <c r="AY725" s="14">
        <v>-15</v>
      </c>
      <c r="AZ725" s="14">
        <v>13</v>
      </c>
      <c r="BA725" s="14">
        <v>-804</v>
      </c>
      <c r="BB725" s="14">
        <v>480</v>
      </c>
      <c r="BD725" s="14">
        <v>-69</v>
      </c>
    </row>
    <row r="726" spans="28:56" x14ac:dyDescent="0.25">
      <c r="AB726" s="14">
        <v>34</v>
      </c>
      <c r="AL726" s="14">
        <v>376</v>
      </c>
      <c r="AM726" s="14">
        <v>326</v>
      </c>
      <c r="AR726" s="14">
        <v>-186</v>
      </c>
      <c r="AS726" s="14">
        <v>-42</v>
      </c>
      <c r="AT726" s="14">
        <v>30</v>
      </c>
      <c r="AU726" s="14">
        <v>6</v>
      </c>
      <c r="AW726" s="14">
        <v>85</v>
      </c>
      <c r="AX726" s="14">
        <v>-110</v>
      </c>
      <c r="AY726" s="14">
        <v>-14</v>
      </c>
      <c r="AZ726" s="14">
        <v>54</v>
      </c>
      <c r="BA726" s="14">
        <v>-449</v>
      </c>
      <c r="BB726" s="14">
        <v>-1003</v>
      </c>
      <c r="BD726" s="14">
        <v>-16</v>
      </c>
    </row>
    <row r="727" spans="28:56" x14ac:dyDescent="0.25">
      <c r="AB727" s="14">
        <v>6</v>
      </c>
      <c r="AL727" s="14">
        <v>-487</v>
      </c>
      <c r="AM727" s="14">
        <v>-258</v>
      </c>
      <c r="AR727" s="14">
        <v>12</v>
      </c>
      <c r="AS727" s="14">
        <v>-403</v>
      </c>
      <c r="AT727" s="14">
        <v>2</v>
      </c>
      <c r="AU727" s="14">
        <v>8</v>
      </c>
      <c r="AW727" s="14">
        <v>84</v>
      </c>
      <c r="AX727" s="14">
        <v>-572</v>
      </c>
      <c r="AY727" s="14">
        <v>-375</v>
      </c>
      <c r="AZ727" s="14">
        <v>-117</v>
      </c>
      <c r="BA727" s="14">
        <v>-582</v>
      </c>
      <c r="BB727" s="14">
        <v>2268</v>
      </c>
      <c r="BD727" s="14">
        <v>-11</v>
      </c>
    </row>
    <row r="728" spans="28:56" x14ac:dyDescent="0.25">
      <c r="AB728" s="14">
        <v>1</v>
      </c>
      <c r="AL728" s="14">
        <v>103</v>
      </c>
      <c r="AM728" s="14">
        <v>-166</v>
      </c>
      <c r="AR728" s="14">
        <v>13</v>
      </c>
      <c r="AS728" s="14">
        <v>117</v>
      </c>
      <c r="AT728" s="14">
        <v>-47</v>
      </c>
      <c r="AU728" s="14">
        <v>69</v>
      </c>
      <c r="AW728" s="14">
        <v>292</v>
      </c>
      <c r="AX728" s="14">
        <v>-264</v>
      </c>
      <c r="AY728" s="14">
        <v>-242</v>
      </c>
      <c r="AZ728" s="14">
        <v>-212</v>
      </c>
      <c r="BA728" s="14">
        <v>10</v>
      </c>
      <c r="BB728" s="14">
        <v>-633</v>
      </c>
      <c r="BD728" s="14">
        <v>-54</v>
      </c>
    </row>
    <row r="729" spans="28:56" x14ac:dyDescent="0.25">
      <c r="AB729" s="14">
        <v>2</v>
      </c>
      <c r="AL729" s="14">
        <v>17</v>
      </c>
      <c r="AM729" s="14">
        <v>-224</v>
      </c>
      <c r="AR729" s="14">
        <v>48</v>
      </c>
      <c r="AS729" s="14">
        <v>209</v>
      </c>
      <c r="AT729" s="14">
        <v>169</v>
      </c>
      <c r="AU729" s="14">
        <v>4</v>
      </c>
      <c r="AW729" s="14">
        <v>312</v>
      </c>
      <c r="AX729" s="14">
        <v>-621</v>
      </c>
      <c r="AY729" s="14">
        <v>-288</v>
      </c>
      <c r="AZ729" s="14">
        <v>-39</v>
      </c>
      <c r="BA729" s="14">
        <v>52</v>
      </c>
      <c r="BB729" s="14">
        <v>533</v>
      </c>
      <c r="BD729" s="14">
        <v>-137</v>
      </c>
    </row>
    <row r="730" spans="28:56" x14ac:dyDescent="0.25">
      <c r="AB730" s="14">
        <v>10</v>
      </c>
      <c r="AL730" s="14">
        <v>-80</v>
      </c>
      <c r="AM730" s="14">
        <v>-59</v>
      </c>
      <c r="AR730" s="14">
        <v>18</v>
      </c>
      <c r="AS730" s="14">
        <v>-501</v>
      </c>
      <c r="AT730" s="14">
        <v>-8</v>
      </c>
      <c r="AU730" s="14">
        <v>2</v>
      </c>
      <c r="AW730" s="14">
        <v>325</v>
      </c>
      <c r="AX730" s="14">
        <v>-333</v>
      </c>
      <c r="AY730" s="14">
        <v>47</v>
      </c>
      <c r="AZ730" s="14">
        <v>18</v>
      </c>
      <c r="BA730" s="14">
        <v>62</v>
      </c>
      <c r="BB730" s="14">
        <v>-2200</v>
      </c>
      <c r="BD730" s="14">
        <v>-65</v>
      </c>
    </row>
    <row r="731" spans="28:56" x14ac:dyDescent="0.25">
      <c r="AB731" s="14">
        <v>2</v>
      </c>
      <c r="AL731" s="14">
        <v>19</v>
      </c>
      <c r="AM731" s="14">
        <v>304</v>
      </c>
      <c r="AR731" s="14">
        <v>593</v>
      </c>
      <c r="AS731" s="14">
        <v>-184</v>
      </c>
      <c r="AT731" s="14">
        <v>4</v>
      </c>
      <c r="AU731" s="14">
        <v>-92</v>
      </c>
      <c r="AW731" s="14">
        <v>290</v>
      </c>
      <c r="AX731" s="14">
        <v>177</v>
      </c>
      <c r="AY731" s="14">
        <v>-348</v>
      </c>
      <c r="AZ731" s="14">
        <v>86</v>
      </c>
      <c r="BA731" s="14">
        <v>45</v>
      </c>
      <c r="BB731" s="14">
        <v>209</v>
      </c>
      <c r="BD731" s="14">
        <v>-8</v>
      </c>
    </row>
    <row r="732" spans="28:56" x14ac:dyDescent="0.25">
      <c r="AB732" s="14">
        <v>28</v>
      </c>
      <c r="AL732" s="14">
        <v>33</v>
      </c>
      <c r="AM732" s="14">
        <v>848</v>
      </c>
      <c r="AR732" s="14">
        <v>231</v>
      </c>
      <c r="AS732" s="14">
        <v>57</v>
      </c>
      <c r="AT732" s="14">
        <v>-17</v>
      </c>
      <c r="AU732" s="14">
        <v>-15</v>
      </c>
      <c r="AW732" s="14">
        <v>308</v>
      </c>
      <c r="AX732" s="14">
        <v>-555</v>
      </c>
      <c r="AY732" s="14">
        <v>-614</v>
      </c>
      <c r="AZ732" s="14">
        <v>165</v>
      </c>
      <c r="BA732" s="14">
        <v>-27</v>
      </c>
      <c r="BB732" s="14">
        <v>177</v>
      </c>
      <c r="BD732" s="14">
        <v>-25</v>
      </c>
    </row>
    <row r="733" spans="28:56" x14ac:dyDescent="0.25">
      <c r="AB733" s="14">
        <v>102</v>
      </c>
      <c r="AL733" s="14">
        <v>353</v>
      </c>
      <c r="AM733" s="14">
        <v>909</v>
      </c>
      <c r="AR733" s="14">
        <v>572</v>
      </c>
      <c r="AS733" s="14">
        <v>-277</v>
      </c>
      <c r="AT733" s="14">
        <v>117</v>
      </c>
      <c r="AU733" s="14">
        <v>66</v>
      </c>
      <c r="AW733" s="14">
        <v>320</v>
      </c>
      <c r="AX733" s="14">
        <v>-204</v>
      </c>
      <c r="AY733" s="14">
        <v>948</v>
      </c>
      <c r="AZ733" s="14">
        <v>88</v>
      </c>
      <c r="BA733" s="14">
        <v>294</v>
      </c>
      <c r="BB733" s="14">
        <v>-163</v>
      </c>
      <c r="BD733" s="14">
        <v>43</v>
      </c>
    </row>
    <row r="734" spans="28:56" x14ac:dyDescent="0.25">
      <c r="AB734" s="14">
        <v>-183</v>
      </c>
      <c r="AL734" s="14">
        <v>-426</v>
      </c>
      <c r="AM734" s="14">
        <v>145</v>
      </c>
      <c r="AR734" s="14">
        <v>433</v>
      </c>
      <c r="AS734" s="14">
        <v>569</v>
      </c>
      <c r="AT734" s="14">
        <v>67</v>
      </c>
      <c r="AU734" s="14">
        <v>-33</v>
      </c>
      <c r="AW734" s="14">
        <v>205</v>
      </c>
      <c r="AX734" s="14">
        <v>-700</v>
      </c>
      <c r="AY734" s="14">
        <v>701</v>
      </c>
      <c r="AZ734" s="14">
        <v>216</v>
      </c>
      <c r="BA734" s="14">
        <v>645</v>
      </c>
      <c r="BB734" s="14">
        <v>297</v>
      </c>
      <c r="BD734" s="14">
        <v>-69</v>
      </c>
    </row>
    <row r="735" spans="28:56" x14ac:dyDescent="0.25">
      <c r="AB735" s="14">
        <v>-2</v>
      </c>
      <c r="AL735" s="14">
        <v>83</v>
      </c>
      <c r="AM735" s="14">
        <v>-119</v>
      </c>
      <c r="AR735" s="14">
        <v>47</v>
      </c>
      <c r="AS735" s="14">
        <v>53</v>
      </c>
      <c r="AT735" s="14">
        <v>-1</v>
      </c>
      <c r="AU735" s="14">
        <v>159</v>
      </c>
      <c r="AW735" s="14">
        <v>215</v>
      </c>
      <c r="AX735" s="14">
        <v>380</v>
      </c>
      <c r="AY735" s="14">
        <v>-211</v>
      </c>
      <c r="AZ735" s="14">
        <v>106</v>
      </c>
      <c r="BA735" s="14">
        <v>5</v>
      </c>
      <c r="BB735" s="14">
        <v>-82</v>
      </c>
      <c r="BD735" s="14">
        <v>-75</v>
      </c>
    </row>
    <row r="736" spans="28:56" x14ac:dyDescent="0.25">
      <c r="AB736" s="14">
        <v>-2</v>
      </c>
      <c r="AL736" s="14">
        <v>65</v>
      </c>
      <c r="AM736" s="14">
        <v>557</v>
      </c>
      <c r="AR736" s="14">
        <v>-3</v>
      </c>
      <c r="AS736" s="14">
        <v>73</v>
      </c>
      <c r="AT736" s="14">
        <v>-3</v>
      </c>
      <c r="AU736" s="14">
        <v>6</v>
      </c>
      <c r="AW736" s="14">
        <v>223</v>
      </c>
      <c r="AX736" s="14">
        <v>-40</v>
      </c>
      <c r="AY736" s="14">
        <v>545</v>
      </c>
      <c r="AZ736" s="14">
        <v>143</v>
      </c>
      <c r="BA736" s="14">
        <v>-250</v>
      </c>
      <c r="BB736" s="14">
        <v>-1633</v>
      </c>
      <c r="BD736" s="14">
        <v>61</v>
      </c>
    </row>
    <row r="737" spans="28:56" x14ac:dyDescent="0.25">
      <c r="AB737" s="14">
        <v>5</v>
      </c>
      <c r="AL737" s="14">
        <v>5</v>
      </c>
      <c r="AM737" s="14">
        <v>-380</v>
      </c>
      <c r="AR737" s="14">
        <v>-52</v>
      </c>
      <c r="AS737" s="14">
        <v>-41</v>
      </c>
      <c r="AT737" s="14">
        <v>-31</v>
      </c>
      <c r="AU737" s="14">
        <v>-1</v>
      </c>
      <c r="AW737" s="14">
        <v>-13</v>
      </c>
      <c r="AX737" s="14">
        <v>-200</v>
      </c>
      <c r="AY737" s="14">
        <v>351</v>
      </c>
      <c r="AZ737" s="14">
        <v>733</v>
      </c>
      <c r="BA737" s="14">
        <v>-932</v>
      </c>
      <c r="BB737" s="14">
        <v>-67</v>
      </c>
      <c r="BD737" s="14">
        <v>49</v>
      </c>
    </row>
    <row r="738" spans="28:56" x14ac:dyDescent="0.25">
      <c r="AB738" s="14">
        <v>23</v>
      </c>
      <c r="AL738" s="14">
        <v>-311</v>
      </c>
      <c r="AM738" s="14">
        <v>850</v>
      </c>
      <c r="AR738" s="14">
        <v>-41</v>
      </c>
      <c r="AS738" s="14">
        <v>-401</v>
      </c>
      <c r="AT738" s="14">
        <v>120</v>
      </c>
      <c r="AU738" s="14">
        <v>10</v>
      </c>
      <c r="AW738" s="14">
        <v>-13</v>
      </c>
      <c r="AX738" s="14">
        <v>-329</v>
      </c>
      <c r="AY738" s="14">
        <v>276</v>
      </c>
      <c r="AZ738" s="14">
        <v>220</v>
      </c>
      <c r="BA738" s="14">
        <v>86</v>
      </c>
      <c r="BB738" s="14">
        <v>-106</v>
      </c>
      <c r="BD738" s="14">
        <v>64</v>
      </c>
    </row>
    <row r="739" spans="28:56" x14ac:dyDescent="0.25">
      <c r="AB739" s="14">
        <v>-185</v>
      </c>
      <c r="AL739" s="14">
        <v>149</v>
      </c>
      <c r="AM739" s="14">
        <v>-400</v>
      </c>
      <c r="AR739" s="14">
        <v>-52</v>
      </c>
      <c r="AS739" s="14">
        <v>117</v>
      </c>
      <c r="AT739" s="14">
        <v>-6</v>
      </c>
      <c r="AU739" s="14">
        <v>18</v>
      </c>
      <c r="AW739" s="14">
        <v>-13</v>
      </c>
      <c r="AX739" s="14">
        <v>727</v>
      </c>
      <c r="AY739" s="14">
        <v>761</v>
      </c>
      <c r="AZ739" s="14">
        <v>146</v>
      </c>
      <c r="BA739" s="14">
        <v>349</v>
      </c>
      <c r="BB739" s="14">
        <v>-262</v>
      </c>
      <c r="BD739" s="14">
        <v>-12</v>
      </c>
    </row>
    <row r="740" spans="28:56" x14ac:dyDescent="0.25">
      <c r="AB740" s="14">
        <v>163</v>
      </c>
      <c r="AL740" s="14">
        <v>-39</v>
      </c>
      <c r="AM740" s="14">
        <v>100</v>
      </c>
      <c r="AR740" s="14">
        <v>438</v>
      </c>
      <c r="AS740" s="14">
        <v>207</v>
      </c>
      <c r="AT740" s="14">
        <v>-249</v>
      </c>
      <c r="AU740" s="14">
        <v>1</v>
      </c>
      <c r="AW740" s="14">
        <v>-30</v>
      </c>
      <c r="AX740" s="14">
        <v>-742</v>
      </c>
      <c r="AY740" s="14">
        <v>147</v>
      </c>
      <c r="AZ740" s="14">
        <v>653</v>
      </c>
      <c r="BA740" s="14">
        <v>10</v>
      </c>
      <c r="BB740" s="14">
        <v>-109</v>
      </c>
      <c r="BD740" s="14">
        <v>-5</v>
      </c>
    </row>
    <row r="741" spans="28:56" x14ac:dyDescent="0.25">
      <c r="AB741" s="14">
        <v>-5</v>
      </c>
      <c r="AL741" s="14">
        <v>-20</v>
      </c>
      <c r="AM741" s="14">
        <v>-707</v>
      </c>
      <c r="AR741" s="14">
        <v>697</v>
      </c>
      <c r="AS741" s="14">
        <v>-502</v>
      </c>
      <c r="AT741" s="14">
        <v>282</v>
      </c>
      <c r="AU741" s="14">
        <v>-14</v>
      </c>
      <c r="AW741" s="14">
        <v>-31</v>
      </c>
      <c r="AX741" s="14">
        <v>177</v>
      </c>
      <c r="AY741" s="14">
        <v>103</v>
      </c>
      <c r="AZ741" s="14">
        <v>318</v>
      </c>
      <c r="BA741" s="14">
        <v>131</v>
      </c>
      <c r="BB741" s="14">
        <v>-265</v>
      </c>
      <c r="BD741" s="14">
        <v>-479</v>
      </c>
    </row>
    <row r="742" spans="28:56" x14ac:dyDescent="0.25">
      <c r="AB742" s="14">
        <v>207</v>
      </c>
      <c r="AL742" s="14">
        <v>4</v>
      </c>
      <c r="AM742" s="14">
        <v>-379</v>
      </c>
      <c r="AR742" s="14">
        <v>441</v>
      </c>
      <c r="AS742" s="14">
        <v>-187</v>
      </c>
      <c r="AT742" s="14">
        <v>779</v>
      </c>
      <c r="AU742" s="14">
        <v>16</v>
      </c>
      <c r="AW742" s="14">
        <v>-33</v>
      </c>
      <c r="AX742" s="14">
        <v>502</v>
      </c>
      <c r="AY742" s="14">
        <v>144</v>
      </c>
      <c r="AZ742" s="14">
        <v>288</v>
      </c>
      <c r="BA742" s="14">
        <v>58</v>
      </c>
      <c r="BB742" s="14">
        <v>-164</v>
      </c>
      <c r="BD742" s="14">
        <v>-487</v>
      </c>
    </row>
    <row r="743" spans="28:56" x14ac:dyDescent="0.25">
      <c r="AB743" s="14">
        <v>133</v>
      </c>
      <c r="AL743" s="14">
        <v>-89</v>
      </c>
      <c r="AM743" s="14">
        <v>-146</v>
      </c>
      <c r="AR743" s="14">
        <v>160</v>
      </c>
      <c r="AS743" s="14">
        <v>50</v>
      </c>
      <c r="AT743" s="14">
        <v>51</v>
      </c>
      <c r="AU743" s="14">
        <v>-6</v>
      </c>
      <c r="AW743" s="14">
        <v>-29</v>
      </c>
      <c r="AX743" s="14">
        <v>-153</v>
      </c>
      <c r="AY743" s="14">
        <v>-392</v>
      </c>
      <c r="AZ743" s="14">
        <v>451</v>
      </c>
      <c r="BA743" s="14">
        <v>293</v>
      </c>
      <c r="BB743" s="14">
        <v>-121</v>
      </c>
      <c r="BD743" s="14">
        <v>672</v>
      </c>
    </row>
    <row r="744" spans="28:56" x14ac:dyDescent="0.25">
      <c r="AB744" s="14">
        <v>-81</v>
      </c>
      <c r="AL744" s="14">
        <v>438</v>
      </c>
      <c r="AM744" s="14">
        <v>-281</v>
      </c>
      <c r="AR744" s="14">
        <v>33</v>
      </c>
      <c r="AS744" s="14">
        <v>-340</v>
      </c>
      <c r="AT744" s="14">
        <v>-3</v>
      </c>
      <c r="AU744" s="14">
        <v>-37</v>
      </c>
      <c r="AW744" s="14">
        <v>-31</v>
      </c>
      <c r="AX744" s="14">
        <v>238</v>
      </c>
      <c r="AY744" s="14">
        <v>909</v>
      </c>
      <c r="AZ744" s="14">
        <v>-303</v>
      </c>
      <c r="BA744" s="14">
        <v>16</v>
      </c>
      <c r="BB744" s="14">
        <v>90</v>
      </c>
      <c r="BD744" s="14">
        <v>677</v>
      </c>
    </row>
    <row r="745" spans="28:56" x14ac:dyDescent="0.25">
      <c r="AB745" s="14">
        <v>4</v>
      </c>
      <c r="AL745" s="14">
        <v>-673</v>
      </c>
      <c r="AM745" s="14">
        <v>115</v>
      </c>
      <c r="AR745" s="14">
        <v>58</v>
      </c>
      <c r="AS745" s="14">
        <v>570</v>
      </c>
      <c r="AT745" s="14">
        <v>7</v>
      </c>
      <c r="AU745" s="14">
        <v>14</v>
      </c>
      <c r="AW745" s="14">
        <v>-32</v>
      </c>
      <c r="AX745" s="14">
        <v>-25</v>
      </c>
      <c r="AY745" s="14">
        <v>-496</v>
      </c>
      <c r="AZ745" s="14">
        <v>-172</v>
      </c>
      <c r="BA745" s="14">
        <v>184</v>
      </c>
      <c r="BB745" s="14">
        <v>182</v>
      </c>
      <c r="BD745" s="14">
        <v>4</v>
      </c>
    </row>
    <row r="746" spans="28:56" x14ac:dyDescent="0.25">
      <c r="AL746" s="14">
        <v>200</v>
      </c>
      <c r="AM746" s="14">
        <v>-157</v>
      </c>
      <c r="AR746" s="14">
        <v>33</v>
      </c>
      <c r="AS746" s="14">
        <v>-38</v>
      </c>
      <c r="AT746" s="14">
        <v>-9</v>
      </c>
      <c r="AU746" s="14">
        <v>-11</v>
      </c>
      <c r="AW746" s="14">
        <v>-27</v>
      </c>
      <c r="AX746" s="14">
        <v>211</v>
      </c>
      <c r="AY746" s="14">
        <v>995</v>
      </c>
      <c r="AZ746" s="14">
        <v>-898</v>
      </c>
      <c r="BA746" s="14">
        <v>70</v>
      </c>
      <c r="BB746" s="14">
        <v>1328</v>
      </c>
      <c r="BD746" s="14">
        <v>11</v>
      </c>
    </row>
    <row r="747" spans="28:56" x14ac:dyDescent="0.25">
      <c r="AL747" s="14">
        <v>-155</v>
      </c>
      <c r="AM747" s="14">
        <v>-869</v>
      </c>
      <c r="AR747" s="14">
        <v>-5</v>
      </c>
      <c r="AS747" s="14">
        <v>126</v>
      </c>
      <c r="AT747" s="14">
        <v>-67</v>
      </c>
      <c r="AU747" s="14">
        <v>-5</v>
      </c>
      <c r="AW747" s="14">
        <v>-28</v>
      </c>
      <c r="AX747" s="14">
        <v>329</v>
      </c>
      <c r="AY747" s="14">
        <v>657</v>
      </c>
      <c r="AZ747" s="14">
        <v>-226</v>
      </c>
      <c r="BA747" s="14">
        <v>553</v>
      </c>
      <c r="BB747" s="14">
        <v>304</v>
      </c>
      <c r="BD747" s="14">
        <v>1</v>
      </c>
    </row>
    <row r="748" spans="28:56" x14ac:dyDescent="0.25">
      <c r="AL748" s="14">
        <v>-19</v>
      </c>
      <c r="AM748" s="14">
        <v>-593</v>
      </c>
      <c r="AR748" s="14">
        <v>-102</v>
      </c>
      <c r="AS748" s="14">
        <v>-38</v>
      </c>
      <c r="AT748" s="14">
        <v>5</v>
      </c>
      <c r="AU748" s="14">
        <v>15</v>
      </c>
      <c r="AW748" s="14">
        <v>-28</v>
      </c>
      <c r="AX748" s="14">
        <v>-156</v>
      </c>
      <c r="AY748" s="14">
        <v>-248</v>
      </c>
      <c r="AZ748" s="14">
        <v>512</v>
      </c>
      <c r="BA748" s="14">
        <v>135</v>
      </c>
      <c r="BB748" s="14">
        <v>-295</v>
      </c>
      <c r="BD748" s="14">
        <v>60</v>
      </c>
    </row>
    <row r="749" spans="28:56" x14ac:dyDescent="0.25">
      <c r="AL749" s="14">
        <v>-151</v>
      </c>
      <c r="AM749" s="14">
        <v>-154</v>
      </c>
      <c r="AR749" s="14">
        <v>231</v>
      </c>
      <c r="AS749" s="14">
        <v>-176</v>
      </c>
      <c r="AT749" s="14">
        <v>1</v>
      </c>
      <c r="AU749" s="14">
        <v>11</v>
      </c>
      <c r="AW749" s="14">
        <v>-11</v>
      </c>
      <c r="AX749" s="14">
        <v>526</v>
      </c>
      <c r="AY749" s="14">
        <v>-178</v>
      </c>
      <c r="AZ749" s="14">
        <v>216</v>
      </c>
      <c r="BA749" s="14">
        <v>326</v>
      </c>
      <c r="BB749" s="14">
        <v>-215</v>
      </c>
      <c r="BD749" s="14">
        <v>5</v>
      </c>
    </row>
    <row r="750" spans="28:56" x14ac:dyDescent="0.25">
      <c r="AL750" s="14">
        <v>15</v>
      </c>
      <c r="AM750" s="14">
        <v>342</v>
      </c>
      <c r="AR750" s="14">
        <v>572</v>
      </c>
      <c r="AS750" s="14">
        <v>169</v>
      </c>
      <c r="AT750" s="14">
        <v>-327</v>
      </c>
      <c r="AU750" s="14">
        <v>1</v>
      </c>
      <c r="AW750" s="14">
        <v>-11</v>
      </c>
      <c r="AX750" s="14">
        <v>-133</v>
      </c>
      <c r="AY750" s="14">
        <v>-108</v>
      </c>
      <c r="AZ750" s="14">
        <v>131</v>
      </c>
      <c r="BA750" s="14">
        <v>75</v>
      </c>
      <c r="BB750" s="14">
        <v>-391</v>
      </c>
      <c r="BD750" s="14">
        <v>-3</v>
      </c>
    </row>
    <row r="751" spans="28:56" x14ac:dyDescent="0.25">
      <c r="AL751" s="14">
        <v>-151</v>
      </c>
      <c r="AM751" s="14">
        <v>120</v>
      </c>
      <c r="AR751" s="14">
        <v>433</v>
      </c>
      <c r="AS751" s="14">
        <v>71</v>
      </c>
      <c r="AT751" s="14">
        <v>140</v>
      </c>
      <c r="AU751" s="14">
        <v>8</v>
      </c>
      <c r="AW751" s="14">
        <v>-11</v>
      </c>
      <c r="AX751" s="14">
        <v>-580</v>
      </c>
      <c r="AY751" s="14">
        <v>553</v>
      </c>
      <c r="AZ751" s="14">
        <v>478</v>
      </c>
      <c r="BA751" s="14">
        <v>129</v>
      </c>
      <c r="BB751" s="14">
        <v>387</v>
      </c>
      <c r="BD751" s="14">
        <v>-1</v>
      </c>
    </row>
    <row r="752" spans="28:56" x14ac:dyDescent="0.25">
      <c r="AL752" s="14">
        <v>58</v>
      </c>
      <c r="AM752" s="14">
        <v>178</v>
      </c>
      <c r="AR752" s="14">
        <v>47</v>
      </c>
      <c r="AS752" s="14">
        <v>-202</v>
      </c>
      <c r="AT752" s="14">
        <v>34</v>
      </c>
      <c r="AU752" s="14">
        <v>-16</v>
      </c>
      <c r="AW752" s="14">
        <v>-136</v>
      </c>
      <c r="AX752" s="14">
        <v>-196</v>
      </c>
      <c r="AY752" s="14">
        <v>-295</v>
      </c>
      <c r="AZ752" s="14">
        <v>469</v>
      </c>
      <c r="BA752" s="14">
        <v>38</v>
      </c>
      <c r="BB752" s="14">
        <v>497</v>
      </c>
      <c r="BD752" s="14">
        <v>-64</v>
      </c>
    </row>
    <row r="753" spans="38:56" x14ac:dyDescent="0.25">
      <c r="AL753" s="14">
        <v>33</v>
      </c>
      <c r="AM753" s="14">
        <v>263</v>
      </c>
      <c r="AR753" s="14">
        <v>-3</v>
      </c>
      <c r="AS753" s="14">
        <v>-100</v>
      </c>
      <c r="AT753" s="14">
        <v>12</v>
      </c>
      <c r="AU753" s="14">
        <v>-3</v>
      </c>
      <c r="AW753" s="14">
        <v>-135</v>
      </c>
      <c r="AX753" s="14">
        <v>308</v>
      </c>
      <c r="AY753" s="14">
        <v>-361</v>
      </c>
      <c r="AZ753" s="14">
        <v>415</v>
      </c>
      <c r="BA753" s="14">
        <v>143</v>
      </c>
      <c r="BB753" s="14">
        <v>321</v>
      </c>
      <c r="BD753" s="14">
        <v>-55</v>
      </c>
    </row>
    <row r="754" spans="38:56" x14ac:dyDescent="0.25">
      <c r="AL754" s="14">
        <v>-22</v>
      </c>
      <c r="AM754" s="14">
        <v>-341</v>
      </c>
      <c r="AR754" s="14">
        <v>-52</v>
      </c>
      <c r="AS754" s="14">
        <v>35</v>
      </c>
      <c r="AT754" s="14">
        <v>3</v>
      </c>
      <c r="AU754" s="14">
        <v>-19</v>
      </c>
      <c r="AW754" s="14">
        <v>-134</v>
      </c>
      <c r="AX754" s="14">
        <v>522</v>
      </c>
      <c r="AY754" s="14">
        <v>264</v>
      </c>
      <c r="AZ754" s="14">
        <v>665</v>
      </c>
      <c r="BA754" s="14">
        <v>151</v>
      </c>
      <c r="BB754" s="14">
        <v>299</v>
      </c>
      <c r="BD754" s="14">
        <v>-20</v>
      </c>
    </row>
    <row r="755" spans="38:56" x14ac:dyDescent="0.25">
      <c r="AL755" s="14">
        <v>-88</v>
      </c>
      <c r="AM755" s="14">
        <v>149</v>
      </c>
      <c r="AR755" s="14">
        <v>-41</v>
      </c>
      <c r="AS755" s="14">
        <v>-128</v>
      </c>
      <c r="AT755" s="14">
        <v>-9</v>
      </c>
      <c r="AU755" s="14">
        <v>-53</v>
      </c>
      <c r="AW755" s="14">
        <v>-136</v>
      </c>
      <c r="AX755" s="14">
        <v>-309</v>
      </c>
      <c r="AY755" s="14">
        <v>-397</v>
      </c>
      <c r="AZ755" s="14">
        <v>-177</v>
      </c>
      <c r="BA755" s="14">
        <v>-24</v>
      </c>
      <c r="BB755" s="14">
        <v>267</v>
      </c>
      <c r="BD755" s="14">
        <v>-71</v>
      </c>
    </row>
    <row r="756" spans="38:56" x14ac:dyDescent="0.25">
      <c r="AL756" s="14">
        <v>112</v>
      </c>
      <c r="AM756" s="14">
        <v>-982</v>
      </c>
      <c r="AR756" s="14">
        <v>-52</v>
      </c>
      <c r="AS756" s="14">
        <v>315</v>
      </c>
      <c r="AT756" s="14">
        <v>-249</v>
      </c>
      <c r="AU756" s="14">
        <v>-20</v>
      </c>
      <c r="AW756" s="14">
        <v>-135</v>
      </c>
      <c r="AX756" s="14">
        <v>590</v>
      </c>
      <c r="AY756" s="14">
        <v>-730</v>
      </c>
      <c r="AZ756" s="14">
        <v>224</v>
      </c>
      <c r="BA756" s="14">
        <v>667</v>
      </c>
      <c r="BB756" s="14">
        <v>407</v>
      </c>
      <c r="BD756" s="14">
        <v>-2</v>
      </c>
    </row>
    <row r="757" spans="38:56" x14ac:dyDescent="0.25">
      <c r="AL757" s="14">
        <v>-160</v>
      </c>
      <c r="AM757" s="14">
        <v>148</v>
      </c>
      <c r="AR757" s="14">
        <v>438</v>
      </c>
      <c r="AS757" s="14">
        <v>-30</v>
      </c>
      <c r="AT757" s="14">
        <v>-6</v>
      </c>
      <c r="AU757" s="14">
        <v>-35</v>
      </c>
      <c r="AW757" s="14">
        <v>-134</v>
      </c>
      <c r="AX757" s="14">
        <v>295</v>
      </c>
      <c r="AY757" s="14">
        <v>931</v>
      </c>
      <c r="AZ757" s="14">
        <v>156</v>
      </c>
      <c r="BA757" s="14">
        <v>131</v>
      </c>
      <c r="BB757" s="14">
        <v>578</v>
      </c>
      <c r="BD757" s="14">
        <v>-4</v>
      </c>
    </row>
    <row r="758" spans="38:56" x14ac:dyDescent="0.25">
      <c r="AL758" s="14">
        <v>34</v>
      </c>
      <c r="AM758" s="14">
        <v>-482</v>
      </c>
      <c r="AR758" s="14">
        <v>697</v>
      </c>
      <c r="AS758" s="14">
        <v>126</v>
      </c>
      <c r="AT758" s="14">
        <v>1</v>
      </c>
      <c r="AU758" s="14">
        <v>32</v>
      </c>
      <c r="AW758" s="14">
        <v>-925</v>
      </c>
      <c r="AX758" s="14">
        <v>332</v>
      </c>
      <c r="AY758" s="14">
        <v>735</v>
      </c>
      <c r="AZ758" s="14">
        <v>355</v>
      </c>
      <c r="BA758" s="14">
        <v>327</v>
      </c>
      <c r="BB758" s="14">
        <v>741</v>
      </c>
      <c r="BD758" s="14">
        <v>-52</v>
      </c>
    </row>
    <row r="759" spans="38:56" x14ac:dyDescent="0.25">
      <c r="AL759" s="14">
        <v>3</v>
      </c>
      <c r="AM759" s="14">
        <v>128</v>
      </c>
      <c r="AR759" s="14">
        <v>441</v>
      </c>
      <c r="AS759" s="14">
        <v>-44</v>
      </c>
      <c r="AT759" s="14">
        <v>-201</v>
      </c>
      <c r="AU759" s="14">
        <v>44</v>
      </c>
      <c r="AW759" s="14">
        <v>-924</v>
      </c>
      <c r="AX759" s="14">
        <v>181</v>
      </c>
      <c r="AY759" s="14">
        <v>-24</v>
      </c>
      <c r="AZ759" s="14">
        <v>295</v>
      </c>
      <c r="BA759" s="14">
        <v>261</v>
      </c>
      <c r="BB759" s="14">
        <v>273</v>
      </c>
      <c r="BD759" s="14">
        <v>-53</v>
      </c>
    </row>
    <row r="760" spans="38:56" x14ac:dyDescent="0.25">
      <c r="AL760" s="14">
        <v>-3</v>
      </c>
      <c r="AM760" s="14">
        <v>-948</v>
      </c>
      <c r="AR760" s="14">
        <v>160</v>
      </c>
      <c r="AS760" s="14">
        <v>-190</v>
      </c>
      <c r="AT760" s="14">
        <v>144</v>
      </c>
      <c r="AU760" s="14">
        <v>17</v>
      </c>
      <c r="AW760" s="14">
        <v>-871</v>
      </c>
      <c r="AX760" s="14">
        <v>382</v>
      </c>
      <c r="AY760" s="14">
        <v>-15</v>
      </c>
      <c r="AZ760" s="14">
        <v>-159</v>
      </c>
      <c r="BA760" s="14">
        <v>129</v>
      </c>
      <c r="BB760" s="14">
        <v>138</v>
      </c>
      <c r="BD760" s="14">
        <v>3</v>
      </c>
    </row>
    <row r="761" spans="38:56" x14ac:dyDescent="0.25">
      <c r="AL761" s="14">
        <v>-58</v>
      </c>
      <c r="AM761" s="14">
        <v>702</v>
      </c>
      <c r="AR761" s="14">
        <v>33</v>
      </c>
      <c r="AS761" s="14">
        <v>144</v>
      </c>
      <c r="AT761" s="14">
        <v>99</v>
      </c>
      <c r="AU761" s="14">
        <v>33</v>
      </c>
      <c r="AW761" s="14">
        <v>-936</v>
      </c>
      <c r="AX761" s="14">
        <v>936</v>
      </c>
      <c r="AY761" s="14">
        <v>-143</v>
      </c>
      <c r="AZ761" s="14">
        <v>24</v>
      </c>
      <c r="BA761" s="14">
        <v>45</v>
      </c>
      <c r="BB761" s="14">
        <v>244</v>
      </c>
      <c r="BD761" s="14">
        <v>2</v>
      </c>
    </row>
    <row r="762" spans="38:56" x14ac:dyDescent="0.25">
      <c r="AL762" s="14">
        <v>303</v>
      </c>
      <c r="AM762" s="14">
        <v>-180</v>
      </c>
      <c r="AR762" s="14">
        <v>58</v>
      </c>
      <c r="AS762" s="14">
        <v>81</v>
      </c>
      <c r="AT762" s="14">
        <v>15</v>
      </c>
      <c r="AU762" s="14">
        <v>11</v>
      </c>
      <c r="AW762" s="14">
        <v>-934</v>
      </c>
      <c r="AX762" s="14">
        <v>454</v>
      </c>
      <c r="AY762" s="14">
        <v>-743</v>
      </c>
      <c r="AZ762" s="14">
        <v>6</v>
      </c>
      <c r="BA762" s="14">
        <v>9</v>
      </c>
      <c r="BB762" s="14">
        <v>209</v>
      </c>
      <c r="BD762" s="14">
        <v>-3</v>
      </c>
    </row>
    <row r="763" spans="38:56" x14ac:dyDescent="0.25">
      <c r="AL763" s="14">
        <v>-67</v>
      </c>
      <c r="AM763" s="14">
        <v>-198</v>
      </c>
      <c r="AR763" s="14">
        <v>33</v>
      </c>
      <c r="AS763" s="14">
        <v>-213</v>
      </c>
      <c r="AT763" s="14">
        <v>10</v>
      </c>
      <c r="AU763" s="14">
        <v>12</v>
      </c>
      <c r="AW763" s="14">
        <v>-872</v>
      </c>
      <c r="AX763" s="14">
        <v>-177</v>
      </c>
      <c r="AY763" s="14">
        <v>-235</v>
      </c>
      <c r="AZ763" s="14">
        <v>285</v>
      </c>
      <c r="BA763" s="14">
        <v>16</v>
      </c>
      <c r="BB763" s="14">
        <v>485</v>
      </c>
      <c r="BD763" s="14">
        <v>-20</v>
      </c>
    </row>
    <row r="764" spans="38:56" x14ac:dyDescent="0.25">
      <c r="AL764" s="14">
        <v>-4</v>
      </c>
      <c r="AM764" s="14">
        <v>-972</v>
      </c>
      <c r="AR764" s="14">
        <v>-5</v>
      </c>
      <c r="AS764" s="14">
        <v>-114</v>
      </c>
      <c r="AT764" s="14">
        <v>-48</v>
      </c>
      <c r="AU764" s="14">
        <v>-38</v>
      </c>
      <c r="AW764" s="14">
        <v>-472</v>
      </c>
      <c r="AX764" s="14">
        <v>576</v>
      </c>
      <c r="AY764" s="14">
        <v>-276</v>
      </c>
      <c r="AZ764" s="14">
        <v>25</v>
      </c>
      <c r="BA764" s="14">
        <v>13</v>
      </c>
      <c r="BB764" s="14">
        <v>1770</v>
      </c>
      <c r="BD764" s="14">
        <v>1</v>
      </c>
    </row>
    <row r="765" spans="38:56" x14ac:dyDescent="0.25">
      <c r="AL765" s="14">
        <v>103</v>
      </c>
      <c r="AM765" s="14">
        <v>565</v>
      </c>
      <c r="AR765" s="14">
        <v>294</v>
      </c>
      <c r="AS765" s="14">
        <v>16</v>
      </c>
      <c r="AT765" s="14">
        <v>-46</v>
      </c>
      <c r="AU765" s="14">
        <v>-9</v>
      </c>
      <c r="AW765" s="14">
        <v>-457</v>
      </c>
      <c r="AX765" s="14">
        <v>510</v>
      </c>
      <c r="AY765" s="14">
        <v>473</v>
      </c>
      <c r="AZ765" s="14">
        <v>5</v>
      </c>
      <c r="BA765" s="14">
        <v>356</v>
      </c>
      <c r="BB765" s="14">
        <v>1524</v>
      </c>
      <c r="BD765" s="14">
        <v>1</v>
      </c>
    </row>
    <row r="766" spans="38:56" x14ac:dyDescent="0.25">
      <c r="AL766" s="14">
        <v>32</v>
      </c>
      <c r="AM766" s="14">
        <v>-138</v>
      </c>
      <c r="AR766" s="14">
        <v>226</v>
      </c>
      <c r="AS766" s="14">
        <v>-138</v>
      </c>
      <c r="AT766" s="14">
        <v>14</v>
      </c>
      <c r="AU766" s="14">
        <v>-18</v>
      </c>
      <c r="AW766" s="14">
        <v>-450</v>
      </c>
      <c r="AX766" s="14">
        <v>-134</v>
      </c>
      <c r="AY766" s="14">
        <v>-341</v>
      </c>
      <c r="AZ766" s="14">
        <v>41</v>
      </c>
      <c r="BA766" s="14">
        <v>208</v>
      </c>
      <c r="BB766" s="14">
        <v>597</v>
      </c>
      <c r="BD766" s="14">
        <v>20</v>
      </c>
    </row>
    <row r="767" spans="38:56" x14ac:dyDescent="0.25">
      <c r="AL767" s="14">
        <v>111</v>
      </c>
      <c r="AM767" s="14">
        <v>-101</v>
      </c>
      <c r="AR767" s="14">
        <v>892</v>
      </c>
      <c r="AS767" s="14">
        <v>304</v>
      </c>
      <c r="AT767" s="14">
        <v>1</v>
      </c>
      <c r="AU767" s="14">
        <v>21</v>
      </c>
      <c r="AW767" s="14">
        <v>6</v>
      </c>
      <c r="AX767" s="14">
        <v>200</v>
      </c>
      <c r="AY767" s="14">
        <v>-623</v>
      </c>
      <c r="AZ767" s="14">
        <v>50</v>
      </c>
      <c r="BA767" s="14">
        <v>120</v>
      </c>
      <c r="BB767" s="14">
        <v>268</v>
      </c>
      <c r="BD767" s="14">
        <v>37</v>
      </c>
    </row>
    <row r="768" spans="38:56" x14ac:dyDescent="0.25">
      <c r="AL768" s="14">
        <v>119</v>
      </c>
      <c r="AM768" s="14">
        <v>-237</v>
      </c>
      <c r="AR768" s="14">
        <v>480</v>
      </c>
      <c r="AS768" s="14">
        <v>10</v>
      </c>
      <c r="AT768" s="14">
        <v>6</v>
      </c>
      <c r="AU768" s="14">
        <v>48</v>
      </c>
      <c r="AW768" s="14">
        <v>10</v>
      </c>
      <c r="AX768" s="14">
        <v>559</v>
      </c>
      <c r="AY768" s="14">
        <v>947</v>
      </c>
      <c r="AZ768" s="14">
        <v>56</v>
      </c>
      <c r="BA768" s="14">
        <v>9</v>
      </c>
      <c r="BB768" s="14">
        <v>-250</v>
      </c>
      <c r="BD768" s="14">
        <v>39</v>
      </c>
    </row>
    <row r="769" spans="38:56" x14ac:dyDescent="0.25">
      <c r="AL769" s="14">
        <v>-188</v>
      </c>
      <c r="AM769" s="14">
        <v>-807</v>
      </c>
      <c r="AR769" s="14">
        <v>269</v>
      </c>
      <c r="AS769" s="14">
        <v>124</v>
      </c>
      <c r="AT769" s="14">
        <v>978</v>
      </c>
      <c r="AU769" s="14">
        <v>36</v>
      </c>
      <c r="AW769" s="14">
        <v>9</v>
      </c>
      <c r="AX769" s="14">
        <v>384</v>
      </c>
      <c r="AY769" s="14">
        <v>703</v>
      </c>
      <c r="AZ769" s="14">
        <v>-75</v>
      </c>
      <c r="BA769" s="14">
        <v>11</v>
      </c>
      <c r="BB769" s="14">
        <v>272</v>
      </c>
      <c r="BD769" s="14">
        <v>21</v>
      </c>
    </row>
    <row r="770" spans="38:56" x14ac:dyDescent="0.25">
      <c r="AL770" s="14">
        <v>118</v>
      </c>
      <c r="AM770" s="14">
        <v>156</v>
      </c>
      <c r="AR770" s="14">
        <v>53</v>
      </c>
      <c r="AS770" s="14">
        <v>-44</v>
      </c>
      <c r="AT770" s="14">
        <v>82</v>
      </c>
      <c r="AU770" s="14">
        <v>6</v>
      </c>
      <c r="AW770" s="14">
        <v>2</v>
      </c>
      <c r="AX770" s="14">
        <v>435</v>
      </c>
      <c r="AY770" s="14">
        <v>-208</v>
      </c>
      <c r="AZ770" s="14">
        <v>-30</v>
      </c>
      <c r="BA770" s="14">
        <v>8</v>
      </c>
      <c r="BB770" s="14">
        <v>603</v>
      </c>
      <c r="BD770" s="14">
        <v>38</v>
      </c>
    </row>
    <row r="771" spans="38:56" x14ac:dyDescent="0.25">
      <c r="AL771" s="14">
        <v>-3</v>
      </c>
      <c r="AM771" s="14">
        <v>178</v>
      </c>
      <c r="AR771" s="14">
        <v>-81</v>
      </c>
      <c r="AS771" s="14">
        <v>-191</v>
      </c>
      <c r="AT771" s="14">
        <v>4</v>
      </c>
      <c r="AU771" s="14">
        <v>13</v>
      </c>
      <c r="AW771" s="14">
        <v>6</v>
      </c>
      <c r="AX771" s="14">
        <v>697</v>
      </c>
      <c r="AY771" s="14">
        <v>549</v>
      </c>
      <c r="AZ771" s="14">
        <v>-6</v>
      </c>
      <c r="BA771" s="14">
        <v>439</v>
      </c>
      <c r="BB771" s="14">
        <v>421</v>
      </c>
      <c r="BD771" s="14">
        <v>39</v>
      </c>
    </row>
    <row r="772" spans="38:56" x14ac:dyDescent="0.25">
      <c r="AL772" s="14">
        <v>-30</v>
      </c>
      <c r="AM772" s="14">
        <v>516</v>
      </c>
      <c r="AR772" s="14">
        <v>-82</v>
      </c>
      <c r="AS772" s="14">
        <v>151</v>
      </c>
      <c r="AT772" s="14">
        <v>-6</v>
      </c>
      <c r="AU772" s="14">
        <v>-25</v>
      </c>
      <c r="AW772" s="14">
        <v>5</v>
      </c>
      <c r="AX772" s="14">
        <v>361</v>
      </c>
      <c r="AY772" s="14">
        <v>362</v>
      </c>
      <c r="AZ772" s="14">
        <v>-64</v>
      </c>
      <c r="BA772" s="14">
        <v>269</v>
      </c>
      <c r="BB772" s="14">
        <v>437</v>
      </c>
      <c r="BD772" s="14">
        <v>20</v>
      </c>
    </row>
    <row r="773" spans="38:56" x14ac:dyDescent="0.25">
      <c r="AL773" s="14">
        <v>-54</v>
      </c>
      <c r="AM773" s="14">
        <v>-816</v>
      </c>
      <c r="AR773" s="14">
        <v>-57</v>
      </c>
      <c r="AS773" s="14">
        <v>81</v>
      </c>
      <c r="AT773" s="14">
        <v>-21</v>
      </c>
      <c r="AU773" s="14">
        <v>-17</v>
      </c>
      <c r="AW773" s="14">
        <v>-258</v>
      </c>
      <c r="AX773" s="14">
        <v>558</v>
      </c>
      <c r="AY773" s="14">
        <v>289</v>
      </c>
      <c r="AZ773" s="14">
        <v>-13</v>
      </c>
      <c r="BA773" s="14">
        <v>150</v>
      </c>
      <c r="BB773" s="14">
        <v>259</v>
      </c>
      <c r="BD773" s="14">
        <v>-3</v>
      </c>
    </row>
    <row r="774" spans="38:56" x14ac:dyDescent="0.25">
      <c r="AL774" s="14">
        <v>127</v>
      </c>
      <c r="AM774" s="14">
        <v>195</v>
      </c>
      <c r="AR774" s="14">
        <v>-207</v>
      </c>
      <c r="AS774" s="14">
        <v>-217</v>
      </c>
      <c r="AT774" s="14">
        <v>-868</v>
      </c>
      <c r="AU774" s="14">
        <v>11</v>
      </c>
      <c r="AW774" s="14">
        <v>-279</v>
      </c>
      <c r="AX774" s="14">
        <v>743</v>
      </c>
      <c r="AY774" s="14">
        <v>814</v>
      </c>
      <c r="AZ774" s="14">
        <v>291</v>
      </c>
      <c r="BA774" s="14">
        <v>297</v>
      </c>
      <c r="BB774" s="14">
        <v>1586</v>
      </c>
      <c r="BD774" s="14">
        <v>-34</v>
      </c>
    </row>
    <row r="775" spans="38:56" x14ac:dyDescent="0.25">
      <c r="AL775" s="14">
        <v>1</v>
      </c>
      <c r="AM775" s="14">
        <v>509</v>
      </c>
      <c r="AR775" s="14">
        <v>902</v>
      </c>
      <c r="AS775" s="14">
        <v>-115</v>
      </c>
      <c r="AT775" s="14">
        <v>-2</v>
      </c>
      <c r="AU775" s="14">
        <v>51</v>
      </c>
      <c r="AW775" s="14">
        <v>-299</v>
      </c>
      <c r="AX775" s="14">
        <v>417</v>
      </c>
      <c r="AY775" s="14">
        <v>153</v>
      </c>
      <c r="AZ775" s="14">
        <v>21</v>
      </c>
      <c r="BA775" s="14">
        <v>112</v>
      </c>
      <c r="BB775" s="14">
        <v>411</v>
      </c>
      <c r="BD775" s="14">
        <v>-41</v>
      </c>
    </row>
    <row r="776" spans="38:56" x14ac:dyDescent="0.25">
      <c r="AL776" s="14">
        <v>86</v>
      </c>
      <c r="AM776" s="14">
        <v>425</v>
      </c>
      <c r="AR776" s="14">
        <v>640</v>
      </c>
      <c r="AS776" s="14">
        <v>10</v>
      </c>
      <c r="AT776" s="14">
        <v>-1</v>
      </c>
      <c r="AU776" s="14">
        <v>25</v>
      </c>
      <c r="AW776" s="14">
        <v>-295</v>
      </c>
      <c r="AX776" s="14">
        <v>642</v>
      </c>
      <c r="AY776" s="14">
        <v>103</v>
      </c>
      <c r="AZ776" s="14">
        <v>9</v>
      </c>
      <c r="BA776" s="14">
        <v>75</v>
      </c>
      <c r="BB776" s="14">
        <v>601</v>
      </c>
      <c r="BD776" s="14">
        <v>-29</v>
      </c>
    </row>
    <row r="777" spans="38:56" x14ac:dyDescent="0.25">
      <c r="AL777" s="14">
        <v>-81</v>
      </c>
      <c r="AM777" s="14">
        <v>383</v>
      </c>
      <c r="AR777" s="14">
        <v>-157</v>
      </c>
      <c r="AS777" s="14">
        <v>-155</v>
      </c>
      <c r="AT777" s="14">
        <v>-44</v>
      </c>
      <c r="AU777" s="14">
        <v>4</v>
      </c>
      <c r="AW777" s="14">
        <v>-317</v>
      </c>
      <c r="AX777" s="14">
        <v>567</v>
      </c>
      <c r="AY777" s="14">
        <v>142</v>
      </c>
      <c r="AZ777" s="14">
        <v>75</v>
      </c>
      <c r="BA777" s="14">
        <v>-72</v>
      </c>
      <c r="BB777" s="14">
        <v>401</v>
      </c>
      <c r="BD777" s="14">
        <v>-6</v>
      </c>
    </row>
    <row r="778" spans="38:56" x14ac:dyDescent="0.25">
      <c r="AL778" s="14">
        <v>361</v>
      </c>
      <c r="AM778" s="14">
        <v>414</v>
      </c>
      <c r="AR778" s="14">
        <v>145</v>
      </c>
      <c r="AS778" s="14">
        <v>302</v>
      </c>
      <c r="AT778" s="14">
        <v>124</v>
      </c>
      <c r="AU778" s="14">
        <v>7</v>
      </c>
      <c r="AW778" s="14">
        <v>-330</v>
      </c>
      <c r="AX778" s="14">
        <v>837</v>
      </c>
      <c r="AY778" s="14">
        <v>-4</v>
      </c>
      <c r="AZ778" s="14">
        <v>74</v>
      </c>
      <c r="BA778" s="14">
        <v>-116</v>
      </c>
      <c r="BB778" s="14">
        <v>197</v>
      </c>
      <c r="BD778" s="14">
        <v>49</v>
      </c>
    </row>
    <row r="779" spans="38:56" x14ac:dyDescent="0.25">
      <c r="AL779" s="14">
        <v>16</v>
      </c>
      <c r="AM779" s="14">
        <v>521</v>
      </c>
      <c r="AR779" s="14">
        <v>-781</v>
      </c>
      <c r="AS779" s="14">
        <v>404</v>
      </c>
      <c r="AT779" s="14">
        <v>170</v>
      </c>
      <c r="AU779" s="14">
        <v>-417</v>
      </c>
      <c r="AW779" s="14">
        <v>-128</v>
      </c>
      <c r="AX779" s="14">
        <v>759</v>
      </c>
      <c r="AY779" s="14">
        <v>908</v>
      </c>
      <c r="AZ779" s="14">
        <v>93</v>
      </c>
      <c r="BA779" s="14">
        <v>-102</v>
      </c>
      <c r="BB779" s="14">
        <v>325</v>
      </c>
      <c r="BD779" s="14">
        <v>67</v>
      </c>
    </row>
    <row r="780" spans="38:56" x14ac:dyDescent="0.25">
      <c r="AL780" s="14">
        <v>3</v>
      </c>
      <c r="AM780" s="14">
        <v>239</v>
      </c>
      <c r="AR780" s="14">
        <v>-782</v>
      </c>
      <c r="AS780" s="14">
        <v>87</v>
      </c>
      <c r="AT780" s="14">
        <v>3</v>
      </c>
      <c r="AU780" s="14">
        <v>347</v>
      </c>
      <c r="AW780" s="14">
        <v>-116</v>
      </c>
      <c r="AX780" s="14">
        <v>807</v>
      </c>
      <c r="AY780" s="14">
        <v>-497</v>
      </c>
      <c r="AZ780" s="14">
        <v>-20</v>
      </c>
      <c r="BA780" s="14">
        <v>-109</v>
      </c>
      <c r="BB780" s="14">
        <v>224</v>
      </c>
      <c r="BD780" s="14">
        <v>152</v>
      </c>
    </row>
    <row r="781" spans="38:56" x14ac:dyDescent="0.25">
      <c r="AL781" s="14">
        <v>34</v>
      </c>
      <c r="AM781" s="14">
        <v>224</v>
      </c>
      <c r="AR781" s="14">
        <v>-513</v>
      </c>
      <c r="AS781" s="14">
        <v>17</v>
      </c>
      <c r="AT781" s="14">
        <v>8</v>
      </c>
      <c r="AU781" s="14">
        <v>121</v>
      </c>
      <c r="AW781" s="14">
        <v>-128</v>
      </c>
      <c r="AX781" s="14">
        <v>747</v>
      </c>
      <c r="AY781" s="14">
        <v>881</v>
      </c>
      <c r="AZ781" s="14">
        <v>22</v>
      </c>
      <c r="BA781" s="14">
        <v>-38</v>
      </c>
      <c r="BB781" s="14">
        <v>169</v>
      </c>
      <c r="BD781" s="14">
        <v>138</v>
      </c>
    </row>
    <row r="782" spans="38:56" x14ac:dyDescent="0.25">
      <c r="AL782" s="14">
        <v>1</v>
      </c>
      <c r="AM782" s="14">
        <v>-254</v>
      </c>
      <c r="AR782" s="14">
        <v>-298</v>
      </c>
      <c r="AS782" s="14">
        <v>-490</v>
      </c>
      <c r="AT782" s="14">
        <v>-59</v>
      </c>
      <c r="AU782" s="14">
        <v>-435</v>
      </c>
      <c r="AW782" s="14">
        <v>630</v>
      </c>
      <c r="AX782" s="14">
        <v>944</v>
      </c>
      <c r="AY782" s="14">
        <v>141</v>
      </c>
      <c r="AZ782" s="14">
        <v>42</v>
      </c>
      <c r="BA782" s="14">
        <v>-41</v>
      </c>
      <c r="BB782" s="14">
        <v>311</v>
      </c>
      <c r="BD782" s="14">
        <v>-127</v>
      </c>
    </row>
    <row r="783" spans="38:56" x14ac:dyDescent="0.25">
      <c r="AL783" s="14">
        <v>-5</v>
      </c>
      <c r="AM783" s="14">
        <v>153</v>
      </c>
      <c r="AR783" s="14">
        <v>326</v>
      </c>
      <c r="AS783" s="14">
        <v>-217</v>
      </c>
      <c r="AT783" s="14">
        <v>-339</v>
      </c>
      <c r="AU783" s="14">
        <v>301</v>
      </c>
      <c r="AW783" s="14">
        <v>130</v>
      </c>
      <c r="AX783" s="14">
        <v>104</v>
      </c>
      <c r="AY783" s="14">
        <v>939</v>
      </c>
      <c r="AZ783" s="14">
        <v>-83</v>
      </c>
      <c r="BA783" s="14">
        <v>-18</v>
      </c>
      <c r="BB783" s="14">
        <v>33</v>
      </c>
      <c r="BD783" s="14">
        <v>-147</v>
      </c>
    </row>
    <row r="784" spans="38:56" x14ac:dyDescent="0.25">
      <c r="AL784" s="14">
        <v>-96</v>
      </c>
      <c r="AM784" s="14">
        <v>-968</v>
      </c>
      <c r="AR784" s="14">
        <v>-335</v>
      </c>
      <c r="AS784" s="14">
        <v>205</v>
      </c>
      <c r="AT784" s="14">
        <v>-5</v>
      </c>
      <c r="AU784" s="14">
        <v>-938</v>
      </c>
      <c r="AW784" s="14">
        <v>142</v>
      </c>
      <c r="AX784" s="14">
        <v>977</v>
      </c>
      <c r="AY784" s="14">
        <v>401</v>
      </c>
      <c r="AZ784" s="14">
        <v>48</v>
      </c>
      <c r="BA784" s="14">
        <v>-69</v>
      </c>
      <c r="BB784" s="14">
        <v>1064</v>
      </c>
      <c r="BD784" s="14">
        <v>-177</v>
      </c>
    </row>
    <row r="785" spans="38:56" x14ac:dyDescent="0.25">
      <c r="AL785" s="14">
        <v>64</v>
      </c>
      <c r="AM785" s="14">
        <v>-632</v>
      </c>
      <c r="AR785" s="14">
        <v>205</v>
      </c>
      <c r="AS785" s="14">
        <v>-486</v>
      </c>
      <c r="AT785" s="14">
        <v>-1</v>
      </c>
      <c r="AU785" s="14">
        <v>234</v>
      </c>
      <c r="AW785" s="14">
        <v>707</v>
      </c>
      <c r="AX785" s="14">
        <v>101</v>
      </c>
      <c r="AY785" s="14">
        <v>-285</v>
      </c>
      <c r="AZ785" s="14">
        <v>-81</v>
      </c>
      <c r="BA785" s="14">
        <v>-3</v>
      </c>
      <c r="BB785" s="14">
        <v>445</v>
      </c>
      <c r="BD785" s="14">
        <v>-193</v>
      </c>
    </row>
    <row r="786" spans="38:56" x14ac:dyDescent="0.25">
      <c r="AL786" s="14">
        <v>-213</v>
      </c>
      <c r="AM786" s="14">
        <v>-367</v>
      </c>
      <c r="AR786" s="14">
        <v>-193</v>
      </c>
      <c r="AS786" s="14">
        <v>-135</v>
      </c>
      <c r="AT786" s="14">
        <v>-7</v>
      </c>
      <c r="AU786" s="14">
        <v>-288</v>
      </c>
      <c r="AW786" s="14">
        <v>137</v>
      </c>
      <c r="AX786" s="14">
        <v>898</v>
      </c>
      <c r="AY786" s="14">
        <v>-531</v>
      </c>
      <c r="AZ786" s="14">
        <v>160</v>
      </c>
      <c r="BA786" s="14">
        <v>-22</v>
      </c>
      <c r="BB786" s="14">
        <v>184</v>
      </c>
      <c r="BD786" s="14">
        <v>17</v>
      </c>
    </row>
    <row r="787" spans="38:56" x14ac:dyDescent="0.25">
      <c r="AL787" s="14">
        <v>64</v>
      </c>
      <c r="AM787" s="14">
        <v>-181</v>
      </c>
      <c r="AR787" s="14">
        <v>26</v>
      </c>
      <c r="AS787" s="14">
        <v>-618</v>
      </c>
      <c r="AT787" s="14">
        <v>973</v>
      </c>
      <c r="AU787" s="14">
        <v>-823</v>
      </c>
      <c r="AW787" s="14">
        <v>149</v>
      </c>
      <c r="AX787" s="14">
        <v>709</v>
      </c>
      <c r="AY787" s="14">
        <v>-139</v>
      </c>
      <c r="AZ787" s="14">
        <v>-454</v>
      </c>
      <c r="BA787" s="14">
        <v>-26</v>
      </c>
      <c r="BB787" s="14">
        <v>492</v>
      </c>
      <c r="BD787" s="14">
        <v>40</v>
      </c>
    </row>
    <row r="788" spans="38:56" x14ac:dyDescent="0.25">
      <c r="AL788" s="14">
        <v>-175</v>
      </c>
      <c r="AM788" s="14">
        <v>-354</v>
      </c>
      <c r="AR788" s="14">
        <v>-25</v>
      </c>
      <c r="AS788" s="14">
        <v>494</v>
      </c>
      <c r="AT788" s="14">
        <v>101</v>
      </c>
      <c r="AU788" s="14">
        <v>-598</v>
      </c>
      <c r="AW788" s="14">
        <v>-65</v>
      </c>
      <c r="AX788" s="14">
        <v>668</v>
      </c>
      <c r="AY788" s="14">
        <v>-662</v>
      </c>
      <c r="AZ788" s="14">
        <v>553</v>
      </c>
      <c r="BA788" s="14">
        <v>-47</v>
      </c>
      <c r="BB788" s="14">
        <v>273</v>
      </c>
      <c r="BD788" s="14">
        <v>139</v>
      </c>
    </row>
    <row r="789" spans="38:56" x14ac:dyDescent="0.25">
      <c r="AL789" s="14">
        <v>2</v>
      </c>
      <c r="AM789" s="14">
        <v>-331</v>
      </c>
      <c r="AR789" s="14">
        <v>982</v>
      </c>
      <c r="AS789" s="14">
        <v>55</v>
      </c>
      <c r="AT789" s="14">
        <v>10</v>
      </c>
      <c r="AU789" s="14">
        <v>-631</v>
      </c>
      <c r="AW789" s="14">
        <v>-169</v>
      </c>
      <c r="AX789" s="14">
        <v>551</v>
      </c>
      <c r="AY789" s="14">
        <v>129</v>
      </c>
      <c r="AZ789" s="14">
        <v>166</v>
      </c>
      <c r="BA789" s="14">
        <v>-23</v>
      </c>
      <c r="BB789" s="14">
        <v>-497</v>
      </c>
      <c r="BD789" s="14">
        <v>181</v>
      </c>
    </row>
    <row r="790" spans="38:56" x14ac:dyDescent="0.25">
      <c r="AL790" s="14">
        <v>-168</v>
      </c>
      <c r="AM790" s="14">
        <v>686</v>
      </c>
      <c r="AR790" s="14">
        <v>-14</v>
      </c>
      <c r="AS790" s="14">
        <v>91</v>
      </c>
      <c r="AT790" s="14">
        <v>13</v>
      </c>
      <c r="AU790" s="14">
        <v>-550</v>
      </c>
      <c r="AW790" s="14">
        <v>-126</v>
      </c>
      <c r="AX790" s="14">
        <v>458</v>
      </c>
      <c r="AY790" s="14">
        <v>398</v>
      </c>
      <c r="AZ790" s="14">
        <v>-778</v>
      </c>
      <c r="BA790" s="14">
        <v>-56</v>
      </c>
      <c r="BB790" s="14">
        <v>-337</v>
      </c>
      <c r="BD790" s="14">
        <v>-31</v>
      </c>
    </row>
    <row r="791" spans="38:56" x14ac:dyDescent="0.25">
      <c r="AL791" s="14">
        <v>-142</v>
      </c>
      <c r="AM791" s="14">
        <v>578</v>
      </c>
      <c r="AR791" s="14">
        <v>729</v>
      </c>
      <c r="AS791" s="14">
        <v>17</v>
      </c>
      <c r="AT791" s="14">
        <v>-12</v>
      </c>
      <c r="AU791" s="14">
        <v>-839</v>
      </c>
      <c r="AW791" s="14">
        <v>-89</v>
      </c>
      <c r="AX791" s="14">
        <v>833</v>
      </c>
      <c r="AY791" s="14">
        <v>507</v>
      </c>
      <c r="AZ791" s="14">
        <v>-515</v>
      </c>
      <c r="BA791" s="14">
        <v>-55</v>
      </c>
      <c r="BB791" s="14">
        <v>-332</v>
      </c>
      <c r="BD791" s="14">
        <v>-30</v>
      </c>
    </row>
    <row r="792" spans="38:56" x14ac:dyDescent="0.25">
      <c r="AL792" s="14">
        <v>-34</v>
      </c>
      <c r="AM792" s="14">
        <v>465</v>
      </c>
      <c r="AR792" s="14">
        <v>244</v>
      </c>
      <c r="AS792" s="14">
        <v>-487</v>
      </c>
      <c r="AT792" s="14">
        <v>6</v>
      </c>
      <c r="AU792" s="14">
        <v>-769</v>
      </c>
      <c r="AW792" s="14">
        <v>-273</v>
      </c>
      <c r="AX792" s="14">
        <v>735</v>
      </c>
      <c r="AY792" s="14">
        <v>-103</v>
      </c>
      <c r="AZ792" s="14">
        <v>-744</v>
      </c>
      <c r="BA792" s="14">
        <v>-33</v>
      </c>
      <c r="BB792" s="14">
        <v>-450</v>
      </c>
      <c r="BD792" s="14">
        <v>-11</v>
      </c>
    </row>
    <row r="793" spans="38:56" x14ac:dyDescent="0.25">
      <c r="AL793" s="14">
        <v>-618</v>
      </c>
      <c r="AM793" s="14">
        <v>725</v>
      </c>
      <c r="AR793" s="14">
        <v>-38</v>
      </c>
      <c r="AS793" s="14">
        <v>-284</v>
      </c>
      <c r="AT793" s="14">
        <v>-2</v>
      </c>
      <c r="AU793" s="14">
        <v>154</v>
      </c>
      <c r="AW793" s="14">
        <v>-130</v>
      </c>
      <c r="AX793" s="14">
        <v>697</v>
      </c>
      <c r="AY793" s="14">
        <v>128</v>
      </c>
      <c r="AZ793" s="14">
        <v>-806</v>
      </c>
      <c r="BA793" s="14">
        <v>-37</v>
      </c>
      <c r="BB793" s="14">
        <v>-379</v>
      </c>
      <c r="BD793" s="14">
        <v>-13</v>
      </c>
    </row>
    <row r="794" spans="38:56" x14ac:dyDescent="0.25">
      <c r="AL794" s="14">
        <v>104</v>
      </c>
      <c r="AM794" s="14">
        <v>105</v>
      </c>
      <c r="AR794" s="14">
        <v>-266</v>
      </c>
      <c r="AS794" s="14">
        <v>190</v>
      </c>
      <c r="AT794" s="14">
        <v>4</v>
      </c>
      <c r="AU794" s="14">
        <v>-145</v>
      </c>
      <c r="AW794" s="14">
        <v>-89</v>
      </c>
      <c r="AX794" s="14">
        <v>119</v>
      </c>
      <c r="AY794" s="14">
        <v>122</v>
      </c>
      <c r="AZ794" s="14">
        <v>-126</v>
      </c>
      <c r="BA794" s="14">
        <v>-94</v>
      </c>
      <c r="BB794" s="14">
        <v>-532</v>
      </c>
      <c r="BD794" s="14">
        <v>12</v>
      </c>
    </row>
    <row r="795" spans="38:56" x14ac:dyDescent="0.25">
      <c r="AL795" s="14">
        <v>-17</v>
      </c>
      <c r="AM795" s="14">
        <v>726</v>
      </c>
      <c r="AR795" s="14">
        <v>-227</v>
      </c>
      <c r="AS795" s="14">
        <v>-553</v>
      </c>
      <c r="AT795" s="14">
        <v>660</v>
      </c>
      <c r="AU795" s="14">
        <v>-137</v>
      </c>
      <c r="AW795" s="14">
        <v>-273</v>
      </c>
      <c r="AX795" s="14">
        <v>829</v>
      </c>
      <c r="AY795" s="14">
        <v>377</v>
      </c>
      <c r="AZ795" s="14">
        <v>-112</v>
      </c>
      <c r="BA795" s="14">
        <v>-76</v>
      </c>
      <c r="BB795" s="14">
        <v>392</v>
      </c>
      <c r="BD795" s="14">
        <v>23</v>
      </c>
    </row>
    <row r="796" spans="38:56" x14ac:dyDescent="0.25">
      <c r="AL796" s="14">
        <v>-50</v>
      </c>
      <c r="AM796" s="14">
        <v>854</v>
      </c>
      <c r="AR796" s="14">
        <v>12</v>
      </c>
      <c r="AS796" s="14">
        <v>-154</v>
      </c>
      <c r="AT796" s="14">
        <v>101</v>
      </c>
      <c r="AU796" s="14">
        <v>-318</v>
      </c>
      <c r="AW796" s="14">
        <v>-130</v>
      </c>
      <c r="AX796" s="14">
        <v>779</v>
      </c>
      <c r="AY796" s="14">
        <v>-233</v>
      </c>
      <c r="AZ796" s="14">
        <v>-142</v>
      </c>
      <c r="BA796" s="14">
        <v>-94</v>
      </c>
      <c r="BB796" s="14">
        <v>-734</v>
      </c>
      <c r="BD796" s="14">
        <v>59</v>
      </c>
    </row>
    <row r="797" spans="38:56" x14ac:dyDescent="0.25">
      <c r="AL797" s="14">
        <v>7</v>
      </c>
      <c r="AM797" s="14">
        <v>879</v>
      </c>
      <c r="AR797" s="14">
        <v>172</v>
      </c>
      <c r="AS797" s="14">
        <v>-618</v>
      </c>
      <c r="AT797" s="14">
        <v>81</v>
      </c>
      <c r="AU797" s="14">
        <v>203</v>
      </c>
      <c r="AW797" s="14">
        <v>758</v>
      </c>
      <c r="AX797" s="14">
        <v>503</v>
      </c>
      <c r="AY797" s="14">
        <v>-513</v>
      </c>
      <c r="AZ797" s="14">
        <v>-175</v>
      </c>
      <c r="BA797" s="14">
        <v>3</v>
      </c>
      <c r="BB797" s="14">
        <v>415</v>
      </c>
      <c r="BD797" s="14">
        <v>65</v>
      </c>
    </row>
    <row r="798" spans="38:56" x14ac:dyDescent="0.25">
      <c r="AL798" s="14">
        <v>108</v>
      </c>
      <c r="AM798" s="14">
        <v>557</v>
      </c>
      <c r="AR798" s="14">
        <v>210</v>
      </c>
      <c r="AS798" s="14">
        <v>401</v>
      </c>
      <c r="AT798" s="14">
        <v>1</v>
      </c>
      <c r="AU798" s="14">
        <v>361</v>
      </c>
      <c r="AW798" s="14">
        <v>733</v>
      </c>
      <c r="AX798" s="14">
        <v>532</v>
      </c>
      <c r="AY798" s="14">
        <v>-348</v>
      </c>
      <c r="AZ798" s="14">
        <v>-167</v>
      </c>
      <c r="BA798" s="14">
        <v>-29</v>
      </c>
      <c r="BB798" s="14">
        <v>421</v>
      </c>
      <c r="BD798" s="14">
        <v>-5</v>
      </c>
    </row>
    <row r="799" spans="38:56" x14ac:dyDescent="0.25">
      <c r="AL799" s="14">
        <v>82</v>
      </c>
      <c r="AM799" s="14">
        <v>162</v>
      </c>
      <c r="AR799" s="14">
        <v>-26</v>
      </c>
      <c r="AS799" s="14">
        <v>-387</v>
      </c>
      <c r="AT799" s="14">
        <v>3</v>
      </c>
      <c r="AU799" s="14">
        <v>-71</v>
      </c>
      <c r="AW799" s="14">
        <v>585</v>
      </c>
      <c r="AX799" s="14">
        <v>713</v>
      </c>
      <c r="AY799" s="14">
        <v>-630</v>
      </c>
      <c r="AZ799" s="14">
        <v>664</v>
      </c>
      <c r="BA799" s="14">
        <v>-1</v>
      </c>
      <c r="BB799" s="14">
        <v>459</v>
      </c>
      <c r="BD799" s="14">
        <v>-5</v>
      </c>
    </row>
    <row r="800" spans="38:56" x14ac:dyDescent="0.25">
      <c r="AL800" s="14">
        <v>-73</v>
      </c>
      <c r="AM800" s="14">
        <v>513</v>
      </c>
      <c r="AR800" s="14">
        <v>-325</v>
      </c>
      <c r="AS800" s="14">
        <v>92</v>
      </c>
      <c r="AT800" s="14">
        <v>-57</v>
      </c>
      <c r="AU800" s="14">
        <v>88</v>
      </c>
      <c r="AW800" s="14">
        <v>569</v>
      </c>
      <c r="AX800" s="14">
        <v>537</v>
      </c>
      <c r="AY800" s="14">
        <v>331</v>
      </c>
      <c r="AZ800" s="14">
        <v>145</v>
      </c>
      <c r="BA800" s="14">
        <v>6</v>
      </c>
      <c r="BB800" s="14">
        <v>431</v>
      </c>
      <c r="BD800" s="14">
        <v>-90</v>
      </c>
    </row>
    <row r="801" spans="38:56" x14ac:dyDescent="0.25">
      <c r="AL801" s="14">
        <v>103</v>
      </c>
      <c r="AM801" s="14">
        <v>-278</v>
      </c>
      <c r="AR801" s="14">
        <v>-34</v>
      </c>
      <c r="AS801" s="14">
        <v>18</v>
      </c>
      <c r="AT801" s="14">
        <v>-278</v>
      </c>
      <c r="AU801" s="14">
        <v>499</v>
      </c>
      <c r="AW801" s="14">
        <v>569</v>
      </c>
      <c r="AX801" s="14">
        <v>409</v>
      </c>
      <c r="AY801" s="14">
        <v>392</v>
      </c>
      <c r="AZ801" s="14">
        <v>233</v>
      </c>
      <c r="BA801" s="14">
        <v>31</v>
      </c>
      <c r="BB801" s="14">
        <v>-243</v>
      </c>
      <c r="BD801" s="14">
        <v>-187</v>
      </c>
    </row>
    <row r="802" spans="38:56" x14ac:dyDescent="0.25">
      <c r="AL802" s="14">
        <v>-8</v>
      </c>
      <c r="AM802" s="14">
        <v>598</v>
      </c>
      <c r="AR802" s="14">
        <v>-568</v>
      </c>
      <c r="AS802" s="14">
        <v>-463</v>
      </c>
      <c r="AT802" s="14">
        <v>15</v>
      </c>
      <c r="AU802" s="14">
        <v>-8</v>
      </c>
      <c r="AW802" s="14">
        <v>105</v>
      </c>
      <c r="AX802" s="14">
        <v>104</v>
      </c>
      <c r="AY802" s="14">
        <v>562</v>
      </c>
      <c r="AZ802" s="14">
        <v>-495</v>
      </c>
      <c r="BA802" s="14">
        <v>51</v>
      </c>
      <c r="BB802" s="14">
        <v>2174</v>
      </c>
      <c r="BD802" s="14">
        <v>20</v>
      </c>
    </row>
    <row r="803" spans="38:56" x14ac:dyDescent="0.25">
      <c r="AL803" s="14">
        <v>20</v>
      </c>
      <c r="AM803" s="14">
        <v>-245</v>
      </c>
      <c r="AR803" s="14">
        <v>450</v>
      </c>
      <c r="AS803" s="14">
        <v>-253</v>
      </c>
      <c r="AT803" s="14">
        <v>1</v>
      </c>
      <c r="AU803" s="14">
        <v>309</v>
      </c>
      <c r="AW803" s="14">
        <v>103</v>
      </c>
      <c r="AX803" s="14">
        <v>713</v>
      </c>
      <c r="AY803" s="14">
        <v>-117</v>
      </c>
      <c r="AZ803" s="14">
        <v>-630</v>
      </c>
      <c r="BA803" s="14">
        <v>74</v>
      </c>
      <c r="BB803" s="14">
        <v>-434</v>
      </c>
      <c r="BD803" s="14">
        <v>37</v>
      </c>
    </row>
    <row r="804" spans="38:56" x14ac:dyDescent="0.25">
      <c r="AL804" s="14">
        <v>-25</v>
      </c>
      <c r="AM804" s="14">
        <v>146</v>
      </c>
      <c r="AR804" s="14">
        <v>-12</v>
      </c>
      <c r="AS804" s="14">
        <v>224</v>
      </c>
      <c r="AT804" s="14">
        <v>-95</v>
      </c>
      <c r="AU804" s="14">
        <v>9</v>
      </c>
      <c r="AW804" s="14">
        <v>161</v>
      </c>
      <c r="AX804" s="14">
        <v>665</v>
      </c>
      <c r="AY804" s="14">
        <v>236</v>
      </c>
      <c r="AZ804" s="14">
        <v>-790</v>
      </c>
      <c r="BA804" s="14">
        <v>44</v>
      </c>
      <c r="BB804" s="14">
        <v>-522</v>
      </c>
      <c r="BD804" s="14">
        <v>39</v>
      </c>
    </row>
    <row r="805" spans="38:56" x14ac:dyDescent="0.25">
      <c r="AL805" s="14">
        <v>-13</v>
      </c>
      <c r="AM805" s="14">
        <v>778</v>
      </c>
      <c r="AR805" s="14">
        <v>277</v>
      </c>
      <c r="AS805" s="14">
        <v>-544</v>
      </c>
      <c r="AT805" s="14">
        <v>697</v>
      </c>
      <c r="AU805" s="14">
        <v>13</v>
      </c>
      <c r="AW805" s="14">
        <v>160</v>
      </c>
      <c r="AX805" s="14">
        <v>863</v>
      </c>
      <c r="AY805" s="14">
        <v>136</v>
      </c>
      <c r="AZ805" s="14">
        <v>-119</v>
      </c>
      <c r="BA805" s="14">
        <v>17</v>
      </c>
      <c r="BB805" s="14">
        <v>272</v>
      </c>
      <c r="BD805" s="14">
        <v>21</v>
      </c>
    </row>
    <row r="806" spans="38:56" x14ac:dyDescent="0.25">
      <c r="AL806" s="14">
        <v>-103</v>
      </c>
      <c r="AM806" s="14">
        <v>149</v>
      </c>
      <c r="AR806" s="14">
        <v>-49</v>
      </c>
      <c r="AS806" s="14">
        <v>-150</v>
      </c>
      <c r="AT806" s="14">
        <v>511</v>
      </c>
      <c r="AU806" s="14">
        <v>453</v>
      </c>
      <c r="AW806" s="14">
        <v>160</v>
      </c>
      <c r="AX806" s="14">
        <v>343</v>
      </c>
      <c r="AY806" s="14">
        <v>543</v>
      </c>
      <c r="AZ806" s="14">
        <v>-921</v>
      </c>
      <c r="BA806" s="14">
        <v>21</v>
      </c>
      <c r="BB806" s="14">
        <v>-361</v>
      </c>
      <c r="BD806" s="14">
        <v>8</v>
      </c>
    </row>
    <row r="807" spans="38:56" x14ac:dyDescent="0.25">
      <c r="AL807" s="14">
        <v>146</v>
      </c>
      <c r="AM807" s="14">
        <v>751</v>
      </c>
      <c r="AR807" s="14">
        <v>43</v>
      </c>
      <c r="AS807" s="14">
        <v>-202</v>
      </c>
      <c r="AT807" s="14">
        <v>5</v>
      </c>
      <c r="AU807" s="14">
        <v>201</v>
      </c>
      <c r="AW807" s="14">
        <v>160</v>
      </c>
      <c r="AX807" s="14">
        <v>825</v>
      </c>
      <c r="AY807" s="14">
        <v>-878</v>
      </c>
      <c r="AZ807" s="14">
        <v>-123</v>
      </c>
      <c r="BA807" s="14">
        <v>79</v>
      </c>
      <c r="BB807" s="14">
        <v>-202</v>
      </c>
      <c r="BD807" s="14">
        <v>14</v>
      </c>
    </row>
    <row r="808" spans="38:56" x14ac:dyDescent="0.25">
      <c r="AL808" s="14">
        <v>-89</v>
      </c>
      <c r="AM808" s="14">
        <v>103</v>
      </c>
      <c r="AR808" s="14">
        <v>-220</v>
      </c>
      <c r="AS808" s="14">
        <v>387</v>
      </c>
      <c r="AT808" s="14">
        <v>3</v>
      </c>
      <c r="AU808" s="14">
        <v>261</v>
      </c>
      <c r="AW808" s="14">
        <v>115</v>
      </c>
      <c r="AX808" s="14">
        <v>594</v>
      </c>
      <c r="AY808" s="14">
        <v>-196</v>
      </c>
      <c r="AZ808" s="14">
        <v>-155</v>
      </c>
      <c r="BA808" s="14">
        <v>149</v>
      </c>
      <c r="BB808" s="14">
        <v>-157</v>
      </c>
      <c r="BD808" s="14">
        <v>16</v>
      </c>
    </row>
    <row r="809" spans="38:56" x14ac:dyDescent="0.25">
      <c r="AL809" s="14">
        <v>-122</v>
      </c>
      <c r="AM809" s="14">
        <v>457</v>
      </c>
      <c r="AR809" s="14">
        <v>340</v>
      </c>
      <c r="AS809" s="14">
        <v>171</v>
      </c>
      <c r="AT809" s="14">
        <v>-7</v>
      </c>
      <c r="AU809" s="14">
        <v>442</v>
      </c>
      <c r="AW809" s="14">
        <v>114</v>
      </c>
      <c r="AX809" s="14">
        <v>648</v>
      </c>
      <c r="AY809" s="14">
        <v>-197</v>
      </c>
      <c r="AZ809" s="14">
        <v>-129</v>
      </c>
      <c r="BA809" s="14">
        <v>120</v>
      </c>
      <c r="BB809" s="14">
        <v>-300</v>
      </c>
      <c r="BD809" s="14">
        <v>9</v>
      </c>
    </row>
    <row r="810" spans="38:56" x14ac:dyDescent="0.25">
      <c r="AL810" s="14">
        <v>146</v>
      </c>
      <c r="AM810" s="14">
        <v>646</v>
      </c>
      <c r="AR810" s="14">
        <v>-629</v>
      </c>
      <c r="AS810" s="14">
        <v>147</v>
      </c>
      <c r="AT810" s="14">
        <v>-805</v>
      </c>
      <c r="AU810" s="14">
        <v>100</v>
      </c>
      <c r="AW810" s="14">
        <v>162</v>
      </c>
      <c r="AX810" s="14">
        <v>325</v>
      </c>
      <c r="AY810" s="14">
        <v>-163</v>
      </c>
      <c r="AZ810" s="14">
        <v>201</v>
      </c>
      <c r="BA810" s="14">
        <v>126</v>
      </c>
      <c r="BB810" s="14">
        <v>2575</v>
      </c>
      <c r="BD810" s="14">
        <v>31</v>
      </c>
    </row>
    <row r="811" spans="38:56" x14ac:dyDescent="0.25">
      <c r="AL811" s="14">
        <v>-134</v>
      </c>
      <c r="AM811" s="14">
        <v>-121</v>
      </c>
      <c r="AR811" s="14">
        <v>249</v>
      </c>
      <c r="AS811" s="14">
        <v>155</v>
      </c>
      <c r="AT811" s="14">
        <v>-50</v>
      </c>
      <c r="AU811" s="14">
        <v>571</v>
      </c>
      <c r="AW811" s="14">
        <v>150</v>
      </c>
      <c r="AX811" s="14">
        <v>700</v>
      </c>
      <c r="AY811" s="14">
        <v>733</v>
      </c>
      <c r="AZ811" s="14">
        <v>69</v>
      </c>
      <c r="BA811" s="14">
        <v>93</v>
      </c>
      <c r="BB811" s="14">
        <v>1225</v>
      </c>
      <c r="BD811" s="14">
        <v>49</v>
      </c>
    </row>
    <row r="812" spans="38:56" x14ac:dyDescent="0.25">
      <c r="AL812" s="14">
        <v>-236</v>
      </c>
      <c r="AM812" s="14">
        <v>411</v>
      </c>
      <c r="AR812" s="14">
        <v>52</v>
      </c>
      <c r="AS812" s="14">
        <v>-562</v>
      </c>
      <c r="AT812" s="14">
        <v>-3</v>
      </c>
      <c r="AU812" s="14">
        <v>-51</v>
      </c>
      <c r="AW812" s="14">
        <v>150</v>
      </c>
      <c r="AX812" s="14">
        <v>561</v>
      </c>
      <c r="AY812" s="14">
        <v>907</v>
      </c>
      <c r="AZ812" s="14">
        <v>-71</v>
      </c>
      <c r="BA812" s="14">
        <v>143</v>
      </c>
      <c r="BB812" s="14">
        <v>2882</v>
      </c>
      <c r="BD812" s="14">
        <v>51</v>
      </c>
    </row>
    <row r="813" spans="38:56" x14ac:dyDescent="0.25">
      <c r="AL813" s="14">
        <v>-103</v>
      </c>
      <c r="AM813" s="14">
        <v>-220</v>
      </c>
      <c r="AR813" s="14">
        <v>637</v>
      </c>
      <c r="AS813" s="14">
        <v>-140</v>
      </c>
      <c r="AT813" s="14">
        <v>-155</v>
      </c>
      <c r="AU813" s="14">
        <v>235</v>
      </c>
      <c r="AW813" s="14">
        <v>-1</v>
      </c>
      <c r="AX813" s="14">
        <v>625</v>
      </c>
      <c r="AY813" s="14">
        <v>973</v>
      </c>
      <c r="AZ813" s="14">
        <v>162</v>
      </c>
      <c r="BA813" s="14">
        <v>124</v>
      </c>
      <c r="BB813" s="14">
        <v>1009</v>
      </c>
      <c r="BD813" s="14">
        <v>29</v>
      </c>
    </row>
    <row r="814" spans="38:56" x14ac:dyDescent="0.25">
      <c r="AL814" s="14">
        <v>-49</v>
      </c>
      <c r="AM814" s="14">
        <v>-318</v>
      </c>
      <c r="AR814" s="14">
        <v>46</v>
      </c>
      <c r="AS814" s="14">
        <v>63</v>
      </c>
      <c r="AT814" s="14">
        <v>408</v>
      </c>
      <c r="AU814" s="14">
        <v>844</v>
      </c>
      <c r="AW814" s="14">
        <v>-49</v>
      </c>
      <c r="AX814" s="14">
        <v>892</v>
      </c>
      <c r="AY814" s="14">
        <v>-113</v>
      </c>
      <c r="AZ814" s="14">
        <v>71</v>
      </c>
      <c r="BA814" s="14">
        <v>57</v>
      </c>
      <c r="BB814" s="14">
        <v>5149</v>
      </c>
      <c r="BD814" s="14">
        <v>20</v>
      </c>
    </row>
    <row r="815" spans="38:56" x14ac:dyDescent="0.25">
      <c r="AL815" s="14">
        <v>4</v>
      </c>
      <c r="AM815" s="14">
        <v>-151</v>
      </c>
      <c r="AR815" s="14">
        <v>-205</v>
      </c>
      <c r="AS815" s="14">
        <v>-247</v>
      </c>
      <c r="AT815" s="14">
        <v>58</v>
      </c>
      <c r="AU815" s="14">
        <v>262</v>
      </c>
      <c r="AW815" s="14">
        <v>-64</v>
      </c>
      <c r="AX815" s="14">
        <v>374</v>
      </c>
      <c r="AY815" s="14">
        <v>176</v>
      </c>
      <c r="AZ815" s="14">
        <v>-83</v>
      </c>
      <c r="BA815" s="14">
        <v>23</v>
      </c>
      <c r="BB815" s="14">
        <v>1331</v>
      </c>
      <c r="BD815" s="14">
        <v>12</v>
      </c>
    </row>
    <row r="816" spans="38:56" x14ac:dyDescent="0.25">
      <c r="AL816" s="14">
        <v>7</v>
      </c>
      <c r="AM816" s="14">
        <v>-242</v>
      </c>
      <c r="AR816" s="14">
        <v>-164</v>
      </c>
      <c r="AS816" s="14">
        <v>-85</v>
      </c>
      <c r="AT816" s="14">
        <v>6</v>
      </c>
      <c r="AU816" s="14">
        <v>-48</v>
      </c>
      <c r="AW816" s="14">
        <v>-4</v>
      </c>
      <c r="AX816" s="14">
        <v>857</v>
      </c>
      <c r="AY816" s="14">
        <v>-74</v>
      </c>
      <c r="AZ816" s="14">
        <v>-168</v>
      </c>
      <c r="BA816" s="14">
        <v>44</v>
      </c>
      <c r="BB816" s="14">
        <v>1712</v>
      </c>
      <c r="BD816" s="14">
        <v>14</v>
      </c>
    </row>
    <row r="817" spans="38:56" x14ac:dyDescent="0.25">
      <c r="AL817" s="14">
        <v>-14</v>
      </c>
      <c r="AM817" s="14">
        <v>-213</v>
      </c>
      <c r="AR817" s="14">
        <v>-113</v>
      </c>
      <c r="AS817" s="14">
        <v>-265</v>
      </c>
      <c r="AT817" s="14">
        <v>-2</v>
      </c>
      <c r="AU817" s="14">
        <v>-268</v>
      </c>
      <c r="AW817" s="14">
        <v>-52</v>
      </c>
      <c r="AX817" s="14">
        <v>501</v>
      </c>
      <c r="AY817" s="14">
        <v>-251</v>
      </c>
      <c r="AZ817" s="14">
        <v>-328</v>
      </c>
      <c r="BA817" s="14">
        <v>-281</v>
      </c>
      <c r="BB817" s="14">
        <v>1752</v>
      </c>
      <c r="BD817" s="14">
        <v>23</v>
      </c>
    </row>
    <row r="818" spans="38:56" x14ac:dyDescent="0.25">
      <c r="AL818" s="14">
        <v>-48</v>
      </c>
      <c r="AM818" s="14">
        <v>-400</v>
      </c>
      <c r="AR818" s="14">
        <v>843</v>
      </c>
      <c r="AS818" s="14">
        <v>232</v>
      </c>
      <c r="AT818" s="14">
        <v>-48</v>
      </c>
      <c r="AU818" s="14">
        <v>-245</v>
      </c>
      <c r="AW818" s="14">
        <v>-67</v>
      </c>
      <c r="AX818" s="14">
        <v>986</v>
      </c>
      <c r="AY818" s="14">
        <v>130</v>
      </c>
      <c r="AZ818" s="14">
        <v>-348</v>
      </c>
      <c r="BA818" s="14">
        <v>-141</v>
      </c>
      <c r="BB818" s="14">
        <v>1740</v>
      </c>
      <c r="BD818" s="14">
        <v>29</v>
      </c>
    </row>
    <row r="819" spans="38:56" x14ac:dyDescent="0.25">
      <c r="AL819" s="14">
        <v>-38</v>
      </c>
      <c r="AM819" s="14">
        <v>-643</v>
      </c>
      <c r="AR819" s="14">
        <v>-298</v>
      </c>
      <c r="AS819" s="14">
        <v>-20</v>
      </c>
      <c r="AT819" s="14">
        <v>62</v>
      </c>
      <c r="AU819" s="14">
        <v>-59</v>
      </c>
      <c r="AW819" s="14">
        <v>-19</v>
      </c>
      <c r="AX819" s="14">
        <v>572</v>
      </c>
      <c r="AY819" s="14">
        <v>106</v>
      </c>
      <c r="AZ819" s="14">
        <v>-414</v>
      </c>
      <c r="BA819" s="14">
        <v>-314</v>
      </c>
      <c r="BB819" s="14">
        <v>1793</v>
      </c>
      <c r="BD819" s="14">
        <v>2</v>
      </c>
    </row>
    <row r="820" spans="38:56" x14ac:dyDescent="0.25">
      <c r="AL820" s="14">
        <v>40</v>
      </c>
      <c r="AM820" s="14">
        <v>-120</v>
      </c>
      <c r="AR820" s="14">
        <v>53</v>
      </c>
      <c r="AS820" s="14">
        <v>160</v>
      </c>
      <c r="AT820" s="14">
        <v>4</v>
      </c>
      <c r="AU820" s="14">
        <v>24</v>
      </c>
      <c r="AW820" s="14">
        <v>66</v>
      </c>
      <c r="AX820" s="14">
        <v>351</v>
      </c>
      <c r="AY820" s="14">
        <v>396</v>
      </c>
      <c r="AZ820" s="14">
        <v>-391</v>
      </c>
      <c r="BA820" s="14">
        <v>-353</v>
      </c>
      <c r="BB820" s="14">
        <v>1291</v>
      </c>
      <c r="BD820" s="14">
        <v>23</v>
      </c>
    </row>
    <row r="821" spans="38:56" x14ac:dyDescent="0.25">
      <c r="AL821" s="14">
        <v>-43</v>
      </c>
      <c r="AM821" s="14">
        <v>-659</v>
      </c>
      <c r="AR821" s="14">
        <v>-351</v>
      </c>
      <c r="AS821" s="14">
        <v>161</v>
      </c>
      <c r="AT821" s="14">
        <v>1</v>
      </c>
      <c r="AU821" s="14">
        <v>49</v>
      </c>
      <c r="AW821" s="14">
        <v>59</v>
      </c>
      <c r="AX821" s="14">
        <v>67</v>
      </c>
      <c r="AY821" s="14">
        <v>-176</v>
      </c>
      <c r="AZ821" s="14">
        <v>-494</v>
      </c>
      <c r="BA821" s="14">
        <v>-326</v>
      </c>
      <c r="BB821" s="14">
        <v>6509</v>
      </c>
      <c r="BD821" s="14">
        <v>37</v>
      </c>
    </row>
    <row r="822" spans="38:56" x14ac:dyDescent="0.25">
      <c r="AL822" s="14">
        <v>-112</v>
      </c>
      <c r="AM822" s="14">
        <v>208</v>
      </c>
      <c r="AR822" s="14">
        <v>-29</v>
      </c>
      <c r="AS822" s="14">
        <v>-592</v>
      </c>
      <c r="AT822" s="14">
        <v>-371</v>
      </c>
      <c r="AU822" s="14">
        <v>-106</v>
      </c>
      <c r="AW822" s="14">
        <v>-18</v>
      </c>
      <c r="AX822" s="14">
        <v>-522</v>
      </c>
      <c r="AY822" s="14">
        <v>-401</v>
      </c>
      <c r="AZ822" s="14">
        <v>-622</v>
      </c>
      <c r="BA822" s="14">
        <v>-284</v>
      </c>
      <c r="BB822" s="14">
        <v>1464</v>
      </c>
      <c r="BD822" s="14">
        <v>28</v>
      </c>
    </row>
    <row r="823" spans="38:56" x14ac:dyDescent="0.25">
      <c r="AL823" s="14">
        <v>-82</v>
      </c>
      <c r="AM823" s="14">
        <v>-122</v>
      </c>
      <c r="AR823" s="14">
        <v>-781</v>
      </c>
      <c r="AS823" s="14">
        <v>-175</v>
      </c>
      <c r="AT823" s="14">
        <v>403</v>
      </c>
      <c r="AU823" s="14">
        <v>15</v>
      </c>
      <c r="AW823" s="14">
        <v>70</v>
      </c>
      <c r="AX823" s="14">
        <v>-164</v>
      </c>
      <c r="AY823" s="14">
        <v>-391</v>
      </c>
      <c r="AZ823" s="14">
        <v>-626</v>
      </c>
      <c r="BA823" s="14">
        <v>-865</v>
      </c>
      <c r="BB823" s="14">
        <v>994</v>
      </c>
      <c r="BD823" s="14">
        <v>27</v>
      </c>
    </row>
    <row r="824" spans="38:56" x14ac:dyDescent="0.25">
      <c r="AL824" s="14">
        <v>-55</v>
      </c>
      <c r="AM824" s="14">
        <v>143</v>
      </c>
      <c r="AR824" s="14">
        <v>-758</v>
      </c>
      <c r="AS824" s="14">
        <v>65</v>
      </c>
      <c r="AT824" s="14">
        <v>36</v>
      </c>
      <c r="AU824" s="14">
        <v>388</v>
      </c>
      <c r="AW824" s="14">
        <v>63</v>
      </c>
      <c r="AX824" s="14">
        <v>-692</v>
      </c>
      <c r="AY824" s="14">
        <v>-602</v>
      </c>
      <c r="AZ824" s="14">
        <v>203</v>
      </c>
      <c r="BA824" s="14">
        <v>-161</v>
      </c>
      <c r="BB824" s="14">
        <v>3388</v>
      </c>
      <c r="BD824" s="14">
        <v>39</v>
      </c>
    </row>
    <row r="825" spans="38:56" x14ac:dyDescent="0.25">
      <c r="AL825" s="14">
        <v>42</v>
      </c>
      <c r="AM825" s="14">
        <v>183</v>
      </c>
      <c r="AR825" s="14">
        <v>-319</v>
      </c>
      <c r="AS825" s="14">
        <v>-284</v>
      </c>
      <c r="AT825" s="14">
        <v>891</v>
      </c>
      <c r="AU825" s="14">
        <v>634</v>
      </c>
      <c r="AW825" s="14">
        <v>-18</v>
      </c>
      <c r="AX825" s="14">
        <v>531</v>
      </c>
      <c r="AY825" s="14">
        <v>-342</v>
      </c>
      <c r="AZ825" s="14">
        <v>37</v>
      </c>
      <c r="BA825" s="14">
        <v>-101</v>
      </c>
      <c r="BB825" s="14">
        <v>4743</v>
      </c>
      <c r="BD825" s="14">
        <v>44</v>
      </c>
    </row>
    <row r="826" spans="38:56" x14ac:dyDescent="0.25">
      <c r="AL826" s="14">
        <v>1</v>
      </c>
      <c r="AM826" s="14">
        <v>-229</v>
      </c>
      <c r="AR826" s="14">
        <v>-646</v>
      </c>
      <c r="AS826" s="14">
        <v>-96</v>
      </c>
      <c r="AT826" s="14">
        <v>33</v>
      </c>
      <c r="AU826" s="14">
        <v>610</v>
      </c>
      <c r="AW826" s="14">
        <v>70</v>
      </c>
      <c r="AX826" s="14">
        <v>-129</v>
      </c>
      <c r="AY826" s="14">
        <v>-152</v>
      </c>
      <c r="AZ826" s="14">
        <v>-172</v>
      </c>
      <c r="BA826" s="14">
        <v>-201</v>
      </c>
      <c r="BB826" s="14">
        <v>3853</v>
      </c>
      <c r="BD826" s="14">
        <v>25</v>
      </c>
    </row>
    <row r="827" spans="38:56" x14ac:dyDescent="0.25">
      <c r="AL827" s="14">
        <v>-23</v>
      </c>
      <c r="AM827" s="14">
        <v>-148</v>
      </c>
      <c r="AR827" s="14">
        <v>-768</v>
      </c>
      <c r="AS827" s="14">
        <v>-277</v>
      </c>
      <c r="AT827" s="14">
        <v>513</v>
      </c>
      <c r="AU827" s="14">
        <v>595</v>
      </c>
      <c r="AW827" s="14">
        <v>63</v>
      </c>
      <c r="AX827" s="14">
        <v>158</v>
      </c>
      <c r="AY827" s="14">
        <v>-141</v>
      </c>
      <c r="AZ827" s="14">
        <v>-293</v>
      </c>
      <c r="BA827" s="14">
        <v>-206</v>
      </c>
      <c r="BB827" s="14">
        <v>2762</v>
      </c>
      <c r="BD827" s="14">
        <v>39</v>
      </c>
    </row>
    <row r="828" spans="38:56" x14ac:dyDescent="0.25">
      <c r="AL828" s="14">
        <v>-43</v>
      </c>
      <c r="AM828" s="14">
        <v>-179</v>
      </c>
      <c r="AR828" s="14">
        <v>168</v>
      </c>
      <c r="AS828" s="14">
        <v>194</v>
      </c>
      <c r="AT828" s="14">
        <v>80</v>
      </c>
      <c r="AU828" s="14">
        <v>269</v>
      </c>
      <c r="AW828" s="14">
        <v>511</v>
      </c>
      <c r="AX828" s="14">
        <v>469</v>
      </c>
      <c r="AY828" s="14">
        <v>-110</v>
      </c>
      <c r="AZ828" s="14">
        <v>-317</v>
      </c>
      <c r="BA828" s="14">
        <v>-135</v>
      </c>
      <c r="BB828" s="14">
        <v>1647</v>
      </c>
      <c r="BD828" s="14">
        <v>34</v>
      </c>
    </row>
    <row r="829" spans="38:56" x14ac:dyDescent="0.25">
      <c r="AL829" s="14">
        <v>-81</v>
      </c>
      <c r="AM829" s="14">
        <v>-172</v>
      </c>
      <c r="AR829" s="14">
        <v>-508</v>
      </c>
      <c r="AS829" s="14">
        <v>-162</v>
      </c>
      <c r="AT829" s="14">
        <v>286</v>
      </c>
      <c r="AU829" s="14">
        <v>-29</v>
      </c>
      <c r="AW829" s="14">
        <v>556</v>
      </c>
      <c r="AX829" s="14">
        <v>203</v>
      </c>
      <c r="AY829" s="14">
        <v>153</v>
      </c>
      <c r="AZ829" s="14">
        <v>-317</v>
      </c>
      <c r="BA829" s="14">
        <v>-109</v>
      </c>
      <c r="BB829" s="14">
        <v>1589</v>
      </c>
      <c r="BD829" s="14">
        <v>25</v>
      </c>
    </row>
    <row r="830" spans="38:56" x14ac:dyDescent="0.25">
      <c r="AL830" s="14">
        <v>-122</v>
      </c>
      <c r="AM830" s="14">
        <v>-186</v>
      </c>
      <c r="AR830" s="14">
        <v>821</v>
      </c>
      <c r="AS830" s="14">
        <v>158</v>
      </c>
      <c r="AT830" s="14">
        <v>-51</v>
      </c>
      <c r="AU830" s="14">
        <v>344</v>
      </c>
      <c r="AW830" s="14">
        <v>535</v>
      </c>
      <c r="AX830" s="14">
        <v>-112</v>
      </c>
      <c r="AY830" s="14">
        <v>911</v>
      </c>
      <c r="AZ830" s="14">
        <v>-254</v>
      </c>
      <c r="BA830" s="14">
        <v>-693</v>
      </c>
      <c r="BB830" s="14">
        <v>5527</v>
      </c>
      <c r="BD830" s="14">
        <v>40</v>
      </c>
    </row>
    <row r="831" spans="38:56" x14ac:dyDescent="0.25">
      <c r="AL831" s="14">
        <v>56</v>
      </c>
      <c r="AM831" s="14">
        <v>-284</v>
      </c>
      <c r="AR831" s="14">
        <v>142</v>
      </c>
      <c r="AS831" s="14">
        <v>166</v>
      </c>
      <c r="AT831" s="14">
        <v>385</v>
      </c>
      <c r="AU831" s="14">
        <v>-65</v>
      </c>
      <c r="AW831" s="14">
        <v>517</v>
      </c>
      <c r="AX831" s="14">
        <v>571</v>
      </c>
      <c r="AY831" s="14">
        <v>359</v>
      </c>
      <c r="AZ831" s="14">
        <v>-345</v>
      </c>
      <c r="BA831" s="14">
        <v>-569</v>
      </c>
      <c r="BB831" s="14">
        <v>6658</v>
      </c>
      <c r="BD831" s="14">
        <v>45</v>
      </c>
    </row>
    <row r="832" spans="38:56" x14ac:dyDescent="0.25">
      <c r="AL832" s="14">
        <v>-1</v>
      </c>
      <c r="AM832" s="14">
        <v>-244</v>
      </c>
      <c r="AR832" s="14">
        <v>-715</v>
      </c>
      <c r="AS832" s="14">
        <v>-534</v>
      </c>
      <c r="AT832" s="14">
        <v>-252</v>
      </c>
      <c r="AU832" s="14">
        <v>-6</v>
      </c>
      <c r="AW832" s="14">
        <v>559</v>
      </c>
      <c r="AX832" s="14">
        <v>218</v>
      </c>
      <c r="AY832" s="14">
        <v>-18</v>
      </c>
      <c r="AZ832" s="14">
        <v>-439</v>
      </c>
      <c r="BA832" s="14">
        <v>-140</v>
      </c>
      <c r="BB832" s="14">
        <v>9557</v>
      </c>
      <c r="BD832" s="14">
        <v>-1</v>
      </c>
    </row>
    <row r="833" spans="39:56" x14ac:dyDescent="0.25">
      <c r="AM833" s="14">
        <v>-139</v>
      </c>
      <c r="AR833" s="14">
        <v>103</v>
      </c>
      <c r="AS833" s="14">
        <v>-146</v>
      </c>
      <c r="AT833" s="14">
        <v>191</v>
      </c>
      <c r="AU833" s="14">
        <v>679</v>
      </c>
      <c r="AW833" s="14">
        <v>539</v>
      </c>
      <c r="AX833" s="14">
        <v>431</v>
      </c>
      <c r="AY833" s="14">
        <v>-348</v>
      </c>
      <c r="AZ833" s="14">
        <v>-346</v>
      </c>
      <c r="BA833" s="14">
        <v>-152</v>
      </c>
      <c r="BB833" s="14">
        <v>1299</v>
      </c>
      <c r="BD833" s="14">
        <v>43</v>
      </c>
    </row>
    <row r="834" spans="39:56" x14ac:dyDescent="0.25">
      <c r="AM834" s="14">
        <v>305</v>
      </c>
      <c r="AR834" s="14">
        <v>84</v>
      </c>
      <c r="AS834" s="14">
        <v>86</v>
      </c>
      <c r="AT834" s="14">
        <v>-794</v>
      </c>
      <c r="AU834" s="14">
        <v>124</v>
      </c>
      <c r="AW834" s="14">
        <v>440</v>
      </c>
      <c r="AX834" s="14">
        <v>657</v>
      </c>
      <c r="AY834" s="14">
        <v>-546</v>
      </c>
      <c r="AZ834" s="14">
        <v>108</v>
      </c>
      <c r="BA834" s="14">
        <v>899</v>
      </c>
      <c r="BB834" s="14">
        <v>2545</v>
      </c>
      <c r="BD834" s="14">
        <v>21</v>
      </c>
    </row>
    <row r="835" spans="39:56" x14ac:dyDescent="0.25">
      <c r="AM835" s="14">
        <v>-286</v>
      </c>
      <c r="AR835" s="14">
        <v>-101</v>
      </c>
      <c r="AS835" s="14">
        <v>-258</v>
      </c>
      <c r="AT835" s="14">
        <v>-191</v>
      </c>
      <c r="AU835" s="14">
        <v>-89</v>
      </c>
      <c r="AW835" s="14">
        <v>500</v>
      </c>
      <c r="AX835" s="14">
        <v>435</v>
      </c>
      <c r="AY835" s="14">
        <v>-588</v>
      </c>
      <c r="AZ835" s="14">
        <v>257</v>
      </c>
      <c r="BA835" s="14">
        <v>666</v>
      </c>
      <c r="BB835" s="14">
        <v>1209</v>
      </c>
      <c r="BD835" s="14">
        <v>22</v>
      </c>
    </row>
    <row r="836" spans="39:56" x14ac:dyDescent="0.25">
      <c r="AM836" s="14">
        <v>-307</v>
      </c>
      <c r="AR836" s="14">
        <v>-41</v>
      </c>
      <c r="AS836" s="14">
        <v>-83</v>
      </c>
      <c r="AT836" s="14">
        <v>-1</v>
      </c>
      <c r="AU836" s="14">
        <v>34</v>
      </c>
      <c r="AW836" s="14">
        <v>-17</v>
      </c>
      <c r="AX836" s="14">
        <v>476</v>
      </c>
      <c r="AY836" s="14">
        <v>-288</v>
      </c>
      <c r="AZ836" s="14">
        <v>-42</v>
      </c>
      <c r="BA836" s="14">
        <v>111</v>
      </c>
      <c r="BB836" s="14">
        <v>1315</v>
      </c>
      <c r="BD836" s="14">
        <v>8</v>
      </c>
    </row>
    <row r="837" spans="39:56" x14ac:dyDescent="0.25">
      <c r="AM837" s="14">
        <v>-302</v>
      </c>
      <c r="AR837" s="14">
        <v>165</v>
      </c>
      <c r="AS837" s="14">
        <v>6</v>
      </c>
      <c r="AT837" s="14">
        <v>114</v>
      </c>
      <c r="AU837" s="14">
        <v>47</v>
      </c>
      <c r="AW837" s="14">
        <v>446</v>
      </c>
      <c r="AX837" s="14">
        <v>358</v>
      </c>
      <c r="AY837" s="14">
        <v>204</v>
      </c>
      <c r="AZ837" s="14">
        <v>-180</v>
      </c>
      <c r="BA837" s="14">
        <v>-233</v>
      </c>
      <c r="BB837" s="14">
        <v>9007</v>
      </c>
      <c r="BD837" s="14">
        <v>22</v>
      </c>
    </row>
    <row r="838" spans="39:56" x14ac:dyDescent="0.25">
      <c r="AM838" s="14">
        <v>571</v>
      </c>
      <c r="AR838" s="14">
        <v>-46</v>
      </c>
      <c r="AS838" s="14">
        <v>200</v>
      </c>
      <c r="AT838" s="14">
        <v>-528</v>
      </c>
      <c r="AU838" s="14">
        <v>20</v>
      </c>
      <c r="AW838" s="14">
        <v>506</v>
      </c>
      <c r="AX838" s="14">
        <v>811</v>
      </c>
      <c r="AY838" s="14">
        <v>-716</v>
      </c>
      <c r="AZ838" s="14">
        <v>80</v>
      </c>
      <c r="BA838" s="14">
        <v>769</v>
      </c>
      <c r="BB838" s="14">
        <v>7695</v>
      </c>
      <c r="BD838" s="14">
        <v>29</v>
      </c>
    </row>
    <row r="839" spans="39:56" x14ac:dyDescent="0.25">
      <c r="AM839" s="14">
        <v>281</v>
      </c>
      <c r="AS839" s="14">
        <v>-103</v>
      </c>
      <c r="AT839" s="14">
        <v>770</v>
      </c>
      <c r="AU839" s="14">
        <v>30</v>
      </c>
      <c r="AW839" s="14">
        <v>-10</v>
      </c>
      <c r="AX839" s="14">
        <v>625</v>
      </c>
      <c r="AY839" s="14">
        <v>-875</v>
      </c>
      <c r="AZ839" s="14">
        <v>386</v>
      </c>
      <c r="BA839" s="14">
        <v>985</v>
      </c>
      <c r="BB839" s="14">
        <v>1559</v>
      </c>
      <c r="BD839" s="14">
        <v>-2</v>
      </c>
    </row>
    <row r="840" spans="39:56" x14ac:dyDescent="0.25">
      <c r="AM840" s="14">
        <v>385</v>
      </c>
      <c r="AS840" s="14">
        <v>122</v>
      </c>
      <c r="AT840" s="14">
        <v>2</v>
      </c>
      <c r="AU840" s="14">
        <v>-35</v>
      </c>
      <c r="AW840" s="14">
        <v>446</v>
      </c>
      <c r="AX840" s="14">
        <v>709</v>
      </c>
      <c r="AY840" s="14">
        <v>123</v>
      </c>
      <c r="AZ840" s="14">
        <v>234</v>
      </c>
      <c r="BA840" s="14">
        <v>350</v>
      </c>
      <c r="BB840" s="14">
        <v>3761</v>
      </c>
      <c r="BD840" s="14">
        <v>53</v>
      </c>
    </row>
    <row r="841" spans="39:56" x14ac:dyDescent="0.25">
      <c r="AM841" s="14">
        <v>105</v>
      </c>
      <c r="AS841" s="14">
        <v>-28</v>
      </c>
      <c r="AT841" s="14">
        <v>667</v>
      </c>
      <c r="AU841" s="14">
        <v>-18</v>
      </c>
      <c r="AW841" s="14">
        <v>506</v>
      </c>
      <c r="AX841" s="14">
        <v>610</v>
      </c>
      <c r="AY841" s="14">
        <v>112</v>
      </c>
      <c r="AZ841" s="14">
        <v>-26</v>
      </c>
      <c r="BA841" s="14">
        <v>320</v>
      </c>
      <c r="BB841" s="14">
        <v>6727</v>
      </c>
      <c r="BD841" s="14">
        <v>20</v>
      </c>
    </row>
    <row r="842" spans="39:56" x14ac:dyDescent="0.25">
      <c r="AM842" s="14">
        <v>-290</v>
      </c>
      <c r="AS842" s="14">
        <v>-199</v>
      </c>
      <c r="AT842" s="14">
        <v>-286</v>
      </c>
      <c r="AU842" s="14">
        <v>-22</v>
      </c>
      <c r="AW842" s="14">
        <v>-10</v>
      </c>
      <c r="AX842" s="14">
        <v>885</v>
      </c>
      <c r="AY842" s="14">
        <v>-496</v>
      </c>
      <c r="AZ842" s="14">
        <v>-186</v>
      </c>
      <c r="BA842" s="14">
        <v>101</v>
      </c>
      <c r="BB842" s="14">
        <v>1115</v>
      </c>
      <c r="BD842" s="14">
        <v>18</v>
      </c>
    </row>
    <row r="843" spans="39:56" x14ac:dyDescent="0.25">
      <c r="AM843" s="14">
        <v>-180</v>
      </c>
      <c r="AS843" s="14">
        <v>103</v>
      </c>
      <c r="AT843" s="14">
        <v>875</v>
      </c>
      <c r="AU843" s="14">
        <v>-47</v>
      </c>
      <c r="AW843" s="14">
        <v>-43</v>
      </c>
      <c r="AX843" s="14">
        <v>963</v>
      </c>
      <c r="AY843" s="14">
        <v>-147</v>
      </c>
      <c r="AZ843" s="14">
        <v>81</v>
      </c>
      <c r="BA843" s="14">
        <v>-228</v>
      </c>
      <c r="BB843" s="14">
        <v>5493</v>
      </c>
      <c r="BD843" s="14">
        <v>25</v>
      </c>
    </row>
    <row r="844" spans="39:56" x14ac:dyDescent="0.25">
      <c r="AM844" s="14">
        <v>-147</v>
      </c>
      <c r="AS844" s="14">
        <v>-215</v>
      </c>
      <c r="AT844" s="14">
        <v>-237</v>
      </c>
      <c r="AU844" s="14">
        <v>-235</v>
      </c>
      <c r="AW844" s="14">
        <v>-42</v>
      </c>
      <c r="AX844" s="14">
        <v>843</v>
      </c>
      <c r="AY844" s="14">
        <v>-496</v>
      </c>
      <c r="AZ844" s="14">
        <v>-117</v>
      </c>
      <c r="BA844" s="14">
        <v>876</v>
      </c>
      <c r="BB844" s="14">
        <v>3528</v>
      </c>
      <c r="BD844" s="14">
        <v>15</v>
      </c>
    </row>
    <row r="845" spans="39:56" x14ac:dyDescent="0.25">
      <c r="AM845" s="14">
        <v>-578</v>
      </c>
      <c r="AS845" s="14">
        <v>-105</v>
      </c>
      <c r="AT845" s="14">
        <v>462</v>
      </c>
      <c r="AU845" s="14">
        <v>-214</v>
      </c>
      <c r="AW845" s="14">
        <v>-37</v>
      </c>
      <c r="AX845" s="14">
        <v>893</v>
      </c>
      <c r="AY845" s="14">
        <v>-533</v>
      </c>
      <c r="AZ845" s="14">
        <v>-305</v>
      </c>
      <c r="BA845" s="14">
        <v>-301</v>
      </c>
      <c r="BB845" s="14">
        <v>8664</v>
      </c>
      <c r="BD845" s="14">
        <v>56</v>
      </c>
    </row>
    <row r="846" spans="39:56" x14ac:dyDescent="0.25">
      <c r="AM846" s="14">
        <v>461</v>
      </c>
      <c r="AS846" s="14">
        <v>4</v>
      </c>
      <c r="AT846" s="14">
        <v>14</v>
      </c>
      <c r="AU846" s="14">
        <v>-111</v>
      </c>
      <c r="AW846" s="14">
        <v>51</v>
      </c>
      <c r="AX846" s="14">
        <v>865</v>
      </c>
      <c r="AY846" s="14">
        <v>-719</v>
      </c>
      <c r="AZ846" s="14">
        <v>-782</v>
      </c>
      <c r="BA846" s="14">
        <v>-138</v>
      </c>
      <c r="BB846" s="14">
        <v>3011</v>
      </c>
      <c r="BD846" s="14">
        <v>-2</v>
      </c>
    </row>
    <row r="847" spans="39:56" x14ac:dyDescent="0.25">
      <c r="AM847" s="14">
        <v>-474</v>
      </c>
      <c r="AS847" s="14">
        <v>-132</v>
      </c>
      <c r="AT847" s="14">
        <v>6</v>
      </c>
      <c r="AU847" s="14">
        <v>-73</v>
      </c>
      <c r="AW847" s="14">
        <v>-52</v>
      </c>
      <c r="AX847" s="14">
        <v>628</v>
      </c>
      <c r="AY847" s="14">
        <v>-427</v>
      </c>
      <c r="AZ847" s="14">
        <v>-558</v>
      </c>
      <c r="BA847" s="14">
        <v>-815</v>
      </c>
      <c r="BB847" s="14">
        <v>1929</v>
      </c>
      <c r="BD847" s="14">
        <v>28</v>
      </c>
    </row>
    <row r="848" spans="39:56" x14ac:dyDescent="0.25">
      <c r="AM848" s="14">
        <v>-189</v>
      </c>
      <c r="AS848" s="14">
        <v>302</v>
      </c>
      <c r="AT848" s="14">
        <v>9</v>
      </c>
      <c r="AU848" s="14">
        <v>61</v>
      </c>
      <c r="AW848" s="14">
        <v>-35</v>
      </c>
      <c r="AX848" s="14">
        <v>553</v>
      </c>
      <c r="AY848" s="14">
        <v>154</v>
      </c>
      <c r="AZ848" s="14">
        <v>-323</v>
      </c>
      <c r="BA848" s="14">
        <v>-961</v>
      </c>
      <c r="BB848" s="14">
        <v>2954</v>
      </c>
      <c r="BD848" s="14">
        <v>25</v>
      </c>
    </row>
    <row r="849" spans="39:56" x14ac:dyDescent="0.25">
      <c r="AM849" s="14">
        <v>-125</v>
      </c>
      <c r="AS849" s="14">
        <v>-16</v>
      </c>
      <c r="AT849" s="14">
        <v>4</v>
      </c>
      <c r="AU849" s="14">
        <v>42</v>
      </c>
      <c r="AW849" s="14">
        <v>51</v>
      </c>
      <c r="AX849" s="14">
        <v>422</v>
      </c>
      <c r="AY849" s="14">
        <v>-262</v>
      </c>
      <c r="AZ849" s="14">
        <v>-285</v>
      </c>
      <c r="BA849" s="14">
        <v>-107</v>
      </c>
      <c r="BB849" s="14">
        <v>448</v>
      </c>
      <c r="BD849" s="14">
        <v>11</v>
      </c>
    </row>
    <row r="850" spans="39:56" x14ac:dyDescent="0.25">
      <c r="AM850" s="14">
        <v>480</v>
      </c>
      <c r="AS850" s="14">
        <v>153</v>
      </c>
      <c r="AT850" s="14">
        <v>37</v>
      </c>
      <c r="AU850" s="14">
        <v>1</v>
      </c>
      <c r="AW850" s="14">
        <v>-52</v>
      </c>
      <c r="AX850" s="14">
        <v>442</v>
      </c>
      <c r="AY850" s="14">
        <v>-122</v>
      </c>
      <c r="AZ850" s="14">
        <v>-485</v>
      </c>
      <c r="BA850" s="14">
        <v>209</v>
      </c>
      <c r="BB850" s="14">
        <v>100</v>
      </c>
      <c r="BD850" s="14">
        <v>37</v>
      </c>
    </row>
    <row r="851" spans="39:56" x14ac:dyDescent="0.25">
      <c r="AM851" s="14">
        <v>-305</v>
      </c>
      <c r="AS851" s="14">
        <v>83</v>
      </c>
      <c r="AT851" s="14">
        <v>27</v>
      </c>
      <c r="AU851" s="14">
        <v>21</v>
      </c>
      <c r="AW851" s="14">
        <v>35</v>
      </c>
      <c r="AX851" s="14">
        <v>794</v>
      </c>
      <c r="AY851" s="14">
        <v>-726</v>
      </c>
      <c r="AZ851" s="14">
        <v>-426</v>
      </c>
      <c r="BA851" s="14">
        <v>-828</v>
      </c>
      <c r="BB851" s="14">
        <v>1889</v>
      </c>
      <c r="BD851" s="14">
        <v>27</v>
      </c>
    </row>
    <row r="852" spans="39:56" x14ac:dyDescent="0.25">
      <c r="AM852" s="14">
        <v>-188</v>
      </c>
      <c r="AS852" s="14">
        <v>196</v>
      </c>
      <c r="AT852" s="14">
        <v>4</v>
      </c>
      <c r="AU852" s="14">
        <v>200</v>
      </c>
      <c r="AW852" s="14">
        <v>51</v>
      </c>
      <c r="AX852" s="14">
        <v>713</v>
      </c>
      <c r="AY852" s="14">
        <v>-197</v>
      </c>
      <c r="AZ852" s="14">
        <v>421</v>
      </c>
      <c r="BA852" s="14">
        <v>-820</v>
      </c>
      <c r="BB852" s="14">
        <v>4513</v>
      </c>
      <c r="BD852" s="14">
        <v>47</v>
      </c>
    </row>
    <row r="853" spans="39:56" x14ac:dyDescent="0.25">
      <c r="AM853" s="14">
        <v>-595</v>
      </c>
      <c r="AS853" s="14">
        <v>215</v>
      </c>
      <c r="AT853" s="14">
        <v>3</v>
      </c>
      <c r="AU853" s="14">
        <v>-3</v>
      </c>
      <c r="AW853" s="14">
        <v>-52</v>
      </c>
      <c r="AX853" s="14">
        <v>588</v>
      </c>
      <c r="AY853" s="14">
        <v>124</v>
      </c>
      <c r="AZ853" s="14">
        <v>299</v>
      </c>
      <c r="BA853" s="14">
        <v>-137</v>
      </c>
      <c r="BB853" s="14">
        <v>7046</v>
      </c>
      <c r="BD853" s="14">
        <v>37</v>
      </c>
    </row>
    <row r="854" spans="39:56" x14ac:dyDescent="0.25">
      <c r="AM854" s="14">
        <v>-166</v>
      </c>
      <c r="AS854" s="14">
        <v>-404</v>
      </c>
      <c r="AT854" s="14">
        <v>4</v>
      </c>
      <c r="AU854" s="14">
        <v>-19</v>
      </c>
      <c r="AW854" s="14">
        <v>-35</v>
      </c>
      <c r="AX854" s="14">
        <v>106</v>
      </c>
      <c r="AY854" s="14">
        <v>-387</v>
      </c>
      <c r="AZ854" s="14">
        <v>38</v>
      </c>
      <c r="BA854" s="14">
        <v>218</v>
      </c>
      <c r="BB854" s="14">
        <v>568</v>
      </c>
      <c r="BD854" s="14">
        <v>60</v>
      </c>
    </row>
    <row r="855" spans="39:56" x14ac:dyDescent="0.25">
      <c r="AM855" s="14">
        <v>377</v>
      </c>
      <c r="AS855" s="14">
        <v>152</v>
      </c>
      <c r="AT855" s="14">
        <v>7</v>
      </c>
      <c r="AU855" s="14">
        <v>-3</v>
      </c>
      <c r="AW855" s="14">
        <v>-38</v>
      </c>
      <c r="AX855" s="14">
        <v>745</v>
      </c>
      <c r="AY855" s="14">
        <v>362</v>
      </c>
      <c r="AZ855" s="14">
        <v>210</v>
      </c>
      <c r="BA855" s="14">
        <v>-683</v>
      </c>
      <c r="BB855" s="14">
        <v>1144</v>
      </c>
      <c r="BD855" s="14">
        <v>7</v>
      </c>
    </row>
    <row r="856" spans="39:56" x14ac:dyDescent="0.25">
      <c r="AM856" s="14">
        <v>-178</v>
      </c>
      <c r="AS856" s="14">
        <v>183</v>
      </c>
      <c r="AT856" s="14">
        <v>3</v>
      </c>
      <c r="AU856" s="14">
        <v>2</v>
      </c>
      <c r="AW856" s="14">
        <v>-37</v>
      </c>
      <c r="AX856" s="14">
        <v>736</v>
      </c>
      <c r="AY856" s="14">
        <v>-131</v>
      </c>
      <c r="AZ856" s="14">
        <v>-84</v>
      </c>
      <c r="BA856" s="14">
        <v>569</v>
      </c>
      <c r="BB856" s="14">
        <v>3583</v>
      </c>
      <c r="BD856" s="14">
        <v>34</v>
      </c>
    </row>
    <row r="857" spans="39:56" x14ac:dyDescent="0.25">
      <c r="AM857" s="14">
        <v>347</v>
      </c>
      <c r="AS857" s="14">
        <v>-466</v>
      </c>
      <c r="AT857" s="14">
        <v>6</v>
      </c>
      <c r="AU857" s="14">
        <v>2</v>
      </c>
      <c r="AW857" s="14">
        <v>-34</v>
      </c>
      <c r="AX857" s="14">
        <v>400</v>
      </c>
      <c r="AY857" s="14">
        <v>-596</v>
      </c>
      <c r="AZ857" s="14">
        <v>-865</v>
      </c>
      <c r="BA857" s="14">
        <v>717</v>
      </c>
      <c r="BB857" s="14">
        <v>820</v>
      </c>
      <c r="BD857" s="14">
        <v>46</v>
      </c>
    </row>
    <row r="858" spans="39:56" x14ac:dyDescent="0.25">
      <c r="AM858" s="14">
        <v>-208</v>
      </c>
      <c r="AS858" s="14">
        <v>-174</v>
      </c>
      <c r="AT858" s="14">
        <v>-7</v>
      </c>
      <c r="AU858" s="14">
        <v>6</v>
      </c>
      <c r="AW858" s="14">
        <v>-714</v>
      </c>
      <c r="AX858" s="14">
        <v>488</v>
      </c>
      <c r="AY858" s="14">
        <v>140</v>
      </c>
      <c r="AZ858" s="14">
        <v>-132</v>
      </c>
      <c r="BA858" s="14">
        <v>711</v>
      </c>
      <c r="BB858" s="14">
        <v>3403</v>
      </c>
      <c r="BD858" s="14">
        <v>26</v>
      </c>
    </row>
    <row r="859" spans="39:56" x14ac:dyDescent="0.25">
      <c r="AM859" s="14">
        <v>145</v>
      </c>
      <c r="AS859" s="14">
        <v>52</v>
      </c>
      <c r="AT859" s="14">
        <v>3</v>
      </c>
      <c r="AU859" s="14">
        <v>-4</v>
      </c>
      <c r="AW859" s="14">
        <v>-828</v>
      </c>
      <c r="AX859" s="14">
        <v>634</v>
      </c>
      <c r="AY859" s="14">
        <v>-391</v>
      </c>
      <c r="AZ859" s="14">
        <v>105</v>
      </c>
      <c r="BA859" s="14">
        <v>723</v>
      </c>
      <c r="BB859" s="14">
        <v>3437</v>
      </c>
      <c r="BD859" s="14">
        <v>39</v>
      </c>
    </row>
    <row r="860" spans="39:56" x14ac:dyDescent="0.25">
      <c r="AM860" s="14">
        <v>640</v>
      </c>
      <c r="AS860" s="14">
        <v>-416</v>
      </c>
      <c r="AT860" s="14">
        <v>-72</v>
      </c>
      <c r="AU860" s="14">
        <v>3</v>
      </c>
      <c r="AW860" s="14">
        <v>-915</v>
      </c>
      <c r="AX860" s="14">
        <v>433</v>
      </c>
      <c r="AY860" s="14">
        <v>342</v>
      </c>
      <c r="AZ860" s="14">
        <v>-268</v>
      </c>
      <c r="BA860" s="14">
        <v>724</v>
      </c>
      <c r="BB860" s="14">
        <v>1479</v>
      </c>
      <c r="BD860" s="14">
        <v>37</v>
      </c>
    </row>
    <row r="861" spans="39:56" x14ac:dyDescent="0.25">
      <c r="AM861" s="14">
        <v>-814</v>
      </c>
      <c r="AS861" s="14">
        <v>-248</v>
      </c>
      <c r="AT861" s="14">
        <v>-6</v>
      </c>
      <c r="AU861" s="14">
        <v>-9</v>
      </c>
      <c r="AW861" s="14">
        <v>-708</v>
      </c>
      <c r="AX861" s="14">
        <v>204</v>
      </c>
      <c r="AY861" s="14">
        <v>46</v>
      </c>
      <c r="AZ861" s="14">
        <v>-293</v>
      </c>
      <c r="BA861" s="14">
        <v>686</v>
      </c>
      <c r="BB861" s="14">
        <v>3177</v>
      </c>
      <c r="BD861" s="14">
        <v>41</v>
      </c>
    </row>
    <row r="862" spans="39:56" x14ac:dyDescent="0.25">
      <c r="AM862" s="14">
        <v>406</v>
      </c>
      <c r="AS862" s="14">
        <v>-400</v>
      </c>
      <c r="AT862" s="14">
        <v>49</v>
      </c>
      <c r="AU862" s="14">
        <v>-2</v>
      </c>
      <c r="AW862" s="14">
        <v>-817</v>
      </c>
      <c r="AX862" s="14">
        <v>947</v>
      </c>
      <c r="AY862" s="14">
        <v>9</v>
      </c>
      <c r="AZ862" s="14">
        <v>-257</v>
      </c>
      <c r="BA862" s="14">
        <v>735</v>
      </c>
      <c r="BB862" s="14">
        <v>2242</v>
      </c>
      <c r="BD862" s="14">
        <v>56</v>
      </c>
    </row>
    <row r="863" spans="39:56" x14ac:dyDescent="0.25">
      <c r="AM863" s="14">
        <v>-180</v>
      </c>
      <c r="AS863" s="14">
        <v>30</v>
      </c>
      <c r="AT863" s="14">
        <v>-21</v>
      </c>
      <c r="AU863" s="14">
        <v>19</v>
      </c>
      <c r="AW863" s="14">
        <v>-908</v>
      </c>
      <c r="AX863" s="14">
        <v>647</v>
      </c>
      <c r="AY863" s="14">
        <v>5</v>
      </c>
      <c r="AZ863" s="14">
        <v>-127</v>
      </c>
      <c r="BA863" s="14">
        <v>730</v>
      </c>
      <c r="BB863" s="14">
        <v>1301</v>
      </c>
      <c r="BD863" s="14">
        <v>27</v>
      </c>
    </row>
    <row r="864" spans="39:56" x14ac:dyDescent="0.25">
      <c r="AM864" s="14">
        <v>420</v>
      </c>
      <c r="AS864" s="14">
        <v>322</v>
      </c>
      <c r="AT864" s="14">
        <v>15</v>
      </c>
      <c r="AU864" s="14">
        <v>12</v>
      </c>
      <c r="AW864" s="14">
        <v>530</v>
      </c>
      <c r="AX864" s="14">
        <v>591</v>
      </c>
      <c r="AY864" s="14">
        <v>534</v>
      </c>
      <c r="AZ864" s="14">
        <v>265</v>
      </c>
      <c r="BA864" s="14">
        <v>745</v>
      </c>
      <c r="BB864" s="14">
        <v>1563</v>
      </c>
      <c r="BD864" s="14">
        <v>10</v>
      </c>
    </row>
    <row r="865" spans="39:56" x14ac:dyDescent="0.25">
      <c r="AM865" s="14">
        <v>-292</v>
      </c>
      <c r="AS865" s="14">
        <v>477</v>
      </c>
      <c r="AT865" s="14">
        <v>-14</v>
      </c>
      <c r="AU865" s="14">
        <v>-4</v>
      </c>
      <c r="AW865" s="14">
        <v>-282</v>
      </c>
      <c r="AX865" s="14">
        <v>815</v>
      </c>
      <c r="AY865" s="14">
        <v>-215</v>
      </c>
      <c r="AZ865" s="14">
        <v>197</v>
      </c>
      <c r="BA865" s="14">
        <v>735</v>
      </c>
      <c r="BB865" s="14">
        <v>1247</v>
      </c>
      <c r="BD865" s="14">
        <v>16</v>
      </c>
    </row>
    <row r="866" spans="39:56" x14ac:dyDescent="0.25">
      <c r="AM866" s="14">
        <v>-431</v>
      </c>
      <c r="AS866" s="14">
        <v>348</v>
      </c>
      <c r="AT866" s="14">
        <v>-38</v>
      </c>
      <c r="AU866" s="14">
        <v>-6</v>
      </c>
      <c r="AW866" s="14">
        <v>-514</v>
      </c>
      <c r="AX866" s="14">
        <v>157</v>
      </c>
      <c r="AY866" s="14">
        <v>541</v>
      </c>
      <c r="AZ866" s="14">
        <v>56</v>
      </c>
      <c r="BA866" s="14">
        <v>749</v>
      </c>
      <c r="BB866" s="14">
        <v>1231</v>
      </c>
      <c r="BD866" s="14">
        <v>59</v>
      </c>
    </row>
    <row r="867" spans="39:56" x14ac:dyDescent="0.25">
      <c r="AM867" s="14">
        <v>-247</v>
      </c>
      <c r="AS867" s="14">
        <v>538</v>
      </c>
      <c r="AT867" s="14">
        <v>-80</v>
      </c>
      <c r="AU867" s="14">
        <v>2</v>
      </c>
      <c r="AW867" s="14">
        <v>523</v>
      </c>
      <c r="AX867" s="14">
        <v>676</v>
      </c>
      <c r="AY867" s="14">
        <v>-105</v>
      </c>
      <c r="AZ867" s="14">
        <v>1</v>
      </c>
      <c r="BA867" s="14">
        <v>721</v>
      </c>
      <c r="BB867" s="14">
        <v>1628</v>
      </c>
      <c r="BD867" s="14">
        <v>36</v>
      </c>
    </row>
    <row r="868" spans="39:56" x14ac:dyDescent="0.25">
      <c r="AM868" s="14">
        <v>-724</v>
      </c>
      <c r="AS868" s="14">
        <v>17</v>
      </c>
      <c r="AT868" s="14">
        <v>-33</v>
      </c>
      <c r="AU868" s="14">
        <v>31</v>
      </c>
      <c r="AW868" s="14">
        <v>-289</v>
      </c>
      <c r="AX868" s="14">
        <v>437</v>
      </c>
      <c r="AY868" s="14">
        <v>-62</v>
      </c>
      <c r="AZ868" s="14">
        <v>-136</v>
      </c>
      <c r="BA868" s="14">
        <v>724</v>
      </c>
      <c r="BB868" s="14">
        <v>540</v>
      </c>
      <c r="BD868" s="14">
        <v>21</v>
      </c>
    </row>
    <row r="869" spans="39:56" x14ac:dyDescent="0.25">
      <c r="AM869" s="14">
        <v>467</v>
      </c>
      <c r="AS869" s="14">
        <v>-148</v>
      </c>
      <c r="AT869" s="14">
        <v>-15</v>
      </c>
      <c r="AU869" s="14">
        <v>24</v>
      </c>
      <c r="AW869" s="14">
        <v>-524</v>
      </c>
      <c r="AX869" s="14">
        <v>508</v>
      </c>
      <c r="AY869" s="14">
        <v>692</v>
      </c>
      <c r="AZ869" s="14">
        <v>5</v>
      </c>
      <c r="BA869" s="14">
        <v>717</v>
      </c>
      <c r="BB869" s="14">
        <v>2648</v>
      </c>
      <c r="BD869" s="14">
        <v>20</v>
      </c>
    </row>
    <row r="870" spans="39:56" x14ac:dyDescent="0.25">
      <c r="AM870" s="14">
        <v>-207</v>
      </c>
      <c r="AS870" s="14">
        <v>140</v>
      </c>
      <c r="AT870" s="14">
        <v>3</v>
      </c>
      <c r="AU870" s="14">
        <v>-7</v>
      </c>
      <c r="AW870" s="14">
        <v>523</v>
      </c>
      <c r="AX870" s="14">
        <v>265</v>
      </c>
      <c r="AY870" s="14">
        <v>209</v>
      </c>
      <c r="AZ870" s="14">
        <v>123</v>
      </c>
      <c r="BA870" s="14">
        <v>718</v>
      </c>
      <c r="BB870" s="14">
        <v>656</v>
      </c>
      <c r="BD870" s="14">
        <v>22</v>
      </c>
    </row>
    <row r="871" spans="39:56" x14ac:dyDescent="0.25">
      <c r="AM871" s="14">
        <v>284</v>
      </c>
      <c r="AS871" s="14">
        <v>374</v>
      </c>
      <c r="AT871" s="14">
        <v>3</v>
      </c>
      <c r="AU871" s="14">
        <v>23</v>
      </c>
      <c r="AW871" s="14">
        <v>-289</v>
      </c>
      <c r="AX871" s="14">
        <v>539</v>
      </c>
      <c r="AY871" s="14">
        <v>671</v>
      </c>
      <c r="AZ871" s="14">
        <v>44</v>
      </c>
      <c r="BA871" s="14">
        <v>717</v>
      </c>
      <c r="BB871" s="14">
        <v>775</v>
      </c>
      <c r="BD871" s="14">
        <v>33</v>
      </c>
    </row>
    <row r="872" spans="39:56" x14ac:dyDescent="0.25">
      <c r="AM872" s="14">
        <v>110</v>
      </c>
      <c r="AS872" s="14">
        <v>654</v>
      </c>
      <c r="AT872" s="14">
        <v>-14</v>
      </c>
      <c r="AU872" s="14">
        <v>2</v>
      </c>
      <c r="AW872" s="14">
        <v>-524</v>
      </c>
      <c r="AX872" s="14">
        <v>391</v>
      </c>
      <c r="AY872" s="14">
        <v>27</v>
      </c>
      <c r="AZ872" s="14">
        <v>1</v>
      </c>
      <c r="BA872" s="14">
        <v>737</v>
      </c>
      <c r="BB872" s="14">
        <v>534</v>
      </c>
      <c r="BD872" s="14">
        <v>22</v>
      </c>
    </row>
    <row r="873" spans="39:56" x14ac:dyDescent="0.25">
      <c r="AM873" s="14">
        <v>175</v>
      </c>
      <c r="AS873" s="14">
        <v>81</v>
      </c>
      <c r="AT873" s="14">
        <v>-66</v>
      </c>
      <c r="AU873" s="14">
        <v>2</v>
      </c>
      <c r="AW873" s="14">
        <v>-114</v>
      </c>
      <c r="AX873" s="14">
        <v>365</v>
      </c>
      <c r="AY873" s="14">
        <v>4</v>
      </c>
      <c r="AZ873" s="14">
        <v>-142</v>
      </c>
      <c r="BA873" s="14">
        <v>173</v>
      </c>
      <c r="BB873" s="14">
        <v>5099</v>
      </c>
      <c r="BD873" s="14">
        <v>13</v>
      </c>
    </row>
    <row r="874" spans="39:56" x14ac:dyDescent="0.25">
      <c r="AM874" s="14">
        <v>174</v>
      </c>
      <c r="AS874" s="14">
        <v>207</v>
      </c>
      <c r="AT874" s="14">
        <v>36</v>
      </c>
      <c r="AU874" s="14">
        <v>-3</v>
      </c>
      <c r="AW874" s="14">
        <v>-140</v>
      </c>
      <c r="AX874" s="14">
        <v>714</v>
      </c>
      <c r="AY874" s="14">
        <v>7</v>
      </c>
      <c r="AZ874" s="14">
        <v>5</v>
      </c>
      <c r="BA874" s="14">
        <v>165</v>
      </c>
      <c r="BB874" s="14">
        <v>518</v>
      </c>
      <c r="BD874" s="14">
        <v>11</v>
      </c>
    </row>
    <row r="875" spans="39:56" x14ac:dyDescent="0.25">
      <c r="AM875" s="14">
        <v>71</v>
      </c>
      <c r="AS875" s="14">
        <v>586</v>
      </c>
      <c r="AT875" s="14">
        <v>-43</v>
      </c>
      <c r="AU875" s="14">
        <v>38</v>
      </c>
      <c r="AW875" s="14">
        <v>-137</v>
      </c>
      <c r="AX875" s="14">
        <v>171</v>
      </c>
      <c r="AY875" s="14">
        <v>57</v>
      </c>
      <c r="AZ875" s="14">
        <v>-66</v>
      </c>
      <c r="BA875" s="14">
        <v>187</v>
      </c>
      <c r="BB875" s="14">
        <v>3323</v>
      </c>
      <c r="BD875" s="14">
        <v>39</v>
      </c>
    </row>
    <row r="876" spans="39:56" x14ac:dyDescent="0.25">
      <c r="AM876" s="14">
        <v>-471</v>
      </c>
      <c r="AS876" s="14">
        <v>-695</v>
      </c>
      <c r="AT876" s="14">
        <v>-73</v>
      </c>
      <c r="AU876" s="14">
        <v>4</v>
      </c>
      <c r="AW876" s="14">
        <v>-113</v>
      </c>
      <c r="AX876" s="14">
        <v>728</v>
      </c>
      <c r="AY876" s="14">
        <v>724</v>
      </c>
      <c r="AZ876" s="14">
        <v>-197</v>
      </c>
      <c r="BA876" s="14">
        <v>190</v>
      </c>
      <c r="BB876" s="14">
        <v>69</v>
      </c>
      <c r="BD876" s="14">
        <v>14</v>
      </c>
    </row>
    <row r="877" spans="39:56" x14ac:dyDescent="0.25">
      <c r="AM877" s="14">
        <v>-154</v>
      </c>
      <c r="AS877" s="14">
        <v>861</v>
      </c>
      <c r="AT877" s="14">
        <v>-32</v>
      </c>
      <c r="AU877" s="14">
        <v>-8</v>
      </c>
      <c r="AW877" s="14">
        <v>-137</v>
      </c>
      <c r="AX877" s="14">
        <v>329</v>
      </c>
      <c r="AY877" s="14">
        <v>485</v>
      </c>
      <c r="AZ877" s="14">
        <v>-107</v>
      </c>
      <c r="BA877" s="14">
        <v>163</v>
      </c>
      <c r="BB877" s="14">
        <v>1268</v>
      </c>
      <c r="BD877" s="14">
        <v>20</v>
      </c>
    </row>
    <row r="878" spans="39:56" x14ac:dyDescent="0.25">
      <c r="AM878" s="14">
        <v>-225</v>
      </c>
      <c r="AS878" s="14">
        <v>326</v>
      </c>
      <c r="AT878" s="14">
        <v>59</v>
      </c>
      <c r="AU878" s="14">
        <v>29</v>
      </c>
      <c r="AW878" s="14">
        <v>-135</v>
      </c>
      <c r="AX878" s="14">
        <v>827</v>
      </c>
      <c r="AY878" s="14">
        <v>-169</v>
      </c>
      <c r="AZ878" s="14">
        <v>-184</v>
      </c>
      <c r="BA878" s="14">
        <v>152</v>
      </c>
      <c r="BB878" s="14">
        <v>3842</v>
      </c>
      <c r="BD878" s="14">
        <v>37</v>
      </c>
    </row>
    <row r="879" spans="39:56" x14ac:dyDescent="0.25">
      <c r="AM879" s="14">
        <v>-666</v>
      </c>
      <c r="AS879" s="14">
        <v>610</v>
      </c>
      <c r="AT879" s="14">
        <v>10</v>
      </c>
      <c r="AU879" s="14">
        <v>22</v>
      </c>
      <c r="AW879" s="14">
        <v>-192</v>
      </c>
      <c r="AX879" s="14">
        <v>-154</v>
      </c>
      <c r="AY879" s="14">
        <v>35</v>
      </c>
      <c r="AZ879" s="14">
        <v>-162</v>
      </c>
      <c r="BA879" s="14">
        <v>154</v>
      </c>
      <c r="BB879" s="14">
        <v>960</v>
      </c>
      <c r="BD879" s="14">
        <v>39</v>
      </c>
    </row>
    <row r="880" spans="39:56" x14ac:dyDescent="0.25">
      <c r="AM880" s="14">
        <v>-10</v>
      </c>
      <c r="AS880" s="14">
        <v>-31</v>
      </c>
      <c r="AT880" s="14">
        <v>-437</v>
      </c>
      <c r="AU880" s="14">
        <v>13</v>
      </c>
      <c r="AW880" s="14">
        <v>890</v>
      </c>
      <c r="AX880" s="14">
        <v>218</v>
      </c>
      <c r="AY880" s="14">
        <v>-224</v>
      </c>
      <c r="AZ880" s="14">
        <v>-135</v>
      </c>
      <c r="BA880" s="14">
        <v>147</v>
      </c>
      <c r="BB880" s="14">
        <v>6684</v>
      </c>
      <c r="BD880" s="14">
        <v>21</v>
      </c>
    </row>
    <row r="881" spans="39:56" x14ac:dyDescent="0.25">
      <c r="AM881" s="14">
        <v>113</v>
      </c>
      <c r="AS881" s="14">
        <v>296</v>
      </c>
      <c r="AT881" s="14">
        <v>-249</v>
      </c>
      <c r="AU881" s="14">
        <v>15</v>
      </c>
      <c r="AW881" s="14">
        <v>779</v>
      </c>
      <c r="AX881" s="14">
        <v>-182</v>
      </c>
      <c r="AY881" s="14">
        <v>368</v>
      </c>
      <c r="AZ881" s="14">
        <v>-245</v>
      </c>
      <c r="BA881" s="14">
        <v>165</v>
      </c>
      <c r="BB881" s="14">
        <v>2029</v>
      </c>
      <c r="BD881" s="14">
        <v>38</v>
      </c>
    </row>
    <row r="882" spans="39:56" x14ac:dyDescent="0.25">
      <c r="AM882" s="14">
        <v>-533</v>
      </c>
      <c r="AS882" s="14">
        <v>636</v>
      </c>
      <c r="AT882" s="14">
        <v>-597</v>
      </c>
      <c r="AU882" s="14">
        <v>-5</v>
      </c>
      <c r="AW882" s="14">
        <v>-175</v>
      </c>
      <c r="AX882" s="14">
        <v>-924</v>
      </c>
      <c r="AY882" s="14">
        <v>-878</v>
      </c>
      <c r="AZ882" s="14">
        <v>-269</v>
      </c>
      <c r="BA882" s="14">
        <v>147</v>
      </c>
      <c r="BB882" s="14">
        <v>1589</v>
      </c>
      <c r="BD882" s="14">
        <v>39</v>
      </c>
    </row>
    <row r="883" spans="39:56" x14ac:dyDescent="0.25">
      <c r="AM883" s="14">
        <v>170</v>
      </c>
      <c r="AS883" s="14">
        <v>-802</v>
      </c>
      <c r="AT883" s="14">
        <v>-590</v>
      </c>
      <c r="AU883" s="14">
        <v>-320</v>
      </c>
      <c r="AW883" s="14">
        <v>897</v>
      </c>
      <c r="AX883" s="14">
        <v>-397</v>
      </c>
      <c r="AY883" s="14">
        <v>787</v>
      </c>
      <c r="AZ883" s="14">
        <v>143</v>
      </c>
      <c r="BA883" s="14">
        <v>169</v>
      </c>
      <c r="BB883" s="14">
        <v>1780</v>
      </c>
      <c r="BD883" s="14">
        <v>20</v>
      </c>
    </row>
    <row r="884" spans="39:56" x14ac:dyDescent="0.25">
      <c r="AM884" s="14">
        <v>-117</v>
      </c>
      <c r="AS884" s="14">
        <v>-193</v>
      </c>
      <c r="AT884" s="14">
        <v>-310</v>
      </c>
      <c r="AU884" s="14">
        <v>351</v>
      </c>
      <c r="AW884" s="14">
        <v>785</v>
      </c>
      <c r="AX884" s="14">
        <v>-224</v>
      </c>
      <c r="AY884" s="14">
        <v>-48</v>
      </c>
      <c r="AZ884" s="14">
        <v>113</v>
      </c>
      <c r="BA884" s="14">
        <v>153</v>
      </c>
      <c r="BB884" s="14">
        <v>1904</v>
      </c>
      <c r="BD884" s="14">
        <v>-3</v>
      </c>
    </row>
    <row r="885" spans="39:56" x14ac:dyDescent="0.25">
      <c r="AM885" s="14">
        <v>-117</v>
      </c>
      <c r="AS885" s="14">
        <v>140</v>
      </c>
      <c r="AT885" s="14">
        <v>-516</v>
      </c>
      <c r="AU885" s="14">
        <v>-630</v>
      </c>
      <c r="AW885" s="14">
        <v>-175</v>
      </c>
      <c r="AX885" s="14">
        <v>302</v>
      </c>
      <c r="AY885" s="14">
        <v>-5</v>
      </c>
      <c r="AZ885" s="14">
        <v>55</v>
      </c>
      <c r="BA885" s="14">
        <v>159</v>
      </c>
      <c r="BB885" s="14">
        <v>1132</v>
      </c>
      <c r="BD885" s="14">
        <v>-34</v>
      </c>
    </row>
    <row r="886" spans="39:56" x14ac:dyDescent="0.25">
      <c r="AM886" s="14">
        <v>313</v>
      </c>
      <c r="AS886" s="14">
        <v>543</v>
      </c>
      <c r="AT886" s="14">
        <v>-334</v>
      </c>
      <c r="AU886" s="14">
        <v>729</v>
      </c>
      <c r="AW886" s="14">
        <v>897</v>
      </c>
      <c r="AX886" s="14">
        <v>-260</v>
      </c>
      <c r="AY886" s="14">
        <v>-3</v>
      </c>
      <c r="AZ886" s="14">
        <v>-2</v>
      </c>
      <c r="BA886" s="14">
        <v>172</v>
      </c>
      <c r="BB886" s="14">
        <v>862</v>
      </c>
      <c r="BD886" s="14">
        <v>-41</v>
      </c>
    </row>
    <row r="887" spans="39:56" x14ac:dyDescent="0.25">
      <c r="AM887" s="14">
        <v>-221</v>
      </c>
      <c r="AS887" s="14">
        <v>551</v>
      </c>
      <c r="AT887" s="14">
        <v>-443</v>
      </c>
      <c r="AU887" s="14">
        <v>-962</v>
      </c>
      <c r="AW887" s="14">
        <v>785</v>
      </c>
      <c r="AX887" s="14">
        <v>-445</v>
      </c>
      <c r="AY887" s="14">
        <v>-170</v>
      </c>
      <c r="AZ887" s="14">
        <v>-64</v>
      </c>
      <c r="BA887" s="14">
        <v>170</v>
      </c>
      <c r="BB887" s="14">
        <v>1811</v>
      </c>
      <c r="BD887" s="14">
        <v>-29</v>
      </c>
    </row>
    <row r="888" spans="39:56" x14ac:dyDescent="0.25">
      <c r="AM888" s="14">
        <v>-541</v>
      </c>
      <c r="AS888" s="14">
        <v>270</v>
      </c>
      <c r="AT888" s="14">
        <v>-302</v>
      </c>
      <c r="AU888" s="14">
        <v>-475</v>
      </c>
      <c r="AW888" s="14">
        <v>414</v>
      </c>
      <c r="AX888" s="14">
        <v>267</v>
      </c>
      <c r="AY888" s="14">
        <v>310</v>
      </c>
      <c r="AZ888" s="14">
        <v>-140</v>
      </c>
      <c r="BA888" s="14">
        <v>166</v>
      </c>
      <c r="BB888" s="14">
        <v>626</v>
      </c>
      <c r="BD888" s="14">
        <v>-6</v>
      </c>
    </row>
    <row r="889" spans="39:56" x14ac:dyDescent="0.25">
      <c r="AM889" s="14">
        <v>-322</v>
      </c>
      <c r="AS889" s="14">
        <v>496</v>
      </c>
      <c r="AT889" s="14">
        <v>-104</v>
      </c>
      <c r="AU889" s="14">
        <v>234</v>
      </c>
      <c r="AW889" s="14">
        <v>392</v>
      </c>
      <c r="AX889" s="14">
        <v>-365</v>
      </c>
      <c r="AY889" s="14">
        <v>-770</v>
      </c>
      <c r="AZ889" s="14">
        <v>-57</v>
      </c>
      <c r="BA889" s="14">
        <v>680</v>
      </c>
      <c r="BB889" s="14">
        <v>1113</v>
      </c>
      <c r="BD889" s="14">
        <v>49</v>
      </c>
    </row>
    <row r="890" spans="39:56" x14ac:dyDescent="0.25">
      <c r="AM890" s="14">
        <v>482</v>
      </c>
      <c r="AS890" s="14">
        <v>456</v>
      </c>
      <c r="AT890" s="14">
        <v>-128</v>
      </c>
      <c r="AU890" s="14">
        <v>293</v>
      </c>
      <c r="AW890" s="14">
        <v>387</v>
      </c>
      <c r="AX890" s="14">
        <v>-208</v>
      </c>
      <c r="AY890" s="14">
        <v>484</v>
      </c>
      <c r="AZ890" s="14">
        <v>-39</v>
      </c>
      <c r="BA890" s="14">
        <v>679</v>
      </c>
      <c r="BB890" s="14">
        <v>1207</v>
      </c>
      <c r="BD890" s="14">
        <v>67</v>
      </c>
    </row>
    <row r="891" spans="39:56" x14ac:dyDescent="0.25">
      <c r="AM891" s="14">
        <v>103</v>
      </c>
      <c r="AS891" s="14">
        <v>561</v>
      </c>
      <c r="AU891" s="14">
        <v>-720</v>
      </c>
      <c r="AW891" s="14">
        <v>423</v>
      </c>
      <c r="AX891" s="14">
        <v>325</v>
      </c>
      <c r="AY891" s="14">
        <v>-184</v>
      </c>
      <c r="AZ891" s="14">
        <v>19</v>
      </c>
      <c r="BA891" s="14">
        <v>697</v>
      </c>
      <c r="BB891" s="14">
        <v>1174</v>
      </c>
      <c r="BD891" s="14">
        <v>67</v>
      </c>
    </row>
    <row r="892" spans="39:56" x14ac:dyDescent="0.25">
      <c r="AM892" s="14">
        <v>-127</v>
      </c>
      <c r="AS892" s="14">
        <v>880</v>
      </c>
      <c r="AU892" s="14">
        <v>639</v>
      </c>
      <c r="AW892" s="14">
        <v>403</v>
      </c>
      <c r="AX892" s="14">
        <v>-624</v>
      </c>
      <c r="AY892" s="14">
        <v>-623</v>
      </c>
      <c r="AZ892" s="14">
        <v>70</v>
      </c>
      <c r="BA892" s="14">
        <v>690</v>
      </c>
      <c r="BB892" s="14">
        <v>3174</v>
      </c>
      <c r="BD892" s="14">
        <v>152</v>
      </c>
    </row>
    <row r="893" spans="39:56" x14ac:dyDescent="0.25">
      <c r="AM893" s="14">
        <v>278</v>
      </c>
      <c r="AS893" s="14">
        <v>171</v>
      </c>
      <c r="AU893" s="14">
        <v>-116</v>
      </c>
      <c r="AW893" s="14">
        <v>398</v>
      </c>
      <c r="AX893" s="14">
        <v>148</v>
      </c>
      <c r="AY893" s="14">
        <v>248</v>
      </c>
      <c r="AZ893" s="14">
        <v>23</v>
      </c>
      <c r="BA893" s="14">
        <v>653</v>
      </c>
      <c r="BB893" s="14">
        <v>1456</v>
      </c>
      <c r="BD893" s="14">
        <v>152</v>
      </c>
    </row>
    <row r="894" spans="39:56" x14ac:dyDescent="0.25">
      <c r="AM894" s="14">
        <v>10</v>
      </c>
      <c r="AS894" s="14">
        <v>-225</v>
      </c>
      <c r="AU894" s="14">
        <v>-172</v>
      </c>
      <c r="AW894" s="14">
        <v>-764</v>
      </c>
      <c r="AX894" s="14">
        <v>514</v>
      </c>
      <c r="AY894" s="14">
        <v>-13</v>
      </c>
      <c r="AZ894" s="14">
        <v>142</v>
      </c>
      <c r="BA894" s="14">
        <v>712</v>
      </c>
      <c r="BB894" s="14">
        <v>2123</v>
      </c>
      <c r="BD894" s="14">
        <v>138</v>
      </c>
    </row>
    <row r="895" spans="39:56" x14ac:dyDescent="0.25">
      <c r="AM895" s="14">
        <v>150</v>
      </c>
      <c r="AS895" s="14">
        <v>384</v>
      </c>
      <c r="AU895" s="14">
        <v>338</v>
      </c>
      <c r="AW895" s="14">
        <v>-818</v>
      </c>
      <c r="AX895" s="14">
        <v>129</v>
      </c>
      <c r="AY895" s="14">
        <v>201</v>
      </c>
      <c r="AZ895" s="14">
        <v>106</v>
      </c>
      <c r="BA895" s="14">
        <v>696</v>
      </c>
      <c r="BB895" s="14">
        <v>1039</v>
      </c>
      <c r="BD895" s="14">
        <v>138</v>
      </c>
    </row>
    <row r="896" spans="39:56" x14ac:dyDescent="0.25">
      <c r="AM896" s="14">
        <v>166</v>
      </c>
      <c r="AS896" s="14">
        <v>-740</v>
      </c>
      <c r="AU896" s="14">
        <v>455</v>
      </c>
      <c r="AW896" s="14">
        <v>-895</v>
      </c>
      <c r="AX896" s="14">
        <v>185</v>
      </c>
      <c r="AY896" s="14">
        <v>-25</v>
      </c>
      <c r="AZ896" s="14">
        <v>663</v>
      </c>
      <c r="BA896" s="14">
        <v>716</v>
      </c>
      <c r="BB896" s="14">
        <v>2989</v>
      </c>
      <c r="BD896" s="14">
        <v>-127</v>
      </c>
    </row>
    <row r="897" spans="39:56" x14ac:dyDescent="0.25">
      <c r="AM897" s="14">
        <v>778</v>
      </c>
      <c r="AS897" s="14">
        <v>305</v>
      </c>
      <c r="AU897" s="14">
        <v>-27</v>
      </c>
      <c r="AW897" s="14">
        <v>-724</v>
      </c>
      <c r="AX897" s="14">
        <v>106</v>
      </c>
      <c r="AY897" s="14">
        <v>46</v>
      </c>
      <c r="AZ897" s="14">
        <v>269</v>
      </c>
      <c r="BA897" s="14">
        <v>695</v>
      </c>
      <c r="BB897" s="14">
        <v>972</v>
      </c>
      <c r="BD897" s="14">
        <v>-127</v>
      </c>
    </row>
    <row r="898" spans="39:56" x14ac:dyDescent="0.25">
      <c r="AM898" s="14">
        <v>-698</v>
      </c>
      <c r="AS898" s="14">
        <v>869</v>
      </c>
      <c r="AU898" s="14">
        <v>503</v>
      </c>
      <c r="AW898" s="14">
        <v>-777</v>
      </c>
      <c r="AX898" s="14">
        <v>618</v>
      </c>
      <c r="AY898" s="14">
        <v>1</v>
      </c>
      <c r="AZ898" s="14">
        <v>100</v>
      </c>
      <c r="BA898" s="14">
        <v>714</v>
      </c>
      <c r="BB898" s="14">
        <v>2042</v>
      </c>
      <c r="BD898" s="14">
        <v>-147</v>
      </c>
    </row>
    <row r="899" spans="39:56" x14ac:dyDescent="0.25">
      <c r="AM899" s="14">
        <v>-382</v>
      </c>
      <c r="AS899" s="14">
        <v>-158</v>
      </c>
      <c r="AU899" s="14">
        <v>-281</v>
      </c>
      <c r="AW899" s="14">
        <v>-851</v>
      </c>
      <c r="AX899" s="14">
        <v>348</v>
      </c>
      <c r="AY899" s="14">
        <v>626</v>
      </c>
      <c r="AZ899" s="14">
        <v>178</v>
      </c>
      <c r="BA899" s="14">
        <v>687</v>
      </c>
      <c r="BB899" s="14">
        <v>1804</v>
      </c>
      <c r="BD899" s="14">
        <v>-147</v>
      </c>
    </row>
    <row r="900" spans="39:56" x14ac:dyDescent="0.25">
      <c r="AM900" s="14">
        <v>-422</v>
      </c>
      <c r="AS900" s="14">
        <v>-386</v>
      </c>
      <c r="AU900" s="14">
        <v>697</v>
      </c>
      <c r="AW900" s="14">
        <v>-842</v>
      </c>
      <c r="AX900" s="14">
        <v>438</v>
      </c>
      <c r="AY900" s="14">
        <v>-344</v>
      </c>
      <c r="AZ900" s="14">
        <v>242</v>
      </c>
      <c r="BA900" s="14">
        <v>691</v>
      </c>
      <c r="BB900" s="14">
        <v>1566</v>
      </c>
      <c r="BD900" s="14">
        <v>-177</v>
      </c>
    </row>
    <row r="901" spans="39:56" x14ac:dyDescent="0.25">
      <c r="AM901" s="14">
        <v>172</v>
      </c>
      <c r="AS901" s="14">
        <v>458</v>
      </c>
      <c r="AU901" s="14">
        <v>681</v>
      </c>
      <c r="AW901" s="14">
        <v>-757</v>
      </c>
      <c r="AX901" s="14">
        <v>301</v>
      </c>
      <c r="AY901" s="14">
        <v>-583</v>
      </c>
      <c r="AZ901" s="14">
        <v>935</v>
      </c>
      <c r="BA901" s="14">
        <v>680</v>
      </c>
      <c r="BB901" s="14">
        <v>2512</v>
      </c>
      <c r="BD901" s="14">
        <v>-178</v>
      </c>
    </row>
    <row r="902" spans="39:56" x14ac:dyDescent="0.25">
      <c r="AM902" s="14">
        <v>195</v>
      </c>
      <c r="AS902" s="14">
        <v>12</v>
      </c>
      <c r="AU902" s="14">
        <v>-115</v>
      </c>
      <c r="AW902" s="14">
        <v>-823</v>
      </c>
      <c r="AX902" s="14">
        <v>595</v>
      </c>
      <c r="AY902" s="14">
        <v>-278</v>
      </c>
      <c r="AZ902" s="14">
        <v>137</v>
      </c>
      <c r="BA902" s="14">
        <v>690</v>
      </c>
      <c r="BB902" s="14">
        <v>1765</v>
      </c>
      <c r="BD902" s="14">
        <v>-193</v>
      </c>
    </row>
    <row r="903" spans="39:56" x14ac:dyDescent="0.25">
      <c r="AM903" s="14">
        <v>-194</v>
      </c>
      <c r="AS903" s="14">
        <v>5</v>
      </c>
      <c r="AU903" s="14">
        <v>-332</v>
      </c>
      <c r="AW903" s="14">
        <v>-3</v>
      </c>
      <c r="AX903" s="14">
        <v>655</v>
      </c>
      <c r="AY903" s="14">
        <v>-465</v>
      </c>
      <c r="AZ903" s="14">
        <v>241</v>
      </c>
      <c r="BA903" s="14">
        <v>685</v>
      </c>
      <c r="BB903" s="14">
        <v>2596</v>
      </c>
      <c r="BD903" s="14">
        <v>-193</v>
      </c>
    </row>
    <row r="904" spans="39:56" x14ac:dyDescent="0.25">
      <c r="AM904" s="14">
        <v>-124</v>
      </c>
      <c r="AS904" s="14">
        <v>315</v>
      </c>
      <c r="AU904" s="14">
        <v>847</v>
      </c>
      <c r="AW904" s="14">
        <v>-3</v>
      </c>
      <c r="AX904" s="14">
        <v>539</v>
      </c>
      <c r="AY904" s="14">
        <v>-226</v>
      </c>
      <c r="AZ904" s="14">
        <v>208</v>
      </c>
      <c r="BA904" s="14">
        <v>703</v>
      </c>
      <c r="BB904" s="14">
        <v>7356</v>
      </c>
      <c r="BD904" s="14">
        <v>17</v>
      </c>
    </row>
    <row r="905" spans="39:56" x14ac:dyDescent="0.25">
      <c r="AM905" s="14">
        <v>132</v>
      </c>
      <c r="AS905" s="14">
        <v>872</v>
      </c>
      <c r="AU905" s="14">
        <v>-118</v>
      </c>
      <c r="AW905" s="14">
        <v>-370</v>
      </c>
      <c r="AX905" s="14">
        <v>560</v>
      </c>
      <c r="AY905" s="14">
        <v>153</v>
      </c>
      <c r="AZ905" s="14">
        <v>188</v>
      </c>
      <c r="BA905" s="14">
        <v>145</v>
      </c>
      <c r="BB905" s="14">
        <v>1063</v>
      </c>
      <c r="BD905" s="14">
        <v>17</v>
      </c>
    </row>
    <row r="906" spans="39:56" x14ac:dyDescent="0.25">
      <c r="AM906" s="14">
        <v>-990</v>
      </c>
      <c r="AS906" s="14">
        <v>-109</v>
      </c>
      <c r="AU906" s="14">
        <v>780</v>
      </c>
      <c r="AW906" s="14">
        <v>-372</v>
      </c>
      <c r="AX906" s="14">
        <v>548</v>
      </c>
      <c r="AY906" s="14">
        <v>12</v>
      </c>
      <c r="AZ906" s="14">
        <v>-147</v>
      </c>
      <c r="BA906" s="14">
        <v>132</v>
      </c>
      <c r="BB906" s="14">
        <v>5080</v>
      </c>
      <c r="BD906" s="14">
        <v>40</v>
      </c>
    </row>
    <row r="907" spans="39:56" x14ac:dyDescent="0.25">
      <c r="AM907" s="14">
        <v>-115</v>
      </c>
      <c r="AS907" s="14">
        <v>-275</v>
      </c>
      <c r="AU907" s="14">
        <v>312</v>
      </c>
      <c r="AW907" s="14">
        <v>-115</v>
      </c>
      <c r="AX907" s="14">
        <v>245</v>
      </c>
      <c r="AY907" s="14">
        <v>-408</v>
      </c>
      <c r="AZ907" s="14">
        <v>243</v>
      </c>
      <c r="BA907" s="14">
        <v>155</v>
      </c>
      <c r="BB907" s="14">
        <v>3312</v>
      </c>
      <c r="BD907" s="14">
        <v>40</v>
      </c>
    </row>
    <row r="908" spans="39:56" x14ac:dyDescent="0.25">
      <c r="AM908" s="14">
        <v>326</v>
      </c>
      <c r="AS908" s="14">
        <v>200</v>
      </c>
      <c r="AU908" s="14">
        <v>-596</v>
      </c>
      <c r="AW908" s="14">
        <v>16</v>
      </c>
      <c r="AX908" s="14">
        <v>179</v>
      </c>
      <c r="AY908" s="14">
        <v>-116</v>
      </c>
      <c r="AZ908" s="14">
        <v>180</v>
      </c>
      <c r="BA908" s="14">
        <v>145</v>
      </c>
      <c r="BB908" s="14">
        <v>1005</v>
      </c>
      <c r="BD908" s="14">
        <v>139</v>
      </c>
    </row>
    <row r="909" spans="39:56" x14ac:dyDescent="0.25">
      <c r="AM909" s="14">
        <v>-231</v>
      </c>
      <c r="AS909" s="14">
        <v>-253</v>
      </c>
      <c r="AU909" s="14">
        <v>-21</v>
      </c>
      <c r="AW909" s="14">
        <v>14</v>
      </c>
      <c r="AX909" s="14">
        <v>383</v>
      </c>
      <c r="AY909" s="14">
        <v>-94</v>
      </c>
      <c r="AZ909" s="14">
        <v>629</v>
      </c>
      <c r="BA909" s="14">
        <v>127</v>
      </c>
      <c r="BB909" s="14">
        <v>6423</v>
      </c>
      <c r="BD909" s="14">
        <v>140</v>
      </c>
    </row>
    <row r="910" spans="39:56" x14ac:dyDescent="0.25">
      <c r="AM910" s="14">
        <v>-568</v>
      </c>
      <c r="AS910" s="14">
        <v>86</v>
      </c>
      <c r="AU910" s="14">
        <v>23</v>
      </c>
      <c r="AW910" s="14">
        <v>-822</v>
      </c>
      <c r="AX910" s="14">
        <v>334</v>
      </c>
      <c r="AY910" s="14">
        <v>43</v>
      </c>
      <c r="AZ910" s="14">
        <v>752</v>
      </c>
      <c r="BA910" s="14">
        <v>127</v>
      </c>
      <c r="BB910" s="14">
        <v>1820</v>
      </c>
      <c r="BD910" s="14">
        <v>181</v>
      </c>
    </row>
    <row r="911" spans="39:56" x14ac:dyDescent="0.25">
      <c r="AM911" s="14">
        <v>-523</v>
      </c>
      <c r="AS911" s="14">
        <v>503</v>
      </c>
      <c r="AU911" s="14">
        <v>263</v>
      </c>
      <c r="AW911" s="14">
        <v>-756</v>
      </c>
      <c r="AX911" s="14">
        <v>425</v>
      </c>
      <c r="AY911" s="14">
        <v>327</v>
      </c>
      <c r="AZ911" s="14">
        <v>641</v>
      </c>
      <c r="BA911" s="14">
        <v>107</v>
      </c>
      <c r="BB911" s="14">
        <v>8634</v>
      </c>
      <c r="BD911" s="14">
        <v>-31</v>
      </c>
    </row>
    <row r="912" spans="39:56" x14ac:dyDescent="0.25">
      <c r="AM912" s="14">
        <v>-573</v>
      </c>
      <c r="AS912" s="14">
        <v>849</v>
      </c>
      <c r="AU912" s="14">
        <v>272</v>
      </c>
      <c r="AW912" s="14">
        <v>-317</v>
      </c>
      <c r="AX912" s="14">
        <v>321</v>
      </c>
      <c r="AY912" s="14">
        <v>-546</v>
      </c>
      <c r="AZ912" s="14">
        <v>108</v>
      </c>
      <c r="BA912" s="14">
        <v>116</v>
      </c>
      <c r="BB912" s="14">
        <v>3561</v>
      </c>
      <c r="BD912" s="14">
        <v>-31</v>
      </c>
    </row>
    <row r="913" spans="39:56" x14ac:dyDescent="0.25">
      <c r="AM913" s="14">
        <v>163</v>
      </c>
      <c r="AS913" s="14">
        <v>-110</v>
      </c>
      <c r="AU913" s="14">
        <v>449</v>
      </c>
      <c r="AW913" s="14">
        <v>24</v>
      </c>
      <c r="AX913" s="14">
        <v>177</v>
      </c>
      <c r="AY913" s="14">
        <v>334</v>
      </c>
      <c r="AZ913" s="14">
        <v>726</v>
      </c>
      <c r="BA913" s="14">
        <v>142</v>
      </c>
      <c r="BB913" s="14">
        <v>2726</v>
      </c>
      <c r="BD913" s="14">
        <v>-30</v>
      </c>
    </row>
    <row r="914" spans="39:56" x14ac:dyDescent="0.25">
      <c r="AM914" s="14">
        <v>-138</v>
      </c>
      <c r="AS914" s="14">
        <v>-270</v>
      </c>
      <c r="AU914" s="14">
        <v>-155</v>
      </c>
      <c r="AW914" s="14">
        <v>22</v>
      </c>
      <c r="AX914" s="14">
        <v>644</v>
      </c>
      <c r="AY914" s="14">
        <v>-230</v>
      </c>
      <c r="AZ914" s="14">
        <v>97</v>
      </c>
      <c r="BA914" s="14">
        <v>121</v>
      </c>
      <c r="BB914" s="14">
        <v>4526</v>
      </c>
      <c r="BD914" s="14">
        <v>-30</v>
      </c>
    </row>
    <row r="915" spans="39:56" x14ac:dyDescent="0.25">
      <c r="AM915" s="14">
        <v>300</v>
      </c>
      <c r="AS915" s="14">
        <v>217</v>
      </c>
      <c r="AU915" s="14">
        <v>-76</v>
      </c>
      <c r="AW915" s="14">
        <v>-667</v>
      </c>
      <c r="AX915" s="14">
        <v>316</v>
      </c>
      <c r="AY915" s="14">
        <v>-242</v>
      </c>
      <c r="AZ915" s="14">
        <v>492</v>
      </c>
      <c r="BA915" s="14">
        <v>153</v>
      </c>
      <c r="BB915" s="14">
        <v>1825</v>
      </c>
      <c r="BD915" s="14">
        <v>-11</v>
      </c>
    </row>
    <row r="916" spans="39:56" x14ac:dyDescent="0.25">
      <c r="AM916" s="14">
        <v>-203</v>
      </c>
      <c r="AS916" s="14">
        <v>-204</v>
      </c>
      <c r="AU916" s="14">
        <v>109</v>
      </c>
      <c r="AW916" s="14">
        <v>-570</v>
      </c>
      <c r="AX916" s="14">
        <v>294</v>
      </c>
      <c r="AY916" s="14">
        <v>-725</v>
      </c>
      <c r="AZ916" s="14">
        <v>859</v>
      </c>
      <c r="BA916" s="14">
        <v>123</v>
      </c>
      <c r="BB916" s="14">
        <v>4362</v>
      </c>
      <c r="BD916" s="14">
        <v>-11</v>
      </c>
    </row>
    <row r="917" spans="39:56" x14ac:dyDescent="0.25">
      <c r="AM917" s="14">
        <v>291</v>
      </c>
      <c r="AS917" s="14">
        <v>73</v>
      </c>
      <c r="AU917" s="14">
        <v>39</v>
      </c>
      <c r="AW917" s="14">
        <v>-271</v>
      </c>
      <c r="AX917" s="14">
        <v>-578</v>
      </c>
      <c r="AY917" s="14">
        <v>-302</v>
      </c>
      <c r="AZ917" s="14">
        <v>-466</v>
      </c>
      <c r="BA917" s="14">
        <v>126</v>
      </c>
      <c r="BB917" s="14">
        <v>1252</v>
      </c>
      <c r="BD917" s="14">
        <v>-13</v>
      </c>
    </row>
    <row r="918" spans="39:56" x14ac:dyDescent="0.25">
      <c r="AM918" s="14">
        <v>914</v>
      </c>
      <c r="AS918" s="14">
        <v>18</v>
      </c>
      <c r="AU918" s="14">
        <v>130</v>
      </c>
      <c r="AW918" s="14">
        <v>-14</v>
      </c>
      <c r="AX918" s="14">
        <v>108</v>
      </c>
      <c r="AY918" s="14">
        <v>751</v>
      </c>
      <c r="AZ918" s="14">
        <v>132</v>
      </c>
      <c r="BA918" s="14">
        <v>129</v>
      </c>
      <c r="BB918" s="14">
        <v>5433</v>
      </c>
      <c r="BD918" s="14">
        <v>-13</v>
      </c>
    </row>
    <row r="919" spans="39:56" x14ac:dyDescent="0.25">
      <c r="AM919" s="14">
        <v>-11</v>
      </c>
      <c r="AS919" s="14">
        <v>352</v>
      </c>
      <c r="AU919" s="14">
        <v>665</v>
      </c>
      <c r="AW919" s="14">
        <v>-14</v>
      </c>
      <c r="AX919" s="14">
        <v>164</v>
      </c>
      <c r="AY919" s="14">
        <v>-22</v>
      </c>
      <c r="AZ919" s="14">
        <v>869</v>
      </c>
      <c r="BA919" s="14">
        <v>129</v>
      </c>
      <c r="BB919" s="14">
        <v>2173</v>
      </c>
      <c r="BD919" s="14">
        <v>12</v>
      </c>
    </row>
    <row r="920" spans="39:56" x14ac:dyDescent="0.25">
      <c r="AM920" s="14">
        <v>-154</v>
      </c>
      <c r="AS920" s="14">
        <v>865</v>
      </c>
      <c r="AU920" s="14">
        <v>-115</v>
      </c>
      <c r="AW920" s="14">
        <v>-14</v>
      </c>
      <c r="AX920" s="14">
        <v>-124</v>
      </c>
      <c r="AY920" s="14">
        <v>499</v>
      </c>
      <c r="AZ920" s="14">
        <v>156</v>
      </c>
      <c r="BA920" s="14">
        <v>134</v>
      </c>
      <c r="BB920" s="14">
        <v>1029</v>
      </c>
      <c r="BD920" s="14">
        <v>12</v>
      </c>
    </row>
    <row r="921" spans="39:56" x14ac:dyDescent="0.25">
      <c r="AM921" s="14">
        <v>-637</v>
      </c>
      <c r="AS921" s="14">
        <v>-121</v>
      </c>
      <c r="AU921" s="14">
        <v>313</v>
      </c>
      <c r="AW921" s="14">
        <v>-15</v>
      </c>
      <c r="AX921" s="14">
        <v>-308</v>
      </c>
      <c r="AY921" s="14">
        <v>-322</v>
      </c>
      <c r="AZ921" s="14">
        <v>-662</v>
      </c>
      <c r="BA921" s="14">
        <v>847</v>
      </c>
      <c r="BB921" s="14">
        <v>239</v>
      </c>
      <c r="BD921" s="14">
        <v>23</v>
      </c>
    </row>
    <row r="922" spans="39:56" x14ac:dyDescent="0.25">
      <c r="AM922" s="14">
        <v>263</v>
      </c>
      <c r="AS922" s="14">
        <v>-281</v>
      </c>
      <c r="AU922" s="14">
        <v>-35</v>
      </c>
      <c r="AW922" s="14">
        <v>-15</v>
      </c>
      <c r="AX922" s="14">
        <v>403</v>
      </c>
      <c r="AY922" s="14">
        <v>84</v>
      </c>
      <c r="AZ922" s="14">
        <v>256</v>
      </c>
      <c r="BA922" s="14">
        <v>943</v>
      </c>
      <c r="BB922" s="14">
        <v>4077</v>
      </c>
      <c r="BD922" s="14">
        <v>23</v>
      </c>
    </row>
    <row r="923" spans="39:56" x14ac:dyDescent="0.25">
      <c r="AM923" s="14">
        <v>-376</v>
      </c>
      <c r="AS923" s="14">
        <v>182</v>
      </c>
      <c r="AU923" s="14">
        <v>2</v>
      </c>
      <c r="AW923" s="14">
        <v>-15</v>
      </c>
      <c r="AX923" s="14">
        <v>146</v>
      </c>
      <c r="AY923" s="14">
        <v>18</v>
      </c>
      <c r="AZ923" s="14">
        <v>-416</v>
      </c>
      <c r="BA923" s="14">
        <v>759</v>
      </c>
      <c r="BB923" s="14">
        <v>6390</v>
      </c>
      <c r="BD923" s="14">
        <v>59</v>
      </c>
    </row>
    <row r="924" spans="39:56" x14ac:dyDescent="0.25">
      <c r="AM924" s="14">
        <v>433</v>
      </c>
      <c r="AS924" s="14">
        <v>-372</v>
      </c>
      <c r="AU924" s="14">
        <v>16</v>
      </c>
      <c r="AW924" s="14">
        <v>114</v>
      </c>
      <c r="AX924" s="14">
        <v>763</v>
      </c>
      <c r="AY924" s="14">
        <v>151</v>
      </c>
      <c r="AZ924" s="14">
        <v>-264</v>
      </c>
      <c r="BA924" s="14">
        <v>101</v>
      </c>
      <c r="BB924" s="14">
        <v>2674</v>
      </c>
      <c r="BD924" s="14">
        <v>60</v>
      </c>
    </row>
    <row r="925" spans="39:56" x14ac:dyDescent="0.25">
      <c r="AM925" s="14">
        <v>-741</v>
      </c>
      <c r="AS925" s="14">
        <v>94</v>
      </c>
      <c r="AU925" s="14">
        <v>49</v>
      </c>
      <c r="AW925" s="14">
        <v>129</v>
      </c>
      <c r="AX925" s="14">
        <v>302</v>
      </c>
      <c r="AY925" s="14">
        <v>-189</v>
      </c>
      <c r="AZ925" s="14">
        <v>-342</v>
      </c>
      <c r="BA925" s="14">
        <v>869</v>
      </c>
      <c r="BB925" s="14">
        <v>2746</v>
      </c>
      <c r="BD925" s="14">
        <v>65</v>
      </c>
    </row>
    <row r="926" spans="39:56" x14ac:dyDescent="0.25">
      <c r="AM926" s="14">
        <v>-408</v>
      </c>
      <c r="AS926" s="14">
        <v>-419</v>
      </c>
      <c r="AU926" s="14">
        <v>-32</v>
      </c>
      <c r="AW926" s="14">
        <v>129</v>
      </c>
      <c r="AX926" s="14">
        <v>-379</v>
      </c>
      <c r="AY926" s="14">
        <v>-265</v>
      </c>
      <c r="AZ926" s="14">
        <v>-576</v>
      </c>
      <c r="BA926" s="14">
        <v>662</v>
      </c>
      <c r="BB926" s="14">
        <v>3169</v>
      </c>
      <c r="BD926" s="14">
        <v>65</v>
      </c>
    </row>
    <row r="927" spans="39:56" x14ac:dyDescent="0.25">
      <c r="AM927" s="14">
        <v>968</v>
      </c>
      <c r="AS927" s="14">
        <v>485</v>
      </c>
      <c r="AU927" s="14">
        <v>3</v>
      </c>
      <c r="AW927" s="14">
        <v>114</v>
      </c>
      <c r="AX927" s="14">
        <v>138</v>
      </c>
      <c r="AY927" s="14">
        <v>782</v>
      </c>
      <c r="AZ927" s="14">
        <v>-330</v>
      </c>
      <c r="BA927" s="14">
        <v>997</v>
      </c>
      <c r="BB927" s="14">
        <v>4415</v>
      </c>
      <c r="BD927" s="14">
        <v>-51</v>
      </c>
    </row>
    <row r="928" spans="39:56" x14ac:dyDescent="0.25">
      <c r="AM928" s="14">
        <v>-643</v>
      </c>
      <c r="AS928" s="14">
        <v>410</v>
      </c>
      <c r="AU928" s="14">
        <v>-4</v>
      </c>
      <c r="AW928" s="14">
        <v>130</v>
      </c>
      <c r="AX928" s="14">
        <v>-136</v>
      </c>
      <c r="AY928" s="14">
        <v>555</v>
      </c>
      <c r="AZ928" s="14">
        <v>299</v>
      </c>
      <c r="BA928" s="14">
        <v>797</v>
      </c>
      <c r="BB928" s="14">
        <v>9202</v>
      </c>
      <c r="BD928" s="14">
        <v>-50</v>
      </c>
    </row>
    <row r="929" spans="39:56" x14ac:dyDescent="0.25">
      <c r="AM929" s="14">
        <v>258</v>
      </c>
      <c r="AS929" s="14">
        <v>-225</v>
      </c>
      <c r="AU929" s="14">
        <v>-57</v>
      </c>
      <c r="AW929" s="14">
        <v>128</v>
      </c>
      <c r="AX929" s="14">
        <v>-434</v>
      </c>
      <c r="AY929" s="14">
        <v>705</v>
      </c>
      <c r="AZ929" s="14">
        <v>195</v>
      </c>
      <c r="BA929" s="14">
        <v>834</v>
      </c>
      <c r="BB929" s="14">
        <v>7380</v>
      </c>
      <c r="BD929" s="14">
        <v>-50</v>
      </c>
    </row>
    <row r="930" spans="39:56" x14ac:dyDescent="0.25">
      <c r="AM930" s="14">
        <v>100</v>
      </c>
      <c r="AS930" s="14">
        <v>116</v>
      </c>
      <c r="AU930" s="14">
        <v>24</v>
      </c>
      <c r="AW930" s="14">
        <v>90</v>
      </c>
      <c r="AX930" s="14">
        <v>-360</v>
      </c>
      <c r="AY930" s="14">
        <v>-142</v>
      </c>
      <c r="AZ930" s="14">
        <v>-821</v>
      </c>
      <c r="BA930" s="14">
        <v>809</v>
      </c>
      <c r="BB930" s="14">
        <v>6054</v>
      </c>
      <c r="BD930" s="14">
        <v>-90</v>
      </c>
    </row>
    <row r="931" spans="39:56" x14ac:dyDescent="0.25">
      <c r="AM931" s="14">
        <v>-53</v>
      </c>
      <c r="AS931" s="14">
        <v>947</v>
      </c>
      <c r="AU931" s="14">
        <v>-134</v>
      </c>
      <c r="AW931" s="14">
        <v>87</v>
      </c>
      <c r="AX931" s="14">
        <v>-471</v>
      </c>
      <c r="AY931" s="14">
        <v>-71</v>
      </c>
      <c r="AZ931" s="14">
        <v>-749</v>
      </c>
      <c r="BA931" s="14">
        <v>737</v>
      </c>
      <c r="BB931" s="14">
        <v>3147</v>
      </c>
      <c r="BD931" s="14">
        <v>-90</v>
      </c>
    </row>
    <row r="932" spans="39:56" x14ac:dyDescent="0.25">
      <c r="AM932" s="14">
        <v>-913</v>
      </c>
      <c r="AS932" s="14">
        <v>7</v>
      </c>
      <c r="AU932" s="14">
        <v>-93</v>
      </c>
      <c r="AW932" s="14">
        <v>90</v>
      </c>
      <c r="AX932" s="14">
        <v>-241</v>
      </c>
      <c r="AY932" s="14">
        <v>141</v>
      </c>
      <c r="AZ932" s="14">
        <v>-473</v>
      </c>
      <c r="BA932" s="14">
        <v>851</v>
      </c>
      <c r="BB932" s="14">
        <v>2888</v>
      </c>
      <c r="BD932" s="14">
        <v>-187</v>
      </c>
    </row>
    <row r="933" spans="39:56" x14ac:dyDescent="0.25">
      <c r="AM933" s="14">
        <v>-564</v>
      </c>
      <c r="AS933" s="14">
        <v>492</v>
      </c>
      <c r="AU933" s="14">
        <v>20</v>
      </c>
      <c r="AW933" s="14">
        <v>61</v>
      </c>
      <c r="AX933" s="14">
        <v>-293</v>
      </c>
      <c r="AY933" s="14">
        <v>69</v>
      </c>
      <c r="AZ933" s="14">
        <v>394</v>
      </c>
      <c r="BA933" s="14">
        <v>901</v>
      </c>
      <c r="BB933" s="14">
        <v>1878</v>
      </c>
      <c r="BD933" s="14">
        <v>-187</v>
      </c>
    </row>
    <row r="934" spans="39:56" x14ac:dyDescent="0.25">
      <c r="AM934" s="14">
        <v>229</v>
      </c>
      <c r="AS934" s="14">
        <v>502</v>
      </c>
      <c r="AU934" s="14">
        <v>2</v>
      </c>
      <c r="AW934" s="14">
        <v>61</v>
      </c>
      <c r="AX934" s="14">
        <v>627</v>
      </c>
      <c r="AY934" s="14">
        <v>86</v>
      </c>
      <c r="AZ934" s="14">
        <v>-115</v>
      </c>
      <c r="BA934" s="14">
        <v>907</v>
      </c>
      <c r="BB934" s="14">
        <v>5752</v>
      </c>
      <c r="BD934" s="14">
        <v>-711</v>
      </c>
    </row>
    <row r="935" spans="39:56" x14ac:dyDescent="0.25">
      <c r="AM935" s="14">
        <v>272</v>
      </c>
      <c r="AS935" s="14">
        <v>-542</v>
      </c>
      <c r="AU935" s="14">
        <v>-45</v>
      </c>
      <c r="AW935" s="14">
        <v>61</v>
      </c>
      <c r="AX935" s="14">
        <v>-439</v>
      </c>
      <c r="AY935" s="14">
        <v>80</v>
      </c>
      <c r="AZ935" s="14">
        <v>-105</v>
      </c>
      <c r="BA935" s="14">
        <v>935</v>
      </c>
      <c r="BB935" s="14">
        <v>7363</v>
      </c>
      <c r="BD935" s="14">
        <v>-678</v>
      </c>
    </row>
    <row r="936" spans="39:56" x14ac:dyDescent="0.25">
      <c r="AM936" s="14">
        <v>426</v>
      </c>
      <c r="AS936" s="14">
        <v>819</v>
      </c>
      <c r="AU936" s="14">
        <v>-55</v>
      </c>
      <c r="AW936" s="14">
        <v>59</v>
      </c>
      <c r="AX936" s="14">
        <v>825</v>
      </c>
      <c r="AY936" s="14">
        <v>-45</v>
      </c>
      <c r="AZ936" s="14">
        <v>123</v>
      </c>
      <c r="BA936" s="14">
        <v>849</v>
      </c>
      <c r="BB936" s="14">
        <v>1052</v>
      </c>
      <c r="BD936" s="14">
        <v>-724</v>
      </c>
    </row>
    <row r="937" spans="39:56" x14ac:dyDescent="0.25">
      <c r="AM937" s="14">
        <v>-549</v>
      </c>
      <c r="AS937" s="14">
        <v>604</v>
      </c>
      <c r="AU937" s="14">
        <v>-100</v>
      </c>
      <c r="AW937" s="14">
        <v>59</v>
      </c>
      <c r="AX937" s="14">
        <v>-341</v>
      </c>
      <c r="AY937" s="14">
        <v>-18</v>
      </c>
      <c r="AZ937" s="14">
        <v>-139</v>
      </c>
      <c r="BA937" s="14">
        <v>933</v>
      </c>
      <c r="BB937" s="14">
        <v>2923</v>
      </c>
      <c r="BD937" s="14">
        <v>-759</v>
      </c>
    </row>
    <row r="938" spans="39:56" x14ac:dyDescent="0.25">
      <c r="AM938" s="14">
        <v>345</v>
      </c>
      <c r="AS938" s="14">
        <v>114</v>
      </c>
      <c r="AU938" s="14">
        <v>-69</v>
      </c>
      <c r="AW938" s="14">
        <v>59</v>
      </c>
      <c r="AX938" s="14">
        <v>139</v>
      </c>
      <c r="AY938" s="14">
        <v>-106</v>
      </c>
      <c r="AZ938" s="14">
        <v>-117</v>
      </c>
      <c r="BA938" s="14">
        <v>918</v>
      </c>
      <c r="BB938" s="14">
        <v>2702</v>
      </c>
      <c r="BD938" s="14">
        <v>-1328</v>
      </c>
    </row>
    <row r="939" spans="39:56" x14ac:dyDescent="0.25">
      <c r="AM939" s="14">
        <v>350</v>
      </c>
      <c r="AS939" s="14">
        <v>830</v>
      </c>
      <c r="AU939" s="14">
        <v>-102</v>
      </c>
      <c r="AW939" s="14">
        <v>280</v>
      </c>
      <c r="AX939" s="14">
        <v>-808</v>
      </c>
      <c r="AY939" s="14">
        <v>-5</v>
      </c>
      <c r="AZ939" s="14">
        <v>105</v>
      </c>
      <c r="BA939" s="14">
        <v>926</v>
      </c>
      <c r="BB939" s="14">
        <v>1690</v>
      </c>
      <c r="BD939" s="14">
        <v>-1220</v>
      </c>
    </row>
    <row r="940" spans="39:56" x14ac:dyDescent="0.25">
      <c r="AM940" s="14">
        <v>168</v>
      </c>
      <c r="AS940" s="14">
        <v>851</v>
      </c>
      <c r="AU940" s="14">
        <v>-204</v>
      </c>
      <c r="AW940" s="14">
        <v>298</v>
      </c>
      <c r="AX940" s="14">
        <v>467</v>
      </c>
      <c r="AY940" s="14">
        <v>8</v>
      </c>
      <c r="AZ940" s="14">
        <v>152</v>
      </c>
      <c r="BA940" s="14">
        <v>923</v>
      </c>
      <c r="BB940" s="14">
        <v>4520</v>
      </c>
      <c r="BD940" s="14">
        <v>-1145</v>
      </c>
    </row>
    <row r="941" spans="39:56" x14ac:dyDescent="0.25">
      <c r="AM941" s="14">
        <v>109</v>
      </c>
      <c r="AS941" s="14">
        <v>31</v>
      </c>
      <c r="AU941" s="14">
        <v>-76</v>
      </c>
      <c r="AW941" s="14">
        <v>328</v>
      </c>
      <c r="AX941" s="14">
        <v>571</v>
      </c>
      <c r="AY941" s="14">
        <v>2</v>
      </c>
      <c r="AZ941" s="14">
        <v>-117</v>
      </c>
      <c r="BA941" s="14">
        <v>866</v>
      </c>
      <c r="BB941" s="14">
        <v>1997</v>
      </c>
      <c r="BD941" s="14">
        <v>718</v>
      </c>
    </row>
    <row r="942" spans="39:56" x14ac:dyDescent="0.25">
      <c r="AM942" s="14">
        <v>-129</v>
      </c>
      <c r="AS942" s="14">
        <v>-199</v>
      </c>
      <c r="AU942" s="14">
        <v>-92</v>
      </c>
      <c r="AW942" s="14">
        <v>284</v>
      </c>
      <c r="AX942" s="14">
        <v>841</v>
      </c>
      <c r="AY942" s="14">
        <v>-1</v>
      </c>
      <c r="AZ942" s="14">
        <v>-332</v>
      </c>
      <c r="BA942" s="14">
        <v>897</v>
      </c>
      <c r="BB942" s="14">
        <v>1405</v>
      </c>
      <c r="BD942" s="14">
        <v>802</v>
      </c>
    </row>
    <row r="943" spans="39:56" x14ac:dyDescent="0.25">
      <c r="AM943" s="14">
        <v>-778</v>
      </c>
      <c r="AS943" s="14">
        <v>329</v>
      </c>
      <c r="AU943" s="14">
        <v>-87</v>
      </c>
      <c r="AW943" s="14">
        <v>302</v>
      </c>
      <c r="AX943" s="14">
        <v>411</v>
      </c>
      <c r="AY943" s="14">
        <v>-54</v>
      </c>
      <c r="AZ943" s="14">
        <v>-317</v>
      </c>
      <c r="BA943" s="14">
        <v>888</v>
      </c>
      <c r="BB943" s="14">
        <v>1633</v>
      </c>
      <c r="BD943" s="14">
        <v>789</v>
      </c>
    </row>
    <row r="944" spans="39:56" x14ac:dyDescent="0.25">
      <c r="AM944" s="14">
        <v>-443</v>
      </c>
      <c r="AS944" s="14">
        <v>-837</v>
      </c>
      <c r="AU944" s="14">
        <v>-22</v>
      </c>
      <c r="AW944" s="14">
        <v>324</v>
      </c>
      <c r="AX944" s="14">
        <v>771</v>
      </c>
      <c r="AY944" s="14">
        <v>-387</v>
      </c>
      <c r="AZ944" s="14">
        <v>-395</v>
      </c>
      <c r="BA944" s="14">
        <v>895</v>
      </c>
      <c r="BB944" s="14">
        <v>6484</v>
      </c>
      <c r="BD944" s="14">
        <v>993</v>
      </c>
    </row>
    <row r="945" spans="39:56" x14ac:dyDescent="0.25">
      <c r="AM945" s="14">
        <v>904</v>
      </c>
      <c r="AS945" s="14">
        <v>-15</v>
      </c>
      <c r="AU945" s="14">
        <v>-37</v>
      </c>
      <c r="AW945" s="14">
        <v>245</v>
      </c>
      <c r="AX945" s="14">
        <v>703</v>
      </c>
      <c r="AY945" s="14">
        <v>362</v>
      </c>
      <c r="AZ945" s="14">
        <v>-104</v>
      </c>
      <c r="BA945" s="14">
        <v>888</v>
      </c>
      <c r="BB945" s="14">
        <v>6682</v>
      </c>
      <c r="BD945" s="14">
        <v>877</v>
      </c>
    </row>
    <row r="946" spans="39:56" x14ac:dyDescent="0.25">
      <c r="AM946" s="14">
        <v>357</v>
      </c>
      <c r="AU946" s="14">
        <v>-58</v>
      </c>
      <c r="AW946" s="14">
        <v>250</v>
      </c>
      <c r="AX946" s="14">
        <v>346</v>
      </c>
      <c r="AY946" s="14">
        <v>-131</v>
      </c>
      <c r="AZ946" s="14">
        <v>-137</v>
      </c>
      <c r="BA946" s="14">
        <v>891</v>
      </c>
      <c r="BB946" s="14">
        <v>1355</v>
      </c>
      <c r="BD946" s="14">
        <v>887</v>
      </c>
    </row>
    <row r="947" spans="39:56" x14ac:dyDescent="0.25">
      <c r="AM947" s="14">
        <v>-386</v>
      </c>
      <c r="AU947" s="14">
        <v>-19</v>
      </c>
      <c r="AW947" s="14">
        <v>255</v>
      </c>
      <c r="AX947" s="14">
        <v>333</v>
      </c>
      <c r="AY947" s="14">
        <v>-596</v>
      </c>
      <c r="AZ947" s="14">
        <v>-897</v>
      </c>
      <c r="BA947" s="14">
        <v>873</v>
      </c>
      <c r="BB947" s="14">
        <v>9495</v>
      </c>
      <c r="BD947" s="14">
        <v>-121</v>
      </c>
    </row>
    <row r="948" spans="39:56" x14ac:dyDescent="0.25">
      <c r="AM948" s="14">
        <v>-604</v>
      </c>
      <c r="AU948" s="14">
        <v>-40</v>
      </c>
      <c r="AW948" s="14">
        <v>-9</v>
      </c>
      <c r="AX948" s="14">
        <v>576</v>
      </c>
      <c r="AY948" s="14">
        <v>140</v>
      </c>
      <c r="AZ948" s="14">
        <v>-134</v>
      </c>
      <c r="BA948" s="14">
        <v>867</v>
      </c>
      <c r="BB948" s="14">
        <v>1118</v>
      </c>
      <c r="BD948" s="14">
        <v>-128</v>
      </c>
    </row>
    <row r="949" spans="39:56" x14ac:dyDescent="0.25">
      <c r="AM949" s="14">
        <v>165</v>
      </c>
      <c r="AU949" s="14">
        <v>-33</v>
      </c>
      <c r="AW949" s="14">
        <v>-8</v>
      </c>
      <c r="AX949" s="14">
        <v>337</v>
      </c>
      <c r="AY949" s="14">
        <v>-391</v>
      </c>
      <c r="AZ949" s="14">
        <v>-101</v>
      </c>
      <c r="BA949" s="14">
        <v>858</v>
      </c>
      <c r="BB949" s="14">
        <v>2485</v>
      </c>
      <c r="BD949" s="14">
        <v>-113</v>
      </c>
    </row>
    <row r="950" spans="39:56" x14ac:dyDescent="0.25">
      <c r="AM950" s="14">
        <v>-122</v>
      </c>
      <c r="AU950" s="14">
        <v>-88</v>
      </c>
      <c r="AW950" s="14">
        <v>-8</v>
      </c>
      <c r="AX950" s="14">
        <v>591</v>
      </c>
      <c r="AY950" s="14">
        <v>342</v>
      </c>
      <c r="AZ950" s="14">
        <v>168</v>
      </c>
      <c r="BA950" s="14">
        <v>866</v>
      </c>
      <c r="BB950" s="14">
        <v>7684</v>
      </c>
      <c r="BD950" s="14">
        <v>154</v>
      </c>
    </row>
    <row r="951" spans="39:56" x14ac:dyDescent="0.25">
      <c r="AM951" s="14">
        <v>174</v>
      </c>
      <c r="AU951" s="14">
        <v>-96</v>
      </c>
      <c r="AW951" s="14">
        <v>-15</v>
      </c>
      <c r="AX951" s="14">
        <v>432</v>
      </c>
      <c r="AY951" s="14">
        <v>46</v>
      </c>
      <c r="AZ951" s="14">
        <v>146</v>
      </c>
      <c r="BA951" s="14">
        <v>860</v>
      </c>
      <c r="BB951" s="14">
        <v>3271</v>
      </c>
      <c r="BD951" s="14">
        <v>153</v>
      </c>
    </row>
    <row r="952" spans="39:56" x14ac:dyDescent="0.25">
      <c r="AM952" s="14">
        <v>-415</v>
      </c>
      <c r="AU952" s="14">
        <v>-68</v>
      </c>
      <c r="AW952" s="14">
        <v>-16</v>
      </c>
      <c r="AX952" s="14">
        <v>141</v>
      </c>
      <c r="AY952" s="14">
        <v>9</v>
      </c>
      <c r="AZ952" s="14">
        <v>653</v>
      </c>
      <c r="BA952" s="14">
        <v>873</v>
      </c>
      <c r="BB952" s="14">
        <v>1177</v>
      </c>
      <c r="BD952" s="14">
        <v>134</v>
      </c>
    </row>
    <row r="953" spans="39:56" x14ac:dyDescent="0.25">
      <c r="AM953" s="14">
        <v>400</v>
      </c>
      <c r="AU953" s="14">
        <v>-85</v>
      </c>
      <c r="AW953" s="14">
        <v>-19</v>
      </c>
      <c r="AX953" s="14">
        <v>653</v>
      </c>
      <c r="AY953" s="14">
        <v>5</v>
      </c>
      <c r="AZ953" s="14">
        <v>318</v>
      </c>
      <c r="BA953" s="14">
        <v>-252</v>
      </c>
      <c r="BB953" s="14">
        <v>9706</v>
      </c>
      <c r="BD953" s="14">
        <v>-1129</v>
      </c>
    </row>
    <row r="954" spans="39:56" x14ac:dyDescent="0.25">
      <c r="AM954" s="14">
        <v>-749</v>
      </c>
      <c r="AU954" s="14">
        <v>-51</v>
      </c>
      <c r="AW954" s="14">
        <v>-14</v>
      </c>
      <c r="AX954" s="14">
        <v>-340</v>
      </c>
      <c r="AY954" s="14">
        <v>534</v>
      </c>
      <c r="AZ954" s="14">
        <v>288</v>
      </c>
      <c r="BA954" s="14">
        <v>-239</v>
      </c>
      <c r="BB954" s="14">
        <v>3921</v>
      </c>
      <c r="BD954" s="14">
        <v>-1449</v>
      </c>
    </row>
    <row r="955" spans="39:56" x14ac:dyDescent="0.25">
      <c r="AM955" s="14">
        <v>202</v>
      </c>
      <c r="AU955" s="14">
        <v>-93</v>
      </c>
      <c r="AW955" s="14">
        <v>-15</v>
      </c>
      <c r="AX955" s="14">
        <v>-382</v>
      </c>
      <c r="AY955" s="14">
        <v>131</v>
      </c>
      <c r="AZ955" s="14">
        <v>451</v>
      </c>
      <c r="BA955" s="14">
        <v>-228</v>
      </c>
      <c r="BB955" s="14">
        <v>2710</v>
      </c>
      <c r="BD955" s="14">
        <v>802</v>
      </c>
    </row>
    <row r="956" spans="39:56" x14ac:dyDescent="0.25">
      <c r="AM956" s="14">
        <v>846</v>
      </c>
      <c r="AU956" s="14">
        <v>-59</v>
      </c>
      <c r="AW956" s="14">
        <v>-18</v>
      </c>
      <c r="AX956" s="14">
        <v>-145</v>
      </c>
      <c r="AY956" s="14">
        <v>983</v>
      </c>
      <c r="AZ956" s="14">
        <v>-303</v>
      </c>
      <c r="BA956" s="14">
        <v>-232</v>
      </c>
      <c r="BB956" s="14">
        <v>3192</v>
      </c>
      <c r="BD956" s="14">
        <v>490</v>
      </c>
    </row>
    <row r="957" spans="39:56" x14ac:dyDescent="0.25">
      <c r="AM957" s="14">
        <v>312</v>
      </c>
      <c r="AU957" s="14">
        <v>-79</v>
      </c>
      <c r="AW957" s="14">
        <v>-25</v>
      </c>
      <c r="AX957" s="14">
        <v>-334</v>
      </c>
      <c r="AY957" s="14">
        <v>233</v>
      </c>
      <c r="AZ957" s="14">
        <v>-172</v>
      </c>
      <c r="BA957" s="14">
        <v>-212</v>
      </c>
      <c r="BB957" s="14">
        <v>1955</v>
      </c>
      <c r="BD957" s="14">
        <v>-594</v>
      </c>
    </row>
    <row r="958" spans="39:56" x14ac:dyDescent="0.25">
      <c r="AM958" s="14">
        <v>-491</v>
      </c>
      <c r="AU958" s="14">
        <v>-202</v>
      </c>
      <c r="AW958" s="14">
        <v>-28</v>
      </c>
      <c r="AX958" s="14">
        <v>-135</v>
      </c>
      <c r="AY958" s="14">
        <v>-5</v>
      </c>
      <c r="AZ958" s="14">
        <v>-898</v>
      </c>
      <c r="BA958" s="14">
        <v>-184</v>
      </c>
      <c r="BB958" s="14">
        <v>3595</v>
      </c>
      <c r="BD958" s="14">
        <v>-463</v>
      </c>
    </row>
    <row r="959" spans="39:56" x14ac:dyDescent="0.25">
      <c r="AM959" s="14">
        <v>217</v>
      </c>
      <c r="AU959" s="14">
        <v>-64</v>
      </c>
      <c r="AW959" s="14">
        <v>-27</v>
      </c>
      <c r="AX959" s="14">
        <v>-315</v>
      </c>
      <c r="AY959" s="14">
        <v>753</v>
      </c>
      <c r="AZ959" s="14">
        <v>-226</v>
      </c>
      <c r="BA959" s="14">
        <v>-192</v>
      </c>
      <c r="BB959" s="14">
        <v>4210</v>
      </c>
      <c r="BD959" s="14">
        <v>-601</v>
      </c>
    </row>
    <row r="960" spans="39:56" x14ac:dyDescent="0.25">
      <c r="AM960" s="14">
        <v>-471</v>
      </c>
      <c r="AU960" s="14">
        <v>-48</v>
      </c>
      <c r="AW960" s="14">
        <v>-6</v>
      </c>
      <c r="AX960" s="14">
        <v>144</v>
      </c>
      <c r="AY960" s="14">
        <v>740</v>
      </c>
      <c r="AZ960" s="14">
        <v>512</v>
      </c>
      <c r="BA960" s="14">
        <v>-179</v>
      </c>
      <c r="BB960" s="14">
        <v>2458</v>
      </c>
      <c r="BD960" s="14">
        <v>-1475</v>
      </c>
    </row>
    <row r="961" spans="39:56" x14ac:dyDescent="0.25">
      <c r="AM961" s="14">
        <v>559</v>
      </c>
      <c r="AU961" s="14">
        <v>-63</v>
      </c>
      <c r="AW961" s="14">
        <v>-6</v>
      </c>
      <c r="AX961" s="14">
        <v>646</v>
      </c>
      <c r="AY961" s="14">
        <v>-563</v>
      </c>
      <c r="AZ961" s="14">
        <v>216</v>
      </c>
      <c r="BA961" s="14">
        <v>-192</v>
      </c>
      <c r="BB961" s="14">
        <v>1779</v>
      </c>
      <c r="BD961" s="14">
        <v>1415</v>
      </c>
    </row>
    <row r="962" spans="39:56" x14ac:dyDescent="0.25">
      <c r="AM962" s="14">
        <v>261</v>
      </c>
      <c r="AU962" s="14">
        <v>-106</v>
      </c>
      <c r="AW962" s="14">
        <v>-6</v>
      </c>
      <c r="AX962" s="14">
        <v>274</v>
      </c>
      <c r="AY962" s="14">
        <v>-126</v>
      </c>
      <c r="AZ962" s="14">
        <v>10</v>
      </c>
      <c r="BA962" s="14">
        <v>-176</v>
      </c>
      <c r="BB962" s="14">
        <v>2843</v>
      </c>
      <c r="BD962" s="14">
        <v>1261</v>
      </c>
    </row>
    <row r="963" spans="39:56" x14ac:dyDescent="0.25">
      <c r="AM963" s="14">
        <v>776</v>
      </c>
      <c r="AU963" s="14">
        <v>-73</v>
      </c>
      <c r="AW963" s="14">
        <v>-92</v>
      </c>
      <c r="AX963" s="14">
        <v>5</v>
      </c>
      <c r="AY963" s="14">
        <v>3</v>
      </c>
      <c r="AZ963" s="14">
        <v>40</v>
      </c>
      <c r="BA963" s="14">
        <v>-186</v>
      </c>
      <c r="BB963" s="14">
        <v>17265</v>
      </c>
      <c r="BD963" s="14">
        <v>-358</v>
      </c>
    </row>
    <row r="964" spans="39:56" x14ac:dyDescent="0.25">
      <c r="AM964" s="14">
        <v>292</v>
      </c>
      <c r="AU964" s="14">
        <v>-16</v>
      </c>
      <c r="AW964" s="14">
        <v>-92</v>
      </c>
      <c r="AX964" s="14">
        <v>-825</v>
      </c>
      <c r="AY964" s="14">
        <v>242</v>
      </c>
      <c r="AZ964" s="14">
        <v>179</v>
      </c>
      <c r="BA964" s="14">
        <v>-176</v>
      </c>
      <c r="BB964" s="14">
        <v>33609</v>
      </c>
      <c r="BD964" s="14">
        <v>1625</v>
      </c>
    </row>
    <row r="965" spans="39:56" x14ac:dyDescent="0.25">
      <c r="AM965" s="14">
        <v>185</v>
      </c>
      <c r="AU965" s="14">
        <v>-43</v>
      </c>
      <c r="AW965" s="14">
        <v>-87</v>
      </c>
      <c r="AX965" s="14">
        <v>249</v>
      </c>
      <c r="AY965" s="14">
        <v>299</v>
      </c>
      <c r="AZ965" s="14">
        <v>277</v>
      </c>
      <c r="BA965" s="14">
        <v>-177</v>
      </c>
      <c r="BB965" s="14">
        <v>4633778</v>
      </c>
      <c r="BD965" s="14">
        <v>1668</v>
      </c>
    </row>
    <row r="966" spans="39:56" x14ac:dyDescent="0.25">
      <c r="AM966" s="14">
        <v>241</v>
      </c>
      <c r="AU966" s="14">
        <v>-67</v>
      </c>
      <c r="AW966" s="14">
        <v>-88</v>
      </c>
      <c r="AX966" s="14">
        <v>-106</v>
      </c>
      <c r="AY966" s="14">
        <v>-5</v>
      </c>
      <c r="AZ966" s="14">
        <v>388</v>
      </c>
      <c r="BA966" s="14">
        <v>-176</v>
      </c>
      <c r="BB966" s="14">
        <v>5646094</v>
      </c>
      <c r="BD966" s="14">
        <v>1779</v>
      </c>
    </row>
    <row r="967" spans="39:56" x14ac:dyDescent="0.25">
      <c r="AM967" s="14">
        <v>444</v>
      </c>
      <c r="AU967" s="14">
        <v>-131</v>
      </c>
      <c r="AW967" s="14">
        <v>-89</v>
      </c>
      <c r="AX967" s="14">
        <v>-406</v>
      </c>
      <c r="AY967" s="14">
        <v>151</v>
      </c>
      <c r="AZ967" s="14">
        <v>164</v>
      </c>
      <c r="BA967" s="14">
        <v>-175</v>
      </c>
      <c r="BB967" s="14">
        <v>4794277</v>
      </c>
      <c r="BD967" s="14">
        <v>1848</v>
      </c>
    </row>
    <row r="968" spans="39:56" x14ac:dyDescent="0.25">
      <c r="AM968" s="14">
        <v>73</v>
      </c>
      <c r="AU968" s="14">
        <v>-52</v>
      </c>
      <c r="AW968" s="14">
        <v>-84</v>
      </c>
      <c r="AX968" s="14">
        <v>-834</v>
      </c>
      <c r="AY968" s="14">
        <v>-106</v>
      </c>
      <c r="AZ968" s="14">
        <v>234</v>
      </c>
      <c r="BA968" s="14">
        <v>-169</v>
      </c>
      <c r="BB968" s="14">
        <v>6698580</v>
      </c>
      <c r="BD968" s="14">
        <v>1952</v>
      </c>
    </row>
    <row r="969" spans="39:56" x14ac:dyDescent="0.25">
      <c r="AM969" s="14">
        <v>290</v>
      </c>
      <c r="AU969" s="14">
        <v>-52</v>
      </c>
      <c r="AW969" s="14">
        <v>-887</v>
      </c>
      <c r="AX969" s="14">
        <v>104</v>
      </c>
      <c r="AY969" s="14">
        <v>-146</v>
      </c>
      <c r="AZ969" s="14">
        <v>392</v>
      </c>
      <c r="BA969" s="14">
        <v>-908</v>
      </c>
      <c r="BB969" s="14">
        <v>4264614</v>
      </c>
      <c r="BD969" s="14">
        <v>-663</v>
      </c>
    </row>
    <row r="970" spans="39:56" x14ac:dyDescent="0.25">
      <c r="AM970" s="14">
        <v>-289</v>
      </c>
      <c r="AU970" s="14">
        <v>-75</v>
      </c>
      <c r="AW970" s="14">
        <v>-843</v>
      </c>
      <c r="AX970" s="14">
        <v>-292</v>
      </c>
      <c r="AY970" s="14">
        <v>97</v>
      </c>
      <c r="AZ970" s="14">
        <v>342</v>
      </c>
      <c r="BA970" s="14">
        <v>-878</v>
      </c>
      <c r="BB970" s="14">
        <v>5364346</v>
      </c>
      <c r="BD970" s="14">
        <v>-644</v>
      </c>
    </row>
    <row r="971" spans="39:56" x14ac:dyDescent="0.25">
      <c r="AM971" s="14">
        <v>-251</v>
      </c>
      <c r="AU971" s="14">
        <v>-53</v>
      </c>
      <c r="AW971" s="14">
        <v>-812</v>
      </c>
      <c r="AX971" s="14">
        <v>280</v>
      </c>
      <c r="AY971" s="14">
        <v>-210</v>
      </c>
      <c r="AZ971" s="14">
        <v>309</v>
      </c>
      <c r="BA971" s="14">
        <v>-561</v>
      </c>
      <c r="BB971" s="14">
        <v>438</v>
      </c>
      <c r="BD971" s="14">
        <v>-693</v>
      </c>
    </row>
    <row r="972" spans="39:56" x14ac:dyDescent="0.25">
      <c r="AM972" s="14">
        <v>-547</v>
      </c>
      <c r="AU972" s="14">
        <v>-52</v>
      </c>
      <c r="AW972" s="14">
        <v>-880</v>
      </c>
      <c r="AX972" s="14">
        <v>-108</v>
      </c>
      <c r="AY972" s="14">
        <v>2</v>
      </c>
      <c r="AZ972" s="14">
        <v>-183</v>
      </c>
      <c r="BA972" s="14">
        <v>-692</v>
      </c>
      <c r="BB972" s="14">
        <v>7006</v>
      </c>
      <c r="BD972" s="14">
        <v>-726</v>
      </c>
    </row>
    <row r="973" spans="39:56" x14ac:dyDescent="0.25">
      <c r="AM973" s="14">
        <v>300</v>
      </c>
      <c r="AU973" s="14">
        <v>-54</v>
      </c>
      <c r="AW973" s="14">
        <v>-831</v>
      </c>
      <c r="AX973" s="14">
        <v>-208</v>
      </c>
      <c r="AY973" s="14">
        <v>1</v>
      </c>
      <c r="AZ973" s="14">
        <v>25</v>
      </c>
      <c r="BA973" s="14">
        <v>-560</v>
      </c>
      <c r="BB973" s="14">
        <v>245</v>
      </c>
      <c r="BD973" s="14">
        <v>-555</v>
      </c>
    </row>
    <row r="974" spans="39:56" x14ac:dyDescent="0.25">
      <c r="AM974" s="14">
        <v>128</v>
      </c>
      <c r="AU974" s="14">
        <v>-68</v>
      </c>
      <c r="AW974" s="14">
        <v>-797</v>
      </c>
      <c r="AX974" s="14">
        <v>-719</v>
      </c>
      <c r="AY974" s="14">
        <v>-2</v>
      </c>
      <c r="AZ974" s="14">
        <v>18</v>
      </c>
      <c r="BA974" s="14">
        <v>-387</v>
      </c>
      <c r="BB974" s="14">
        <v>321</v>
      </c>
      <c r="BD974" s="14">
        <v>-531</v>
      </c>
    </row>
    <row r="975" spans="39:56" x14ac:dyDescent="0.25">
      <c r="AM975" s="14">
        <v>251</v>
      </c>
      <c r="AU975" s="14">
        <v>-101</v>
      </c>
      <c r="AW975" s="14">
        <v>-413</v>
      </c>
      <c r="AX975" s="14">
        <v>-219</v>
      </c>
      <c r="AY975" s="14">
        <v>-6</v>
      </c>
      <c r="AZ975" s="14">
        <v>64</v>
      </c>
      <c r="BA975" s="14">
        <v>-639</v>
      </c>
      <c r="BB975" s="14">
        <v>266</v>
      </c>
      <c r="BD975" s="14">
        <v>-542</v>
      </c>
    </row>
    <row r="976" spans="39:56" x14ac:dyDescent="0.25">
      <c r="AM976" s="14">
        <v>319</v>
      </c>
      <c r="AU976" s="14">
        <v>-97</v>
      </c>
      <c r="AW976" s="14">
        <v>-362</v>
      </c>
      <c r="AX976" s="14">
        <v>520</v>
      </c>
      <c r="AY976" s="14">
        <v>-215</v>
      </c>
      <c r="AZ976" s="14">
        <v>77</v>
      </c>
      <c r="BA976" s="14">
        <v>-441</v>
      </c>
      <c r="BB976" s="14">
        <v>369</v>
      </c>
      <c r="BD976" s="14">
        <v>-450</v>
      </c>
    </row>
    <row r="977" spans="39:56" x14ac:dyDescent="0.25">
      <c r="AM977" s="14">
        <v>400</v>
      </c>
      <c r="AU977" s="14">
        <v>-57</v>
      </c>
      <c r="AW977" s="14">
        <v>-368</v>
      </c>
      <c r="AX977" s="14">
        <v>120</v>
      </c>
      <c r="AY977" s="14">
        <v>541</v>
      </c>
      <c r="AZ977" s="14">
        <v>66</v>
      </c>
      <c r="BA977" s="14">
        <v>-291</v>
      </c>
      <c r="BB977" s="14">
        <v>249</v>
      </c>
      <c r="BD977" s="14">
        <v>-1313</v>
      </c>
    </row>
    <row r="978" spans="39:56" x14ac:dyDescent="0.25">
      <c r="AM978" s="14">
        <v>239</v>
      </c>
      <c r="AU978" s="14">
        <v>-110</v>
      </c>
      <c r="AW978" s="14">
        <v>13</v>
      </c>
      <c r="AX978" s="14">
        <v>995</v>
      </c>
      <c r="AY978" s="14">
        <v>-105</v>
      </c>
      <c r="AZ978" s="14">
        <v>11</v>
      </c>
      <c r="BA978" s="14">
        <v>-353</v>
      </c>
      <c r="BB978" s="14">
        <v>324</v>
      </c>
      <c r="BD978" s="14">
        <v>-1217</v>
      </c>
    </row>
    <row r="979" spans="39:56" x14ac:dyDescent="0.25">
      <c r="AM979" s="14">
        <v>177</v>
      </c>
      <c r="AU979" s="14">
        <v>-28</v>
      </c>
      <c r="AW979" s="14">
        <v>23</v>
      </c>
      <c r="AX979" s="14">
        <v>-191</v>
      </c>
      <c r="AY979" s="14">
        <v>-62</v>
      </c>
      <c r="AZ979" s="14">
        <v>75</v>
      </c>
      <c r="BA979" s="14">
        <v>-100</v>
      </c>
      <c r="BB979" s="14">
        <v>277</v>
      </c>
      <c r="BD979" s="14">
        <v>-1154</v>
      </c>
    </row>
    <row r="980" spans="39:56" x14ac:dyDescent="0.25">
      <c r="AM980" s="14">
        <v>-125</v>
      </c>
      <c r="AU980" s="14">
        <v>-59</v>
      </c>
      <c r="AW980" s="14">
        <v>22</v>
      </c>
      <c r="AX980" s="14">
        <v>-875</v>
      </c>
      <c r="AY980" s="14">
        <v>622</v>
      </c>
      <c r="AZ980" s="14">
        <v>12</v>
      </c>
      <c r="BA980" s="14">
        <v>-290</v>
      </c>
      <c r="BB980" s="14">
        <v>414</v>
      </c>
      <c r="BD980" s="14">
        <v>773</v>
      </c>
    </row>
    <row r="981" spans="39:56" x14ac:dyDescent="0.25">
      <c r="AM981" s="14">
        <v>146</v>
      </c>
      <c r="AU981" s="14">
        <v>-5</v>
      </c>
      <c r="AW981" s="14">
        <v>11</v>
      </c>
      <c r="AX981" s="14">
        <v>-212</v>
      </c>
      <c r="AY981" s="14">
        <v>384</v>
      </c>
      <c r="AZ981" s="14">
        <v>5</v>
      </c>
      <c r="BA981" s="14">
        <v>-266</v>
      </c>
      <c r="BB981" s="14">
        <v>473</v>
      </c>
      <c r="BD981" s="14">
        <v>838</v>
      </c>
    </row>
    <row r="982" spans="39:56" x14ac:dyDescent="0.25">
      <c r="AM982" s="14">
        <v>236</v>
      </c>
      <c r="AU982" s="14">
        <v>-112</v>
      </c>
      <c r="AW982" s="14">
        <v>21</v>
      </c>
      <c r="AX982" s="14">
        <v>-414</v>
      </c>
      <c r="AY982" s="14">
        <v>671</v>
      </c>
      <c r="AZ982" s="14">
        <v>87</v>
      </c>
      <c r="BA982" s="14">
        <v>-229</v>
      </c>
      <c r="BB982" s="14">
        <v>545</v>
      </c>
      <c r="BD982" s="14">
        <v>823</v>
      </c>
    </row>
    <row r="983" spans="39:56" x14ac:dyDescent="0.25">
      <c r="AM983" s="14">
        <v>-486</v>
      </c>
      <c r="AU983" s="14">
        <v>-22</v>
      </c>
      <c r="AW983" s="14">
        <v>20</v>
      </c>
      <c r="AX983" s="14">
        <v>-724</v>
      </c>
      <c r="AY983" s="14">
        <v>27</v>
      </c>
      <c r="AZ983" s="14">
        <v>-472</v>
      </c>
      <c r="BA983" s="14">
        <v>-213</v>
      </c>
      <c r="BB983" s="14">
        <v>457</v>
      </c>
      <c r="BD983" s="14">
        <v>1006</v>
      </c>
    </row>
    <row r="984" spans="39:56" x14ac:dyDescent="0.25">
      <c r="AM984" s="14">
        <v>-224</v>
      </c>
      <c r="AU984" s="14">
        <v>-71</v>
      </c>
      <c r="AW984" s="14">
        <v>-437</v>
      </c>
      <c r="AX984" s="14">
        <v>-107</v>
      </c>
      <c r="AY984" s="14">
        <v>4</v>
      </c>
      <c r="AZ984" s="14">
        <v>14</v>
      </c>
      <c r="BA984" s="14">
        <v>-134</v>
      </c>
      <c r="BB984" s="14">
        <v>529</v>
      </c>
      <c r="BD984" s="14">
        <v>892</v>
      </c>
    </row>
    <row r="985" spans="39:56" x14ac:dyDescent="0.25">
      <c r="AM985" s="14">
        <v>322</v>
      </c>
      <c r="AU985" s="14">
        <v>-164</v>
      </c>
      <c r="AW985" s="14">
        <v>-528</v>
      </c>
      <c r="AX985" s="14">
        <v>-850</v>
      </c>
      <c r="AY985" s="14">
        <v>7</v>
      </c>
      <c r="AZ985" s="14">
        <v>9</v>
      </c>
      <c r="BA985" s="14">
        <v>650</v>
      </c>
      <c r="BB985" s="14">
        <v>487</v>
      </c>
      <c r="BD985" s="14">
        <v>915</v>
      </c>
    </row>
    <row r="986" spans="39:56" x14ac:dyDescent="0.25">
      <c r="AM986" s="14">
        <v>583</v>
      </c>
      <c r="AU986" s="14">
        <v>-119</v>
      </c>
      <c r="AW986" s="14">
        <v>-529</v>
      </c>
      <c r="AX986" s="14">
        <v>-274</v>
      </c>
      <c r="AY986" s="14">
        <v>576</v>
      </c>
      <c r="AZ986" s="14">
        <v>1</v>
      </c>
      <c r="BA986" s="14">
        <v>-53</v>
      </c>
      <c r="BB986" s="14">
        <v>446</v>
      </c>
      <c r="BD986" s="14">
        <v>-120</v>
      </c>
    </row>
    <row r="987" spans="39:56" x14ac:dyDescent="0.25">
      <c r="AM987" s="14">
        <v>158</v>
      </c>
      <c r="AU987" s="14">
        <v>-71</v>
      </c>
      <c r="AW987" s="14">
        <v>-522</v>
      </c>
      <c r="AX987" s="14">
        <v>759</v>
      </c>
      <c r="AY987" s="14">
        <v>7</v>
      </c>
      <c r="AZ987" s="14">
        <v>-6</v>
      </c>
      <c r="BA987" s="14">
        <v>146</v>
      </c>
      <c r="BB987" s="14">
        <v>427</v>
      </c>
      <c r="BD987" s="14">
        <v>-123</v>
      </c>
    </row>
    <row r="988" spans="39:56" x14ac:dyDescent="0.25">
      <c r="AM988" s="14">
        <v>120</v>
      </c>
      <c r="AU988" s="14">
        <v>-52</v>
      </c>
      <c r="AW988" s="14">
        <v>-651</v>
      </c>
      <c r="AX988" s="14">
        <v>-158</v>
      </c>
      <c r="AY988" s="14">
        <v>790</v>
      </c>
      <c r="AZ988" s="14">
        <v>27</v>
      </c>
      <c r="BA988" s="14">
        <v>-287</v>
      </c>
      <c r="BB988" s="14">
        <v>476</v>
      </c>
      <c r="BD988" s="14">
        <v>-111</v>
      </c>
    </row>
    <row r="989" spans="39:56" x14ac:dyDescent="0.25">
      <c r="AM989" s="14">
        <v>-3</v>
      </c>
      <c r="AU989" s="14">
        <v>-21</v>
      </c>
      <c r="AW989" s="14">
        <v>-625</v>
      </c>
      <c r="AX989" s="14">
        <v>161</v>
      </c>
      <c r="AY989" s="14">
        <v>-562</v>
      </c>
      <c r="AZ989" s="14">
        <v>-43</v>
      </c>
      <c r="BA989" s="14">
        <v>-176</v>
      </c>
      <c r="BB989" s="14">
        <v>244</v>
      </c>
      <c r="BD989" s="14">
        <v>156</v>
      </c>
    </row>
    <row r="990" spans="39:56" x14ac:dyDescent="0.25">
      <c r="AM990" s="14">
        <v>591</v>
      </c>
      <c r="AU990" s="14">
        <v>-19</v>
      </c>
      <c r="AW990" s="14">
        <v>-84</v>
      </c>
      <c r="AX990" s="14">
        <v>-614</v>
      </c>
      <c r="AY990" s="14">
        <v>-126</v>
      </c>
      <c r="AZ990" s="14">
        <v>-27</v>
      </c>
      <c r="BA990" s="14">
        <v>673</v>
      </c>
      <c r="BB990" s="14">
        <v>301</v>
      </c>
      <c r="BD990" s="14">
        <v>153</v>
      </c>
    </row>
    <row r="991" spans="39:56" x14ac:dyDescent="0.25">
      <c r="AM991" s="14">
        <v>-266</v>
      </c>
      <c r="AU991" s="14">
        <v>-37</v>
      </c>
      <c r="AW991" s="14">
        <v>-113</v>
      </c>
      <c r="AX991" s="14">
        <v>150</v>
      </c>
      <c r="AY991" s="14">
        <v>738</v>
      </c>
      <c r="AZ991" s="14">
        <v>-35</v>
      </c>
      <c r="BA991" s="14">
        <v>-131</v>
      </c>
      <c r="BB991" s="14">
        <v>240</v>
      </c>
      <c r="BD991" s="14">
        <v>136</v>
      </c>
    </row>
    <row r="992" spans="39:56" x14ac:dyDescent="0.25">
      <c r="AM992" s="14">
        <v>-301</v>
      </c>
      <c r="AU992" s="14">
        <v>-96</v>
      </c>
      <c r="AW992" s="14">
        <v>-113</v>
      </c>
      <c r="AX992" s="14">
        <v>-373</v>
      </c>
      <c r="AY992" s="14">
        <v>138</v>
      </c>
      <c r="AZ992" s="14">
        <v>-58</v>
      </c>
      <c r="BA992" s="14">
        <v>-289</v>
      </c>
      <c r="BB992" s="14">
        <v>294</v>
      </c>
      <c r="BD992" s="14">
        <v>-851</v>
      </c>
    </row>
    <row r="993" spans="39:56" x14ac:dyDescent="0.25">
      <c r="AM993" s="14">
        <v>-854</v>
      </c>
      <c r="AU993" s="14">
        <v>-36</v>
      </c>
      <c r="AW993" s="14">
        <v>-216</v>
      </c>
      <c r="AX993" s="14">
        <v>57</v>
      </c>
      <c r="AY993" s="14">
        <v>628</v>
      </c>
      <c r="AZ993" s="14">
        <v>-34</v>
      </c>
      <c r="BA993" s="14">
        <v>240</v>
      </c>
      <c r="BB993" s="14">
        <v>252</v>
      </c>
      <c r="BD993" s="14">
        <v>-1247</v>
      </c>
    </row>
    <row r="994" spans="39:56" x14ac:dyDescent="0.25">
      <c r="AM994" s="14">
        <v>358</v>
      </c>
      <c r="AU994" s="14">
        <v>-152</v>
      </c>
      <c r="AW994" s="14">
        <v>-912</v>
      </c>
      <c r="AX994" s="14">
        <v>291</v>
      </c>
      <c r="AY994" s="14">
        <v>-311</v>
      </c>
      <c r="AZ994" s="14">
        <v>301</v>
      </c>
      <c r="BA994" s="14">
        <v>-824</v>
      </c>
      <c r="BB994" s="14">
        <v>265</v>
      </c>
      <c r="BD994" s="14">
        <v>764</v>
      </c>
    </row>
    <row r="995" spans="39:56" x14ac:dyDescent="0.25">
      <c r="AM995" s="14">
        <v>654</v>
      </c>
      <c r="AU995" s="14">
        <v>-112</v>
      </c>
      <c r="AW995" s="14">
        <v>-104</v>
      </c>
      <c r="AX995" s="14">
        <v>-200</v>
      </c>
      <c r="AY995" s="14">
        <v>-79</v>
      </c>
      <c r="AZ995" s="14">
        <v>28</v>
      </c>
      <c r="BA995" s="14">
        <v>319</v>
      </c>
      <c r="BB995" s="14">
        <v>235</v>
      </c>
      <c r="BD995" s="14">
        <v>380</v>
      </c>
    </row>
    <row r="996" spans="39:56" x14ac:dyDescent="0.25">
      <c r="AM996" s="14">
        <v>448</v>
      </c>
      <c r="AU996" s="14">
        <v>-43</v>
      </c>
      <c r="AW996" s="14">
        <v>-284</v>
      </c>
      <c r="AX996" s="14">
        <v>332</v>
      </c>
      <c r="AY996" s="14">
        <v>83</v>
      </c>
      <c r="AZ996" s="14">
        <v>-12</v>
      </c>
      <c r="BA996" s="14">
        <v>429</v>
      </c>
      <c r="BB996" s="14">
        <v>293</v>
      </c>
      <c r="BD996" s="14">
        <v>-503</v>
      </c>
    </row>
    <row r="997" spans="39:56" x14ac:dyDescent="0.25">
      <c r="AM997" s="14">
        <v>307</v>
      </c>
      <c r="AU997" s="14">
        <v>-61</v>
      </c>
      <c r="AW997" s="14">
        <v>-969</v>
      </c>
      <c r="AX997" s="14">
        <v>-117</v>
      </c>
      <c r="AY997" s="14">
        <v>79</v>
      </c>
      <c r="AZ997" s="14">
        <v>-12</v>
      </c>
      <c r="BA997" s="14">
        <v>189</v>
      </c>
      <c r="BB997" s="14">
        <v>-3794</v>
      </c>
      <c r="BD997" s="14">
        <v>-422</v>
      </c>
    </row>
    <row r="998" spans="39:56" x14ac:dyDescent="0.25">
      <c r="AM998" s="14">
        <v>-898</v>
      </c>
      <c r="AU998" s="14">
        <v>-69</v>
      </c>
      <c r="AW998" s="14">
        <v>-109</v>
      </c>
      <c r="AX998" s="14">
        <v>41</v>
      </c>
      <c r="AY998" s="14">
        <v>149</v>
      </c>
      <c r="AZ998" s="14">
        <v>-66</v>
      </c>
      <c r="BA998" s="14">
        <v>265</v>
      </c>
      <c r="BB998" s="14">
        <v>-8656</v>
      </c>
      <c r="BD998" s="14">
        <v>-339</v>
      </c>
    </row>
    <row r="999" spans="39:56" x14ac:dyDescent="0.25">
      <c r="AM999" s="14">
        <v>202</v>
      </c>
      <c r="AU999" s="14">
        <v>-96</v>
      </c>
      <c r="AW999" s="14">
        <v>-700</v>
      </c>
      <c r="AX999" s="14">
        <v>196</v>
      </c>
      <c r="AY999" s="14">
        <v>159</v>
      </c>
      <c r="AZ999" s="14">
        <v>4</v>
      </c>
      <c r="BA999" s="14">
        <v>-193</v>
      </c>
      <c r="BB999" s="14">
        <v>-4845</v>
      </c>
      <c r="BD999" s="14">
        <v>-1315</v>
      </c>
    </row>
    <row r="1000" spans="39:56" x14ac:dyDescent="0.25">
      <c r="AM1000" s="14">
        <v>-811</v>
      </c>
      <c r="AU1000" s="14">
        <v>-95</v>
      </c>
      <c r="AW1000" s="14">
        <v>187</v>
      </c>
      <c r="AX1000" s="14">
        <v>558</v>
      </c>
      <c r="AY1000" s="14">
        <v>-70</v>
      </c>
      <c r="AZ1000" s="14">
        <v>-163</v>
      </c>
      <c r="BA1000" s="14">
        <v>545</v>
      </c>
      <c r="BB1000" s="14">
        <v>-1191</v>
      </c>
      <c r="BD1000" s="14">
        <v>1160</v>
      </c>
    </row>
    <row r="1001" spans="39:56" x14ac:dyDescent="0.25">
      <c r="AM1001" s="14">
        <v>-126</v>
      </c>
      <c r="AU1001" s="14">
        <v>-58</v>
      </c>
      <c r="AW1001" s="14">
        <v>369</v>
      </c>
      <c r="AX1001" s="14">
        <v>246</v>
      </c>
      <c r="AY1001" s="14">
        <v>24</v>
      </c>
      <c r="AZ1001" s="14">
        <v>-143</v>
      </c>
      <c r="BA1001" s="14">
        <v>936</v>
      </c>
      <c r="BB1001" s="14">
        <v>-992</v>
      </c>
      <c r="BD1001" s="14">
        <v>975</v>
      </c>
    </row>
    <row r="1002" spans="39:56" x14ac:dyDescent="0.25">
      <c r="AM1002" s="14">
        <v>109</v>
      </c>
      <c r="AU1002" s="14">
        <v>-111</v>
      </c>
      <c r="AW1002" s="14">
        <v>-635</v>
      </c>
      <c r="AX1002" s="14">
        <v>270</v>
      </c>
      <c r="AY1002" s="14">
        <v>-123</v>
      </c>
      <c r="AZ1002" s="14">
        <v>-168</v>
      </c>
      <c r="BA1002" s="14">
        <v>188</v>
      </c>
      <c r="BB1002" s="14">
        <v>-153</v>
      </c>
      <c r="BD1002" s="14">
        <v>-399</v>
      </c>
    </row>
    <row r="1003" spans="39:56" x14ac:dyDescent="0.25">
      <c r="AM1003" s="14">
        <v>429</v>
      </c>
      <c r="AU1003" s="14">
        <v>-71</v>
      </c>
      <c r="AW1003" s="14">
        <v>195</v>
      </c>
      <c r="AX1003" s="14">
        <v>588</v>
      </c>
      <c r="AY1003" s="14">
        <v>-13</v>
      </c>
      <c r="AZ1003" s="14">
        <v>-191</v>
      </c>
      <c r="BA1003" s="14">
        <v>391</v>
      </c>
      <c r="BB1003" s="14">
        <v>-112</v>
      </c>
      <c r="BD1003" s="14">
        <v>1552</v>
      </c>
    </row>
    <row r="1004" spans="39:56" x14ac:dyDescent="0.25">
      <c r="AM1004" s="14">
        <v>-128</v>
      </c>
      <c r="AU1004" s="14">
        <v>-51</v>
      </c>
      <c r="AW1004" s="14">
        <v>449</v>
      </c>
      <c r="AX1004" s="14">
        <v>-465</v>
      </c>
      <c r="AY1004" s="14">
        <v>9</v>
      </c>
      <c r="AZ1004" s="14">
        <v>-160</v>
      </c>
      <c r="BA1004" s="14">
        <v>-408</v>
      </c>
      <c r="BB1004" s="14">
        <v>-169</v>
      </c>
      <c r="BD1004" s="14">
        <v>1584</v>
      </c>
    </row>
    <row r="1005" spans="39:56" x14ac:dyDescent="0.25">
      <c r="AM1005" s="14">
        <v>-105</v>
      </c>
      <c r="AU1005" s="14">
        <v>-30</v>
      </c>
      <c r="AW1005" s="14">
        <v>-752</v>
      </c>
      <c r="AX1005" s="14">
        <v>287</v>
      </c>
      <c r="AY1005" s="14">
        <v>3</v>
      </c>
      <c r="AZ1005" s="14">
        <v>116</v>
      </c>
      <c r="BA1005" s="14">
        <v>260</v>
      </c>
      <c r="BB1005" s="14">
        <v>-522</v>
      </c>
      <c r="BD1005" s="14">
        <v>1697</v>
      </c>
    </row>
    <row r="1006" spans="39:56" x14ac:dyDescent="0.25">
      <c r="AM1006" s="14">
        <v>487</v>
      </c>
      <c r="AU1006" s="14">
        <v>-44</v>
      </c>
      <c r="AW1006" s="14">
        <v>198</v>
      </c>
      <c r="AX1006" s="14">
        <v>4</v>
      </c>
      <c r="AY1006" s="14">
        <v>1</v>
      </c>
      <c r="AZ1006" s="14">
        <v>54</v>
      </c>
      <c r="BA1006" s="14">
        <v>-8</v>
      </c>
      <c r="BB1006" s="14">
        <v>-469</v>
      </c>
      <c r="BD1006" s="14">
        <v>1750</v>
      </c>
    </row>
    <row r="1007" spans="39:56" x14ac:dyDescent="0.25">
      <c r="AM1007" s="14">
        <v>782</v>
      </c>
      <c r="AU1007" s="14">
        <v>-71</v>
      </c>
      <c r="AW1007" s="14">
        <v>477</v>
      </c>
      <c r="AX1007" s="14">
        <v>-871</v>
      </c>
      <c r="AY1007" s="14">
        <v>-82</v>
      </c>
      <c r="AZ1007" s="14">
        <v>-34</v>
      </c>
      <c r="BA1007" s="14">
        <v>-499</v>
      </c>
      <c r="BB1007" s="14">
        <v>-531</v>
      </c>
      <c r="BD1007" s="14">
        <v>1872</v>
      </c>
    </row>
    <row r="1008" spans="39:56" x14ac:dyDescent="0.25">
      <c r="AM1008" s="14">
        <v>178</v>
      </c>
      <c r="AU1008" s="14">
        <v>-6</v>
      </c>
      <c r="AW1008" s="14">
        <v>-761</v>
      </c>
      <c r="AX1008" s="14">
        <v>246</v>
      </c>
      <c r="AY1008" s="14">
        <v>724</v>
      </c>
      <c r="AZ1008" s="14">
        <v>-113</v>
      </c>
      <c r="BA1008" s="14">
        <v>-714</v>
      </c>
      <c r="BB1008" s="14">
        <v>-514</v>
      </c>
      <c r="BD1008" s="14">
        <v>42</v>
      </c>
    </row>
    <row r="1009" spans="39:56" x14ac:dyDescent="0.25">
      <c r="AM1009" s="14">
        <v>196</v>
      </c>
      <c r="AU1009" s="14">
        <v>-71</v>
      </c>
      <c r="AW1009" s="14">
        <v>-737</v>
      </c>
      <c r="AX1009" s="14">
        <v>296</v>
      </c>
      <c r="AY1009" s="14">
        <v>485</v>
      </c>
      <c r="AZ1009" s="14">
        <v>-101</v>
      </c>
      <c r="BA1009" s="14">
        <v>152</v>
      </c>
      <c r="BB1009" s="14">
        <v>137</v>
      </c>
      <c r="BD1009" s="14">
        <v>45</v>
      </c>
    </row>
    <row r="1010" spans="39:56" x14ac:dyDescent="0.25">
      <c r="AM1010" s="14">
        <v>22</v>
      </c>
      <c r="AU1010" s="14">
        <v>-20</v>
      </c>
      <c r="AW1010" s="14">
        <v>-955</v>
      </c>
      <c r="AX1010" s="14">
        <v>-421</v>
      </c>
      <c r="AY1010" s="14">
        <v>-169</v>
      </c>
      <c r="AZ1010" s="14">
        <v>-151</v>
      </c>
      <c r="BA1010" s="14">
        <v>349</v>
      </c>
      <c r="BB1010" s="14">
        <v>398</v>
      </c>
      <c r="BD1010" s="14">
        <v>26</v>
      </c>
    </row>
    <row r="1011" spans="39:56" x14ac:dyDescent="0.25">
      <c r="AM1011" s="14">
        <v>125</v>
      </c>
      <c r="AU1011" s="14">
        <v>-104</v>
      </c>
      <c r="AW1011" s="14">
        <v>-941</v>
      </c>
      <c r="AX1011" s="14">
        <v>-893</v>
      </c>
      <c r="AY1011" s="14">
        <v>35</v>
      </c>
      <c r="AZ1011" s="14">
        <v>-327</v>
      </c>
      <c r="BA1011" s="14">
        <v>-128</v>
      </c>
      <c r="BB1011" s="14">
        <v>111</v>
      </c>
      <c r="BD1011" s="14">
        <v>47</v>
      </c>
    </row>
    <row r="1012" spans="39:56" x14ac:dyDescent="0.25">
      <c r="AM1012" s="14">
        <v>-733</v>
      </c>
      <c r="AU1012" s="14">
        <v>-118</v>
      </c>
      <c r="AW1012" s="14">
        <v>-684</v>
      </c>
      <c r="AX1012" s="14">
        <v>132</v>
      </c>
      <c r="AY1012" s="14">
        <v>-224</v>
      </c>
      <c r="AZ1012" s="14">
        <v>-403</v>
      </c>
      <c r="BA1012" s="14">
        <v>168</v>
      </c>
      <c r="BB1012" s="14">
        <v>338</v>
      </c>
      <c r="BD1012" s="14">
        <v>28</v>
      </c>
    </row>
    <row r="1013" spans="39:56" x14ac:dyDescent="0.25">
      <c r="AM1013" s="14">
        <v>-293</v>
      </c>
      <c r="AU1013" s="14">
        <v>2</v>
      </c>
      <c r="AW1013" s="14">
        <v>-104</v>
      </c>
      <c r="AX1013" s="14">
        <v>-274</v>
      </c>
      <c r="AY1013" s="14">
        <v>368</v>
      </c>
      <c r="AZ1013" s="14">
        <v>-248</v>
      </c>
      <c r="BA1013" s="14">
        <v>-209</v>
      </c>
      <c r="BB1013" s="14">
        <v>182</v>
      </c>
      <c r="BD1013" s="14">
        <v>47</v>
      </c>
    </row>
    <row r="1014" spans="39:56" x14ac:dyDescent="0.25">
      <c r="AM1014" s="14">
        <v>460</v>
      </c>
      <c r="AU1014" s="14">
        <v>-37</v>
      </c>
      <c r="AW1014" s="14">
        <v>-101</v>
      </c>
      <c r="AX1014" s="14">
        <v>281</v>
      </c>
      <c r="AY1014" s="14">
        <v>-878</v>
      </c>
      <c r="AZ1014" s="14">
        <v>-312</v>
      </c>
      <c r="BA1014" s="14">
        <v>-381</v>
      </c>
      <c r="BB1014" s="14">
        <v>240</v>
      </c>
      <c r="BD1014" s="14">
        <v>3</v>
      </c>
    </row>
    <row r="1015" spans="39:56" x14ac:dyDescent="0.25">
      <c r="AM1015" s="14">
        <v>144</v>
      </c>
      <c r="AU1015" s="14">
        <v>-88</v>
      </c>
      <c r="AW1015" s="14">
        <v>-243</v>
      </c>
      <c r="AX1015" s="14">
        <v>183</v>
      </c>
      <c r="AY1015" s="14">
        <v>787</v>
      </c>
      <c r="AZ1015" s="14">
        <v>243</v>
      </c>
      <c r="BA1015" s="14">
        <v>463</v>
      </c>
      <c r="BB1015" s="14">
        <v>174</v>
      </c>
      <c r="BD1015" s="14">
        <v>-9</v>
      </c>
    </row>
    <row r="1016" spans="39:56" x14ac:dyDescent="0.25">
      <c r="AM1016" s="14">
        <v>-729</v>
      </c>
      <c r="AU1016" s="14">
        <v>-16</v>
      </c>
      <c r="AW1016" s="14">
        <v>-235</v>
      </c>
      <c r="AX1016" s="14">
        <v>-184</v>
      </c>
      <c r="AY1016" s="14">
        <v>-48</v>
      </c>
      <c r="AZ1016" s="14">
        <v>25</v>
      </c>
      <c r="BA1016" s="14">
        <v>207</v>
      </c>
      <c r="BB1016" s="14">
        <v>-295</v>
      </c>
      <c r="BD1016" s="14">
        <v>17</v>
      </c>
    </row>
    <row r="1017" spans="39:56" x14ac:dyDescent="0.25">
      <c r="AM1017" s="14">
        <v>162</v>
      </c>
      <c r="AU1017" s="14">
        <v>-18</v>
      </c>
      <c r="AW1017" s="14">
        <v>-191</v>
      </c>
      <c r="AX1017" s="14">
        <v>-116</v>
      </c>
      <c r="AY1017" s="14">
        <v>-5</v>
      </c>
      <c r="AZ1017" s="14">
        <v>5</v>
      </c>
      <c r="BA1017" s="14">
        <v>336</v>
      </c>
      <c r="BB1017" s="14">
        <v>132</v>
      </c>
      <c r="BD1017" s="14">
        <v>4</v>
      </c>
    </row>
    <row r="1018" spans="39:56" x14ac:dyDescent="0.25">
      <c r="AM1018" s="14">
        <v>202</v>
      </c>
      <c r="AU1018" s="14">
        <v>-112</v>
      </c>
      <c r="AW1018" s="14">
        <v>-113</v>
      </c>
      <c r="AX1018" s="14">
        <v>-182</v>
      </c>
      <c r="AY1018" s="14">
        <v>-3</v>
      </c>
      <c r="AZ1018" s="14">
        <v>41</v>
      </c>
      <c r="BA1018" s="14">
        <v>175</v>
      </c>
      <c r="BB1018" s="14">
        <v>994</v>
      </c>
      <c r="BD1018" s="14">
        <v>-1</v>
      </c>
    </row>
    <row r="1019" spans="39:56" x14ac:dyDescent="0.25">
      <c r="AM1019" s="14">
        <v>-208</v>
      </c>
      <c r="AU1019" s="14">
        <v>-53</v>
      </c>
      <c r="AW1019" s="14">
        <v>-112</v>
      </c>
      <c r="AX1019" s="14">
        <v>432</v>
      </c>
      <c r="AY1019" s="14">
        <v>-170</v>
      </c>
      <c r="AZ1019" s="14">
        <v>5</v>
      </c>
      <c r="BA1019" s="14">
        <v>-385</v>
      </c>
      <c r="BB1019" s="14">
        <v>-106</v>
      </c>
      <c r="BD1019" s="14">
        <v>-106</v>
      </c>
    </row>
    <row r="1020" spans="39:56" x14ac:dyDescent="0.25">
      <c r="AM1020" s="14">
        <v>735</v>
      </c>
      <c r="AU1020" s="14">
        <v>-13</v>
      </c>
      <c r="AW1020" s="14">
        <v>-829</v>
      </c>
      <c r="AX1020" s="14">
        <v>103</v>
      </c>
      <c r="AY1020" s="14">
        <v>89</v>
      </c>
      <c r="AZ1020" s="14">
        <v>56</v>
      </c>
      <c r="BA1020" s="14">
        <v>-176</v>
      </c>
      <c r="BB1020" s="14">
        <v>-50</v>
      </c>
      <c r="BD1020" s="14">
        <v>-667</v>
      </c>
    </row>
    <row r="1021" spans="39:56" x14ac:dyDescent="0.25">
      <c r="AM1021" s="14">
        <v>-225</v>
      </c>
      <c r="AU1021" s="14">
        <v>-136</v>
      </c>
      <c r="AW1021" s="14">
        <v>-720</v>
      </c>
      <c r="AX1021" s="14">
        <v>108</v>
      </c>
      <c r="AY1021" s="14">
        <v>997</v>
      </c>
      <c r="AZ1021" s="14">
        <v>-75</v>
      </c>
      <c r="BA1021" s="14">
        <v>-208</v>
      </c>
      <c r="BB1021" s="14">
        <v>473</v>
      </c>
      <c r="BD1021" s="14">
        <v>1709</v>
      </c>
    </row>
    <row r="1022" spans="39:56" x14ac:dyDescent="0.25">
      <c r="AM1022" s="14">
        <v>-185</v>
      </c>
      <c r="AU1022" s="14">
        <v>-14</v>
      </c>
      <c r="AW1022" s="14">
        <v>-421</v>
      </c>
      <c r="AX1022" s="14">
        <v>-198</v>
      </c>
      <c r="AY1022" s="14">
        <v>416</v>
      </c>
      <c r="AZ1022" s="14">
        <v>-30</v>
      </c>
      <c r="BA1022" s="14">
        <v>252</v>
      </c>
      <c r="BB1022" s="14">
        <v>456</v>
      </c>
      <c r="BD1022" s="14">
        <v>27</v>
      </c>
    </row>
    <row r="1023" spans="39:56" x14ac:dyDescent="0.25">
      <c r="AM1023" s="14">
        <v>187</v>
      </c>
      <c r="AU1023" s="14">
        <v>-72</v>
      </c>
      <c r="AW1023" s="14">
        <v>-13</v>
      </c>
      <c r="AX1023" s="14">
        <v>-231</v>
      </c>
      <c r="AY1023" s="14">
        <v>192</v>
      </c>
      <c r="AZ1023" s="14">
        <v>-6</v>
      </c>
      <c r="BA1023" s="14">
        <v>205</v>
      </c>
      <c r="BB1023" s="14">
        <v>-729</v>
      </c>
      <c r="BD1023" s="14">
        <v>-166</v>
      </c>
    </row>
    <row r="1024" spans="39:56" x14ac:dyDescent="0.25">
      <c r="AM1024" s="14">
        <v>-465</v>
      </c>
      <c r="AU1024" s="14">
        <v>-79</v>
      </c>
      <c r="AW1024" s="14">
        <v>35</v>
      </c>
      <c r="AX1024" s="14">
        <v>-255</v>
      </c>
      <c r="AY1024" s="14">
        <v>-971</v>
      </c>
      <c r="AZ1024" s="14">
        <v>-64</v>
      </c>
      <c r="BA1024" s="14">
        <v>830</v>
      </c>
      <c r="BB1024" s="14">
        <v>-223</v>
      </c>
      <c r="BD1024" s="14">
        <v>-2341</v>
      </c>
    </row>
    <row r="1025" spans="39:56" x14ac:dyDescent="0.25">
      <c r="AM1025" s="14">
        <v>-652</v>
      </c>
      <c r="AU1025" s="14">
        <v>-116</v>
      </c>
      <c r="AW1025" s="14">
        <v>50</v>
      </c>
      <c r="AX1025" s="14">
        <v>-436</v>
      </c>
      <c r="AY1025" s="14">
        <v>-492</v>
      </c>
      <c r="AZ1025" s="14">
        <v>-13</v>
      </c>
      <c r="BA1025" s="14">
        <v>136</v>
      </c>
      <c r="BB1025" s="14">
        <v>-244</v>
      </c>
      <c r="BD1025" s="14">
        <v>-2052</v>
      </c>
    </row>
    <row r="1026" spans="39:56" x14ac:dyDescent="0.25">
      <c r="AM1026" s="14">
        <v>-262</v>
      </c>
      <c r="AU1026" s="14">
        <v>-104</v>
      </c>
      <c r="AW1026" s="14">
        <v>-11</v>
      </c>
      <c r="AX1026" s="14">
        <v>-776</v>
      </c>
      <c r="AY1026" s="14">
        <v>102</v>
      </c>
      <c r="AZ1026" s="14">
        <v>291</v>
      </c>
      <c r="BA1026" s="14">
        <v>167</v>
      </c>
      <c r="BB1026" s="14">
        <v>-237</v>
      </c>
      <c r="BD1026" s="14">
        <v>1</v>
      </c>
    </row>
    <row r="1027" spans="39:56" x14ac:dyDescent="0.25">
      <c r="AM1027" s="14">
        <v>385</v>
      </c>
      <c r="AU1027" s="14">
        <v>-65</v>
      </c>
      <c r="AW1027" s="14">
        <v>37</v>
      </c>
      <c r="AX1027" s="14">
        <v>-705</v>
      </c>
      <c r="AY1027" s="14">
        <v>383</v>
      </c>
      <c r="AZ1027" s="14">
        <v>239</v>
      </c>
      <c r="BA1027" s="14">
        <v>-310</v>
      </c>
      <c r="BB1027" s="14">
        <v>342</v>
      </c>
      <c r="BD1027" s="14">
        <v>1</v>
      </c>
    </row>
    <row r="1028" spans="39:56" x14ac:dyDescent="0.25">
      <c r="AM1028" s="14">
        <v>114</v>
      </c>
      <c r="AU1028" s="14">
        <v>-55</v>
      </c>
      <c r="AW1028" s="14">
        <v>53</v>
      </c>
      <c r="AX1028" s="14">
        <v>-360</v>
      </c>
      <c r="AY1028" s="14">
        <v>141</v>
      </c>
      <c r="AZ1028" s="14">
        <v>-632</v>
      </c>
      <c r="BA1028" s="14">
        <v>533</v>
      </c>
      <c r="BB1028" s="14">
        <v>903</v>
      </c>
      <c r="BD1028" s="14">
        <v>5</v>
      </c>
    </row>
    <row r="1029" spans="39:56" x14ac:dyDescent="0.25">
      <c r="AM1029" s="14">
        <v>122</v>
      </c>
      <c r="AU1029" s="14">
        <v>-59</v>
      </c>
      <c r="AW1029" s="14">
        <v>133</v>
      </c>
      <c r="AX1029" s="14">
        <v>-290</v>
      </c>
      <c r="AY1029" s="14">
        <v>159</v>
      </c>
      <c r="AZ1029" s="14">
        <v>-151</v>
      </c>
      <c r="BA1029" s="14">
        <v>364</v>
      </c>
      <c r="BB1029" s="14">
        <v>661</v>
      </c>
      <c r="BD1029" s="14">
        <v>7</v>
      </c>
    </row>
    <row r="1030" spans="39:56" x14ac:dyDescent="0.25">
      <c r="AM1030" s="14">
        <v>347</v>
      </c>
      <c r="AU1030" s="14">
        <v>-115</v>
      </c>
      <c r="AW1030" s="14">
        <v>63</v>
      </c>
      <c r="AX1030" s="14">
        <v>751</v>
      </c>
      <c r="AY1030" s="14">
        <v>9</v>
      </c>
      <c r="AZ1030" s="14">
        <v>-113</v>
      </c>
      <c r="BA1030" s="14">
        <v>133</v>
      </c>
      <c r="BB1030" s="14">
        <v>172</v>
      </c>
      <c r="BD1030" s="14">
        <v>-8</v>
      </c>
    </row>
    <row r="1031" spans="39:56" x14ac:dyDescent="0.25">
      <c r="AM1031" s="14">
        <v>-66</v>
      </c>
      <c r="AU1031" s="14">
        <v>-105</v>
      </c>
      <c r="AW1031" s="14">
        <v>69</v>
      </c>
      <c r="AX1031" s="14">
        <v>-174</v>
      </c>
      <c r="AY1031" s="14">
        <v>-368</v>
      </c>
      <c r="AZ1031" s="14">
        <v>146</v>
      </c>
      <c r="BA1031" s="14">
        <v>-104</v>
      </c>
      <c r="BB1031" s="14">
        <v>282</v>
      </c>
      <c r="BD1031" s="14">
        <v>-8</v>
      </c>
    </row>
    <row r="1032" spans="39:56" x14ac:dyDescent="0.25">
      <c r="AM1032" s="14">
        <v>189</v>
      </c>
      <c r="AU1032" s="14">
        <v>-52</v>
      </c>
      <c r="AW1032" s="14">
        <v>132</v>
      </c>
      <c r="AX1032" s="14">
        <v>173</v>
      </c>
      <c r="AY1032" s="14">
        <v>-31</v>
      </c>
      <c r="AZ1032" s="14">
        <v>781</v>
      </c>
      <c r="BA1032" s="14">
        <v>29</v>
      </c>
      <c r="BB1032" s="14">
        <v>10</v>
      </c>
      <c r="BD1032" s="14">
        <v>50</v>
      </c>
    </row>
    <row r="1033" spans="39:56" x14ac:dyDescent="0.25">
      <c r="AM1033" s="14">
        <v>-109</v>
      </c>
      <c r="AU1033" s="14">
        <v>-85</v>
      </c>
      <c r="AW1033" s="14">
        <v>60</v>
      </c>
      <c r="AX1033" s="14">
        <v>-623</v>
      </c>
      <c r="AY1033" s="14">
        <v>102</v>
      </c>
      <c r="AZ1033" s="14">
        <v>-917</v>
      </c>
      <c r="BA1033" s="14">
        <v>-83</v>
      </c>
      <c r="BB1033" s="14">
        <v>191</v>
      </c>
      <c r="BD1033" s="14">
        <v>44</v>
      </c>
    </row>
    <row r="1034" spans="39:56" x14ac:dyDescent="0.25">
      <c r="AM1034" s="14">
        <v>-197</v>
      </c>
      <c r="AU1034" s="14">
        <v>-56</v>
      </c>
      <c r="AW1034" s="14">
        <v>65</v>
      </c>
      <c r="AX1034" s="14">
        <v>151</v>
      </c>
      <c r="AY1034" s="14">
        <v>-40</v>
      </c>
      <c r="AZ1034" s="14">
        <v>-114</v>
      </c>
      <c r="BA1034" s="14">
        <v>157</v>
      </c>
      <c r="BB1034" s="14">
        <v>198</v>
      </c>
      <c r="BD1034" s="14">
        <v>4</v>
      </c>
    </row>
    <row r="1035" spans="39:56" x14ac:dyDescent="0.25">
      <c r="AM1035" s="14">
        <v>135</v>
      </c>
      <c r="AU1035" s="14">
        <v>-208</v>
      </c>
      <c r="AW1035" s="14">
        <v>107</v>
      </c>
      <c r="AX1035" s="14">
        <v>-426</v>
      </c>
      <c r="AY1035" s="14">
        <v>-72</v>
      </c>
      <c r="AZ1035" s="14">
        <v>233</v>
      </c>
      <c r="BA1035" s="14">
        <v>-515</v>
      </c>
      <c r="BB1035" s="14">
        <v>-126</v>
      </c>
      <c r="BD1035" s="14">
        <v>3</v>
      </c>
    </row>
    <row r="1036" spans="39:56" x14ac:dyDescent="0.25">
      <c r="AM1036" s="14">
        <v>-701</v>
      </c>
      <c r="AU1036" s="14">
        <v>-90</v>
      </c>
      <c r="AW1036" s="14">
        <v>17</v>
      </c>
      <c r="AX1036" s="14">
        <v>91</v>
      </c>
      <c r="AY1036" s="14">
        <v>16</v>
      </c>
      <c r="AZ1036" s="14">
        <v>760</v>
      </c>
      <c r="BA1036" s="14">
        <v>131</v>
      </c>
      <c r="BB1036" s="14">
        <v>-109</v>
      </c>
      <c r="BD1036" s="14">
        <v>-8</v>
      </c>
    </row>
    <row r="1037" spans="39:56" x14ac:dyDescent="0.25">
      <c r="AM1037" s="14">
        <v>-444</v>
      </c>
      <c r="AU1037" s="14">
        <v>-15</v>
      </c>
      <c r="AW1037" s="14">
        <v>27</v>
      </c>
      <c r="AX1037" s="14">
        <v>208</v>
      </c>
      <c r="AY1037" s="14">
        <v>-15</v>
      </c>
      <c r="AZ1037" s="14">
        <v>-139</v>
      </c>
      <c r="BA1037" s="14">
        <v>26</v>
      </c>
      <c r="BB1037" s="14">
        <v>304</v>
      </c>
      <c r="BD1037" s="14">
        <v>-8</v>
      </c>
    </row>
    <row r="1038" spans="39:56" x14ac:dyDescent="0.25">
      <c r="AM1038" s="14">
        <v>-144</v>
      </c>
      <c r="AU1038" s="14">
        <v>-91</v>
      </c>
      <c r="AW1038" s="14">
        <v>-451</v>
      </c>
      <c r="AX1038" s="14">
        <v>-201</v>
      </c>
      <c r="AY1038" s="14">
        <v>-3</v>
      </c>
      <c r="AZ1038" s="14">
        <v>-870</v>
      </c>
      <c r="BA1038" s="14">
        <v>-195</v>
      </c>
      <c r="BB1038" s="14">
        <v>146</v>
      </c>
      <c r="BD1038" s="14">
        <v>-18</v>
      </c>
    </row>
    <row r="1039" spans="39:56" x14ac:dyDescent="0.25">
      <c r="AM1039" s="14">
        <v>506</v>
      </c>
      <c r="AU1039" s="14">
        <v>-59</v>
      </c>
      <c r="AW1039" s="14">
        <v>-495</v>
      </c>
      <c r="AX1039" s="14">
        <v>330</v>
      </c>
      <c r="AY1039" s="14">
        <v>-2</v>
      </c>
      <c r="AZ1039" s="14">
        <v>-112</v>
      </c>
      <c r="BA1039" s="14">
        <v>-650</v>
      </c>
      <c r="BB1039" s="14">
        <v>191</v>
      </c>
      <c r="BD1039" s="14">
        <v>-16</v>
      </c>
    </row>
    <row r="1040" spans="39:56" x14ac:dyDescent="0.25">
      <c r="AM1040" s="14">
        <v>-598</v>
      </c>
      <c r="AU1040" s="14">
        <v>-49</v>
      </c>
      <c r="AW1040" s="14">
        <v>-474</v>
      </c>
      <c r="AX1040" s="14">
        <v>-115</v>
      </c>
      <c r="AY1040" s="14">
        <v>29</v>
      </c>
      <c r="AZ1040" s="14">
        <v>23</v>
      </c>
      <c r="BA1040" s="14">
        <v>-108</v>
      </c>
      <c r="BB1040" s="14">
        <v>-107</v>
      </c>
      <c r="BD1040" s="14">
        <v>-1</v>
      </c>
    </row>
    <row r="1041" spans="39:56" x14ac:dyDescent="0.25">
      <c r="AM1041" s="14">
        <v>-195</v>
      </c>
      <c r="AU1041" s="14">
        <v>-97</v>
      </c>
      <c r="AW1041" s="14">
        <v>-457</v>
      </c>
      <c r="AX1041" s="14">
        <v>41</v>
      </c>
      <c r="AY1041" s="14">
        <v>3</v>
      </c>
      <c r="AZ1041" s="14">
        <v>42</v>
      </c>
      <c r="BA1041" s="14">
        <v>519</v>
      </c>
      <c r="BB1041" s="14">
        <v>688</v>
      </c>
      <c r="BD1041" s="14">
        <v>83</v>
      </c>
    </row>
    <row r="1042" spans="39:56" x14ac:dyDescent="0.25">
      <c r="AM1042" s="14">
        <v>-496</v>
      </c>
      <c r="AU1042" s="14">
        <v>-15</v>
      </c>
      <c r="AW1042" s="14">
        <v>-499</v>
      </c>
      <c r="AX1042" s="14">
        <v>126</v>
      </c>
      <c r="AY1042" s="14">
        <v>-334</v>
      </c>
      <c r="AZ1042" s="14">
        <v>-23</v>
      </c>
      <c r="BA1042" s="14">
        <v>656</v>
      </c>
      <c r="BB1042" s="14">
        <v>-854</v>
      </c>
      <c r="BD1042" s="14">
        <v>-127</v>
      </c>
    </row>
    <row r="1043" spans="39:56" x14ac:dyDescent="0.25">
      <c r="AM1043" s="14">
        <v>-778</v>
      </c>
      <c r="AU1043" s="14">
        <v>-25</v>
      </c>
      <c r="AW1043" s="14">
        <v>-480</v>
      </c>
      <c r="AX1043" s="14">
        <v>523</v>
      </c>
      <c r="AY1043" s="14">
        <v>310</v>
      </c>
      <c r="AZ1043" s="14">
        <v>13</v>
      </c>
      <c r="BA1043" s="14">
        <v>-137</v>
      </c>
      <c r="BB1043" s="14">
        <v>836</v>
      </c>
      <c r="BD1043" s="14">
        <v>3215</v>
      </c>
    </row>
    <row r="1044" spans="39:56" x14ac:dyDescent="0.25">
      <c r="AM1044" s="14">
        <v>-456</v>
      </c>
      <c r="AU1044" s="14">
        <v>-26</v>
      </c>
      <c r="AW1044" s="14">
        <v>-161</v>
      </c>
      <c r="AX1044" s="14">
        <v>238</v>
      </c>
      <c r="AY1044" s="14">
        <v>-770</v>
      </c>
      <c r="AZ1044" s="14">
        <v>9</v>
      </c>
      <c r="BA1044" s="14">
        <v>-145</v>
      </c>
      <c r="BB1044" s="14">
        <v>-203</v>
      </c>
      <c r="BD1044" s="14">
        <v>3214</v>
      </c>
    </row>
    <row r="1045" spans="39:56" x14ac:dyDescent="0.25">
      <c r="AM1045" s="14">
        <v>-587</v>
      </c>
      <c r="AU1045" s="14">
        <v>-148</v>
      </c>
      <c r="AW1045" s="14">
        <v>-202</v>
      </c>
      <c r="AX1045" s="14">
        <v>265</v>
      </c>
      <c r="AY1045" s="14">
        <v>484</v>
      </c>
      <c r="AZ1045" s="14">
        <v>257</v>
      </c>
      <c r="BA1045" s="14">
        <v>-450</v>
      </c>
      <c r="BB1045" s="14">
        <v>1028</v>
      </c>
      <c r="BD1045" s="14">
        <v>-13</v>
      </c>
    </row>
    <row r="1046" spans="39:56" x14ac:dyDescent="0.25">
      <c r="AM1046" s="14">
        <v>-132</v>
      </c>
      <c r="AU1046" s="14">
        <v>-97</v>
      </c>
      <c r="AW1046" s="14">
        <v>345</v>
      </c>
      <c r="AX1046" s="14">
        <v>587</v>
      </c>
      <c r="AY1046" s="14">
        <v>-184</v>
      </c>
      <c r="AZ1046" s="14">
        <v>-230</v>
      </c>
      <c r="BA1046" s="14">
        <v>772</v>
      </c>
      <c r="BB1046" s="14">
        <v>1038</v>
      </c>
      <c r="BD1046" s="14">
        <v>-11</v>
      </c>
    </row>
    <row r="1047" spans="39:56" x14ac:dyDescent="0.25">
      <c r="AM1047" s="14">
        <v>-623</v>
      </c>
      <c r="AU1047" s="14">
        <v>-38</v>
      </c>
      <c r="AW1047" s="14">
        <v>-162</v>
      </c>
      <c r="AX1047" s="14">
        <v>-484</v>
      </c>
      <c r="AY1047" s="14">
        <v>-623</v>
      </c>
      <c r="AZ1047" s="14">
        <v>12</v>
      </c>
      <c r="BA1047" s="14">
        <v>7</v>
      </c>
      <c r="BB1047" s="14">
        <v>-10</v>
      </c>
      <c r="BD1047" s="14">
        <v>4</v>
      </c>
    </row>
    <row r="1048" spans="39:56" x14ac:dyDescent="0.25">
      <c r="AM1048" s="14">
        <v>848</v>
      </c>
      <c r="AU1048" s="14">
        <v>-118</v>
      </c>
      <c r="AW1048" s="14">
        <v>-204</v>
      </c>
      <c r="AX1048" s="14">
        <v>-983</v>
      </c>
      <c r="AY1048" s="14">
        <v>248</v>
      </c>
      <c r="AZ1048" s="14">
        <v>21</v>
      </c>
      <c r="BA1048" s="14">
        <v>157</v>
      </c>
      <c r="BB1048" s="14">
        <v>-23</v>
      </c>
      <c r="BD1048" s="14">
        <v>5</v>
      </c>
    </row>
    <row r="1049" spans="39:56" x14ac:dyDescent="0.25">
      <c r="AM1049" s="14">
        <v>248</v>
      </c>
      <c r="AU1049" s="14">
        <v>-177</v>
      </c>
      <c r="AW1049" s="14">
        <v>334</v>
      </c>
      <c r="AX1049" s="14">
        <v>7</v>
      </c>
      <c r="AY1049" s="14">
        <v>-13</v>
      </c>
      <c r="AZ1049" s="14">
        <v>254</v>
      </c>
      <c r="BA1049" s="14">
        <v>-146</v>
      </c>
      <c r="BB1049" s="14">
        <v>-161</v>
      </c>
      <c r="BD1049" s="14">
        <v>1</v>
      </c>
    </row>
    <row r="1050" spans="39:56" x14ac:dyDescent="0.25">
      <c r="AM1050" s="14">
        <v>511</v>
      </c>
      <c r="AU1050" s="14">
        <v>8</v>
      </c>
      <c r="AW1050" s="14">
        <v>-201</v>
      </c>
      <c r="AX1050" s="14">
        <v>-221</v>
      </c>
      <c r="AY1050" s="14">
        <v>201</v>
      </c>
      <c r="AZ1050" s="14">
        <v>-20</v>
      </c>
      <c r="BA1050" s="14">
        <v>780</v>
      </c>
      <c r="BB1050" s="14">
        <v>-9</v>
      </c>
      <c r="BD1050" s="14">
        <v>1</v>
      </c>
    </row>
    <row r="1051" spans="39:56" x14ac:dyDescent="0.25">
      <c r="AM1051" s="14">
        <v>306</v>
      </c>
      <c r="AU1051" s="14">
        <v>-92</v>
      </c>
      <c r="AW1051" s="14">
        <v>-256</v>
      </c>
      <c r="AX1051" s="14">
        <v>451</v>
      </c>
      <c r="AY1051" s="14">
        <v>-25</v>
      </c>
      <c r="AZ1051" s="14">
        <v>-224</v>
      </c>
      <c r="BA1051" s="14">
        <v>-273</v>
      </c>
      <c r="BB1051" s="14">
        <v>-73</v>
      </c>
      <c r="BD1051" s="14">
        <v>-4</v>
      </c>
    </row>
    <row r="1052" spans="39:56" x14ac:dyDescent="0.25">
      <c r="AM1052" s="14">
        <v>660</v>
      </c>
      <c r="AU1052" s="14">
        <v>-116</v>
      </c>
      <c r="AW1052" s="14">
        <v>265</v>
      </c>
      <c r="AX1052" s="14">
        <v>-185</v>
      </c>
      <c r="AY1052" s="14">
        <v>46</v>
      </c>
      <c r="AZ1052" s="14">
        <v>13</v>
      </c>
      <c r="BA1052" s="14">
        <v>195</v>
      </c>
      <c r="BB1052" s="14">
        <v>-371</v>
      </c>
      <c r="BD1052" s="14">
        <v>-4</v>
      </c>
    </row>
    <row r="1053" spans="39:56" x14ac:dyDescent="0.25">
      <c r="AM1053" s="14">
        <v>319</v>
      </c>
      <c r="AU1053" s="14">
        <v>-55</v>
      </c>
      <c r="AW1053" s="14">
        <v>35</v>
      </c>
      <c r="AX1053" s="14">
        <v>-225</v>
      </c>
      <c r="AY1053" s="14">
        <v>1</v>
      </c>
      <c r="AZ1053" s="14">
        <v>-219</v>
      </c>
      <c r="BA1053" s="14">
        <v>364</v>
      </c>
      <c r="BB1053" s="14">
        <v>-324</v>
      </c>
      <c r="BD1053" s="14">
        <v>-3</v>
      </c>
    </row>
    <row r="1054" spans="39:56" x14ac:dyDescent="0.25">
      <c r="AM1054" s="14">
        <v>-192</v>
      </c>
      <c r="AU1054" s="14">
        <v>-93</v>
      </c>
      <c r="AW1054" s="14">
        <v>34</v>
      </c>
      <c r="AX1054" s="14">
        <v>-240</v>
      </c>
      <c r="AY1054" s="14">
        <v>626</v>
      </c>
      <c r="AZ1054" s="14">
        <v>-260</v>
      </c>
      <c r="BA1054" s="14">
        <v>-883</v>
      </c>
      <c r="BB1054" s="14">
        <v>27</v>
      </c>
      <c r="BD1054" s="14">
        <v>-3</v>
      </c>
    </row>
    <row r="1055" spans="39:56" x14ac:dyDescent="0.25">
      <c r="AM1055" s="14">
        <v>-310</v>
      </c>
      <c r="AU1055" s="14">
        <v>-123</v>
      </c>
      <c r="AW1055" s="14">
        <v>29</v>
      </c>
      <c r="AX1055" s="14">
        <v>-177</v>
      </c>
      <c r="AY1055" s="14">
        <v>-159</v>
      </c>
      <c r="AZ1055" s="14">
        <v>775</v>
      </c>
      <c r="BA1055" s="14">
        <v>55</v>
      </c>
      <c r="BB1055" s="14">
        <v>-212</v>
      </c>
      <c r="BD1055" s="14">
        <v>-667</v>
      </c>
    </row>
    <row r="1056" spans="39:56" x14ac:dyDescent="0.25">
      <c r="AM1056" s="14">
        <v>305</v>
      </c>
      <c r="AU1056" s="14">
        <v>-68</v>
      </c>
      <c r="AW1056" s="14">
        <v>-66</v>
      </c>
      <c r="AX1056" s="14">
        <v>-533</v>
      </c>
      <c r="AY1056" s="14">
        <v>352</v>
      </c>
      <c r="AZ1056" s="14">
        <v>-393</v>
      </c>
      <c r="BA1056" s="14">
        <v>107</v>
      </c>
      <c r="BB1056" s="14">
        <v>-64</v>
      </c>
      <c r="BD1056" s="14">
        <v>-609</v>
      </c>
    </row>
    <row r="1057" spans="39:56" x14ac:dyDescent="0.25">
      <c r="AM1057" s="14">
        <v>-154</v>
      </c>
      <c r="AU1057" s="14">
        <v>-199</v>
      </c>
      <c r="AW1057" s="14">
        <v>36</v>
      </c>
      <c r="AX1057" s="14">
        <v>-604</v>
      </c>
      <c r="AY1057" s="14">
        <v>-786</v>
      </c>
      <c r="AZ1057" s="14">
        <v>-298</v>
      </c>
      <c r="BA1057" s="14">
        <v>-422</v>
      </c>
      <c r="BB1057" s="14">
        <v>68</v>
      </c>
      <c r="BD1057" s="14">
        <v>66</v>
      </c>
    </row>
    <row r="1058" spans="39:56" x14ac:dyDescent="0.25">
      <c r="AM1058" s="14">
        <v>145</v>
      </c>
      <c r="AU1058" s="14">
        <v>-15</v>
      </c>
      <c r="AW1058" s="14">
        <v>16</v>
      </c>
      <c r="AX1058" s="14">
        <v>-512</v>
      </c>
      <c r="AY1058" s="14">
        <v>-976</v>
      </c>
      <c r="AZ1058" s="14">
        <v>-147</v>
      </c>
      <c r="BA1058" s="14">
        <v>115</v>
      </c>
      <c r="BB1058" s="14">
        <v>-40</v>
      </c>
      <c r="BD1058" s="14">
        <v>74</v>
      </c>
    </row>
    <row r="1059" spans="39:56" x14ac:dyDescent="0.25">
      <c r="AM1059" s="14">
        <v>-854</v>
      </c>
      <c r="AU1059" s="14">
        <v>-13</v>
      </c>
      <c r="AW1059" s="14">
        <v>-65</v>
      </c>
      <c r="AX1059" s="14">
        <v>-554</v>
      </c>
      <c r="AY1059" s="14">
        <v>253</v>
      </c>
      <c r="AZ1059" s="14">
        <v>-133</v>
      </c>
      <c r="BA1059" s="14">
        <v>715</v>
      </c>
      <c r="BB1059" s="14">
        <v>8</v>
      </c>
      <c r="BD1059" s="14">
        <v>9</v>
      </c>
    </row>
    <row r="1060" spans="39:56" x14ac:dyDescent="0.25">
      <c r="AM1060" s="14">
        <v>384</v>
      </c>
      <c r="AU1060" s="14">
        <v>-53</v>
      </c>
      <c r="AW1060" s="14">
        <v>37</v>
      </c>
      <c r="AX1060" s="14">
        <v>-852</v>
      </c>
      <c r="AY1060" s="14">
        <v>77</v>
      </c>
      <c r="AZ1060" s="14">
        <v>-201</v>
      </c>
      <c r="BA1060" s="14">
        <v>-979</v>
      </c>
      <c r="BB1060" s="14">
        <v>106</v>
      </c>
      <c r="BD1060" s="14">
        <v>-6</v>
      </c>
    </row>
    <row r="1061" spans="39:56" x14ac:dyDescent="0.25">
      <c r="AM1061" s="14">
        <v>-965</v>
      </c>
      <c r="AU1061" s="14">
        <v>-112</v>
      </c>
      <c r="AW1061" s="14">
        <v>17</v>
      </c>
      <c r="AX1061" s="14">
        <v>-896</v>
      </c>
      <c r="AY1061" s="14">
        <v>232</v>
      </c>
      <c r="AZ1061" s="14">
        <v>-312</v>
      </c>
      <c r="BA1061" s="14">
        <v>128</v>
      </c>
      <c r="BB1061" s="14">
        <v>683</v>
      </c>
      <c r="BD1061" s="14">
        <v>7</v>
      </c>
    </row>
    <row r="1062" spans="39:56" x14ac:dyDescent="0.25">
      <c r="AM1062" s="14">
        <v>602</v>
      </c>
      <c r="AU1062" s="14">
        <v>-101</v>
      </c>
      <c r="AW1062" s="14">
        <v>-75</v>
      </c>
      <c r="AX1062" s="14">
        <v>-882</v>
      </c>
      <c r="AY1062" s="14">
        <v>590</v>
      </c>
      <c r="AZ1062" s="14">
        <v>-476</v>
      </c>
      <c r="BA1062" s="14">
        <v>-177</v>
      </c>
      <c r="BB1062" s="14">
        <v>385</v>
      </c>
      <c r="BD1062" s="14">
        <v>-6</v>
      </c>
    </row>
    <row r="1063" spans="39:56" x14ac:dyDescent="0.25">
      <c r="AM1063" s="14">
        <v>-245</v>
      </c>
      <c r="AU1063" s="14">
        <v>-43</v>
      </c>
      <c r="AW1063" s="14">
        <v>24</v>
      </c>
      <c r="AX1063" s="14">
        <v>-880</v>
      </c>
      <c r="AY1063" s="14">
        <v>177</v>
      </c>
      <c r="AZ1063" s="14">
        <v>-566</v>
      </c>
      <c r="BA1063" s="14">
        <v>148</v>
      </c>
      <c r="BB1063" s="14">
        <v>-128</v>
      </c>
      <c r="BD1063" s="14">
        <v>16</v>
      </c>
    </row>
    <row r="1064" spans="39:56" x14ac:dyDescent="0.25">
      <c r="AM1064" s="14">
        <v>-971</v>
      </c>
      <c r="AU1064" s="14">
        <v>-120</v>
      </c>
      <c r="AW1064" s="14">
        <v>8</v>
      </c>
      <c r="AX1064" s="14">
        <v>-132</v>
      </c>
      <c r="AY1064" s="14">
        <v>-267</v>
      </c>
      <c r="AZ1064" s="14">
        <v>-687</v>
      </c>
      <c r="BA1064" s="14">
        <v>-160</v>
      </c>
      <c r="BB1064" s="14">
        <v>-330</v>
      </c>
      <c r="BD1064" s="14">
        <v>10</v>
      </c>
    </row>
    <row r="1065" spans="39:56" x14ac:dyDescent="0.25">
      <c r="AM1065" s="14">
        <v>-754</v>
      </c>
      <c r="AU1065" s="14">
        <v>-41</v>
      </c>
      <c r="AW1065" s="14">
        <v>32</v>
      </c>
      <c r="AX1065" s="14">
        <v>-134</v>
      </c>
      <c r="AY1065" s="14">
        <v>-256</v>
      </c>
      <c r="AZ1065" s="14">
        <v>128</v>
      </c>
      <c r="BA1065" s="14">
        <v>-183</v>
      </c>
      <c r="BB1065" s="14">
        <v>-7</v>
      </c>
      <c r="BD1065" s="14">
        <v>-743</v>
      </c>
    </row>
    <row r="1066" spans="39:56" x14ac:dyDescent="0.25">
      <c r="AM1066" s="14">
        <v>-595</v>
      </c>
      <c r="AU1066" s="14">
        <v>-52</v>
      </c>
      <c r="AW1066" s="14">
        <v>31</v>
      </c>
      <c r="AX1066" s="14">
        <v>-134</v>
      </c>
      <c r="AY1066" s="14">
        <v>26</v>
      </c>
      <c r="AZ1066" s="14">
        <v>-369</v>
      </c>
      <c r="BA1066" s="14">
        <v>169</v>
      </c>
      <c r="BB1066" s="14">
        <v>-24</v>
      </c>
      <c r="BD1066" s="14">
        <v>-823</v>
      </c>
    </row>
    <row r="1067" spans="39:56" x14ac:dyDescent="0.25">
      <c r="AM1067" s="14">
        <v>-177</v>
      </c>
      <c r="AU1067" s="14">
        <v>-33</v>
      </c>
      <c r="AW1067" s="14">
        <v>28</v>
      </c>
      <c r="AX1067" s="14">
        <v>-135</v>
      </c>
      <c r="AY1067" s="14">
        <v>-59</v>
      </c>
      <c r="AZ1067" s="14">
        <v>-605</v>
      </c>
      <c r="BA1067" s="14">
        <v>-640</v>
      </c>
      <c r="BB1067" s="14">
        <v>-839</v>
      </c>
      <c r="BD1067" s="14">
        <v>-25</v>
      </c>
    </row>
    <row r="1068" spans="39:56" x14ac:dyDescent="0.25">
      <c r="AM1068" s="14">
        <v>-212</v>
      </c>
      <c r="AU1068" s="14">
        <v>-37</v>
      </c>
      <c r="AW1068" s="14">
        <v>622</v>
      </c>
      <c r="AX1068" s="14">
        <v>-190</v>
      </c>
      <c r="AY1068" s="14">
        <v>128</v>
      </c>
      <c r="AZ1068" s="14">
        <v>-173</v>
      </c>
      <c r="BA1068" s="14">
        <v>871</v>
      </c>
      <c r="BB1068" s="14">
        <v>-682</v>
      </c>
      <c r="BD1068" s="14">
        <v>14</v>
      </c>
    </row>
    <row r="1069" spans="39:56" x14ac:dyDescent="0.25">
      <c r="AM1069" s="14">
        <v>105</v>
      </c>
      <c r="AU1069" s="14">
        <v>-36</v>
      </c>
      <c r="AW1069" s="14">
        <v>736</v>
      </c>
      <c r="AX1069" s="14">
        <v>-187</v>
      </c>
      <c r="AY1069" s="14">
        <v>-447</v>
      </c>
      <c r="AZ1069" s="14">
        <v>-942</v>
      </c>
      <c r="BA1069" s="14">
        <v>260</v>
      </c>
      <c r="BB1069" s="14">
        <v>53</v>
      </c>
      <c r="BD1069" s="14">
        <v>-2763</v>
      </c>
    </row>
    <row r="1070" spans="39:56" x14ac:dyDescent="0.25">
      <c r="AM1070" s="14">
        <v>-116</v>
      </c>
      <c r="AU1070" s="14">
        <v>-29</v>
      </c>
      <c r="AW1070" s="14">
        <v>827</v>
      </c>
      <c r="AX1070" s="14">
        <v>-191</v>
      </c>
      <c r="AY1070" s="14">
        <v>8</v>
      </c>
      <c r="AZ1070" s="14">
        <v>-186</v>
      </c>
      <c r="BA1070" s="14">
        <v>-8</v>
      </c>
      <c r="BB1070" s="14">
        <v>-132</v>
      </c>
      <c r="BD1070" s="14">
        <v>-2930</v>
      </c>
    </row>
    <row r="1071" spans="39:56" x14ac:dyDescent="0.25">
      <c r="AM1071" s="14">
        <v>51</v>
      </c>
      <c r="AU1071" s="14">
        <v>-77</v>
      </c>
      <c r="AW1071" s="14">
        <v>620</v>
      </c>
      <c r="AX1071" s="14">
        <v>-188</v>
      </c>
      <c r="AY1071" s="14">
        <v>-21</v>
      </c>
      <c r="AZ1071" s="14">
        <v>-202</v>
      </c>
      <c r="BA1071" s="14">
        <v>-499</v>
      </c>
      <c r="BB1071" s="14">
        <v>-111</v>
      </c>
      <c r="BD1071" s="14">
        <v>-2</v>
      </c>
    </row>
    <row r="1072" spans="39:56" x14ac:dyDescent="0.25">
      <c r="AM1072" s="14">
        <v>-6</v>
      </c>
      <c r="AU1072" s="14">
        <v>-7</v>
      </c>
      <c r="AW1072" s="14">
        <v>728</v>
      </c>
      <c r="AX1072" s="14">
        <v>-250</v>
      </c>
      <c r="AY1072" s="14">
        <v>-11</v>
      </c>
      <c r="AZ1072" s="14">
        <v>-209</v>
      </c>
      <c r="BA1072" s="14">
        <v>-714</v>
      </c>
      <c r="BB1072" s="14">
        <v>55</v>
      </c>
      <c r="BD1072" s="14">
        <v>-2</v>
      </c>
    </row>
    <row r="1073" spans="39:56" x14ac:dyDescent="0.25">
      <c r="AM1073" s="14">
        <v>-9</v>
      </c>
      <c r="AU1073" s="14">
        <v>-29</v>
      </c>
      <c r="AW1073" s="14">
        <v>823</v>
      </c>
      <c r="AX1073" s="14">
        <v>-253</v>
      </c>
      <c r="AY1073" s="14">
        <v>13</v>
      </c>
      <c r="AZ1073" s="14">
        <v>-225</v>
      </c>
      <c r="BA1073" s="14">
        <v>152</v>
      </c>
      <c r="BB1073" s="14">
        <v>-172</v>
      </c>
      <c r="BD1073" s="14">
        <v>-31</v>
      </c>
    </row>
    <row r="1074" spans="39:56" x14ac:dyDescent="0.25">
      <c r="AM1074" s="14">
        <v>27</v>
      </c>
      <c r="AU1074" s="14">
        <v>-61</v>
      </c>
      <c r="AW1074" s="14">
        <v>-141</v>
      </c>
      <c r="AX1074" s="14">
        <v>-253</v>
      </c>
      <c r="AY1074" s="14">
        <v>3</v>
      </c>
      <c r="AZ1074" s="14">
        <v>-291</v>
      </c>
      <c r="BA1074" s="14">
        <v>349</v>
      </c>
      <c r="BB1074" s="14">
        <v>-17</v>
      </c>
      <c r="BD1074" s="14">
        <v>-27</v>
      </c>
    </row>
    <row r="1075" spans="39:56" x14ac:dyDescent="0.25">
      <c r="AM1075" s="14">
        <v>89</v>
      </c>
      <c r="AU1075" s="14">
        <v>-45</v>
      </c>
      <c r="AW1075" s="14">
        <v>-561</v>
      </c>
      <c r="AX1075" s="14">
        <v>-256</v>
      </c>
      <c r="AY1075" s="14">
        <v>2</v>
      </c>
      <c r="AZ1075" s="14">
        <v>913</v>
      </c>
      <c r="BA1075" s="14">
        <v>-128</v>
      </c>
      <c r="BB1075" s="14">
        <v>435</v>
      </c>
      <c r="BD1075" s="14">
        <v>-40</v>
      </c>
    </row>
    <row r="1076" spans="39:56" x14ac:dyDescent="0.25">
      <c r="AM1076" s="14">
        <v>-103</v>
      </c>
      <c r="AU1076" s="14">
        <v>-55</v>
      </c>
      <c r="AW1076" s="14">
        <v>-298</v>
      </c>
      <c r="AX1076" s="14">
        <v>-328</v>
      </c>
      <c r="AY1076" s="14">
        <v>-346</v>
      </c>
      <c r="AZ1076" s="14">
        <v>-84</v>
      </c>
      <c r="BA1076" s="14">
        <v>168</v>
      </c>
      <c r="BB1076" s="14">
        <v>314</v>
      </c>
      <c r="BD1076" s="14">
        <v>-38</v>
      </c>
    </row>
    <row r="1077" spans="39:56" x14ac:dyDescent="0.25">
      <c r="AM1077" s="14">
        <v>-32</v>
      </c>
      <c r="AU1077" s="14">
        <v>-100</v>
      </c>
      <c r="AW1077" s="14">
        <v>-140</v>
      </c>
      <c r="AX1077" s="14">
        <v>-327</v>
      </c>
      <c r="AY1077" s="14">
        <v>-344</v>
      </c>
      <c r="AZ1077" s="14">
        <v>-189</v>
      </c>
      <c r="BA1077" s="14">
        <v>-209</v>
      </c>
      <c r="BB1077" s="14">
        <v>120</v>
      </c>
      <c r="BD1077" s="14">
        <v>18</v>
      </c>
    </row>
    <row r="1078" spans="39:56" x14ac:dyDescent="0.25">
      <c r="AM1078" s="14">
        <v>-3</v>
      </c>
      <c r="AU1078" s="14">
        <v>-69</v>
      </c>
      <c r="AW1078" s="14">
        <v>-542</v>
      </c>
      <c r="AX1078" s="14">
        <v>-327</v>
      </c>
      <c r="AY1078" s="14">
        <v>-583</v>
      </c>
      <c r="AZ1078" s="14">
        <v>440</v>
      </c>
      <c r="BA1078" s="14">
        <v>-381</v>
      </c>
      <c r="BB1078" s="14">
        <v>-26</v>
      </c>
      <c r="BD1078" s="14">
        <v>25</v>
      </c>
    </row>
    <row r="1079" spans="39:56" x14ac:dyDescent="0.25">
      <c r="AM1079" s="14">
        <v>-5</v>
      </c>
      <c r="AU1079" s="14">
        <v>-102</v>
      </c>
      <c r="AW1079" s="14">
        <v>-273</v>
      </c>
      <c r="AX1079" s="14">
        <v>-408</v>
      </c>
      <c r="AY1079" s="14">
        <v>-278</v>
      </c>
      <c r="AZ1079" s="14">
        <v>-153</v>
      </c>
      <c r="BA1079" s="14">
        <v>463</v>
      </c>
      <c r="BB1079" s="14">
        <v>-966</v>
      </c>
      <c r="BD1079" s="14">
        <v>481</v>
      </c>
    </row>
    <row r="1080" spans="39:56" x14ac:dyDescent="0.25">
      <c r="AM1080" s="14">
        <v>19</v>
      </c>
      <c r="AU1080" s="14">
        <v>-204</v>
      </c>
      <c r="AW1080" s="14">
        <v>-936</v>
      </c>
      <c r="AX1080" s="14">
        <v>-403</v>
      </c>
      <c r="AY1080" s="14">
        <v>-465</v>
      </c>
      <c r="AZ1080" s="14">
        <v>-203</v>
      </c>
      <c r="BA1080" s="14">
        <v>207</v>
      </c>
      <c r="BB1080" s="14">
        <v>26</v>
      </c>
      <c r="BD1080" s="14">
        <v>512</v>
      </c>
    </row>
    <row r="1081" spans="39:56" x14ac:dyDescent="0.25">
      <c r="AM1081" s="14">
        <v>2</v>
      </c>
      <c r="AU1081" s="14">
        <v>-76</v>
      </c>
      <c r="AW1081" s="14">
        <v>-73</v>
      </c>
      <c r="AX1081" s="14">
        <v>-410</v>
      </c>
      <c r="AY1081" s="14">
        <v>-226</v>
      </c>
      <c r="AZ1081" s="14">
        <v>-505</v>
      </c>
      <c r="BA1081" s="14">
        <v>336</v>
      </c>
      <c r="BB1081" s="14">
        <v>112</v>
      </c>
      <c r="BD1081" s="14">
        <v>-35</v>
      </c>
    </row>
    <row r="1082" spans="39:56" x14ac:dyDescent="0.25">
      <c r="AM1082" s="14">
        <v>15</v>
      </c>
      <c r="AU1082" s="14">
        <v>-92</v>
      </c>
      <c r="AW1082" s="14">
        <v>157</v>
      </c>
      <c r="AX1082" s="14">
        <v>-411</v>
      </c>
      <c r="AY1082" s="14">
        <v>153</v>
      </c>
      <c r="AZ1082" s="14">
        <v>-609</v>
      </c>
      <c r="BA1082" s="14">
        <v>175</v>
      </c>
      <c r="BB1082" s="14">
        <v>-1108</v>
      </c>
      <c r="BD1082" s="14">
        <v>27</v>
      </c>
    </row>
    <row r="1083" spans="39:56" x14ac:dyDescent="0.25">
      <c r="AM1083" s="14">
        <v>16</v>
      </c>
      <c r="AU1083" s="14">
        <v>-87</v>
      </c>
      <c r="AW1083" s="14">
        <v>116</v>
      </c>
      <c r="AX1083" s="14">
        <v>-496</v>
      </c>
      <c r="AY1083" s="14">
        <v>12</v>
      </c>
      <c r="AZ1083" s="14">
        <v>-808</v>
      </c>
      <c r="BA1083" s="14">
        <v>-385</v>
      </c>
      <c r="BB1083" s="14">
        <v>-497</v>
      </c>
      <c r="BD1083" s="14">
        <v>2409</v>
      </c>
    </row>
    <row r="1084" spans="39:56" x14ac:dyDescent="0.25">
      <c r="AM1084" s="14">
        <v>-5</v>
      </c>
      <c r="AU1084" s="14">
        <v>-22</v>
      </c>
      <c r="AW1084" s="14">
        <v>142</v>
      </c>
      <c r="AX1084" s="14">
        <v>-500</v>
      </c>
      <c r="AY1084" s="14">
        <v>-408</v>
      </c>
      <c r="AZ1084" s="14">
        <v>-122</v>
      </c>
      <c r="BA1084" s="14">
        <v>-176</v>
      </c>
      <c r="BB1084" s="14">
        <v>172</v>
      </c>
      <c r="BD1084" s="14">
        <v>3057</v>
      </c>
    </row>
    <row r="1085" spans="39:56" x14ac:dyDescent="0.25">
      <c r="AM1085" s="14">
        <v>-5</v>
      </c>
      <c r="AU1085" s="14">
        <v>-37</v>
      </c>
      <c r="AW1085" s="14">
        <v>139</v>
      </c>
      <c r="AX1085" s="14">
        <v>-499</v>
      </c>
      <c r="AY1085" s="14">
        <v>-116</v>
      </c>
      <c r="AZ1085" s="14">
        <v>-201</v>
      </c>
      <c r="BA1085" s="14">
        <v>-208</v>
      </c>
      <c r="BB1085" s="14">
        <v>-484</v>
      </c>
      <c r="BD1085" s="14">
        <v>59</v>
      </c>
    </row>
    <row r="1086" spans="39:56" x14ac:dyDescent="0.25">
      <c r="AM1086" s="14">
        <v>9</v>
      </c>
      <c r="AU1086" s="14">
        <v>-58</v>
      </c>
      <c r="AW1086" s="14">
        <v>114</v>
      </c>
      <c r="AX1086" s="14">
        <v>-500</v>
      </c>
      <c r="AY1086" s="14">
        <v>-94</v>
      </c>
      <c r="AZ1086" s="14">
        <v>-227</v>
      </c>
      <c r="BA1086" s="14">
        <v>-467</v>
      </c>
      <c r="BB1086" s="14">
        <v>-276</v>
      </c>
      <c r="BD1086" s="14">
        <v>61</v>
      </c>
    </row>
    <row r="1087" spans="39:56" x14ac:dyDescent="0.25">
      <c r="AM1087" s="14">
        <v>90</v>
      </c>
      <c r="AU1087" s="14">
        <v>-19</v>
      </c>
      <c r="AW1087" s="14">
        <v>139</v>
      </c>
      <c r="AX1087" s="14">
        <v>-597</v>
      </c>
      <c r="AY1087" s="14">
        <v>43</v>
      </c>
      <c r="AZ1087" s="14">
        <v>-272</v>
      </c>
      <c r="BA1087" s="14">
        <v>-252</v>
      </c>
      <c r="BB1087" s="14">
        <v>135</v>
      </c>
      <c r="BD1087" s="14">
        <v>-718</v>
      </c>
    </row>
    <row r="1088" spans="39:56" x14ac:dyDescent="0.25">
      <c r="AM1088" s="14">
        <v>-137</v>
      </c>
      <c r="AU1088" s="14">
        <v>-40</v>
      </c>
      <c r="AW1088" s="14">
        <v>137</v>
      </c>
      <c r="AX1088" s="14">
        <v>-598</v>
      </c>
      <c r="AY1088" s="14">
        <v>327</v>
      </c>
      <c r="AZ1088" s="14">
        <v>645</v>
      </c>
      <c r="BA1088" s="14">
        <v>108</v>
      </c>
      <c r="BB1088" s="14">
        <v>-548</v>
      </c>
      <c r="BD1088" s="14">
        <v>-665</v>
      </c>
    </row>
    <row r="1089" spans="39:56" x14ac:dyDescent="0.25">
      <c r="AM1089" s="14">
        <v>156</v>
      </c>
      <c r="AU1089" s="14">
        <v>-33</v>
      </c>
      <c r="AW1089" s="14">
        <v>-244</v>
      </c>
      <c r="AX1089" s="14">
        <v>-599</v>
      </c>
      <c r="AY1089" s="14">
        <v>-573</v>
      </c>
      <c r="AZ1089" s="14">
        <v>-47</v>
      </c>
      <c r="BA1089" s="14">
        <v>242</v>
      </c>
      <c r="BB1089" s="14">
        <v>-60</v>
      </c>
      <c r="BD1089" s="14">
        <v>4204</v>
      </c>
    </row>
    <row r="1090" spans="39:56" x14ac:dyDescent="0.25">
      <c r="AM1090" s="14">
        <v>19</v>
      </c>
      <c r="AU1090" s="14">
        <v>-88</v>
      </c>
      <c r="AW1090" s="14">
        <v>-141</v>
      </c>
      <c r="AX1090" s="14">
        <v>-599</v>
      </c>
      <c r="AY1090" s="14">
        <v>-215</v>
      </c>
      <c r="AZ1090" s="14">
        <v>-307</v>
      </c>
      <c r="BA1090" s="14">
        <v>-9</v>
      </c>
      <c r="BB1090" s="14">
        <v>995</v>
      </c>
      <c r="BD1090" s="14">
        <v>4219</v>
      </c>
    </row>
    <row r="1091" spans="39:56" x14ac:dyDescent="0.25">
      <c r="AM1091" s="14">
        <v>-9</v>
      </c>
      <c r="AU1091" s="14">
        <v>-96</v>
      </c>
      <c r="AW1091" s="14">
        <v>-130</v>
      </c>
      <c r="AX1091" s="14">
        <v>-706</v>
      </c>
      <c r="AY1091" s="14">
        <v>-670</v>
      </c>
      <c r="AZ1091" s="14">
        <v>-560</v>
      </c>
      <c r="BA1091" s="14">
        <v>-689</v>
      </c>
      <c r="BB1091" s="14">
        <v>834</v>
      </c>
      <c r="BD1091" s="14">
        <v>4443</v>
      </c>
    </row>
    <row r="1092" spans="39:56" x14ac:dyDescent="0.25">
      <c r="AM1092" s="14">
        <v>27</v>
      </c>
      <c r="AU1092" s="14">
        <v>-68</v>
      </c>
      <c r="AW1092" s="14">
        <v>-347</v>
      </c>
      <c r="AX1092" s="14">
        <v>-706</v>
      </c>
      <c r="AY1092" s="14">
        <v>122</v>
      </c>
      <c r="AZ1092" s="14">
        <v>-468</v>
      </c>
      <c r="BA1092" s="14">
        <v>-727</v>
      </c>
      <c r="BB1092" s="14">
        <v>161</v>
      </c>
      <c r="BD1092" s="14">
        <v>5852</v>
      </c>
    </row>
    <row r="1093" spans="39:56" x14ac:dyDescent="0.25">
      <c r="AM1093" s="14">
        <v>76</v>
      </c>
      <c r="AU1093" s="14">
        <v>-85</v>
      </c>
      <c r="AW1093" s="14">
        <v>-154</v>
      </c>
      <c r="AX1093" s="14">
        <v>-707</v>
      </c>
      <c r="AY1093" s="14">
        <v>903</v>
      </c>
      <c r="AZ1093" s="14">
        <v>-674</v>
      </c>
      <c r="BA1093" s="14">
        <v>655</v>
      </c>
      <c r="BB1093" s="14">
        <v>-855</v>
      </c>
      <c r="BD1093" s="14">
        <v>-137</v>
      </c>
    </row>
    <row r="1094" spans="39:56" x14ac:dyDescent="0.25">
      <c r="AM1094" s="14">
        <v>77</v>
      </c>
      <c r="AU1094" s="14">
        <v>-51</v>
      </c>
      <c r="AW1094" s="14">
        <v>-141</v>
      </c>
      <c r="AX1094" s="14">
        <v>-707</v>
      </c>
      <c r="AY1094" s="14">
        <v>-407</v>
      </c>
      <c r="AZ1094" s="14">
        <v>-669</v>
      </c>
      <c r="BA1094" s="14">
        <v>588</v>
      </c>
      <c r="BB1094" s="14">
        <v>-250</v>
      </c>
      <c r="BD1094" s="14">
        <v>-42</v>
      </c>
    </row>
    <row r="1095" spans="39:56" x14ac:dyDescent="0.25">
      <c r="AM1095" s="14">
        <v>-203</v>
      </c>
      <c r="AU1095" s="14">
        <v>-93</v>
      </c>
      <c r="AW1095" s="14">
        <v>91</v>
      </c>
      <c r="AX1095" s="14">
        <v>-822</v>
      </c>
      <c r="AY1095" s="14">
        <v>138</v>
      </c>
      <c r="AZ1095" s="14">
        <v>-100</v>
      </c>
      <c r="BA1095" s="14">
        <v>-355</v>
      </c>
      <c r="BB1095" s="14">
        <v>-282</v>
      </c>
      <c r="BD1095" s="14">
        <v>-507</v>
      </c>
    </row>
    <row r="1096" spans="39:56" x14ac:dyDescent="0.25">
      <c r="AM1096" s="14">
        <v>-19</v>
      </c>
      <c r="AU1096" s="14">
        <v>-59</v>
      </c>
      <c r="AW1096" s="14">
        <v>-101</v>
      </c>
      <c r="AX1096" s="14">
        <v>-823</v>
      </c>
      <c r="AY1096" s="14">
        <v>110</v>
      </c>
      <c r="AZ1096" s="14">
        <v>-998</v>
      </c>
      <c r="BA1096" s="14">
        <v>102</v>
      </c>
      <c r="BB1096" s="14">
        <v>899</v>
      </c>
      <c r="BD1096" s="14">
        <v>114</v>
      </c>
    </row>
    <row r="1097" spans="39:56" x14ac:dyDescent="0.25">
      <c r="AM1097" s="14">
        <v>-2</v>
      </c>
      <c r="AU1097" s="14">
        <v>-79</v>
      </c>
      <c r="AW1097" s="14">
        <v>-898</v>
      </c>
      <c r="AX1097" s="14">
        <v>-822</v>
      </c>
      <c r="AY1097" s="14">
        <v>64</v>
      </c>
      <c r="AZ1097" s="14">
        <v>-127</v>
      </c>
      <c r="BA1097" s="14">
        <v>-178</v>
      </c>
      <c r="BB1097" s="14">
        <v>-147</v>
      </c>
      <c r="BD1097" s="14">
        <v>-994</v>
      </c>
    </row>
    <row r="1098" spans="39:56" x14ac:dyDescent="0.25">
      <c r="AM1098" s="14">
        <v>5</v>
      </c>
      <c r="AU1098" s="14">
        <v>-202</v>
      </c>
      <c r="AW1098" s="14">
        <v>107</v>
      </c>
      <c r="AX1098" s="14">
        <v>825</v>
      </c>
      <c r="AY1098" s="14">
        <v>6</v>
      </c>
      <c r="AZ1098" s="14">
        <v>421</v>
      </c>
      <c r="BA1098" s="14">
        <v>-580</v>
      </c>
      <c r="BB1098" s="14">
        <v>-715</v>
      </c>
      <c r="BD1098" s="14">
        <v>-3137</v>
      </c>
    </row>
    <row r="1099" spans="39:56" x14ac:dyDescent="0.25">
      <c r="AM1099" s="14">
        <v>14</v>
      </c>
      <c r="AU1099" s="14">
        <v>-64</v>
      </c>
      <c r="AW1099" s="14">
        <v>620</v>
      </c>
      <c r="AX1099" s="14">
        <v>-952</v>
      </c>
      <c r="AY1099" s="14">
        <v>220</v>
      </c>
      <c r="AZ1099" s="14">
        <v>-66</v>
      </c>
      <c r="BA1099" s="14">
        <v>-190</v>
      </c>
      <c r="BB1099" s="14">
        <v>338</v>
      </c>
      <c r="BD1099" s="14">
        <v>-1389</v>
      </c>
    </row>
    <row r="1100" spans="39:56" x14ac:dyDescent="0.25">
      <c r="AM1100" s="14">
        <v>76</v>
      </c>
      <c r="AU1100" s="14">
        <v>-48</v>
      </c>
      <c r="AW1100" s="14">
        <v>838</v>
      </c>
      <c r="AX1100" s="14">
        <v>-951</v>
      </c>
      <c r="AY1100" s="14">
        <v>-1</v>
      </c>
      <c r="AZ1100" s="14">
        <v>253</v>
      </c>
      <c r="BA1100" s="14">
        <v>152</v>
      </c>
      <c r="BB1100" s="14">
        <v>-882</v>
      </c>
      <c r="BD1100" s="14">
        <v>-5107</v>
      </c>
    </row>
    <row r="1101" spans="39:56" x14ac:dyDescent="0.25">
      <c r="AM1101" s="14">
        <v>-26</v>
      </c>
      <c r="AU1101" s="14">
        <v>-63</v>
      </c>
      <c r="AW1101" s="14">
        <v>160</v>
      </c>
      <c r="AX1101" s="14">
        <v>-950</v>
      </c>
      <c r="AY1101" s="14">
        <v>43</v>
      </c>
      <c r="AZ1101" s="14">
        <v>-138</v>
      </c>
      <c r="BA1101" s="14">
        <v>243</v>
      </c>
      <c r="BB1101" s="14">
        <v>-464</v>
      </c>
      <c r="BD1101" s="14">
        <v>-532</v>
      </c>
    </row>
    <row r="1102" spans="39:56" x14ac:dyDescent="0.25">
      <c r="AM1102" s="14">
        <v>18</v>
      </c>
      <c r="AU1102" s="14">
        <v>-106</v>
      </c>
      <c r="AW1102" s="14">
        <v>639</v>
      </c>
      <c r="AX1102" s="14">
        <v>-951</v>
      </c>
      <c r="AY1102" s="14">
        <v>-141</v>
      </c>
      <c r="AZ1102" s="14">
        <v>-1</v>
      </c>
      <c r="BA1102" s="14">
        <v>211</v>
      </c>
      <c r="BB1102" s="14">
        <v>132</v>
      </c>
      <c r="BD1102" s="14">
        <v>-1830</v>
      </c>
    </row>
    <row r="1103" spans="39:56" x14ac:dyDescent="0.25">
      <c r="AM1103" s="14">
        <v>21</v>
      </c>
      <c r="AU1103" s="14">
        <v>-73</v>
      </c>
      <c r="AW1103" s="14">
        <v>854</v>
      </c>
      <c r="AX1103" s="14">
        <v>-108</v>
      </c>
      <c r="AY1103" s="14">
        <v>-2</v>
      </c>
      <c r="AZ1103" s="14">
        <v>515</v>
      </c>
      <c r="BA1103" s="14">
        <v>-914</v>
      </c>
      <c r="BB1103" s="14">
        <v>-975</v>
      </c>
      <c r="BD1103" s="14">
        <v>-6199</v>
      </c>
    </row>
    <row r="1104" spans="39:56" x14ac:dyDescent="0.25">
      <c r="AM1104" s="14">
        <v>-7</v>
      </c>
      <c r="AU1104" s="14">
        <v>-16</v>
      </c>
      <c r="AW1104" s="14">
        <v>293</v>
      </c>
      <c r="AX1104" s="14">
        <v>-108</v>
      </c>
      <c r="AY1104" s="14">
        <v>2</v>
      </c>
      <c r="AZ1104" s="14">
        <v>-46</v>
      </c>
      <c r="BA1104" s="14">
        <v>-819</v>
      </c>
      <c r="BB1104" s="14">
        <v>-126</v>
      </c>
      <c r="BD1104" s="14">
        <v>-9506</v>
      </c>
    </row>
    <row r="1105" spans="39:56" x14ac:dyDescent="0.25">
      <c r="AM1105" s="14">
        <v>-2</v>
      </c>
      <c r="AU1105" s="14">
        <v>-43</v>
      </c>
      <c r="AW1105" s="14">
        <v>-241</v>
      </c>
      <c r="AX1105" s="14">
        <v>-108</v>
      </c>
      <c r="AY1105" s="14">
        <v>-3</v>
      </c>
      <c r="AZ1105" s="14">
        <v>-244</v>
      </c>
      <c r="BA1105" s="14">
        <v>-187</v>
      </c>
      <c r="BB1105" s="14">
        <v>191</v>
      </c>
      <c r="BD1105" s="14">
        <v>368</v>
      </c>
    </row>
    <row r="1106" spans="39:56" x14ac:dyDescent="0.25">
      <c r="AM1106" s="14">
        <v>4</v>
      </c>
      <c r="AU1106" s="14">
        <v>-67</v>
      </c>
      <c r="AW1106" s="14">
        <v>-465</v>
      </c>
      <c r="AX1106" s="14">
        <v>-108</v>
      </c>
      <c r="AY1106" s="14">
        <v>-2</v>
      </c>
      <c r="AZ1106" s="14">
        <v>285</v>
      </c>
      <c r="BA1106" s="14">
        <v>7</v>
      </c>
      <c r="BB1106" s="14">
        <v>182</v>
      </c>
      <c r="BD1106" s="14">
        <v>-19</v>
      </c>
    </row>
    <row r="1107" spans="39:56" x14ac:dyDescent="0.25">
      <c r="AM1107" s="14">
        <v>77</v>
      </c>
      <c r="AU1107" s="14">
        <v>-131</v>
      </c>
      <c r="AW1107" s="14">
        <v>251</v>
      </c>
      <c r="AX1107" s="14">
        <v>-101</v>
      </c>
      <c r="AY1107" s="14">
        <v>-37</v>
      </c>
      <c r="AZ1107" s="14">
        <v>-145</v>
      </c>
      <c r="BA1107" s="14">
        <v>-238</v>
      </c>
      <c r="BB1107" s="14">
        <v>887</v>
      </c>
      <c r="BD1107" s="14">
        <v>554</v>
      </c>
    </row>
    <row r="1108" spans="39:56" x14ac:dyDescent="0.25">
      <c r="AM1108" s="14">
        <v>127</v>
      </c>
      <c r="AU1108" s="14">
        <v>-52</v>
      </c>
      <c r="AW1108" s="14">
        <v>-249</v>
      </c>
      <c r="AX1108" s="14">
        <v>7</v>
      </c>
      <c r="AY1108" s="14">
        <v>3</v>
      </c>
      <c r="AZ1108" s="14">
        <v>-449</v>
      </c>
      <c r="BA1108" s="14">
        <v>121</v>
      </c>
      <c r="BB1108" s="14">
        <v>48</v>
      </c>
      <c r="BD1108" s="14">
        <v>-91</v>
      </c>
    </row>
    <row r="1109" spans="39:56" x14ac:dyDescent="0.25">
      <c r="AM1109" s="14">
        <v>-305</v>
      </c>
      <c r="AU1109" s="14">
        <v>-52</v>
      </c>
      <c r="AW1109" s="14">
        <v>-468</v>
      </c>
      <c r="AX1109" s="14">
        <v>-232</v>
      </c>
      <c r="AY1109" s="14">
        <v>-345</v>
      </c>
      <c r="AZ1109" s="14">
        <v>355</v>
      </c>
      <c r="BA1109" s="14">
        <v>-12</v>
      </c>
      <c r="BB1109" s="14">
        <v>-828</v>
      </c>
      <c r="BD1109" s="14">
        <v>3380</v>
      </c>
    </row>
    <row r="1110" spans="39:56" x14ac:dyDescent="0.25">
      <c r="AM1110" s="14">
        <v>90</v>
      </c>
      <c r="AU1110" s="14">
        <v>-75</v>
      </c>
      <c r="AW1110" s="14">
        <v>644</v>
      </c>
      <c r="AX1110" s="14">
        <v>473</v>
      </c>
      <c r="AY1110" s="14">
        <v>-546</v>
      </c>
      <c r="AZ1110" s="14">
        <v>-175</v>
      </c>
      <c r="BA1110" s="14">
        <v>-20</v>
      </c>
      <c r="BB1110" s="14">
        <v>-884</v>
      </c>
      <c r="BD1110" s="14">
        <v>5392</v>
      </c>
    </row>
    <row r="1111" spans="39:56" x14ac:dyDescent="0.25">
      <c r="AM1111" s="14">
        <v>-12</v>
      </c>
      <c r="AU1111" s="14">
        <v>-53</v>
      </c>
      <c r="AW1111" s="14">
        <v>595</v>
      </c>
      <c r="AX1111" s="14">
        <v>-193</v>
      </c>
      <c r="AY1111" s="14">
        <v>334</v>
      </c>
      <c r="AZ1111" s="14">
        <v>-160</v>
      </c>
      <c r="BA1111" s="14">
        <v>-5</v>
      </c>
      <c r="BB1111" s="14">
        <v>521</v>
      </c>
      <c r="BD1111" s="14">
        <v>1417</v>
      </c>
    </row>
    <row r="1112" spans="39:56" x14ac:dyDescent="0.25">
      <c r="AM1112" s="14">
        <v>12</v>
      </c>
      <c r="AU1112" s="14">
        <v>-52</v>
      </c>
      <c r="AW1112" s="14">
        <v>-650</v>
      </c>
      <c r="AX1112" s="14">
        <v>-239</v>
      </c>
      <c r="AY1112" s="14">
        <v>-230</v>
      </c>
      <c r="AZ1112" s="14">
        <v>-251</v>
      </c>
      <c r="BA1112" s="14">
        <v>18</v>
      </c>
      <c r="BB1112" s="14">
        <v>421</v>
      </c>
      <c r="BD1112" s="14">
        <v>31510</v>
      </c>
    </row>
    <row r="1113" spans="39:56" x14ac:dyDescent="0.25">
      <c r="AM1113" s="14">
        <v>25</v>
      </c>
      <c r="AU1113" s="14">
        <v>-54</v>
      </c>
      <c r="AW1113" s="14">
        <v>-601</v>
      </c>
      <c r="AX1113" s="14">
        <v>-249</v>
      </c>
      <c r="AY1113" s="14">
        <v>-242</v>
      </c>
      <c r="AZ1113" s="14">
        <v>-352</v>
      </c>
      <c r="BA1113" s="14">
        <v>-10</v>
      </c>
      <c r="BB1113" s="14">
        <v>814</v>
      </c>
      <c r="BD1113" s="14">
        <v>9</v>
      </c>
    </row>
    <row r="1114" spans="39:56" x14ac:dyDescent="0.25">
      <c r="AM1114" s="14">
        <v>113</v>
      </c>
      <c r="AU1114" s="14">
        <v>-68</v>
      </c>
      <c r="AW1114" s="14">
        <v>858</v>
      </c>
      <c r="AX1114" s="14">
        <v>-191</v>
      </c>
      <c r="AY1114" s="14">
        <v>-725</v>
      </c>
      <c r="AZ1114" s="14">
        <v>-563</v>
      </c>
      <c r="BA1114" s="14">
        <v>-6</v>
      </c>
      <c r="BB1114" s="14">
        <v>228</v>
      </c>
      <c r="BD1114" s="14">
        <v>-8</v>
      </c>
    </row>
    <row r="1115" spans="39:56" x14ac:dyDescent="0.25">
      <c r="AM1115" s="14">
        <v>14</v>
      </c>
      <c r="AU1115" s="14">
        <v>-101</v>
      </c>
      <c r="AW1115" s="14">
        <v>803</v>
      </c>
      <c r="AX1115" s="14">
        <v>-559</v>
      </c>
      <c r="AY1115" s="14">
        <v>-302</v>
      </c>
      <c r="AZ1115" s="14">
        <v>-641</v>
      </c>
      <c r="BA1115" s="14">
        <v>23</v>
      </c>
      <c r="BB1115" s="14">
        <v>-346</v>
      </c>
      <c r="BD1115" s="14">
        <v>2</v>
      </c>
    </row>
    <row r="1116" spans="39:56" x14ac:dyDescent="0.25">
      <c r="AM1116" s="14">
        <v>145</v>
      </c>
      <c r="AU1116" s="14">
        <v>-97</v>
      </c>
      <c r="AW1116" s="14">
        <v>-847</v>
      </c>
      <c r="AX1116" s="14">
        <v>-632</v>
      </c>
      <c r="AY1116" s="14">
        <v>751</v>
      </c>
      <c r="AZ1116" s="14">
        <v>-781</v>
      </c>
      <c r="BA1116" s="14">
        <v>-13</v>
      </c>
      <c r="BB1116" s="14">
        <v>-145</v>
      </c>
      <c r="BD1116" s="14">
        <v>13</v>
      </c>
    </row>
    <row r="1117" spans="39:56" x14ac:dyDescent="0.25">
      <c r="AM1117" s="14">
        <v>20</v>
      </c>
      <c r="AU1117" s="14">
        <v>-57</v>
      </c>
      <c r="AW1117" s="14">
        <v>-794</v>
      </c>
      <c r="AX1117" s="14">
        <v>-536</v>
      </c>
      <c r="AY1117" s="14">
        <v>-22</v>
      </c>
      <c r="AZ1117" s="14">
        <v>252</v>
      </c>
      <c r="BA1117" s="14">
        <v>-14</v>
      </c>
      <c r="BB1117" s="14">
        <v>643</v>
      </c>
      <c r="BD1117" s="14">
        <v>-288</v>
      </c>
    </row>
    <row r="1118" spans="39:56" x14ac:dyDescent="0.25">
      <c r="AM1118" s="14">
        <v>-4</v>
      </c>
      <c r="AU1118" s="14">
        <v>-110</v>
      </c>
      <c r="AW1118" s="14">
        <v>974</v>
      </c>
      <c r="AX1118" s="14">
        <v>-580</v>
      </c>
      <c r="AY1118" s="14">
        <v>499</v>
      </c>
      <c r="AZ1118" s="14">
        <v>-86</v>
      </c>
      <c r="BA1118" s="14">
        <v>10</v>
      </c>
      <c r="BB1118" s="14">
        <v>-239</v>
      </c>
      <c r="BD1118" s="14">
        <v>-302</v>
      </c>
    </row>
    <row r="1119" spans="39:56" x14ac:dyDescent="0.25">
      <c r="AM1119" s="14">
        <v>79</v>
      </c>
      <c r="AU1119" s="14">
        <v>-28</v>
      </c>
      <c r="AW1119" s="14">
        <v>937</v>
      </c>
      <c r="AX1119" s="14">
        <v>-898</v>
      </c>
      <c r="AY1119" s="14">
        <v>-322</v>
      </c>
      <c r="AZ1119" s="14">
        <v>-213</v>
      </c>
      <c r="BA1119" s="14">
        <v>1</v>
      </c>
      <c r="BB1119" s="14">
        <v>-387</v>
      </c>
      <c r="BD1119" s="14">
        <v>-843</v>
      </c>
    </row>
    <row r="1120" spans="39:56" x14ac:dyDescent="0.25">
      <c r="AM1120" s="14">
        <v>-76</v>
      </c>
      <c r="AU1120" s="14">
        <v>-59</v>
      </c>
      <c r="AW1120" s="14">
        <v>-956</v>
      </c>
      <c r="AX1120" s="14">
        <v>-940</v>
      </c>
      <c r="AY1120" s="14">
        <v>84</v>
      </c>
      <c r="AZ1120" s="14">
        <v>-180</v>
      </c>
      <c r="BA1120" s="14">
        <v>3</v>
      </c>
      <c r="BB1120" s="14">
        <v>185</v>
      </c>
      <c r="BD1120" s="14">
        <v>-1256</v>
      </c>
    </row>
    <row r="1121" spans="39:56" x14ac:dyDescent="0.25">
      <c r="AM1121" s="14">
        <v>78</v>
      </c>
      <c r="AU1121" s="14">
        <v>-5</v>
      </c>
      <c r="AW1121" s="14">
        <v>-921</v>
      </c>
      <c r="AX1121" s="14">
        <v>-926</v>
      </c>
      <c r="AY1121" s="14">
        <v>18</v>
      </c>
      <c r="AZ1121" s="14">
        <v>-945</v>
      </c>
      <c r="BA1121" s="14">
        <v>-19</v>
      </c>
      <c r="BB1121" s="14">
        <v>104</v>
      </c>
      <c r="BD1121" s="14">
        <v>-11</v>
      </c>
    </row>
    <row r="1122" spans="39:56" x14ac:dyDescent="0.25">
      <c r="AM1122" s="14">
        <v>-27</v>
      </c>
      <c r="AU1122" s="14">
        <v>-112</v>
      </c>
      <c r="AW1122" s="14">
        <v>23</v>
      </c>
      <c r="AX1122" s="14">
        <v>-924</v>
      </c>
      <c r="AY1122" s="14">
        <v>151</v>
      </c>
      <c r="AZ1122" s="14">
        <v>-205</v>
      </c>
      <c r="BA1122" s="14">
        <v>12</v>
      </c>
      <c r="BB1122" s="14">
        <v>80</v>
      </c>
      <c r="BD1122" s="14">
        <v>-20</v>
      </c>
    </row>
    <row r="1123" spans="39:56" x14ac:dyDescent="0.25">
      <c r="AM1123" s="14">
        <v>-12</v>
      </c>
      <c r="AU1123" s="14">
        <v>-22</v>
      </c>
      <c r="AW1123" s="14">
        <v>-13</v>
      </c>
      <c r="AX1123" s="14">
        <v>-138</v>
      </c>
      <c r="AY1123" s="14">
        <v>30</v>
      </c>
      <c r="AZ1123" s="14">
        <v>-203</v>
      </c>
      <c r="BA1123" s="14">
        <v>16</v>
      </c>
      <c r="BB1123" s="14">
        <v>54</v>
      </c>
      <c r="BD1123" s="14">
        <v>-391</v>
      </c>
    </row>
    <row r="1124" spans="39:56" x14ac:dyDescent="0.25">
      <c r="AM1124" s="14">
        <v>34</v>
      </c>
      <c r="AU1124" s="14">
        <v>-71</v>
      </c>
      <c r="AW1124" s="14">
        <v>-32</v>
      </c>
      <c r="AX1124" s="14">
        <v>-140</v>
      </c>
      <c r="AY1124" s="14">
        <v>28</v>
      </c>
      <c r="AZ1124" s="14">
        <v>-219</v>
      </c>
      <c r="BA1124" s="14">
        <v>40</v>
      </c>
      <c r="BB1124" s="14">
        <v>-342</v>
      </c>
      <c r="BD1124" s="14">
        <v>-586</v>
      </c>
    </row>
    <row r="1125" spans="39:56" x14ac:dyDescent="0.25">
      <c r="AM1125" s="14">
        <v>68</v>
      </c>
      <c r="AU1125" s="14">
        <v>-164</v>
      </c>
      <c r="AW1125" s="14">
        <v>23</v>
      </c>
      <c r="AX1125" s="14">
        <v>-141</v>
      </c>
      <c r="AY1125" s="14">
        <v>49</v>
      </c>
      <c r="AZ1125" s="14">
        <v>-223</v>
      </c>
      <c r="BA1125" s="14">
        <v>4</v>
      </c>
      <c r="BB1125" s="14">
        <v>17</v>
      </c>
      <c r="BD1125" s="14">
        <v>-1</v>
      </c>
    </row>
    <row r="1126" spans="39:56" x14ac:dyDescent="0.25">
      <c r="AM1126" s="14">
        <v>-103</v>
      </c>
      <c r="AU1126" s="14">
        <v>-119</v>
      </c>
      <c r="AW1126" s="14">
        <v>-11</v>
      </c>
      <c r="AX1126" s="14">
        <v>-142</v>
      </c>
      <c r="AY1126" s="14">
        <v>60</v>
      </c>
      <c r="AZ1126" s="14">
        <v>-274</v>
      </c>
      <c r="BA1126" s="14">
        <v>153</v>
      </c>
      <c r="BB1126" s="14">
        <v>-144</v>
      </c>
      <c r="BD1126" s="14">
        <v>-33</v>
      </c>
    </row>
    <row r="1127" spans="39:56" x14ac:dyDescent="0.25">
      <c r="AM1127" s="14">
        <v>136</v>
      </c>
      <c r="AU1127" s="14">
        <v>-71</v>
      </c>
      <c r="AW1127" s="14">
        <v>-30</v>
      </c>
      <c r="AX1127" s="14">
        <v>-199</v>
      </c>
      <c r="AY1127" s="14">
        <v>19</v>
      </c>
      <c r="AZ1127" s="14">
        <v>155</v>
      </c>
      <c r="BA1127" s="14">
        <v>-8</v>
      </c>
      <c r="BB1127" s="14">
        <v>715</v>
      </c>
      <c r="BD1127" s="14">
        <v>-34</v>
      </c>
    </row>
    <row r="1128" spans="39:56" x14ac:dyDescent="0.25">
      <c r="AM1128" s="14">
        <v>30</v>
      </c>
      <c r="AU1128" s="14">
        <v>-52</v>
      </c>
      <c r="AW1128" s="14">
        <v>-37</v>
      </c>
      <c r="AX1128" s="14">
        <v>-197</v>
      </c>
      <c r="AY1128" s="14">
        <v>18</v>
      </c>
      <c r="AZ1128" s="14">
        <v>-97</v>
      </c>
      <c r="BA1128" s="14">
        <v>-7</v>
      </c>
      <c r="BB1128" s="14">
        <v>-659</v>
      </c>
      <c r="BD1128" s="14">
        <v>25</v>
      </c>
    </row>
    <row r="1129" spans="39:56" x14ac:dyDescent="0.25">
      <c r="AM1129" s="14">
        <v>-13</v>
      </c>
      <c r="AU1129" s="14">
        <v>-21</v>
      </c>
      <c r="AW1129" s="14">
        <v>19</v>
      </c>
      <c r="AX1129" s="14">
        <v>-200</v>
      </c>
      <c r="AY1129" s="14">
        <v>12</v>
      </c>
      <c r="AZ1129" s="14">
        <v>62</v>
      </c>
      <c r="BA1129" s="14">
        <v>-1</v>
      </c>
      <c r="BB1129" s="14">
        <v>386</v>
      </c>
      <c r="BD1129" s="14">
        <v>901</v>
      </c>
    </row>
    <row r="1130" spans="39:56" x14ac:dyDescent="0.25">
      <c r="AM1130" s="14">
        <v>25</v>
      </c>
      <c r="AU1130" s="14">
        <v>-19</v>
      </c>
      <c r="AW1130" s="14">
        <v>-38</v>
      </c>
      <c r="AX1130" s="14">
        <v>-197</v>
      </c>
      <c r="AY1130" s="14">
        <v>10</v>
      </c>
      <c r="AZ1130" s="14">
        <v>212</v>
      </c>
      <c r="BA1130" s="14">
        <v>-9</v>
      </c>
      <c r="BB1130" s="14">
        <v>-578</v>
      </c>
      <c r="BD1130" s="14">
        <v>10</v>
      </c>
    </row>
    <row r="1131" spans="39:56" x14ac:dyDescent="0.25">
      <c r="AM1131" s="14">
        <v>104</v>
      </c>
      <c r="AU1131" s="14">
        <v>-37</v>
      </c>
      <c r="AW1131" s="14">
        <v>-3</v>
      </c>
      <c r="AX1131" s="14">
        <v>-263</v>
      </c>
      <c r="AY1131" s="14">
        <v>13</v>
      </c>
      <c r="AZ1131" s="14">
        <v>-177</v>
      </c>
      <c r="BA1131" s="14">
        <v>-4</v>
      </c>
      <c r="BB1131" s="14">
        <v>-32</v>
      </c>
      <c r="BD1131" s="14">
        <v>274</v>
      </c>
    </row>
    <row r="1132" spans="39:56" x14ac:dyDescent="0.25">
      <c r="AM1132" s="14">
        <v>-112</v>
      </c>
      <c r="AU1132" s="14">
        <v>-96</v>
      </c>
      <c r="AW1132" s="14">
        <v>17</v>
      </c>
      <c r="AX1132" s="14">
        <v>-265</v>
      </c>
      <c r="AY1132" s="14">
        <v>-1</v>
      </c>
      <c r="AZ1132" s="14">
        <v>89</v>
      </c>
      <c r="BA1132" s="14">
        <v>-6</v>
      </c>
      <c r="BB1132" s="14">
        <v>14</v>
      </c>
      <c r="BD1132" s="14">
        <v>-648</v>
      </c>
    </row>
    <row r="1133" spans="39:56" x14ac:dyDescent="0.25">
      <c r="AM1133" s="14">
        <v>58</v>
      </c>
      <c r="AU1133" s="14">
        <v>-36</v>
      </c>
      <c r="AW1133" s="14">
        <v>432</v>
      </c>
      <c r="AX1133" s="14">
        <v>-266</v>
      </c>
      <c r="AY1133" s="14">
        <v>-3</v>
      </c>
      <c r="AZ1133" s="14">
        <v>-608</v>
      </c>
      <c r="BA1133" s="14">
        <v>-9</v>
      </c>
      <c r="BB1133" s="14">
        <v>574</v>
      </c>
      <c r="BD1133" s="14">
        <v>-446</v>
      </c>
    </row>
    <row r="1134" spans="39:56" x14ac:dyDescent="0.25">
      <c r="AM1134" s="14">
        <v>-17</v>
      </c>
      <c r="AU1134" s="14">
        <v>-152</v>
      </c>
      <c r="AW1134" s="14">
        <v>446</v>
      </c>
      <c r="AX1134" s="14">
        <v>-268</v>
      </c>
      <c r="AY1134" s="14">
        <v>-1</v>
      </c>
      <c r="AZ1134" s="14">
        <v>-686</v>
      </c>
      <c r="BA1134" s="14">
        <v>-8</v>
      </c>
      <c r="BB1134" s="14">
        <v>281</v>
      </c>
      <c r="BD1134" s="14">
        <v>-720</v>
      </c>
    </row>
    <row r="1135" spans="39:56" x14ac:dyDescent="0.25">
      <c r="AM1135" s="14">
        <v>-7</v>
      </c>
      <c r="AU1135" s="14">
        <v>-112</v>
      </c>
      <c r="AW1135" s="14">
        <v>427</v>
      </c>
      <c r="AX1135" s="14">
        <v>-344</v>
      </c>
      <c r="AY1135" s="14">
        <v>-1</v>
      </c>
      <c r="AZ1135" s="14">
        <v>-962</v>
      </c>
      <c r="BA1135" s="14">
        <v>8</v>
      </c>
      <c r="BB1135" s="14">
        <v>155</v>
      </c>
      <c r="BD1135" s="14">
        <v>-282</v>
      </c>
    </row>
    <row r="1136" spans="39:56" x14ac:dyDescent="0.25">
      <c r="AM1136" s="14">
        <v>27</v>
      </c>
      <c r="AU1136" s="14">
        <v>-43</v>
      </c>
      <c r="AW1136" s="14">
        <v>427</v>
      </c>
      <c r="AX1136" s="14">
        <v>-343</v>
      </c>
      <c r="AY1136" s="14">
        <v>1</v>
      </c>
      <c r="AZ1136" s="14">
        <v>-133</v>
      </c>
      <c r="BA1136" s="14">
        <v>5</v>
      </c>
      <c r="BB1136" s="14">
        <v>683</v>
      </c>
      <c r="BD1136" s="14">
        <v>-60</v>
      </c>
    </row>
    <row r="1137" spans="39:56" x14ac:dyDescent="0.25">
      <c r="AM1137" s="14">
        <v>99</v>
      </c>
      <c r="AU1137" s="14">
        <v>-61</v>
      </c>
      <c r="AW1137" s="14">
        <v>438</v>
      </c>
      <c r="AX1137" s="14">
        <v>-344</v>
      </c>
      <c r="AY1137" s="14">
        <v>4</v>
      </c>
      <c r="AZ1137" s="14">
        <v>-228</v>
      </c>
      <c r="BA1137" s="14">
        <v>-12</v>
      </c>
      <c r="BB1137" s="14">
        <v>875</v>
      </c>
      <c r="BD1137" s="14">
        <v>-5</v>
      </c>
    </row>
    <row r="1138" spans="39:56" x14ac:dyDescent="0.25">
      <c r="AM1138" s="14">
        <v>-142</v>
      </c>
      <c r="AU1138" s="14">
        <v>-69</v>
      </c>
      <c r="AW1138" s="14">
        <v>423</v>
      </c>
      <c r="AX1138" s="14">
        <v>-343</v>
      </c>
      <c r="AY1138" s="14">
        <v>3</v>
      </c>
      <c r="AZ1138" s="14">
        <v>-247</v>
      </c>
      <c r="BA1138" s="14">
        <v>-5</v>
      </c>
      <c r="BB1138" s="14">
        <v>585</v>
      </c>
      <c r="BD1138" s="14">
        <v>-88</v>
      </c>
    </row>
    <row r="1139" spans="39:56" x14ac:dyDescent="0.25">
      <c r="AM1139" s="14">
        <v>156</v>
      </c>
      <c r="AU1139" s="14">
        <v>-96</v>
      </c>
      <c r="AW1139" s="14">
        <v>-373</v>
      </c>
      <c r="AX1139" s="14">
        <v>-429</v>
      </c>
      <c r="AY1139" s="14">
        <v>1</v>
      </c>
      <c r="AZ1139" s="14">
        <v>-298</v>
      </c>
      <c r="BA1139" s="14">
        <v>-1</v>
      </c>
      <c r="BB1139" s="14">
        <v>-693</v>
      </c>
      <c r="BD1139" s="14">
        <v>-3</v>
      </c>
    </row>
    <row r="1140" spans="39:56" x14ac:dyDescent="0.25">
      <c r="AM1140" s="14">
        <v>18</v>
      </c>
      <c r="AU1140" s="14">
        <v>-95</v>
      </c>
      <c r="AW1140" s="14">
        <v>-387</v>
      </c>
      <c r="AX1140" s="14">
        <v>-424</v>
      </c>
      <c r="AY1140" s="14">
        <v>2</v>
      </c>
      <c r="AZ1140" s="14">
        <v>174</v>
      </c>
      <c r="BA1140" s="14">
        <v>15</v>
      </c>
      <c r="BB1140" s="14">
        <v>14</v>
      </c>
      <c r="BD1140" s="14">
        <v>-333</v>
      </c>
    </row>
    <row r="1141" spans="39:56" x14ac:dyDescent="0.25">
      <c r="AM1141" s="14">
        <v>-7</v>
      </c>
      <c r="AU1141" s="14">
        <v>-58</v>
      </c>
      <c r="AW1141" s="14">
        <v>-368</v>
      </c>
      <c r="AX1141" s="14">
        <v>-430</v>
      </c>
      <c r="AY1141" s="14">
        <v>6</v>
      </c>
      <c r="AZ1141" s="14">
        <v>-32</v>
      </c>
      <c r="BA1141" s="14">
        <v>-9</v>
      </c>
      <c r="BB1141" s="14">
        <v>-48</v>
      </c>
      <c r="BD1141" s="14">
        <v>-415</v>
      </c>
    </row>
    <row r="1142" spans="39:56" x14ac:dyDescent="0.25">
      <c r="AM1142" s="14">
        <v>27</v>
      </c>
      <c r="AU1142" s="14">
        <v>-111</v>
      </c>
      <c r="AW1142" s="14">
        <v>-369</v>
      </c>
      <c r="AX1142" s="14">
        <v>-431</v>
      </c>
      <c r="AY1142" s="14">
        <v>6</v>
      </c>
      <c r="AZ1142" s="14">
        <v>-133</v>
      </c>
      <c r="BA1142" s="14">
        <v>210</v>
      </c>
      <c r="BB1142" s="14">
        <v>159</v>
      </c>
      <c r="BD1142" s="14">
        <v>-463</v>
      </c>
    </row>
    <row r="1143" spans="39:56" x14ac:dyDescent="0.25">
      <c r="AM1143" s="14">
        <v>-29</v>
      </c>
      <c r="AU1143" s="14">
        <v>-71</v>
      </c>
      <c r="AW1143" s="14">
        <v>-380</v>
      </c>
      <c r="AX1143" s="14">
        <v>-521</v>
      </c>
      <c r="AY1143" s="14">
        <v>5</v>
      </c>
      <c r="AZ1143" s="14">
        <v>-608</v>
      </c>
      <c r="BA1143" s="14">
        <v>39</v>
      </c>
      <c r="BB1143" s="14">
        <v>-137</v>
      </c>
      <c r="BD1143" s="14">
        <v>-834</v>
      </c>
    </row>
    <row r="1144" spans="39:56" x14ac:dyDescent="0.25">
      <c r="AM1144" s="14">
        <v>44</v>
      </c>
      <c r="AU1144" s="14">
        <v>-51</v>
      </c>
      <c r="AW1144" s="14">
        <v>-366</v>
      </c>
      <c r="AX1144" s="14">
        <v>-525</v>
      </c>
      <c r="AY1144" s="14">
        <v>3</v>
      </c>
      <c r="AZ1144" s="14">
        <v>-502</v>
      </c>
      <c r="BA1144" s="14">
        <v>46</v>
      </c>
      <c r="BB1144" s="14">
        <v>763</v>
      </c>
      <c r="BD1144" s="14">
        <v>49</v>
      </c>
    </row>
    <row r="1145" spans="39:56" x14ac:dyDescent="0.25">
      <c r="AM1145" s="14">
        <v>-17</v>
      </c>
      <c r="AU1145" s="14">
        <v>-30</v>
      </c>
      <c r="AW1145" s="14">
        <v>-79</v>
      </c>
      <c r="AX1145" s="14">
        <v>-524</v>
      </c>
      <c r="AY1145" s="14">
        <v>4</v>
      </c>
      <c r="AZ1145" s="14">
        <v>-766</v>
      </c>
      <c r="BA1145" s="14">
        <v>-5</v>
      </c>
      <c r="BB1145" s="14">
        <v>-356</v>
      </c>
      <c r="BD1145" s="14">
        <v>42</v>
      </c>
    </row>
    <row r="1146" spans="39:56" x14ac:dyDescent="0.25">
      <c r="AM1146" s="14">
        <v>-10</v>
      </c>
      <c r="AU1146" s="14">
        <v>-44</v>
      </c>
      <c r="AW1146" s="14">
        <v>-78</v>
      </c>
      <c r="AX1146" s="14">
        <v>-525</v>
      </c>
      <c r="AY1146" s="14">
        <v>10</v>
      </c>
      <c r="AZ1146" s="14">
        <v>-694</v>
      </c>
      <c r="BA1146" s="14">
        <v>43</v>
      </c>
      <c r="BB1146" s="14">
        <v>-55</v>
      </c>
      <c r="BD1146" s="14">
        <v>-1754</v>
      </c>
    </row>
    <row r="1147" spans="39:56" x14ac:dyDescent="0.25">
      <c r="AM1147" s="14">
        <v>1</v>
      </c>
      <c r="AU1147" s="14">
        <v>-71</v>
      </c>
      <c r="AW1147" s="14">
        <v>-78</v>
      </c>
      <c r="AX1147" s="14">
        <v>-627</v>
      </c>
      <c r="AY1147" s="14">
        <v>5</v>
      </c>
      <c r="AZ1147" s="14">
        <v>-103</v>
      </c>
      <c r="BA1147" s="14">
        <v>-2</v>
      </c>
      <c r="BB1147" s="14">
        <v>11</v>
      </c>
      <c r="BD1147" s="14">
        <v>-2187</v>
      </c>
    </row>
    <row r="1148" spans="39:56" x14ac:dyDescent="0.25">
      <c r="AM1148" s="14">
        <v>-39</v>
      </c>
      <c r="AU1148" s="14">
        <v>-6</v>
      </c>
      <c r="AW1148" s="14">
        <v>70</v>
      </c>
      <c r="AX1148" s="14">
        <v>-628</v>
      </c>
      <c r="AY1148" s="14">
        <v>5</v>
      </c>
      <c r="AZ1148" s="14">
        <v>-945</v>
      </c>
      <c r="BA1148" s="14">
        <v>35</v>
      </c>
      <c r="BB1148" s="14">
        <v>246</v>
      </c>
      <c r="BD1148" s="14">
        <v>13</v>
      </c>
    </row>
    <row r="1149" spans="39:56" x14ac:dyDescent="0.25">
      <c r="AM1149" s="14">
        <v>-14</v>
      </c>
      <c r="AU1149" s="14">
        <v>-71</v>
      </c>
      <c r="AW1149" s="14">
        <v>70</v>
      </c>
      <c r="AX1149" s="14">
        <v>-629</v>
      </c>
      <c r="AY1149" s="14">
        <v>6</v>
      </c>
      <c r="AZ1149" s="14">
        <v>-117</v>
      </c>
      <c r="BA1149" s="14">
        <v>2</v>
      </c>
      <c r="BB1149" s="14">
        <v>-596</v>
      </c>
      <c r="BD1149" s="14">
        <v>-1</v>
      </c>
    </row>
    <row r="1150" spans="39:56" x14ac:dyDescent="0.25">
      <c r="AM1150" s="14">
        <v>-4</v>
      </c>
      <c r="AU1150" s="14">
        <v>-20</v>
      </c>
      <c r="AW1150" s="14">
        <v>70</v>
      </c>
      <c r="AX1150" s="14">
        <v>-629</v>
      </c>
      <c r="AY1150" s="14">
        <v>5</v>
      </c>
      <c r="AZ1150" s="14">
        <v>137</v>
      </c>
      <c r="BA1150" s="14">
        <v>171</v>
      </c>
      <c r="BB1150" s="14">
        <v>508</v>
      </c>
      <c r="BD1150" s="14">
        <v>21</v>
      </c>
    </row>
    <row r="1151" spans="39:56" x14ac:dyDescent="0.25">
      <c r="AM1151" s="14">
        <v>18</v>
      </c>
      <c r="AU1151" s="14">
        <v>-104</v>
      </c>
      <c r="AW1151" s="14">
        <v>-67</v>
      </c>
      <c r="AX1151" s="14">
        <v>-741</v>
      </c>
      <c r="AY1151" s="14">
        <v>8</v>
      </c>
      <c r="AZ1151" s="14">
        <v>-174</v>
      </c>
      <c r="BA1151" s="14">
        <v>284</v>
      </c>
      <c r="BB1151" s="14">
        <v>314</v>
      </c>
      <c r="BD1151" s="14">
        <v>-27</v>
      </c>
    </row>
    <row r="1152" spans="39:56" x14ac:dyDescent="0.25">
      <c r="AM1152" s="14">
        <v>6</v>
      </c>
      <c r="AU1152" s="14">
        <v>-118</v>
      </c>
      <c r="AW1152" s="14">
        <v>-66</v>
      </c>
      <c r="AX1152" s="14">
        <v>-742</v>
      </c>
      <c r="AY1152" s="14">
        <v>70</v>
      </c>
      <c r="AZ1152" s="14">
        <v>-173</v>
      </c>
      <c r="BA1152" s="14">
        <v>135</v>
      </c>
      <c r="BB1152" s="14">
        <v>193</v>
      </c>
      <c r="BD1152" s="14">
        <v>201</v>
      </c>
    </row>
    <row r="1153" spans="39:56" x14ac:dyDescent="0.25">
      <c r="AM1153" s="14">
        <v>1</v>
      </c>
      <c r="AU1153" s="14">
        <v>2</v>
      </c>
      <c r="AW1153" s="14">
        <v>-68</v>
      </c>
      <c r="AX1153" s="14">
        <v>-742</v>
      </c>
      <c r="AY1153" s="14">
        <v>3</v>
      </c>
      <c r="AZ1153" s="14">
        <v>366</v>
      </c>
      <c r="BA1153" s="14">
        <v>200</v>
      </c>
      <c r="BB1153" s="14">
        <v>141</v>
      </c>
      <c r="BD1153" s="14">
        <v>361</v>
      </c>
    </row>
    <row r="1154" spans="39:56" x14ac:dyDescent="0.25">
      <c r="AM1154" s="14">
        <v>-5</v>
      </c>
      <c r="AU1154" s="14">
        <v>-37</v>
      </c>
      <c r="AW1154" s="14">
        <v>61</v>
      </c>
      <c r="AX1154" s="14">
        <v>-743</v>
      </c>
      <c r="AY1154" s="14">
        <v>-183</v>
      </c>
      <c r="AZ1154" s="14">
        <v>-250</v>
      </c>
      <c r="BA1154" s="14">
        <v>-1</v>
      </c>
      <c r="BB1154" s="14">
        <v>-174</v>
      </c>
      <c r="BD1154" s="14">
        <v>21</v>
      </c>
    </row>
    <row r="1155" spans="39:56" x14ac:dyDescent="0.25">
      <c r="AM1155" s="14">
        <v>38</v>
      </c>
      <c r="AU1155" s="14">
        <v>-88</v>
      </c>
      <c r="AW1155" s="14">
        <v>60</v>
      </c>
      <c r="AX1155" s="14">
        <v>-863</v>
      </c>
      <c r="AY1155" s="14">
        <v>-93</v>
      </c>
      <c r="AZ1155" s="14">
        <v>-194</v>
      </c>
      <c r="BA1155" s="14">
        <v>-14</v>
      </c>
      <c r="BB1155" s="14">
        <v>-43</v>
      </c>
      <c r="BD1155" s="14">
        <v>2148</v>
      </c>
    </row>
    <row r="1156" spans="39:56" x14ac:dyDescent="0.25">
      <c r="AM1156" s="14">
        <v>-29</v>
      </c>
      <c r="AU1156" s="14">
        <v>-16</v>
      </c>
      <c r="AW1156" s="14">
        <v>-643</v>
      </c>
      <c r="AX1156" s="14">
        <v>-864</v>
      </c>
      <c r="AY1156" s="14">
        <v>-101</v>
      </c>
      <c r="AZ1156" s="14">
        <v>-183</v>
      </c>
      <c r="BA1156" s="14">
        <v>-46</v>
      </c>
      <c r="BB1156" s="14">
        <v>189</v>
      </c>
      <c r="BD1156" s="14">
        <v>-606</v>
      </c>
    </row>
    <row r="1157" spans="39:56" x14ac:dyDescent="0.25">
      <c r="AM1157" s="14">
        <v>-62</v>
      </c>
      <c r="AU1157" s="14">
        <v>-18</v>
      </c>
      <c r="AW1157" s="14">
        <v>-764</v>
      </c>
      <c r="AX1157" s="14">
        <v>-864</v>
      </c>
      <c r="AY1157" s="14">
        <v>-3</v>
      </c>
      <c r="AZ1157" s="14">
        <v>-145</v>
      </c>
      <c r="BA1157" s="14">
        <v>-15</v>
      </c>
      <c r="BB1157" s="14">
        <v>181</v>
      </c>
      <c r="BD1157" s="14">
        <v>-539</v>
      </c>
    </row>
    <row r="1158" spans="39:56" x14ac:dyDescent="0.25">
      <c r="AM1158" s="14">
        <v>25</v>
      </c>
      <c r="AU1158" s="14">
        <v>-112</v>
      </c>
      <c r="AW1158" s="14">
        <v>-823</v>
      </c>
      <c r="AX1158" s="14">
        <v>-867</v>
      </c>
      <c r="AY1158" s="14">
        <v>1</v>
      </c>
      <c r="AZ1158" s="14">
        <v>-325</v>
      </c>
      <c r="BA1158" s="14">
        <v>-11</v>
      </c>
      <c r="BB1158" s="14">
        <v>-861</v>
      </c>
      <c r="BD1158" s="14">
        <v>-661</v>
      </c>
    </row>
    <row r="1159" spans="39:56" x14ac:dyDescent="0.25">
      <c r="AM1159" s="14">
        <v>8</v>
      </c>
      <c r="AU1159" s="14">
        <v>-53</v>
      </c>
      <c r="AW1159" s="14">
        <v>-667</v>
      </c>
      <c r="AX1159" s="14">
        <v>-100</v>
      </c>
      <c r="AY1159" s="14">
        <v>2</v>
      </c>
      <c r="AZ1159" s="14">
        <v>-972</v>
      </c>
      <c r="BA1159" s="14">
        <v>14</v>
      </c>
      <c r="BB1159" s="14">
        <v>212</v>
      </c>
      <c r="BD1159" s="14">
        <v>-582</v>
      </c>
    </row>
    <row r="1160" spans="39:56" x14ac:dyDescent="0.25">
      <c r="AM1160" s="14">
        <v>-13</v>
      </c>
      <c r="AU1160" s="14">
        <v>23</v>
      </c>
      <c r="AW1160" s="14">
        <v>-774</v>
      </c>
      <c r="AX1160" s="14">
        <v>-999</v>
      </c>
      <c r="AY1160" s="14">
        <v>2</v>
      </c>
      <c r="AZ1160" s="14">
        <v>-123</v>
      </c>
      <c r="BA1160" s="14">
        <v>-42</v>
      </c>
      <c r="BB1160" s="14">
        <v>-112</v>
      </c>
      <c r="BD1160" s="14">
        <v>-11</v>
      </c>
    </row>
    <row r="1161" spans="39:56" x14ac:dyDescent="0.25">
      <c r="AM1161" s="14">
        <v>5</v>
      </c>
      <c r="AU1161" s="14">
        <v>14</v>
      </c>
      <c r="AW1161" s="14">
        <v>-827</v>
      </c>
      <c r="AX1161" s="14">
        <v>-998</v>
      </c>
      <c r="AY1161" s="14">
        <v>-1</v>
      </c>
      <c r="AZ1161" s="14">
        <v>-223</v>
      </c>
      <c r="BA1161" s="14">
        <v>-15</v>
      </c>
      <c r="BB1161" s="14">
        <v>-119</v>
      </c>
      <c r="BD1161" s="14">
        <v>-10</v>
      </c>
    </row>
    <row r="1162" spans="39:56" x14ac:dyDescent="0.25">
      <c r="AM1162" s="14">
        <v>-2</v>
      </c>
      <c r="AU1162" s="14">
        <v>23</v>
      </c>
      <c r="AW1162" s="14">
        <v>544</v>
      </c>
      <c r="AX1162" s="14">
        <v>-999</v>
      </c>
      <c r="AY1162" s="14">
        <v>12</v>
      </c>
      <c r="AZ1162" s="14">
        <v>-307</v>
      </c>
      <c r="BA1162" s="14">
        <v>-8</v>
      </c>
      <c r="BB1162" s="14">
        <v>23</v>
      </c>
      <c r="BD1162" s="14">
        <v>-8</v>
      </c>
    </row>
    <row r="1163" spans="39:56" x14ac:dyDescent="0.25">
      <c r="AM1163" s="14">
        <v>6</v>
      </c>
      <c r="AU1163" s="14">
        <v>7</v>
      </c>
      <c r="AW1163" s="14">
        <v>665</v>
      </c>
      <c r="AX1163" s="14">
        <v>-114</v>
      </c>
      <c r="AY1163" s="14">
        <v>24</v>
      </c>
      <c r="AZ1163" s="14">
        <v>581</v>
      </c>
      <c r="BA1163" s="14">
        <v>-37</v>
      </c>
      <c r="BB1163" s="14">
        <v>675</v>
      </c>
      <c r="BD1163" s="14">
        <v>-7</v>
      </c>
    </row>
    <row r="1164" spans="39:56" x14ac:dyDescent="0.25">
      <c r="AM1164" s="14">
        <v>-19</v>
      </c>
      <c r="AU1164" s="14">
        <v>11</v>
      </c>
      <c r="AW1164" s="14">
        <v>730</v>
      </c>
      <c r="AX1164" s="14">
        <v>-114</v>
      </c>
      <c r="AY1164" s="14">
        <v>1</v>
      </c>
      <c r="AZ1164" s="14">
        <v>-107</v>
      </c>
      <c r="BA1164" s="14">
        <v>36</v>
      </c>
      <c r="BB1164" s="14">
        <v>-183</v>
      </c>
      <c r="BD1164" s="14">
        <v>88</v>
      </c>
    </row>
    <row r="1165" spans="39:56" x14ac:dyDescent="0.25">
      <c r="AM1165" s="14">
        <v>6</v>
      </c>
      <c r="AU1165" s="14">
        <v>31</v>
      </c>
      <c r="AW1165" s="14">
        <v>572</v>
      </c>
      <c r="AX1165" s="14">
        <v>-114</v>
      </c>
      <c r="AY1165" s="14">
        <v>-8</v>
      </c>
      <c r="AZ1165" s="14">
        <v>287</v>
      </c>
      <c r="BA1165" s="14">
        <v>16</v>
      </c>
      <c r="BB1165" s="14">
        <v>102</v>
      </c>
      <c r="BD1165" s="14">
        <v>88</v>
      </c>
    </row>
    <row r="1166" spans="39:56" x14ac:dyDescent="0.25">
      <c r="AM1166" s="14">
        <v>-5</v>
      </c>
      <c r="AU1166" s="14">
        <v>12</v>
      </c>
      <c r="AW1166" s="14">
        <v>679</v>
      </c>
      <c r="AX1166" s="14">
        <v>-114</v>
      </c>
      <c r="AY1166" s="14">
        <v>13</v>
      </c>
      <c r="AZ1166" s="14">
        <v>-126</v>
      </c>
      <c r="BA1166" s="14">
        <v>15</v>
      </c>
      <c r="BB1166" s="14">
        <v>834</v>
      </c>
      <c r="BD1166" s="14">
        <v>-1905</v>
      </c>
    </row>
    <row r="1167" spans="39:56" x14ac:dyDescent="0.25">
      <c r="AM1167" s="14">
        <v>12</v>
      </c>
      <c r="AU1167" s="14">
        <v>19</v>
      </c>
      <c r="AW1167" s="14">
        <v>737</v>
      </c>
      <c r="AX1167" s="14">
        <v>-123</v>
      </c>
      <c r="AY1167" s="14">
        <v>19</v>
      </c>
      <c r="AZ1167" s="14">
        <v>227</v>
      </c>
      <c r="BA1167" s="14">
        <v>-16</v>
      </c>
      <c r="BB1167" s="14">
        <v>191</v>
      </c>
      <c r="BD1167" s="14">
        <v>-2581</v>
      </c>
    </row>
    <row r="1168" spans="39:56" x14ac:dyDescent="0.25">
      <c r="AM1168" s="14">
        <v>-3</v>
      </c>
      <c r="AU1168" s="14">
        <v>5</v>
      </c>
      <c r="AW1168" s="14">
        <v>-814</v>
      </c>
      <c r="AX1168" s="14">
        <v>-123</v>
      </c>
      <c r="AY1168" s="14">
        <v>1</v>
      </c>
      <c r="AZ1168" s="14">
        <v>-351</v>
      </c>
      <c r="BA1168" s="14">
        <v>34</v>
      </c>
      <c r="BB1168" s="14">
        <v>205</v>
      </c>
      <c r="BD1168" s="14">
        <v>80</v>
      </c>
    </row>
    <row r="1169" spans="39:56" x14ac:dyDescent="0.25">
      <c r="AM1169" s="14">
        <v>-7</v>
      </c>
      <c r="AU1169" s="14">
        <v>7</v>
      </c>
      <c r="AW1169" s="14">
        <v>-970</v>
      </c>
      <c r="AX1169" s="14">
        <v>-123</v>
      </c>
      <c r="AY1169" s="14">
        <v>13</v>
      </c>
      <c r="AZ1169" s="14">
        <v>-583</v>
      </c>
      <c r="BA1169" s="14">
        <v>15</v>
      </c>
      <c r="BB1169" s="14">
        <v>-459</v>
      </c>
      <c r="BD1169" s="14">
        <v>93</v>
      </c>
    </row>
    <row r="1170" spans="39:56" x14ac:dyDescent="0.25">
      <c r="AM1170" s="14">
        <v>-17</v>
      </c>
      <c r="AU1170" s="14">
        <v>-55</v>
      </c>
      <c r="AW1170" s="14">
        <v>-101</v>
      </c>
      <c r="AX1170" s="14">
        <v>-123</v>
      </c>
      <c r="AY1170" s="14">
        <v>15</v>
      </c>
      <c r="AZ1170" s="14">
        <v>-640</v>
      </c>
      <c r="BA1170" s="14">
        <v>14</v>
      </c>
      <c r="BB1170" s="14">
        <v>470</v>
      </c>
      <c r="BD1170" s="14">
        <v>-1282</v>
      </c>
    </row>
    <row r="1171" spans="39:56" x14ac:dyDescent="0.25">
      <c r="AM1171" s="14">
        <v>37</v>
      </c>
      <c r="AU1171" s="14">
        <v>368</v>
      </c>
      <c r="AW1171" s="14">
        <v>-797</v>
      </c>
      <c r="AX1171" s="14">
        <v>-138</v>
      </c>
      <c r="AY1171" s="14">
        <v>-12</v>
      </c>
      <c r="AZ1171" s="14">
        <v>-864</v>
      </c>
      <c r="BA1171" s="14">
        <v>65</v>
      </c>
      <c r="BB1171" s="14">
        <v>154</v>
      </c>
      <c r="BD1171" s="14">
        <v>-1777</v>
      </c>
    </row>
    <row r="1172" spans="39:56" x14ac:dyDescent="0.25">
      <c r="AM1172" s="14">
        <v>-6</v>
      </c>
      <c r="AU1172" s="14">
        <v>677</v>
      </c>
      <c r="AW1172" s="14">
        <v>-933</v>
      </c>
      <c r="AX1172" s="14">
        <v>-138</v>
      </c>
      <c r="AY1172" s="14">
        <v>5</v>
      </c>
      <c r="AZ1172" s="14">
        <v>-147</v>
      </c>
      <c r="BA1172" s="14">
        <v>25</v>
      </c>
      <c r="BB1172" s="14">
        <v>245</v>
      </c>
      <c r="BD1172" s="14">
        <v>2</v>
      </c>
    </row>
    <row r="1173" spans="39:56" x14ac:dyDescent="0.25">
      <c r="AM1173" s="14">
        <v>-27</v>
      </c>
      <c r="AU1173" s="14">
        <v>501</v>
      </c>
      <c r="AW1173" s="14">
        <v>-985</v>
      </c>
      <c r="AX1173" s="14">
        <v>-138</v>
      </c>
      <c r="AY1173" s="14">
        <v>13</v>
      </c>
      <c r="AZ1173" s="14">
        <v>-259</v>
      </c>
      <c r="BA1173" s="14">
        <v>-10</v>
      </c>
      <c r="BB1173" s="14">
        <v>-125</v>
      </c>
      <c r="BD1173" s="14">
        <v>-2</v>
      </c>
    </row>
    <row r="1174" spans="39:56" x14ac:dyDescent="0.25">
      <c r="AM1174" s="14">
        <v>36</v>
      </c>
      <c r="AU1174" s="14">
        <v>509</v>
      </c>
      <c r="AW1174" s="14">
        <v>837</v>
      </c>
      <c r="AX1174" s="14">
        <v>-138</v>
      </c>
      <c r="AY1174" s="14">
        <v>3</v>
      </c>
      <c r="AZ1174" s="14">
        <v>-31</v>
      </c>
      <c r="BA1174" s="14">
        <v>-2</v>
      </c>
      <c r="BB1174" s="14">
        <v>422</v>
      </c>
      <c r="BD1174" s="14">
        <v>-40</v>
      </c>
    </row>
    <row r="1175" spans="39:56" x14ac:dyDescent="0.25">
      <c r="AM1175" s="14">
        <v>17</v>
      </c>
      <c r="AU1175" s="14">
        <v>-1</v>
      </c>
      <c r="AW1175" s="14">
        <v>100</v>
      </c>
      <c r="AX1175" s="14">
        <v>-154</v>
      </c>
      <c r="AY1175" s="14">
        <v>12</v>
      </c>
      <c r="AZ1175" s="14">
        <v>-47</v>
      </c>
      <c r="BA1175" s="14">
        <v>17</v>
      </c>
      <c r="BB1175" s="14">
        <v>-207</v>
      </c>
      <c r="BD1175" s="14">
        <v>-38</v>
      </c>
    </row>
    <row r="1176" spans="39:56" x14ac:dyDescent="0.25">
      <c r="AM1176" s="14">
        <v>15</v>
      </c>
      <c r="AU1176" s="14">
        <v>458</v>
      </c>
      <c r="AW1176" s="14">
        <v>104</v>
      </c>
      <c r="AX1176" s="14">
        <v>-155</v>
      </c>
      <c r="AY1176" s="14">
        <v>6</v>
      </c>
      <c r="AZ1176" s="14">
        <v>862</v>
      </c>
      <c r="BA1176" s="14">
        <v>1</v>
      </c>
      <c r="BB1176" s="14">
        <v>-203</v>
      </c>
      <c r="BD1176" s="14">
        <v>111</v>
      </c>
    </row>
    <row r="1177" spans="39:56" x14ac:dyDescent="0.25">
      <c r="AM1177" s="14">
        <v>-6</v>
      </c>
      <c r="AU1177" s="14">
        <v>453</v>
      </c>
      <c r="AW1177" s="14">
        <v>818</v>
      </c>
      <c r="AX1177" s="14">
        <v>-155</v>
      </c>
      <c r="AY1177" s="14">
        <v>348</v>
      </c>
      <c r="AZ1177" s="14">
        <v>-48</v>
      </c>
      <c r="BA1177" s="14">
        <v>-11</v>
      </c>
      <c r="BB1177" s="14">
        <v>23</v>
      </c>
      <c r="BD1177" s="14">
        <v>2040</v>
      </c>
    </row>
    <row r="1178" spans="39:56" x14ac:dyDescent="0.25">
      <c r="AM1178" s="14">
        <v>1</v>
      </c>
      <c r="AU1178" s="14">
        <v>187</v>
      </c>
      <c r="AW1178" s="14">
        <v>965</v>
      </c>
      <c r="AX1178" s="14">
        <v>-155</v>
      </c>
      <c r="AY1178" s="14">
        <v>-100</v>
      </c>
      <c r="AZ1178" s="14">
        <v>-52</v>
      </c>
      <c r="BA1178" s="14">
        <v>99</v>
      </c>
      <c r="BB1178" s="14">
        <v>121</v>
      </c>
      <c r="BD1178" s="14">
        <v>31</v>
      </c>
    </row>
    <row r="1179" spans="39:56" x14ac:dyDescent="0.25">
      <c r="AM1179" s="14">
        <v>-7</v>
      </c>
      <c r="AU1179" s="14">
        <v>616</v>
      </c>
      <c r="AW1179" s="14">
        <v>101</v>
      </c>
      <c r="AX1179" s="14">
        <v>-172</v>
      </c>
      <c r="AY1179" s="14">
        <v>264</v>
      </c>
      <c r="AZ1179" s="14">
        <v>-336</v>
      </c>
      <c r="BB1179" s="14">
        <v>-392</v>
      </c>
      <c r="BD1179" s="14">
        <v>1593</v>
      </c>
    </row>
    <row r="1180" spans="39:56" x14ac:dyDescent="0.25">
      <c r="AM1180" s="14">
        <v>-217</v>
      </c>
      <c r="AU1180" s="14">
        <v>-175</v>
      </c>
      <c r="AW1180" s="14">
        <v>-14</v>
      </c>
      <c r="AX1180" s="14">
        <v>-172</v>
      </c>
      <c r="AY1180" s="14">
        <v>-4</v>
      </c>
      <c r="AZ1180" s="14">
        <v>247</v>
      </c>
      <c r="BB1180" s="14">
        <v>198</v>
      </c>
      <c r="BD1180" s="14">
        <v>-600</v>
      </c>
    </row>
    <row r="1181" spans="39:56" x14ac:dyDescent="0.25">
      <c r="AM1181" s="14">
        <v>-351</v>
      </c>
      <c r="AU1181" s="14">
        <v>-53</v>
      </c>
      <c r="AW1181" s="14">
        <v>-142</v>
      </c>
      <c r="AX1181" s="14">
        <v>-172</v>
      </c>
      <c r="AY1181" s="14">
        <v>1</v>
      </c>
      <c r="AZ1181" s="14">
        <v>263</v>
      </c>
      <c r="BB1181" s="14">
        <v>182</v>
      </c>
      <c r="BD1181" s="14">
        <v>-601</v>
      </c>
    </row>
    <row r="1182" spans="39:56" x14ac:dyDescent="0.25">
      <c r="AM1182" s="14">
        <v>-167</v>
      </c>
      <c r="AU1182" s="14">
        <v>41</v>
      </c>
      <c r="AW1182" s="14">
        <v>-91</v>
      </c>
      <c r="AX1182" s="14">
        <v>-172</v>
      </c>
      <c r="AY1182" s="14">
        <v>24</v>
      </c>
      <c r="AZ1182" s="14">
        <v>-139</v>
      </c>
      <c r="BB1182" s="14">
        <v>155</v>
      </c>
      <c r="BD1182" s="14">
        <v>-635</v>
      </c>
    </row>
    <row r="1183" spans="39:56" x14ac:dyDescent="0.25">
      <c r="AM1183" s="14">
        <v>-163</v>
      </c>
      <c r="AU1183" s="14">
        <v>101</v>
      </c>
      <c r="AW1183" s="14">
        <v>-454</v>
      </c>
      <c r="AX1183" s="14">
        <v>-190</v>
      </c>
      <c r="AY1183" s="14">
        <v>7</v>
      </c>
      <c r="AZ1183" s="14">
        <v>-252</v>
      </c>
      <c r="BB1183" s="14">
        <v>537</v>
      </c>
      <c r="BD1183" s="14">
        <v>-639</v>
      </c>
    </row>
    <row r="1184" spans="39:56" x14ac:dyDescent="0.25">
      <c r="AM1184" s="14">
        <v>-766</v>
      </c>
      <c r="AU1184" s="14">
        <v>-65</v>
      </c>
      <c r="AW1184" s="14">
        <v>-656</v>
      </c>
      <c r="AX1184" s="14">
        <v>-190</v>
      </c>
      <c r="AY1184" s="14">
        <v>-5</v>
      </c>
      <c r="AZ1184" s="14">
        <v>-457</v>
      </c>
      <c r="BB1184" s="14">
        <v>-146</v>
      </c>
      <c r="BD1184" s="14">
        <v>3</v>
      </c>
    </row>
    <row r="1185" spans="39:56" x14ac:dyDescent="0.25">
      <c r="AM1185" s="14">
        <v>-199</v>
      </c>
      <c r="AU1185" s="14">
        <v>-89</v>
      </c>
      <c r="AW1185" s="14">
        <v>215</v>
      </c>
      <c r="AX1185" s="14">
        <v>-190</v>
      </c>
      <c r="AY1185" s="14">
        <v>7</v>
      </c>
      <c r="AZ1185" s="14">
        <v>-613</v>
      </c>
      <c r="BB1185" s="14">
        <v>142</v>
      </c>
      <c r="BD1185" s="14">
        <v>-15</v>
      </c>
    </row>
    <row r="1186" spans="39:56" x14ac:dyDescent="0.25">
      <c r="AM1186" s="14">
        <v>168</v>
      </c>
      <c r="AU1186" s="14">
        <v>-2</v>
      </c>
      <c r="AW1186" s="14">
        <v>980</v>
      </c>
      <c r="AX1186" s="14">
        <v>-190</v>
      </c>
      <c r="AY1186" s="14">
        <v>4</v>
      </c>
      <c r="AZ1186" s="14">
        <v>129</v>
      </c>
      <c r="BB1186" s="14">
        <v>862</v>
      </c>
      <c r="BD1186" s="14">
        <v>-2</v>
      </c>
    </row>
    <row r="1187" spans="39:56" x14ac:dyDescent="0.25">
      <c r="AM1187" s="14">
        <v>-185</v>
      </c>
      <c r="AU1187" s="14">
        <v>-217</v>
      </c>
      <c r="AW1187" s="14">
        <v>-243</v>
      </c>
      <c r="AX1187" s="14">
        <v>-209</v>
      </c>
      <c r="AY1187" s="14">
        <v>17</v>
      </c>
      <c r="AZ1187" s="14">
        <v>-26</v>
      </c>
      <c r="BB1187" s="14">
        <v>-676</v>
      </c>
      <c r="BD1187" s="14">
        <v>-15</v>
      </c>
    </row>
    <row r="1188" spans="39:56" x14ac:dyDescent="0.25">
      <c r="AM1188" s="14">
        <v>-182</v>
      </c>
      <c r="AU1188" s="14">
        <v>147</v>
      </c>
      <c r="AW1188" s="14">
        <v>-21</v>
      </c>
      <c r="AX1188" s="14">
        <v>-209</v>
      </c>
      <c r="AY1188" s="14">
        <v>3</v>
      </c>
      <c r="AZ1188" s="14">
        <v>419</v>
      </c>
      <c r="BB1188" s="14">
        <v>138</v>
      </c>
      <c r="BD1188" s="14">
        <v>-76</v>
      </c>
    </row>
    <row r="1189" spans="39:56" x14ac:dyDescent="0.25">
      <c r="AM1189" s="14">
        <v>-697</v>
      </c>
      <c r="AU1189" s="14">
        <v>52</v>
      </c>
      <c r="AW1189" s="14">
        <v>-53</v>
      </c>
      <c r="AX1189" s="14">
        <v>-209</v>
      </c>
      <c r="AY1189" s="14">
        <v>11</v>
      </c>
      <c r="AZ1189" s="14">
        <v>-234</v>
      </c>
      <c r="BB1189" s="14">
        <v>275</v>
      </c>
      <c r="BD1189" s="14">
        <v>-97</v>
      </c>
    </row>
    <row r="1190" spans="39:56" x14ac:dyDescent="0.25">
      <c r="AM1190" s="14">
        <v>-753</v>
      </c>
      <c r="AU1190" s="14">
        <v>-471</v>
      </c>
      <c r="AW1190" s="14">
        <v>-20</v>
      </c>
      <c r="AX1190" s="14">
        <v>-209</v>
      </c>
      <c r="AY1190" s="14">
        <v>6</v>
      </c>
      <c r="AZ1190" s="14">
        <v>622</v>
      </c>
      <c r="BB1190" s="14">
        <v>-787</v>
      </c>
      <c r="BD1190" s="14">
        <v>-2552</v>
      </c>
    </row>
    <row r="1191" spans="39:56" x14ac:dyDescent="0.25">
      <c r="AM1191" s="14">
        <v>-180</v>
      </c>
      <c r="AU1191" s="14">
        <v>-327</v>
      </c>
      <c r="AW1191" s="14">
        <v>51</v>
      </c>
      <c r="AX1191" s="14">
        <v>-129</v>
      </c>
      <c r="AY1191" s="14">
        <v>-672</v>
      </c>
      <c r="AZ1191" s="14">
        <v>-362</v>
      </c>
      <c r="BB1191" s="14">
        <v>-616</v>
      </c>
      <c r="BD1191" s="14">
        <v>-2459</v>
      </c>
    </row>
    <row r="1192" spans="39:56" x14ac:dyDescent="0.25">
      <c r="AM1192" s="14">
        <v>-169</v>
      </c>
      <c r="AU1192" s="14">
        <v>-375</v>
      </c>
      <c r="AW1192" s="14">
        <v>27</v>
      </c>
      <c r="AX1192" s="14">
        <v>-129</v>
      </c>
      <c r="AY1192" s="14">
        <v>438</v>
      </c>
      <c r="AZ1192" s="14">
        <v>-102</v>
      </c>
      <c r="BB1192" s="14">
        <v>107</v>
      </c>
      <c r="BD1192" s="14">
        <v>-467</v>
      </c>
    </row>
    <row r="1193" spans="39:56" x14ac:dyDescent="0.25">
      <c r="AM1193" s="14">
        <v>-119</v>
      </c>
      <c r="AU1193" s="14">
        <v>-124</v>
      </c>
      <c r="AW1193" s="14">
        <v>8</v>
      </c>
      <c r="AX1193" s="14">
        <v>-129</v>
      </c>
      <c r="AY1193" s="14">
        <v>-2</v>
      </c>
      <c r="AZ1193" s="14">
        <v>-129</v>
      </c>
      <c r="BB1193" s="14">
        <v>288</v>
      </c>
      <c r="BD1193" s="14">
        <v>-696</v>
      </c>
    </row>
    <row r="1194" spans="39:56" x14ac:dyDescent="0.25">
      <c r="AM1194" s="14">
        <v>-973</v>
      </c>
      <c r="AU1194" s="14">
        <v>-138</v>
      </c>
      <c r="AW1194" s="14">
        <v>-143</v>
      </c>
      <c r="AX1194" s="14">
        <v>-129</v>
      </c>
      <c r="AY1194" s="14">
        <v>29</v>
      </c>
      <c r="AZ1194" s="14">
        <v>-269</v>
      </c>
      <c r="BB1194" s="14">
        <v>-116</v>
      </c>
      <c r="BD1194" s="14">
        <v>-3208</v>
      </c>
    </row>
    <row r="1195" spans="39:56" x14ac:dyDescent="0.25">
      <c r="AM1195" s="14">
        <v>-190</v>
      </c>
      <c r="AU1195" s="14">
        <v>-822</v>
      </c>
      <c r="AW1195" s="14">
        <v>-141</v>
      </c>
      <c r="AX1195" s="14">
        <v>-145</v>
      </c>
      <c r="AY1195" s="14">
        <v>24</v>
      </c>
      <c r="AZ1195" s="14">
        <v>-330</v>
      </c>
      <c r="BB1195" s="14">
        <v>22</v>
      </c>
      <c r="BD1195" s="14">
        <v>-8237</v>
      </c>
    </row>
    <row r="1196" spans="39:56" x14ac:dyDescent="0.25">
      <c r="AM1196" s="14">
        <v>-953</v>
      </c>
      <c r="AU1196" s="14">
        <v>-282</v>
      </c>
      <c r="AW1196" s="14">
        <v>-190</v>
      </c>
      <c r="AX1196" s="14">
        <v>-145</v>
      </c>
      <c r="AY1196" s="14">
        <v>17</v>
      </c>
      <c r="AZ1196" s="14">
        <v>-384</v>
      </c>
      <c r="BB1196" s="14">
        <v>-103</v>
      </c>
      <c r="BD1196" s="14">
        <v>2</v>
      </c>
    </row>
    <row r="1197" spans="39:56" x14ac:dyDescent="0.25">
      <c r="AM1197" s="14">
        <v>-638</v>
      </c>
      <c r="AU1197" s="14">
        <v>-64</v>
      </c>
      <c r="AW1197" s="14">
        <v>-143</v>
      </c>
      <c r="AX1197" s="14">
        <v>-145</v>
      </c>
      <c r="AY1197" s="14">
        <v>17</v>
      </c>
      <c r="AZ1197" s="14">
        <v>162</v>
      </c>
      <c r="BB1197" s="14">
        <v>262</v>
      </c>
      <c r="BD1197" s="14">
        <v>-21</v>
      </c>
    </row>
    <row r="1198" spans="39:56" x14ac:dyDescent="0.25">
      <c r="AM1198" s="14">
        <v>-833</v>
      </c>
      <c r="AU1198" s="14">
        <v>-411</v>
      </c>
      <c r="AW1198" s="14">
        <v>-557</v>
      </c>
      <c r="AX1198" s="14">
        <v>-145</v>
      </c>
      <c r="AY1198" s="14">
        <v>40</v>
      </c>
      <c r="AZ1198" s="14">
        <v>76</v>
      </c>
      <c r="BB1198" s="14">
        <v>38</v>
      </c>
      <c r="BD1198" s="14">
        <v>-59</v>
      </c>
    </row>
    <row r="1199" spans="39:56" x14ac:dyDescent="0.25">
      <c r="AM1199" s="14">
        <v>166</v>
      </c>
      <c r="AU1199" s="14">
        <v>-508</v>
      </c>
      <c r="AW1199" s="14">
        <v>-178</v>
      </c>
      <c r="AX1199" s="14">
        <v>-162</v>
      </c>
      <c r="AY1199" s="14">
        <v>38</v>
      </c>
      <c r="AZ1199" s="14">
        <v>-180</v>
      </c>
      <c r="BB1199" s="14">
        <v>144</v>
      </c>
      <c r="BD1199" s="14">
        <v>-36</v>
      </c>
    </row>
    <row r="1200" spans="39:56" x14ac:dyDescent="0.25">
      <c r="AM1200" s="14">
        <v>809</v>
      </c>
      <c r="AU1200" s="14">
        <v>-45</v>
      </c>
      <c r="AW1200" s="14">
        <v>-347</v>
      </c>
      <c r="AX1200" s="14">
        <v>-162</v>
      </c>
      <c r="AY1200" s="14">
        <v>52</v>
      </c>
      <c r="AZ1200" s="14">
        <v>279</v>
      </c>
      <c r="BB1200" s="14">
        <v>-386</v>
      </c>
      <c r="BD1200" s="14">
        <v>-53</v>
      </c>
    </row>
    <row r="1201" spans="39:56" x14ac:dyDescent="0.25">
      <c r="AM1201" s="14">
        <v>-121</v>
      </c>
      <c r="AU1201" s="14">
        <v>-35</v>
      </c>
      <c r="AW1201" s="14">
        <v>96</v>
      </c>
      <c r="AX1201" s="14">
        <v>-162</v>
      </c>
      <c r="AY1201" s="14">
        <v>5</v>
      </c>
      <c r="AZ1201" s="14">
        <v>-352</v>
      </c>
      <c r="BB1201" s="14">
        <v>-288</v>
      </c>
      <c r="BD1201" s="14">
        <v>2534</v>
      </c>
    </row>
    <row r="1202" spans="39:56" x14ac:dyDescent="0.25">
      <c r="AM1202" s="14">
        <v>-603</v>
      </c>
      <c r="AU1202" s="14">
        <v>31</v>
      </c>
      <c r="AW1202" s="14">
        <v>-219</v>
      </c>
      <c r="AX1202" s="14">
        <v>-163</v>
      </c>
      <c r="AY1202" s="14">
        <v>9</v>
      </c>
      <c r="AZ1202" s="14">
        <v>-468</v>
      </c>
      <c r="BB1202" s="14">
        <v>-291</v>
      </c>
      <c r="BD1202" s="14">
        <v>-651</v>
      </c>
    </row>
    <row r="1203" spans="39:56" x14ac:dyDescent="0.25">
      <c r="AM1203" s="14">
        <v>-156</v>
      </c>
      <c r="AU1203" s="14">
        <v>71</v>
      </c>
      <c r="AW1203" s="14">
        <v>-440</v>
      </c>
      <c r="AX1203" s="14">
        <v>-180</v>
      </c>
      <c r="AY1203" s="14">
        <v>9</v>
      </c>
      <c r="AZ1203" s="14">
        <v>-595</v>
      </c>
      <c r="BB1203" s="14">
        <v>759</v>
      </c>
      <c r="BD1203" s="14">
        <v>7987</v>
      </c>
    </row>
    <row r="1204" spans="39:56" x14ac:dyDescent="0.25">
      <c r="AM1204" s="14">
        <v>-949</v>
      </c>
      <c r="AU1204" s="14">
        <v>4</v>
      </c>
      <c r="AW1204" s="14">
        <v>304</v>
      </c>
      <c r="AX1204" s="14">
        <v>-181</v>
      </c>
      <c r="AY1204" s="14">
        <v>12</v>
      </c>
      <c r="AZ1204" s="14">
        <v>72</v>
      </c>
      <c r="BB1204" s="14">
        <v>120</v>
      </c>
      <c r="BD1204" s="14">
        <v>-640</v>
      </c>
    </row>
    <row r="1205" spans="39:56" x14ac:dyDescent="0.25">
      <c r="AM1205" s="14">
        <v>-234</v>
      </c>
      <c r="AU1205" s="14">
        <v>-909</v>
      </c>
      <c r="AW1205" s="14">
        <v>100</v>
      </c>
      <c r="AX1205" s="14">
        <v>-180</v>
      </c>
      <c r="AY1205" s="14">
        <v>15</v>
      </c>
      <c r="AZ1205" s="14">
        <v>715</v>
      </c>
      <c r="BB1205" s="14">
        <v>137</v>
      </c>
      <c r="BD1205" s="14">
        <v>-611</v>
      </c>
    </row>
    <row r="1206" spans="39:56" x14ac:dyDescent="0.25">
      <c r="AM1206" s="14">
        <v>-212</v>
      </c>
      <c r="AU1206" s="14">
        <v>45</v>
      </c>
      <c r="AW1206" s="14">
        <v>-120</v>
      </c>
      <c r="AX1206" s="14">
        <v>-180</v>
      </c>
      <c r="AY1206" s="14">
        <v>1</v>
      </c>
      <c r="AZ1206" s="14">
        <v>686</v>
      </c>
      <c r="BB1206" s="14">
        <v>514</v>
      </c>
      <c r="BD1206" s="14">
        <v>-536</v>
      </c>
    </row>
    <row r="1207" spans="39:56" x14ac:dyDescent="0.25">
      <c r="AM1207" s="14">
        <v>-352</v>
      </c>
      <c r="AU1207" s="14">
        <v>234</v>
      </c>
      <c r="AW1207" s="14">
        <v>-34</v>
      </c>
      <c r="AX1207" s="14">
        <v>-199</v>
      </c>
      <c r="AY1207" s="14">
        <v>-7</v>
      </c>
      <c r="AZ1207" s="14">
        <v>200</v>
      </c>
      <c r="BB1207" s="14">
        <v>-178</v>
      </c>
      <c r="BD1207" s="14">
        <v>-628</v>
      </c>
    </row>
    <row r="1208" spans="39:56" x14ac:dyDescent="0.25">
      <c r="AM1208" s="14">
        <v>-245</v>
      </c>
      <c r="AU1208" s="14">
        <v>7</v>
      </c>
      <c r="AW1208" s="14">
        <v>-90</v>
      </c>
      <c r="AX1208" s="14">
        <v>-199</v>
      </c>
      <c r="AY1208" s="14">
        <v>-5</v>
      </c>
      <c r="AZ1208" s="14">
        <v>89</v>
      </c>
      <c r="BB1208" s="14">
        <v>536</v>
      </c>
      <c r="BD1208" s="14">
        <v>-6</v>
      </c>
    </row>
    <row r="1209" spans="39:56" x14ac:dyDescent="0.25">
      <c r="AM1209" s="14">
        <v>-327</v>
      </c>
      <c r="AU1209" s="14">
        <v>138</v>
      </c>
      <c r="AW1209" s="14">
        <v>39</v>
      </c>
      <c r="AX1209" s="14">
        <v>-199</v>
      </c>
      <c r="AY1209" s="14">
        <v>-12</v>
      </c>
      <c r="AZ1209" s="14">
        <v>-132</v>
      </c>
      <c r="BB1209" s="14">
        <v>614</v>
      </c>
      <c r="BD1209" s="14">
        <v>10</v>
      </c>
    </row>
    <row r="1210" spans="39:56" x14ac:dyDescent="0.25">
      <c r="AM1210" s="14">
        <v>-260</v>
      </c>
      <c r="AU1210" s="14">
        <v>-525</v>
      </c>
      <c r="AW1210" s="14">
        <v>-6</v>
      </c>
      <c r="AX1210" s="14">
        <v>-200</v>
      </c>
      <c r="AY1210" s="14">
        <v>-5</v>
      </c>
      <c r="AZ1210" s="14">
        <v>-425</v>
      </c>
      <c r="BB1210" s="14">
        <v>220</v>
      </c>
      <c r="BD1210" s="14">
        <v>-111</v>
      </c>
    </row>
    <row r="1211" spans="39:56" x14ac:dyDescent="0.25">
      <c r="AM1211" s="14">
        <v>-297</v>
      </c>
      <c r="AU1211" s="14">
        <v>-47</v>
      </c>
      <c r="AW1211" s="14">
        <v>53</v>
      </c>
      <c r="AX1211" s="14">
        <v>-219</v>
      </c>
      <c r="AY1211" s="14">
        <v>-6</v>
      </c>
      <c r="AZ1211" s="14">
        <v>172</v>
      </c>
      <c r="BB1211" s="14">
        <v>-96</v>
      </c>
      <c r="BD1211" s="14">
        <v>12</v>
      </c>
    </row>
    <row r="1212" spans="39:56" x14ac:dyDescent="0.25">
      <c r="AM1212" s="14">
        <v>-316</v>
      </c>
      <c r="AU1212" s="14">
        <v>-791</v>
      </c>
      <c r="AW1212" s="14">
        <v>2</v>
      </c>
      <c r="AX1212" s="14">
        <v>-219</v>
      </c>
      <c r="AY1212" s="14">
        <v>-15</v>
      </c>
      <c r="AZ1212" s="14">
        <v>-260</v>
      </c>
      <c r="BB1212" s="14">
        <v>302</v>
      </c>
      <c r="BD1212" s="14">
        <v>-3337</v>
      </c>
    </row>
    <row r="1213" spans="39:56" x14ac:dyDescent="0.25">
      <c r="AM1213" s="14">
        <v>-125</v>
      </c>
      <c r="AU1213" s="14">
        <v>-77</v>
      </c>
      <c r="AW1213" s="14">
        <v>-131</v>
      </c>
      <c r="AX1213" s="14">
        <v>-219</v>
      </c>
      <c r="AY1213" s="14">
        <v>-12</v>
      </c>
      <c r="AZ1213" s="14">
        <v>-376</v>
      </c>
      <c r="BB1213" s="14">
        <v>127</v>
      </c>
      <c r="BD1213" s="14">
        <v>-596</v>
      </c>
    </row>
    <row r="1214" spans="39:56" x14ac:dyDescent="0.25">
      <c r="AM1214" s="14">
        <v>-584</v>
      </c>
      <c r="AU1214" s="14">
        <v>-272</v>
      </c>
      <c r="AW1214" s="14">
        <v>-141</v>
      </c>
      <c r="AX1214" s="14">
        <v>-220</v>
      </c>
      <c r="AY1214" s="14">
        <v>9</v>
      </c>
      <c r="AZ1214" s="14">
        <v>-500</v>
      </c>
      <c r="BB1214" s="14">
        <v>830</v>
      </c>
      <c r="BD1214" s="14">
        <v>-638</v>
      </c>
    </row>
    <row r="1215" spans="39:56" x14ac:dyDescent="0.25">
      <c r="AM1215" s="14">
        <v>-158</v>
      </c>
      <c r="AU1215" s="14">
        <v>-684</v>
      </c>
      <c r="AW1215" s="14">
        <v>-177</v>
      </c>
      <c r="AX1215" s="14">
        <v>-542</v>
      </c>
      <c r="AY1215" s="14">
        <v>6</v>
      </c>
      <c r="AZ1215" s="14">
        <v>270</v>
      </c>
      <c r="BB1215" s="14">
        <v>107</v>
      </c>
      <c r="BD1215" s="14">
        <v>-1120</v>
      </c>
    </row>
    <row r="1216" spans="39:56" x14ac:dyDescent="0.25">
      <c r="AM1216" s="14">
        <v>-875</v>
      </c>
      <c r="AU1216" s="14">
        <v>-334</v>
      </c>
      <c r="AW1216" s="14">
        <v>-189</v>
      </c>
      <c r="AX1216" s="14">
        <v>-323</v>
      </c>
      <c r="AY1216" s="14">
        <v>18</v>
      </c>
      <c r="AZ1216" s="14">
        <v>804</v>
      </c>
      <c r="BB1216" s="14">
        <v>101</v>
      </c>
      <c r="BD1216" s="14">
        <v>-11</v>
      </c>
    </row>
    <row r="1217" spans="39:56" x14ac:dyDescent="0.25">
      <c r="AM1217" s="14">
        <v>-231</v>
      </c>
      <c r="AU1217" s="14">
        <v>-457</v>
      </c>
      <c r="AW1217" s="14">
        <v>-970</v>
      </c>
      <c r="AX1217" s="14">
        <v>-177</v>
      </c>
      <c r="AY1217" s="14">
        <v>20</v>
      </c>
      <c r="AZ1217" s="14">
        <v>686</v>
      </c>
      <c r="BB1217" s="14">
        <v>146</v>
      </c>
      <c r="BD1217" s="14">
        <v>-30</v>
      </c>
    </row>
    <row r="1218" spans="39:56" x14ac:dyDescent="0.25">
      <c r="AM1218" s="14">
        <v>-181</v>
      </c>
      <c r="AU1218" s="14">
        <v>-694</v>
      </c>
      <c r="AW1218" s="14">
        <v>235</v>
      </c>
      <c r="AX1218" s="14">
        <v>450</v>
      </c>
      <c r="AY1218" s="14">
        <v>19</v>
      </c>
      <c r="AZ1218" s="14">
        <v>87</v>
      </c>
      <c r="BB1218" s="14">
        <v>-292</v>
      </c>
      <c r="BD1218" s="14">
        <v>-2528</v>
      </c>
    </row>
    <row r="1219" spans="39:56" x14ac:dyDescent="0.25">
      <c r="AM1219" s="14">
        <v>150</v>
      </c>
      <c r="AU1219" s="14">
        <v>-534</v>
      </c>
      <c r="AW1219" s="14">
        <v>414</v>
      </c>
      <c r="AX1219" s="14">
        <v>261</v>
      </c>
      <c r="AY1219" s="14">
        <v>1</v>
      </c>
      <c r="AZ1219" s="14">
        <v>27</v>
      </c>
      <c r="BB1219" s="14">
        <v>430</v>
      </c>
      <c r="BD1219" s="14">
        <v>-2819</v>
      </c>
    </row>
    <row r="1220" spans="39:56" x14ac:dyDescent="0.25">
      <c r="AM1220" s="14">
        <v>172</v>
      </c>
      <c r="AU1220" s="14">
        <v>54</v>
      </c>
      <c r="AW1220" s="14">
        <v>-126</v>
      </c>
      <c r="AX1220" s="14">
        <v>-197</v>
      </c>
      <c r="AY1220" s="14">
        <v>-4</v>
      </c>
      <c r="AZ1220" s="14">
        <v>-353</v>
      </c>
      <c r="BB1220" s="14">
        <v>261</v>
      </c>
      <c r="BD1220" s="14">
        <v>24</v>
      </c>
    </row>
    <row r="1221" spans="39:56" x14ac:dyDescent="0.25">
      <c r="AM1221" s="14">
        <v>202</v>
      </c>
      <c r="AU1221" s="14">
        <v>21</v>
      </c>
      <c r="AW1221" s="14">
        <v>193</v>
      </c>
      <c r="AX1221" s="14">
        <v>-197</v>
      </c>
      <c r="AY1221" s="14">
        <v>-1</v>
      </c>
      <c r="AZ1221" s="14">
        <v>238</v>
      </c>
      <c r="BB1221" s="14">
        <v>302</v>
      </c>
      <c r="BD1221" s="14">
        <v>-3</v>
      </c>
    </row>
    <row r="1222" spans="39:56" x14ac:dyDescent="0.25">
      <c r="AM1222" s="14">
        <v>227</v>
      </c>
      <c r="AU1222" s="14">
        <v>-242</v>
      </c>
      <c r="AW1222" s="14">
        <v>-339</v>
      </c>
      <c r="AX1222" s="14">
        <v>-139</v>
      </c>
      <c r="AY1222" s="14">
        <v>-4</v>
      </c>
      <c r="AZ1222" s="14">
        <v>-260</v>
      </c>
      <c r="BB1222" s="14">
        <v>-56</v>
      </c>
      <c r="BD1222" s="14">
        <v>46</v>
      </c>
    </row>
    <row r="1223" spans="39:56" x14ac:dyDescent="0.25">
      <c r="AM1223" s="14">
        <v>51</v>
      </c>
      <c r="AU1223" s="14">
        <v>-132</v>
      </c>
      <c r="AW1223" s="14">
        <v>399</v>
      </c>
      <c r="AX1223" s="14">
        <v>308</v>
      </c>
      <c r="AY1223" s="14">
        <v>5</v>
      </c>
      <c r="AZ1223" s="14">
        <v>-428</v>
      </c>
      <c r="BB1223" s="14">
        <v>325</v>
      </c>
      <c r="BD1223" s="14">
        <v>-23</v>
      </c>
    </row>
    <row r="1224" spans="39:56" x14ac:dyDescent="0.25">
      <c r="AM1224" s="14">
        <v>49</v>
      </c>
      <c r="AU1224" s="14">
        <v>-44</v>
      </c>
      <c r="AW1224" s="14">
        <v>481</v>
      </c>
      <c r="AX1224" s="14">
        <v>-192</v>
      </c>
      <c r="AY1224" s="14">
        <v>7</v>
      </c>
      <c r="AZ1224" s="14">
        <v>-577</v>
      </c>
      <c r="BB1224" s="14">
        <v>-147</v>
      </c>
      <c r="BD1224" s="14">
        <v>291</v>
      </c>
    </row>
    <row r="1225" spans="39:56" x14ac:dyDescent="0.25">
      <c r="AM1225" s="14">
        <v>54</v>
      </c>
      <c r="AU1225" s="14">
        <v>107</v>
      </c>
      <c r="AW1225" s="14">
        <v>-642</v>
      </c>
      <c r="AX1225" s="14">
        <v>-238</v>
      </c>
      <c r="AY1225" s="14">
        <v>4</v>
      </c>
      <c r="AZ1225" s="14">
        <v>225</v>
      </c>
      <c r="BB1225" s="14">
        <v>113</v>
      </c>
      <c r="BD1225" s="14">
        <v>525</v>
      </c>
    </row>
    <row r="1226" spans="39:56" x14ac:dyDescent="0.25">
      <c r="AM1226" s="14">
        <v>53</v>
      </c>
      <c r="AU1226" s="14">
        <v>23</v>
      </c>
      <c r="AW1226" s="14">
        <v>-91</v>
      </c>
      <c r="AX1226" s="14">
        <v>-134</v>
      </c>
      <c r="AY1226" s="14">
        <v>-638</v>
      </c>
      <c r="AZ1226" s="14">
        <v>772</v>
      </c>
      <c r="BB1226" s="14">
        <v>206</v>
      </c>
      <c r="BD1226" s="14">
        <v>9</v>
      </c>
    </row>
    <row r="1227" spans="39:56" x14ac:dyDescent="0.25">
      <c r="AM1227" s="14">
        <v>49</v>
      </c>
      <c r="AU1227" s="14">
        <v>132</v>
      </c>
      <c r="AW1227" s="14">
        <v>-129</v>
      </c>
      <c r="AX1227" s="14">
        <v>-127</v>
      </c>
      <c r="AY1227" s="14">
        <v>118</v>
      </c>
      <c r="AZ1227" s="14">
        <v>687</v>
      </c>
      <c r="BB1227" s="14">
        <v>41</v>
      </c>
      <c r="BD1227" s="14">
        <v>2543</v>
      </c>
    </row>
    <row r="1228" spans="39:56" x14ac:dyDescent="0.25">
      <c r="AM1228" s="14">
        <v>46</v>
      </c>
      <c r="AU1228" s="14">
        <v>4</v>
      </c>
      <c r="AW1228" s="14">
        <v>372</v>
      </c>
      <c r="AX1228" s="14">
        <v>243</v>
      </c>
      <c r="AY1228" s="14">
        <v>-542</v>
      </c>
      <c r="AZ1228" s="14">
        <v>111</v>
      </c>
      <c r="BB1228" s="14">
        <v>246</v>
      </c>
      <c r="BD1228" s="14">
        <v>-211</v>
      </c>
    </row>
    <row r="1229" spans="39:56" x14ac:dyDescent="0.25">
      <c r="AM1229" s="14">
        <v>55</v>
      </c>
      <c r="AU1229" s="14">
        <v>-56</v>
      </c>
      <c r="AW1229" s="14">
        <v>-39</v>
      </c>
      <c r="AX1229" s="14">
        <v>-745</v>
      </c>
      <c r="AY1229" s="14">
        <v>-761</v>
      </c>
      <c r="AZ1229" s="14">
        <v>22</v>
      </c>
      <c r="BB1229" s="14">
        <v>-787</v>
      </c>
      <c r="BD1229" s="14">
        <v>-127</v>
      </c>
    </row>
    <row r="1230" spans="39:56" x14ac:dyDescent="0.25">
      <c r="AM1230" s="14">
        <v>52</v>
      </c>
      <c r="AU1230" s="14">
        <v>-1</v>
      </c>
      <c r="AW1230" s="14">
        <v>17</v>
      </c>
      <c r="AX1230" s="14">
        <v>174</v>
      </c>
      <c r="AY1230" s="14">
        <v>-948</v>
      </c>
      <c r="AZ1230" s="14">
        <v>-360</v>
      </c>
      <c r="BB1230" s="14">
        <v>185</v>
      </c>
      <c r="BD1230" s="14">
        <v>-254</v>
      </c>
    </row>
    <row r="1231" spans="39:56" x14ac:dyDescent="0.25">
      <c r="AM1231" s="14">
        <v>11</v>
      </c>
      <c r="AU1231" s="14">
        <v>47</v>
      </c>
      <c r="AW1231" s="14">
        <v>-12</v>
      </c>
      <c r="AX1231" s="14">
        <v>-125</v>
      </c>
      <c r="AY1231" s="14">
        <v>-625</v>
      </c>
      <c r="AZ1231" s="14">
        <v>655</v>
      </c>
      <c r="BB1231" s="14">
        <v>924</v>
      </c>
      <c r="BD1231" s="14">
        <v>-143</v>
      </c>
    </row>
    <row r="1232" spans="39:56" x14ac:dyDescent="0.25">
      <c r="AM1232" s="14">
        <v>11</v>
      </c>
      <c r="AU1232" s="14">
        <v>31</v>
      </c>
      <c r="AW1232" s="14">
        <v>126</v>
      </c>
      <c r="AX1232" s="14">
        <v>905</v>
      </c>
      <c r="AY1232" s="14">
        <v>-117</v>
      </c>
      <c r="AZ1232" s="14">
        <v>177</v>
      </c>
      <c r="BB1232" s="14">
        <v>-789</v>
      </c>
      <c r="BD1232" s="14">
        <v>-21</v>
      </c>
    </row>
    <row r="1233" spans="39:56" x14ac:dyDescent="0.25">
      <c r="AM1233" s="14">
        <v>12</v>
      </c>
      <c r="AU1233" s="14">
        <v>56</v>
      </c>
      <c r="AW1233" s="14">
        <v>-99</v>
      </c>
      <c r="AX1233" s="14">
        <v>-882</v>
      </c>
      <c r="AY1233" s="14">
        <v>-3</v>
      </c>
      <c r="AZ1233" s="14">
        <v>-255</v>
      </c>
      <c r="BB1233" s="14">
        <v>280</v>
      </c>
      <c r="BD1233" s="14">
        <v>316</v>
      </c>
    </row>
    <row r="1234" spans="39:56" x14ac:dyDescent="0.25">
      <c r="AM1234" s="14">
        <v>12</v>
      </c>
      <c r="AU1234" s="14">
        <v>-5</v>
      </c>
      <c r="AW1234" s="14">
        <v>-74</v>
      </c>
      <c r="AX1234" s="14">
        <v>-726</v>
      </c>
      <c r="AY1234" s="14">
        <v>-10</v>
      </c>
      <c r="AZ1234" s="14">
        <v>-376</v>
      </c>
      <c r="BB1234" s="14">
        <v>273</v>
      </c>
      <c r="BD1234" s="14">
        <v>-206</v>
      </c>
    </row>
    <row r="1235" spans="39:56" x14ac:dyDescent="0.25">
      <c r="AM1235" s="14">
        <v>222</v>
      </c>
      <c r="AU1235" s="14">
        <v>9</v>
      </c>
      <c r="AW1235" s="14">
        <v>-564</v>
      </c>
      <c r="AX1235" s="14">
        <v>235</v>
      </c>
      <c r="AY1235" s="14">
        <v>-5</v>
      </c>
      <c r="AZ1235" s="14">
        <v>-484</v>
      </c>
      <c r="BB1235" s="14">
        <v>127</v>
      </c>
      <c r="BD1235" s="14">
        <v>35</v>
      </c>
    </row>
    <row r="1236" spans="39:56" x14ac:dyDescent="0.25">
      <c r="AM1236" s="14">
        <v>211</v>
      </c>
      <c r="AU1236" s="14">
        <v>17</v>
      </c>
      <c r="AW1236" s="14">
        <v>392</v>
      </c>
      <c r="AX1236" s="14">
        <v>121</v>
      </c>
      <c r="AY1236" s="14">
        <v>-9</v>
      </c>
      <c r="AZ1236" s="14">
        <v>253</v>
      </c>
      <c r="BB1236" s="14">
        <v>495</v>
      </c>
      <c r="BD1236" s="14">
        <v>-520</v>
      </c>
    </row>
    <row r="1237" spans="39:56" x14ac:dyDescent="0.25">
      <c r="AM1237" s="14">
        <v>285</v>
      </c>
      <c r="AU1237" s="14">
        <v>5</v>
      </c>
      <c r="AW1237" s="14">
        <v>301</v>
      </c>
      <c r="AX1237" s="14">
        <v>651</v>
      </c>
      <c r="AY1237" s="14">
        <v>-8</v>
      </c>
      <c r="AZ1237" s="14">
        <v>749</v>
      </c>
      <c r="BB1237" s="14">
        <v>148</v>
      </c>
      <c r="BD1237" s="14">
        <v>-827</v>
      </c>
    </row>
    <row r="1238" spans="39:56" x14ac:dyDescent="0.25">
      <c r="AM1238" s="14">
        <v>276</v>
      </c>
      <c r="AU1238" s="14">
        <v>25</v>
      </c>
      <c r="AW1238" s="14">
        <v>118</v>
      </c>
      <c r="AX1238" s="14">
        <v>-164</v>
      </c>
      <c r="AY1238" s="14">
        <v>-14</v>
      </c>
      <c r="AZ1238" s="14">
        <v>687</v>
      </c>
      <c r="BB1238" s="14">
        <v>167</v>
      </c>
      <c r="BD1238" s="14">
        <v>-830</v>
      </c>
    </row>
    <row r="1239" spans="39:56" x14ac:dyDescent="0.25">
      <c r="AM1239" s="14">
        <v>173</v>
      </c>
      <c r="AU1239" s="14">
        <v>4</v>
      </c>
      <c r="AW1239" s="14">
        <v>575</v>
      </c>
      <c r="AX1239" s="14">
        <v>480</v>
      </c>
      <c r="AY1239" s="14">
        <v>62</v>
      </c>
      <c r="AZ1239" s="14">
        <v>562</v>
      </c>
      <c r="BB1239" s="14">
        <v>838</v>
      </c>
      <c r="BD1239" s="14">
        <v>-1550</v>
      </c>
    </row>
    <row r="1240" spans="39:56" x14ac:dyDescent="0.25">
      <c r="AM1240" s="14">
        <v>161</v>
      </c>
      <c r="AU1240" s="14">
        <v>107</v>
      </c>
      <c r="AW1240" s="14">
        <v>301</v>
      </c>
      <c r="AX1240" s="14">
        <v>22</v>
      </c>
      <c r="AY1240" s="14">
        <v>-173</v>
      </c>
      <c r="AZ1240" s="14">
        <v>-243</v>
      </c>
      <c r="BB1240" s="14">
        <v>-111</v>
      </c>
      <c r="BD1240" s="14">
        <v>-3958</v>
      </c>
    </row>
    <row r="1241" spans="39:56" x14ac:dyDescent="0.25">
      <c r="AM1241" s="14">
        <v>225</v>
      </c>
      <c r="AU1241" s="14">
        <v>449</v>
      </c>
      <c r="AW1241" s="14">
        <v>108</v>
      </c>
      <c r="AX1241" s="14">
        <v>12</v>
      </c>
      <c r="AY1241" s="14">
        <v>309</v>
      </c>
      <c r="AZ1241" s="14">
        <v>-481</v>
      </c>
      <c r="BB1241" s="14">
        <v>605</v>
      </c>
      <c r="BD1241" s="14">
        <v>-680</v>
      </c>
    </row>
    <row r="1242" spans="39:56" x14ac:dyDescent="0.25">
      <c r="AM1242" s="14">
        <v>216</v>
      </c>
      <c r="AU1242" s="14">
        <v>109</v>
      </c>
      <c r="AW1242" s="14">
        <v>273</v>
      </c>
      <c r="AX1242" s="14">
        <v>-2</v>
      </c>
      <c r="AY1242" s="14">
        <v>150</v>
      </c>
      <c r="AZ1242" s="14">
        <v>-218</v>
      </c>
      <c r="BB1242" s="14">
        <v>447</v>
      </c>
      <c r="BD1242" s="14">
        <v>-6468</v>
      </c>
    </row>
    <row r="1243" spans="39:56" x14ac:dyDescent="0.25">
      <c r="AM1243" s="14">
        <v>168</v>
      </c>
      <c r="AU1243" s="14">
        <v>379</v>
      </c>
      <c r="AW1243" s="14">
        <v>117</v>
      </c>
      <c r="AX1243" s="14">
        <v>-2</v>
      </c>
      <c r="AY1243" s="14">
        <v>5</v>
      </c>
      <c r="AZ1243" s="14">
        <v>-162</v>
      </c>
      <c r="BB1243" s="14">
        <v>353</v>
      </c>
      <c r="BD1243" s="14">
        <v>-2606</v>
      </c>
    </row>
    <row r="1244" spans="39:56" x14ac:dyDescent="0.25">
      <c r="AM1244" s="14">
        <v>193</v>
      </c>
      <c r="AU1244" s="14">
        <v>-97</v>
      </c>
      <c r="AW1244" s="14">
        <v>567</v>
      </c>
      <c r="AX1244" s="14">
        <v>8</v>
      </c>
      <c r="AY1244" s="14">
        <v>-869</v>
      </c>
      <c r="AZ1244" s="14">
        <v>888</v>
      </c>
      <c r="BB1244" s="14">
        <v>-210</v>
      </c>
      <c r="BD1244" s="14">
        <v>-22</v>
      </c>
    </row>
    <row r="1245" spans="39:56" x14ac:dyDescent="0.25">
      <c r="AM1245" s="14">
        <v>220</v>
      </c>
      <c r="AU1245" s="14">
        <v>574</v>
      </c>
      <c r="AX1245" s="14">
        <v>124</v>
      </c>
      <c r="AY1245" s="14">
        <v>-506</v>
      </c>
      <c r="AZ1245" s="14">
        <v>-625</v>
      </c>
      <c r="BB1245" s="14">
        <v>-277</v>
      </c>
      <c r="BD1245" s="14">
        <v>-107</v>
      </c>
    </row>
    <row r="1246" spans="39:56" x14ac:dyDescent="0.25">
      <c r="AM1246" s="14">
        <v>249</v>
      </c>
      <c r="AU1246" s="14">
        <v>-69</v>
      </c>
      <c r="AX1246" s="14">
        <v>676</v>
      </c>
      <c r="AY1246" s="14">
        <v>-21</v>
      </c>
      <c r="AZ1246" s="14">
        <v>-191</v>
      </c>
      <c r="BB1246" s="14">
        <v>201</v>
      </c>
      <c r="BD1246" s="14">
        <v>35</v>
      </c>
    </row>
    <row r="1247" spans="39:56" x14ac:dyDescent="0.25">
      <c r="AM1247" s="14">
        <v>187</v>
      </c>
      <c r="AU1247" s="14">
        <v>478</v>
      </c>
      <c r="AX1247" s="14">
        <v>36</v>
      </c>
      <c r="AY1247" s="14">
        <v>-150</v>
      </c>
      <c r="AZ1247" s="14">
        <v>610</v>
      </c>
      <c r="BB1247" s="14">
        <v>-219</v>
      </c>
      <c r="BD1247" s="14">
        <v>-67</v>
      </c>
    </row>
    <row r="1248" spans="39:56" x14ac:dyDescent="0.25">
      <c r="AM1248" s="14">
        <v>230</v>
      </c>
      <c r="AU1248" s="14">
        <v>336</v>
      </c>
      <c r="AX1248" s="14">
        <v>-5</v>
      </c>
      <c r="AY1248" s="14">
        <v>104</v>
      </c>
      <c r="AZ1248" s="14">
        <v>157</v>
      </c>
      <c r="BB1248" s="14">
        <v>163</v>
      </c>
      <c r="BD1248" s="14">
        <v>-71</v>
      </c>
    </row>
    <row r="1249" spans="39:56" x14ac:dyDescent="0.25">
      <c r="AM1249" s="14">
        <v>240</v>
      </c>
      <c r="AU1249" s="14">
        <v>541</v>
      </c>
      <c r="AX1249" s="14">
        <v>-179</v>
      </c>
      <c r="AY1249" s="14">
        <v>5</v>
      </c>
      <c r="AZ1249" s="14">
        <v>912</v>
      </c>
      <c r="BB1249" s="14">
        <v>105</v>
      </c>
      <c r="BD1249" s="14">
        <v>-193</v>
      </c>
    </row>
    <row r="1250" spans="39:56" x14ac:dyDescent="0.25">
      <c r="AM1250" s="14">
        <v>286</v>
      </c>
      <c r="AU1250" s="14">
        <v>-145</v>
      </c>
      <c r="AX1250" s="14">
        <v>-123</v>
      </c>
      <c r="AY1250" s="14">
        <v>47</v>
      </c>
      <c r="AZ1250" s="14">
        <v>-410</v>
      </c>
      <c r="BB1250" s="14">
        <v>27</v>
      </c>
      <c r="BD1250" s="14">
        <v>66</v>
      </c>
    </row>
    <row r="1251" spans="39:56" x14ac:dyDescent="0.25">
      <c r="AM1251" s="14">
        <v>333</v>
      </c>
      <c r="AU1251" s="14">
        <v>-45</v>
      </c>
      <c r="AX1251" s="14">
        <v>46</v>
      </c>
      <c r="AY1251" s="14">
        <v>-297</v>
      </c>
      <c r="AZ1251" s="14">
        <v>-597</v>
      </c>
      <c r="BB1251" s="14">
        <v>-259</v>
      </c>
      <c r="BD1251" s="14">
        <v>-114</v>
      </c>
    </row>
    <row r="1252" spans="39:56" x14ac:dyDescent="0.25">
      <c r="AM1252" s="14">
        <v>470</v>
      </c>
      <c r="AU1252" s="14">
        <v>-101</v>
      </c>
      <c r="AX1252" s="14">
        <v>170</v>
      </c>
      <c r="AY1252" s="14">
        <v>611</v>
      </c>
      <c r="AZ1252" s="14">
        <v>-290</v>
      </c>
      <c r="BB1252" s="14">
        <v>406</v>
      </c>
      <c r="BD1252" s="14">
        <v>147</v>
      </c>
    </row>
    <row r="1253" spans="39:56" x14ac:dyDescent="0.25">
      <c r="AM1253" s="14">
        <v>469</v>
      </c>
      <c r="AU1253" s="14">
        <v>-88</v>
      </c>
      <c r="AX1253" s="14">
        <v>375</v>
      </c>
      <c r="AY1253" s="14">
        <v>-456</v>
      </c>
      <c r="AZ1253" s="14">
        <v>118</v>
      </c>
      <c r="BB1253" s="14">
        <v>-72</v>
      </c>
      <c r="BD1253" s="14">
        <v>369</v>
      </c>
    </row>
    <row r="1254" spans="39:56" x14ac:dyDescent="0.25">
      <c r="AM1254" s="14">
        <v>340</v>
      </c>
      <c r="AU1254" s="14">
        <v>-35</v>
      </c>
      <c r="AX1254" s="14">
        <v>346</v>
      </c>
      <c r="AY1254" s="14">
        <v>-413</v>
      </c>
      <c r="AZ1254" s="14">
        <v>226</v>
      </c>
      <c r="BB1254" s="14">
        <v>305</v>
      </c>
      <c r="BD1254" s="14">
        <v>149</v>
      </c>
    </row>
    <row r="1255" spans="39:56" x14ac:dyDescent="0.25">
      <c r="AM1255" s="14">
        <v>392</v>
      </c>
      <c r="AU1255" s="14">
        <v>-71</v>
      </c>
      <c r="AX1255" s="14">
        <v>-5</v>
      </c>
      <c r="AY1255" s="14">
        <v>-87</v>
      </c>
      <c r="AZ1255" s="14">
        <v>131</v>
      </c>
      <c r="BB1255" s="14">
        <v>-186</v>
      </c>
      <c r="BD1255" s="14">
        <v>653</v>
      </c>
    </row>
    <row r="1256" spans="39:56" x14ac:dyDescent="0.25">
      <c r="AM1256" s="14">
        <v>224</v>
      </c>
      <c r="AU1256" s="14">
        <v>-97</v>
      </c>
      <c r="AX1256" s="14">
        <v>-222</v>
      </c>
      <c r="AY1256" s="14">
        <v>-136</v>
      </c>
      <c r="AZ1256" s="14">
        <v>-394</v>
      </c>
      <c r="BB1256" s="14">
        <v>-894</v>
      </c>
      <c r="BD1256" s="14">
        <v>1790</v>
      </c>
    </row>
    <row r="1257" spans="39:56" x14ac:dyDescent="0.25">
      <c r="AM1257" s="14">
        <v>195</v>
      </c>
      <c r="AU1257" s="14">
        <v>-16</v>
      </c>
      <c r="AX1257" s="14">
        <v>-115</v>
      </c>
      <c r="AY1257" s="14">
        <v>279</v>
      </c>
      <c r="AZ1257" s="14">
        <v>154</v>
      </c>
      <c r="BB1257" s="14">
        <v>-185</v>
      </c>
      <c r="BD1257" s="14">
        <v>1938</v>
      </c>
    </row>
    <row r="1258" spans="39:56" x14ac:dyDescent="0.25">
      <c r="AM1258" s="14">
        <v>320</v>
      </c>
      <c r="AU1258" s="14">
        <v>-127</v>
      </c>
      <c r="AX1258" s="14">
        <v>171</v>
      </c>
      <c r="AY1258" s="14">
        <v>113</v>
      </c>
      <c r="AZ1258" s="14">
        <v>374</v>
      </c>
      <c r="BB1258" s="14">
        <v>-367</v>
      </c>
      <c r="BD1258" s="14">
        <v>2824</v>
      </c>
    </row>
    <row r="1259" spans="39:56" x14ac:dyDescent="0.25">
      <c r="AM1259" s="14">
        <v>133</v>
      </c>
      <c r="AU1259" s="14">
        <v>-13</v>
      </c>
      <c r="AX1259" s="14">
        <v>330</v>
      </c>
      <c r="AY1259" s="14">
        <v>-23</v>
      </c>
      <c r="AZ1259" s="14">
        <v>737</v>
      </c>
      <c r="BB1259" s="14">
        <v>-190</v>
      </c>
      <c r="BD1259" s="14">
        <v>3526</v>
      </c>
    </row>
    <row r="1260" spans="39:56" x14ac:dyDescent="0.25">
      <c r="AM1260" s="14">
        <v>77</v>
      </c>
      <c r="AU1260" s="14">
        <v>-1</v>
      </c>
      <c r="AX1260" s="14">
        <v>28</v>
      </c>
      <c r="AY1260" s="14">
        <v>279</v>
      </c>
      <c r="AZ1260" s="14">
        <v>-393</v>
      </c>
      <c r="BB1260" s="14">
        <v>-554</v>
      </c>
      <c r="BD1260" s="14">
        <v>-1274</v>
      </c>
    </row>
    <row r="1261" spans="39:56" x14ac:dyDescent="0.25">
      <c r="AM1261" s="14">
        <v>84</v>
      </c>
      <c r="AU1261" s="14">
        <v>-34</v>
      </c>
      <c r="AX1261" s="14">
        <v>35</v>
      </c>
      <c r="AY1261" s="14">
        <v>181</v>
      </c>
      <c r="AZ1261" s="14">
        <v>-596</v>
      </c>
      <c r="BB1261" s="14">
        <v>-220</v>
      </c>
      <c r="BD1261" s="14">
        <v>-1104</v>
      </c>
    </row>
    <row r="1262" spans="39:56" x14ac:dyDescent="0.25">
      <c r="AM1262" s="14">
        <v>118</v>
      </c>
      <c r="AU1262" s="14">
        <v>-202</v>
      </c>
      <c r="AX1262" s="14">
        <v>-5</v>
      </c>
      <c r="AY1262" s="14">
        <v>34</v>
      </c>
      <c r="AZ1262" s="14">
        <v>-439</v>
      </c>
      <c r="BB1262" s="14">
        <v>736</v>
      </c>
      <c r="BD1262" s="14">
        <v>-1116</v>
      </c>
    </row>
    <row r="1263" spans="39:56" x14ac:dyDescent="0.25">
      <c r="AU1263" s="14">
        <v>-209</v>
      </c>
      <c r="AX1263" s="14">
        <v>-222</v>
      </c>
      <c r="AY1263" s="14">
        <v>353</v>
      </c>
      <c r="AZ1263" s="14">
        <v>-1</v>
      </c>
      <c r="BB1263" s="14">
        <v>-148</v>
      </c>
      <c r="BD1263" s="14">
        <v>-480</v>
      </c>
    </row>
    <row r="1264" spans="39:56" x14ac:dyDescent="0.25">
      <c r="AU1264" s="14">
        <v>144</v>
      </c>
      <c r="AX1264" s="14">
        <v>-115</v>
      </c>
      <c r="AY1264" s="14">
        <v>-19</v>
      </c>
      <c r="AZ1264" s="14">
        <v>440</v>
      </c>
      <c r="BB1264" s="14">
        <v>290</v>
      </c>
      <c r="BD1264" s="14">
        <v>-125</v>
      </c>
    </row>
    <row r="1265" spans="47:56" x14ac:dyDescent="0.25">
      <c r="AU1265" s="14">
        <v>-57</v>
      </c>
      <c r="AX1265" s="14">
        <v>173</v>
      </c>
      <c r="AY1265" s="14">
        <v>149</v>
      </c>
      <c r="AZ1265" s="14">
        <v>283</v>
      </c>
      <c r="BB1265" s="14">
        <v>-554</v>
      </c>
      <c r="BD1265" s="14">
        <v>91</v>
      </c>
    </row>
    <row r="1266" spans="47:56" x14ac:dyDescent="0.25">
      <c r="AU1266" s="14">
        <v>-243</v>
      </c>
      <c r="AX1266" s="14">
        <v>520</v>
      </c>
      <c r="AY1266" s="14">
        <v>28</v>
      </c>
      <c r="AZ1266" s="14">
        <v>-323</v>
      </c>
      <c r="BB1266" s="14">
        <v>-680</v>
      </c>
      <c r="BD1266" s="14">
        <v>30</v>
      </c>
    </row>
    <row r="1267" spans="47:56" x14ac:dyDescent="0.25">
      <c r="AU1267" s="14">
        <v>-193</v>
      </c>
      <c r="AX1267" s="14">
        <v>-44</v>
      </c>
      <c r="AY1267" s="14">
        <v>27</v>
      </c>
      <c r="AZ1267" s="14">
        <v>368</v>
      </c>
      <c r="BB1267" s="14">
        <v>67</v>
      </c>
      <c r="BD1267" s="14">
        <v>29</v>
      </c>
    </row>
    <row r="1268" spans="47:56" x14ac:dyDescent="0.25">
      <c r="AU1268" s="14">
        <v>-178</v>
      </c>
      <c r="AX1268" s="14">
        <v>35</v>
      </c>
      <c r="AY1268" s="14">
        <v>980</v>
      </c>
      <c r="AZ1268" s="14">
        <v>234</v>
      </c>
      <c r="BB1268" s="14">
        <v>501</v>
      </c>
      <c r="BD1268" s="14">
        <v>-408</v>
      </c>
    </row>
    <row r="1269" spans="47:56" x14ac:dyDescent="0.25">
      <c r="AU1269" s="14">
        <v>-326</v>
      </c>
      <c r="AX1269" s="14">
        <v>-5</v>
      </c>
      <c r="AY1269" s="14">
        <v>-9</v>
      </c>
      <c r="AZ1269" s="14">
        <v>131</v>
      </c>
      <c r="BB1269" s="14">
        <v>-339</v>
      </c>
      <c r="BD1269" s="14">
        <v>-85</v>
      </c>
    </row>
    <row r="1270" spans="47:56" x14ac:dyDescent="0.25">
      <c r="AU1270" s="14">
        <v>278</v>
      </c>
      <c r="AX1270" s="14">
        <v>-219</v>
      </c>
      <c r="AY1270" s="14">
        <v>88</v>
      </c>
      <c r="AZ1270" s="14">
        <v>-288</v>
      </c>
      <c r="BB1270" s="14">
        <v>-563</v>
      </c>
      <c r="BD1270" s="14">
        <v>-976</v>
      </c>
    </row>
    <row r="1271" spans="47:56" x14ac:dyDescent="0.25">
      <c r="AU1271" s="14">
        <v>376</v>
      </c>
      <c r="AX1271" s="14">
        <v>-113</v>
      </c>
      <c r="AY1271" s="14">
        <v>156</v>
      </c>
      <c r="AZ1271" s="14">
        <v>-614</v>
      </c>
      <c r="BB1271" s="14">
        <v>-157</v>
      </c>
      <c r="BD1271" s="14">
        <v>-845</v>
      </c>
    </row>
    <row r="1272" spans="47:56" x14ac:dyDescent="0.25">
      <c r="AU1272" s="14">
        <v>745</v>
      </c>
      <c r="AX1272" s="14">
        <v>37</v>
      </c>
      <c r="AY1272" s="14">
        <v>-575</v>
      </c>
      <c r="AZ1272" s="14">
        <v>-249</v>
      </c>
      <c r="BB1272" s="14">
        <v>-447</v>
      </c>
      <c r="BD1272" s="14">
        <v>-1633</v>
      </c>
    </row>
    <row r="1273" spans="47:56" x14ac:dyDescent="0.25">
      <c r="AU1273" s="14">
        <v>583</v>
      </c>
      <c r="AX1273" s="14">
        <v>766</v>
      </c>
      <c r="AY1273" s="14">
        <v>-34</v>
      </c>
      <c r="AZ1273" s="14">
        <v>121</v>
      </c>
      <c r="BB1273" s="14">
        <v>-332</v>
      </c>
      <c r="BD1273" s="14">
        <v>-256</v>
      </c>
    </row>
    <row r="1274" spans="47:56" x14ac:dyDescent="0.25">
      <c r="AU1274" s="14">
        <v>554</v>
      </c>
      <c r="AX1274" s="14">
        <v>638</v>
      </c>
      <c r="AY1274" s="14">
        <v>305</v>
      </c>
      <c r="AZ1274" s="14">
        <v>274</v>
      </c>
      <c r="BB1274" s="14">
        <v>383</v>
      </c>
      <c r="BD1274" s="14">
        <v>-2940</v>
      </c>
    </row>
    <row r="1275" spans="47:56" x14ac:dyDescent="0.25">
      <c r="AU1275" s="14">
        <v>38</v>
      </c>
      <c r="AX1275" s="14">
        <v>554</v>
      </c>
      <c r="AY1275" s="14">
        <v>-44</v>
      </c>
      <c r="AZ1275" s="14">
        <v>-248</v>
      </c>
      <c r="BB1275" s="14">
        <v>-141</v>
      </c>
      <c r="BD1275" s="14">
        <v>-4126</v>
      </c>
    </row>
    <row r="1276" spans="47:56" x14ac:dyDescent="0.25">
      <c r="AU1276" s="14">
        <v>596</v>
      </c>
      <c r="AX1276" s="14">
        <v>787</v>
      </c>
      <c r="AY1276" s="14">
        <v>151</v>
      </c>
      <c r="AZ1276" s="14">
        <v>-129</v>
      </c>
      <c r="BB1276" s="14">
        <v>-215</v>
      </c>
      <c r="BD1276" s="14">
        <v>-4</v>
      </c>
    </row>
    <row r="1277" spans="47:56" x14ac:dyDescent="0.25">
      <c r="AU1277" s="14">
        <v>452</v>
      </c>
      <c r="AX1277" s="14">
        <v>145</v>
      </c>
      <c r="AY1277" s="14">
        <v>15</v>
      </c>
      <c r="AZ1277" s="14">
        <v>674</v>
      </c>
      <c r="BB1277" s="14">
        <v>517</v>
      </c>
      <c r="BD1277" s="14">
        <v>-54</v>
      </c>
    </row>
    <row r="1278" spans="47:56" x14ac:dyDescent="0.25">
      <c r="AU1278" s="14">
        <v>398</v>
      </c>
      <c r="AX1278" s="14">
        <v>154</v>
      </c>
      <c r="AY1278" s="14">
        <v>752</v>
      </c>
      <c r="AZ1278" s="14">
        <v>157</v>
      </c>
      <c r="BB1278" s="14">
        <v>-878</v>
      </c>
      <c r="BD1278" s="14">
        <v>-1</v>
      </c>
    </row>
    <row r="1279" spans="47:56" x14ac:dyDescent="0.25">
      <c r="AU1279" s="14">
        <v>832</v>
      </c>
      <c r="AX1279" s="14">
        <v>327</v>
      </c>
      <c r="AY1279" s="14">
        <v>-14</v>
      </c>
      <c r="AZ1279" s="14">
        <v>653</v>
      </c>
      <c r="BB1279" s="14">
        <v>139</v>
      </c>
      <c r="BD1279" s="14">
        <v>-3</v>
      </c>
    </row>
    <row r="1280" spans="47:56" x14ac:dyDescent="0.25">
      <c r="AU1280" s="14">
        <v>22</v>
      </c>
      <c r="AX1280" s="14">
        <v>160</v>
      </c>
      <c r="AY1280" s="14">
        <v>218</v>
      </c>
      <c r="AZ1280" s="14">
        <v>-386</v>
      </c>
      <c r="BB1280" s="14">
        <v>237</v>
      </c>
      <c r="BD1280" s="14">
        <v>-4</v>
      </c>
    </row>
    <row r="1281" spans="47:56" x14ac:dyDescent="0.25">
      <c r="AU1281" s="14">
        <v>9</v>
      </c>
      <c r="AX1281" s="14">
        <v>-214</v>
      </c>
      <c r="AY1281" s="14">
        <v>-966</v>
      </c>
      <c r="AZ1281" s="14">
        <v>-721</v>
      </c>
      <c r="BB1281" s="14">
        <v>345</v>
      </c>
      <c r="BD1281" s="14">
        <v>-91</v>
      </c>
    </row>
    <row r="1282" spans="47:56" x14ac:dyDescent="0.25">
      <c r="AU1282" s="14">
        <v>46</v>
      </c>
      <c r="AX1282" s="14">
        <v>444</v>
      </c>
      <c r="AY1282" s="14">
        <v>-733</v>
      </c>
      <c r="AZ1282" s="14">
        <v>-313</v>
      </c>
      <c r="BB1282" s="14">
        <v>-202</v>
      </c>
      <c r="BD1282" s="14">
        <v>-39</v>
      </c>
    </row>
    <row r="1283" spans="47:56" x14ac:dyDescent="0.25">
      <c r="AU1283" s="14">
        <v>46</v>
      </c>
      <c r="AX1283" s="14">
        <v>126</v>
      </c>
      <c r="AY1283" s="14">
        <v>-76</v>
      </c>
      <c r="AZ1283" s="14">
        <v>133</v>
      </c>
      <c r="BB1283" s="14">
        <v>-295</v>
      </c>
      <c r="BD1283" s="14">
        <v>-33</v>
      </c>
    </row>
    <row r="1284" spans="47:56" x14ac:dyDescent="0.25">
      <c r="AU1284" s="14">
        <v>32</v>
      </c>
      <c r="AX1284" s="14">
        <v>329</v>
      </c>
      <c r="AY1284" s="14">
        <v>-9</v>
      </c>
      <c r="AZ1284" s="14">
        <v>130</v>
      </c>
      <c r="BB1284" s="14">
        <v>586</v>
      </c>
      <c r="BD1284" s="14">
        <v>90</v>
      </c>
    </row>
    <row r="1285" spans="47:56" x14ac:dyDescent="0.25">
      <c r="AU1285" s="14">
        <v>14</v>
      </c>
      <c r="AX1285" s="14">
        <v>572</v>
      </c>
      <c r="AY1285" s="14">
        <v>-15</v>
      </c>
      <c r="AZ1285" s="14">
        <v>178</v>
      </c>
      <c r="BB1285" s="14">
        <v>-108</v>
      </c>
      <c r="BD1285" s="14">
        <v>32</v>
      </c>
    </row>
    <row r="1286" spans="47:56" x14ac:dyDescent="0.25">
      <c r="AU1286" s="14">
        <v>53</v>
      </c>
      <c r="AX1286" s="14">
        <v>912</v>
      </c>
      <c r="AY1286" s="14">
        <v>213</v>
      </c>
      <c r="AZ1286" s="14">
        <v>-363</v>
      </c>
      <c r="BB1286" s="14">
        <v>-502</v>
      </c>
      <c r="BD1286" s="14">
        <v>183</v>
      </c>
    </row>
    <row r="1287" spans="47:56" x14ac:dyDescent="0.25">
      <c r="AU1287" s="14">
        <v>43</v>
      </c>
      <c r="AX1287" s="14">
        <v>-217</v>
      </c>
      <c r="AY1287" s="14">
        <v>102</v>
      </c>
      <c r="AZ1287" s="14">
        <v>193</v>
      </c>
      <c r="BB1287" s="14">
        <v>-15</v>
      </c>
      <c r="BD1287" s="14">
        <v>659</v>
      </c>
    </row>
    <row r="1288" spans="47:56" x14ac:dyDescent="0.25">
      <c r="AU1288" s="14">
        <v>39</v>
      </c>
      <c r="AX1288" s="14">
        <v>926</v>
      </c>
      <c r="AY1288" s="14">
        <v>-9</v>
      </c>
      <c r="AZ1288" s="14">
        <v>374</v>
      </c>
      <c r="BB1288" s="14">
        <v>-396</v>
      </c>
      <c r="BD1288" s="14">
        <v>1079</v>
      </c>
    </row>
    <row r="1289" spans="47:56" x14ac:dyDescent="0.25">
      <c r="AU1289" s="14">
        <v>71</v>
      </c>
      <c r="AX1289" s="14">
        <v>733</v>
      </c>
      <c r="AY1289" s="14">
        <v>9</v>
      </c>
      <c r="AZ1289" s="14">
        <v>-437</v>
      </c>
      <c r="BB1289" s="14">
        <v>178</v>
      </c>
      <c r="BD1289" s="14">
        <v>-116</v>
      </c>
    </row>
    <row r="1290" spans="47:56" x14ac:dyDescent="0.25">
      <c r="AU1290" s="14">
        <v>-23</v>
      </c>
      <c r="AX1290" s="14">
        <v>124</v>
      </c>
      <c r="AY1290" s="14">
        <v>-292</v>
      </c>
      <c r="AZ1290" s="14">
        <v>-683</v>
      </c>
      <c r="BB1290" s="14">
        <v>-633</v>
      </c>
      <c r="BD1290" s="14">
        <v>1830</v>
      </c>
    </row>
    <row r="1291" spans="47:56" x14ac:dyDescent="0.25">
      <c r="AU1291" s="14">
        <v>-165</v>
      </c>
      <c r="AX1291" s="14">
        <v>755</v>
      </c>
      <c r="AY1291" s="14">
        <v>-4</v>
      </c>
      <c r="AZ1291" s="14">
        <v>-480</v>
      </c>
      <c r="BB1291" s="14">
        <v>-147</v>
      </c>
      <c r="BD1291" s="14">
        <v>4619</v>
      </c>
    </row>
    <row r="1292" spans="47:56" x14ac:dyDescent="0.25">
      <c r="AU1292" s="14">
        <v>-654</v>
      </c>
      <c r="AX1292" s="14">
        <v>734</v>
      </c>
      <c r="AY1292" s="14">
        <v>3</v>
      </c>
      <c r="AZ1292" s="14">
        <v>2</v>
      </c>
      <c r="BB1292" s="14">
        <v>-408</v>
      </c>
      <c r="BD1292" s="14">
        <v>-390</v>
      </c>
    </row>
    <row r="1293" spans="47:56" x14ac:dyDescent="0.25">
      <c r="AU1293" s="14">
        <v>361</v>
      </c>
      <c r="AX1293" s="14">
        <v>264</v>
      </c>
      <c r="AY1293" s="14">
        <v>618</v>
      </c>
      <c r="AZ1293" s="14">
        <v>319</v>
      </c>
      <c r="BB1293" s="14">
        <v>342</v>
      </c>
      <c r="BD1293" s="14">
        <v>-297</v>
      </c>
    </row>
    <row r="1294" spans="47:56" x14ac:dyDescent="0.25">
      <c r="AU1294" s="14">
        <v>-562</v>
      </c>
      <c r="AX1294" s="14">
        <v>159</v>
      </c>
      <c r="AY1294" s="14">
        <v>-418</v>
      </c>
      <c r="AZ1294" s="14">
        <v>330</v>
      </c>
      <c r="BB1294" s="14">
        <v>108</v>
      </c>
      <c r="BD1294" s="14">
        <v>-332</v>
      </c>
    </row>
    <row r="1295" spans="47:56" x14ac:dyDescent="0.25">
      <c r="AU1295" s="14">
        <v>-220</v>
      </c>
      <c r="AX1295" s="14">
        <v>-242</v>
      </c>
      <c r="AY1295" s="14">
        <v>-225</v>
      </c>
      <c r="AZ1295" s="14">
        <v>-338</v>
      </c>
      <c r="BB1295" s="14">
        <v>214</v>
      </c>
      <c r="BD1295" s="14">
        <v>-538</v>
      </c>
    </row>
    <row r="1296" spans="47:56" x14ac:dyDescent="0.25">
      <c r="AU1296" s="14">
        <v>-328</v>
      </c>
      <c r="AX1296" s="14">
        <v>338</v>
      </c>
      <c r="AY1296" s="14">
        <v>133</v>
      </c>
      <c r="AZ1296" s="14">
        <v>433</v>
      </c>
      <c r="BB1296" s="14">
        <v>-365</v>
      </c>
      <c r="BD1296" s="14">
        <v>-1075</v>
      </c>
    </row>
    <row r="1297" spans="47:56" x14ac:dyDescent="0.25">
      <c r="AU1297" s="14">
        <v>206</v>
      </c>
      <c r="AX1297" s="14">
        <v>-293</v>
      </c>
      <c r="AY1297" s="14">
        <v>-159</v>
      </c>
      <c r="AZ1297" s="14">
        <v>234</v>
      </c>
      <c r="BB1297" s="14">
        <v>-256</v>
      </c>
      <c r="BD1297" s="14">
        <v>-302</v>
      </c>
    </row>
    <row r="1298" spans="47:56" x14ac:dyDescent="0.25">
      <c r="AU1298" s="14">
        <v>158</v>
      </c>
      <c r="AX1298" s="14">
        <v>583</v>
      </c>
      <c r="AY1298" s="14">
        <v>-128</v>
      </c>
      <c r="AZ1298" s="14">
        <v>413</v>
      </c>
      <c r="BB1298" s="14">
        <v>384</v>
      </c>
      <c r="BD1298" s="14">
        <v>-2913</v>
      </c>
    </row>
    <row r="1299" spans="47:56" x14ac:dyDescent="0.25">
      <c r="AU1299" s="14">
        <v>-190</v>
      </c>
      <c r="AX1299" s="14">
        <v>255</v>
      </c>
      <c r="AY1299" s="14">
        <v>-305</v>
      </c>
      <c r="AZ1299" s="14">
        <v>777</v>
      </c>
      <c r="BB1299" s="14">
        <v>-491</v>
      </c>
      <c r="BD1299" s="14">
        <v>-1423</v>
      </c>
    </row>
    <row r="1300" spans="47:56" x14ac:dyDescent="0.25">
      <c r="AU1300" s="14">
        <v>-325</v>
      </c>
      <c r="AX1300" s="14">
        <v>412</v>
      </c>
      <c r="AY1300" s="14">
        <v>113</v>
      </c>
      <c r="AZ1300" s="14">
        <v>627</v>
      </c>
      <c r="BB1300" s="14">
        <v>-451</v>
      </c>
      <c r="BD1300" s="14">
        <v>7379</v>
      </c>
    </row>
    <row r="1301" spans="47:56" x14ac:dyDescent="0.25">
      <c r="AU1301" s="14">
        <v>8</v>
      </c>
      <c r="AX1301" s="14">
        <v>-149</v>
      </c>
      <c r="AY1301" s="14">
        <v>-78</v>
      </c>
      <c r="AZ1301" s="14">
        <v>727</v>
      </c>
      <c r="BB1301" s="14">
        <v>-288</v>
      </c>
      <c r="BD1301" s="14">
        <v>3659</v>
      </c>
    </row>
    <row r="1302" spans="47:56" x14ac:dyDescent="0.25">
      <c r="AU1302" s="14">
        <v>-79</v>
      </c>
      <c r="AX1302" s="14">
        <v>222</v>
      </c>
      <c r="AY1302" s="14">
        <v>554</v>
      </c>
      <c r="AZ1302" s="14">
        <v>628</v>
      </c>
      <c r="BB1302" s="14">
        <v>-706</v>
      </c>
      <c r="BD1302" s="14">
        <v>-6793</v>
      </c>
    </row>
    <row r="1303" spans="47:56" x14ac:dyDescent="0.25">
      <c r="AU1303" s="14">
        <v>-6</v>
      </c>
      <c r="AX1303" s="14">
        <v>-360</v>
      </c>
      <c r="AY1303" s="14">
        <v>363</v>
      </c>
      <c r="AZ1303" s="14">
        <v>696</v>
      </c>
      <c r="BB1303" s="14">
        <v>248</v>
      </c>
      <c r="BD1303" s="14">
        <v>605</v>
      </c>
    </row>
    <row r="1304" spans="47:56" x14ac:dyDescent="0.25">
      <c r="AU1304" s="14">
        <v>880</v>
      </c>
      <c r="AX1304" s="14">
        <v>-806</v>
      </c>
      <c r="AY1304" s="14">
        <v>-20</v>
      </c>
      <c r="AZ1304" s="14">
        <v>717</v>
      </c>
      <c r="BB1304" s="14">
        <v>155</v>
      </c>
      <c r="BD1304" s="14">
        <v>-76037</v>
      </c>
    </row>
    <row r="1305" spans="47:56" x14ac:dyDescent="0.25">
      <c r="AU1305" s="14">
        <v>-131</v>
      </c>
      <c r="AX1305" s="14">
        <v>727</v>
      </c>
      <c r="AY1305" s="14">
        <v>-133</v>
      </c>
      <c r="AZ1305" s="14">
        <v>688</v>
      </c>
      <c r="BB1305" s="14">
        <v>-382</v>
      </c>
      <c r="BD1305" s="14">
        <v>696</v>
      </c>
    </row>
    <row r="1306" spans="47:56" x14ac:dyDescent="0.25">
      <c r="AU1306" s="14">
        <v>82</v>
      </c>
      <c r="AX1306" s="14">
        <v>-194</v>
      </c>
      <c r="AY1306" s="14">
        <v>-31</v>
      </c>
      <c r="AZ1306" s="14">
        <v>674</v>
      </c>
      <c r="BB1306" s="14">
        <v>-614</v>
      </c>
      <c r="BD1306" s="14">
        <v>23818</v>
      </c>
    </row>
    <row r="1307" spans="47:56" x14ac:dyDescent="0.25">
      <c r="AU1307" s="14">
        <v>68</v>
      </c>
      <c r="AX1307" s="14">
        <v>256</v>
      </c>
      <c r="AY1307" s="14">
        <v>-2</v>
      </c>
      <c r="AZ1307" s="14">
        <v>649</v>
      </c>
      <c r="BB1307" s="14">
        <v>284</v>
      </c>
      <c r="BD1307" s="14">
        <v>72996</v>
      </c>
    </row>
    <row r="1308" spans="47:56" x14ac:dyDescent="0.25">
      <c r="AU1308" s="14">
        <v>-146</v>
      </c>
      <c r="AX1308" s="14">
        <v>787</v>
      </c>
      <c r="AY1308" s="14">
        <v>55</v>
      </c>
      <c r="AZ1308" s="14">
        <v>723</v>
      </c>
      <c r="BB1308" s="14">
        <v>114</v>
      </c>
      <c r="BD1308" s="14">
        <v>278</v>
      </c>
    </row>
    <row r="1309" spans="47:56" x14ac:dyDescent="0.25">
      <c r="AU1309" s="14">
        <v>59</v>
      </c>
      <c r="AX1309" s="14">
        <v>-255</v>
      </c>
      <c r="AY1309" s="14">
        <v>-7</v>
      </c>
      <c r="AZ1309" s="14">
        <v>647</v>
      </c>
      <c r="BB1309" s="14">
        <v>426</v>
      </c>
      <c r="BD1309" s="14">
        <v>212</v>
      </c>
    </row>
    <row r="1310" spans="47:56" x14ac:dyDescent="0.25">
      <c r="AU1310" s="14">
        <v>690</v>
      </c>
      <c r="AX1310" s="14">
        <v>747</v>
      </c>
      <c r="AY1310" s="14">
        <v>-24</v>
      </c>
      <c r="AZ1310" s="14">
        <v>766</v>
      </c>
      <c r="BB1310" s="14">
        <v>-250</v>
      </c>
      <c r="BD1310" s="14">
        <v>326</v>
      </c>
    </row>
    <row r="1311" spans="47:56" x14ac:dyDescent="0.25">
      <c r="AU1311" s="14">
        <v>-813</v>
      </c>
      <c r="AX1311" s="14">
        <v>-199</v>
      </c>
      <c r="AY1311" s="14">
        <v>365</v>
      </c>
      <c r="AZ1311" s="14">
        <v>655</v>
      </c>
      <c r="BB1311" s="14">
        <v>-317</v>
      </c>
      <c r="BD1311" s="14">
        <v>338</v>
      </c>
    </row>
    <row r="1312" spans="47:56" x14ac:dyDescent="0.25">
      <c r="AU1312" s="14">
        <v>-280</v>
      </c>
      <c r="AX1312" s="14">
        <v>644</v>
      </c>
      <c r="AY1312" s="14">
        <v>116</v>
      </c>
      <c r="AZ1312" s="14">
        <v>730</v>
      </c>
      <c r="BB1312" s="14">
        <v>445</v>
      </c>
      <c r="BD1312" s="14">
        <v>162</v>
      </c>
    </row>
    <row r="1313" spans="47:56" x14ac:dyDescent="0.25">
      <c r="AU1313" s="14">
        <v>-401</v>
      </c>
      <c r="AX1313" s="14">
        <v>132</v>
      </c>
      <c r="AY1313" s="14">
        <v>-404</v>
      </c>
      <c r="AZ1313" s="14">
        <v>671</v>
      </c>
      <c r="BB1313" s="14">
        <v>-519</v>
      </c>
      <c r="BD1313" s="14">
        <v>370</v>
      </c>
    </row>
    <row r="1314" spans="47:56" x14ac:dyDescent="0.25">
      <c r="AU1314" s="14">
        <v>-98</v>
      </c>
      <c r="AX1314" s="14">
        <v>401</v>
      </c>
      <c r="AY1314" s="14">
        <v>-59</v>
      </c>
      <c r="AZ1314" s="14">
        <v>553</v>
      </c>
      <c r="BB1314" s="14">
        <v>-941</v>
      </c>
      <c r="BD1314" s="14">
        <v>510</v>
      </c>
    </row>
    <row r="1315" spans="47:56" x14ac:dyDescent="0.25">
      <c r="AU1315" s="14">
        <v>-32</v>
      </c>
      <c r="AX1315" s="14">
        <v>-114</v>
      </c>
      <c r="AY1315" s="14">
        <v>-10</v>
      </c>
      <c r="AZ1315" s="14">
        <v>625</v>
      </c>
      <c r="BB1315" s="14">
        <v>-257</v>
      </c>
      <c r="BD1315" s="14">
        <v>654</v>
      </c>
    </row>
    <row r="1316" spans="47:56" x14ac:dyDescent="0.25">
      <c r="AU1316" s="14">
        <v>-97</v>
      </c>
      <c r="AX1316" s="14">
        <v>863</v>
      </c>
      <c r="AY1316" s="14">
        <v>-1</v>
      </c>
      <c r="AZ1316" s="14">
        <v>438</v>
      </c>
      <c r="BB1316" s="14">
        <v>-102</v>
      </c>
      <c r="BD1316" s="14">
        <v>781</v>
      </c>
    </row>
    <row r="1317" spans="47:56" x14ac:dyDescent="0.25">
      <c r="AU1317" s="14">
        <v>179</v>
      </c>
      <c r="AX1317" s="14">
        <v>695</v>
      </c>
      <c r="AY1317" s="14">
        <v>22</v>
      </c>
      <c r="AZ1317" s="14">
        <v>711</v>
      </c>
      <c r="BB1317" s="14">
        <v>594</v>
      </c>
      <c r="BD1317" s="14">
        <v>531</v>
      </c>
    </row>
    <row r="1318" spans="47:56" x14ac:dyDescent="0.25">
      <c r="AU1318" s="14">
        <v>-76</v>
      </c>
      <c r="AX1318" s="14">
        <v>-259</v>
      </c>
      <c r="AY1318" s="14">
        <v>-1</v>
      </c>
      <c r="AZ1318" s="14">
        <v>364</v>
      </c>
      <c r="BB1318" s="14">
        <v>-202</v>
      </c>
      <c r="BD1318" s="14">
        <v>511</v>
      </c>
    </row>
    <row r="1319" spans="47:56" x14ac:dyDescent="0.25">
      <c r="AU1319" s="14">
        <v>374</v>
      </c>
      <c r="AX1319" s="14">
        <v>636</v>
      </c>
      <c r="AY1319" s="14">
        <v>4</v>
      </c>
      <c r="AZ1319" s="14">
        <v>433</v>
      </c>
      <c r="BB1319" s="14">
        <v>377</v>
      </c>
      <c r="BD1319" s="14">
        <v>847</v>
      </c>
    </row>
    <row r="1320" spans="47:56" x14ac:dyDescent="0.25">
      <c r="AU1320" s="14">
        <v>155</v>
      </c>
      <c r="AX1320" s="14">
        <v>-147</v>
      </c>
      <c r="AY1320" s="14">
        <v>-45</v>
      </c>
      <c r="AZ1320" s="14">
        <v>535</v>
      </c>
      <c r="BB1320" s="14">
        <v>260</v>
      </c>
      <c r="BD1320" s="14">
        <v>578</v>
      </c>
    </row>
    <row r="1321" spans="47:56" x14ac:dyDescent="0.25">
      <c r="AU1321" s="14">
        <v>-230</v>
      </c>
      <c r="AX1321" s="14">
        <v>159</v>
      </c>
      <c r="AY1321" s="14">
        <v>394</v>
      </c>
      <c r="AZ1321" s="14">
        <v>509</v>
      </c>
      <c r="BB1321" s="14">
        <v>117</v>
      </c>
      <c r="BD1321" s="14">
        <v>168</v>
      </c>
    </row>
    <row r="1322" spans="47:56" x14ac:dyDescent="0.25">
      <c r="AU1322" s="14">
        <v>-132</v>
      </c>
      <c r="AX1322" s="14">
        <v>172</v>
      </c>
      <c r="AY1322" s="14">
        <v>622</v>
      </c>
      <c r="AZ1322" s="14">
        <v>252</v>
      </c>
      <c r="BB1322" s="14">
        <v>-75</v>
      </c>
      <c r="BD1322" s="14">
        <v>70</v>
      </c>
    </row>
    <row r="1323" spans="47:56" x14ac:dyDescent="0.25">
      <c r="AU1323" s="14">
        <v>-64</v>
      </c>
      <c r="AX1323" s="14">
        <v>-779</v>
      </c>
      <c r="AY1323" s="14">
        <v>-17</v>
      </c>
      <c r="AZ1323" s="14">
        <v>417</v>
      </c>
      <c r="BB1323" s="14">
        <v>-134</v>
      </c>
      <c r="BD1323" s="14">
        <v>69</v>
      </c>
    </row>
    <row r="1324" spans="47:56" x14ac:dyDescent="0.25">
      <c r="AU1324" s="14">
        <v>-10</v>
      </c>
      <c r="AX1324" s="14">
        <v>663</v>
      </c>
      <c r="AY1324" s="14">
        <v>813</v>
      </c>
      <c r="AZ1324" s="14">
        <v>279</v>
      </c>
      <c r="BB1324" s="14">
        <v>27</v>
      </c>
      <c r="BD1324" s="14">
        <v>-96</v>
      </c>
    </row>
    <row r="1325" spans="47:56" x14ac:dyDescent="0.25">
      <c r="AU1325" s="14">
        <v>105</v>
      </c>
      <c r="AX1325" s="14">
        <v>-142</v>
      </c>
      <c r="AY1325" s="14">
        <v>-137</v>
      </c>
      <c r="AZ1325" s="14">
        <v>396</v>
      </c>
      <c r="BB1325" s="14">
        <v>-129</v>
      </c>
      <c r="BD1325" s="14">
        <v>-77</v>
      </c>
    </row>
    <row r="1326" spans="47:56" x14ac:dyDescent="0.25">
      <c r="AU1326" s="14">
        <v>-15</v>
      </c>
      <c r="AX1326" s="14">
        <v>222</v>
      </c>
      <c r="AY1326" s="14">
        <v>-1</v>
      </c>
      <c r="AZ1326" s="14">
        <v>145</v>
      </c>
      <c r="BB1326" s="14">
        <v>-129</v>
      </c>
      <c r="BD1326" s="14">
        <v>-2086</v>
      </c>
    </row>
    <row r="1327" spans="47:56" x14ac:dyDescent="0.25">
      <c r="AU1327" s="14">
        <v>-48</v>
      </c>
      <c r="AX1327" s="14">
        <v>170</v>
      </c>
      <c r="AY1327" s="14">
        <v>51</v>
      </c>
      <c r="AZ1327" s="14">
        <v>262</v>
      </c>
      <c r="BB1327" s="14">
        <v>-119</v>
      </c>
      <c r="BD1327" s="14">
        <v>-342</v>
      </c>
    </row>
    <row r="1328" spans="47:56" x14ac:dyDescent="0.25">
      <c r="AU1328" s="14">
        <v>-24</v>
      </c>
      <c r="AX1328" s="14">
        <v>113</v>
      </c>
      <c r="AY1328" s="14">
        <v>18</v>
      </c>
      <c r="AZ1328" s="14">
        <v>348</v>
      </c>
      <c r="BB1328" s="14">
        <v>4</v>
      </c>
      <c r="BD1328" s="14">
        <v>-4540</v>
      </c>
    </row>
    <row r="1329" spans="47:56" x14ac:dyDescent="0.25">
      <c r="AU1329" s="14">
        <v>44</v>
      </c>
      <c r="AX1329" s="14">
        <v>-237</v>
      </c>
      <c r="AY1329" s="14">
        <v>-2</v>
      </c>
      <c r="AZ1329" s="14">
        <v>327</v>
      </c>
      <c r="BB1329" s="14">
        <v>-208</v>
      </c>
      <c r="BD1329" s="14">
        <v>-1499</v>
      </c>
    </row>
    <row r="1330" spans="47:56" x14ac:dyDescent="0.25">
      <c r="AU1330" s="14">
        <v>-191</v>
      </c>
      <c r="AX1330" s="14">
        <v>313</v>
      </c>
      <c r="AY1330" s="14">
        <v>62</v>
      </c>
      <c r="AZ1330" s="14">
        <v>210</v>
      </c>
      <c r="BB1330" s="14">
        <v>-11</v>
      </c>
      <c r="BD1330" s="14">
        <v>-257</v>
      </c>
    </row>
    <row r="1331" spans="47:56" x14ac:dyDescent="0.25">
      <c r="AU1331" s="14">
        <v>440</v>
      </c>
      <c r="AX1331" s="14">
        <v>137</v>
      </c>
      <c r="AY1331" s="14">
        <v>21</v>
      </c>
      <c r="AZ1331" s="14">
        <v>283</v>
      </c>
      <c r="BB1331" s="14">
        <v>-350</v>
      </c>
      <c r="BD1331" s="14">
        <v>-4153</v>
      </c>
    </row>
    <row r="1332" spans="47:56" x14ac:dyDescent="0.25">
      <c r="AU1332" s="14">
        <v>425</v>
      </c>
      <c r="AX1332" s="14">
        <v>-840</v>
      </c>
      <c r="AY1332" s="14">
        <v>-167</v>
      </c>
      <c r="AZ1332" s="14">
        <v>274</v>
      </c>
      <c r="BB1332" s="14">
        <v>-301</v>
      </c>
      <c r="BD1332" s="14">
        <v>-2543</v>
      </c>
    </row>
    <row r="1333" spans="47:56" x14ac:dyDescent="0.25">
      <c r="AU1333" s="14">
        <v>-150</v>
      </c>
      <c r="AX1333" s="14">
        <v>707</v>
      </c>
      <c r="AY1333" s="14">
        <v>-535</v>
      </c>
      <c r="AZ1333" s="14">
        <v>564</v>
      </c>
      <c r="BB1333" s="14">
        <v>-114</v>
      </c>
      <c r="BD1333" s="14">
        <v>-158</v>
      </c>
    </row>
    <row r="1334" spans="47:56" x14ac:dyDescent="0.25">
      <c r="AU1334" s="14">
        <v>-29</v>
      </c>
      <c r="AX1334" s="14">
        <v>-110</v>
      </c>
      <c r="AY1334" s="14">
        <v>752</v>
      </c>
      <c r="AZ1334" s="14">
        <v>305</v>
      </c>
      <c r="BB1334" s="14">
        <v>68</v>
      </c>
      <c r="BD1334" s="14">
        <v>-5115</v>
      </c>
    </row>
    <row r="1335" spans="47:56" x14ac:dyDescent="0.25">
      <c r="AU1335" s="14">
        <v>-134</v>
      </c>
      <c r="AX1335" s="14">
        <v>209</v>
      </c>
      <c r="AY1335" s="14">
        <v>360</v>
      </c>
      <c r="AZ1335" s="14">
        <v>243</v>
      </c>
      <c r="BB1335" s="14">
        <v>-14</v>
      </c>
      <c r="BD1335" s="14">
        <v>144</v>
      </c>
    </row>
    <row r="1336" spans="47:56" x14ac:dyDescent="0.25">
      <c r="AU1336" s="14">
        <v>-114</v>
      </c>
      <c r="AX1336" s="14">
        <v>-288</v>
      </c>
      <c r="AY1336" s="14">
        <v>-659</v>
      </c>
      <c r="AZ1336" s="14">
        <v>299</v>
      </c>
      <c r="BB1336" s="14">
        <v>192</v>
      </c>
      <c r="BD1336" s="14">
        <v>116</v>
      </c>
    </row>
    <row r="1337" spans="47:56" x14ac:dyDescent="0.25">
      <c r="AU1337" s="14">
        <v>696</v>
      </c>
      <c r="AX1337" s="14">
        <v>220</v>
      </c>
      <c r="AY1337" s="14">
        <v>-22</v>
      </c>
      <c r="AZ1337" s="14">
        <v>328</v>
      </c>
      <c r="BB1337" s="14">
        <v>118</v>
      </c>
      <c r="BD1337" s="14">
        <v>173</v>
      </c>
    </row>
    <row r="1338" spans="47:56" x14ac:dyDescent="0.25">
      <c r="AU1338" s="14">
        <v>-740</v>
      </c>
      <c r="AX1338" s="14">
        <v>102</v>
      </c>
      <c r="AY1338" s="14">
        <v>-8</v>
      </c>
      <c r="AZ1338" s="14">
        <v>611</v>
      </c>
      <c r="BB1338" s="14">
        <v>741</v>
      </c>
      <c r="BD1338" s="14">
        <v>133</v>
      </c>
    </row>
    <row r="1339" spans="47:56" x14ac:dyDescent="0.25">
      <c r="AU1339" s="14">
        <v>-154</v>
      </c>
      <c r="AX1339" s="14">
        <v>-939</v>
      </c>
      <c r="AY1339" s="14">
        <v>32</v>
      </c>
      <c r="AZ1339" s="14">
        <v>246</v>
      </c>
      <c r="BB1339" s="14">
        <v>-225</v>
      </c>
      <c r="BD1339" s="14">
        <v>134</v>
      </c>
    </row>
    <row r="1340" spans="47:56" x14ac:dyDescent="0.25">
      <c r="AU1340" s="14">
        <v>518</v>
      </c>
      <c r="AX1340" s="14">
        <v>627</v>
      </c>
      <c r="AY1340" s="14">
        <v>13</v>
      </c>
      <c r="AZ1340" s="14">
        <v>357</v>
      </c>
      <c r="BB1340" s="14">
        <v>-290</v>
      </c>
      <c r="BD1340" s="14">
        <v>107</v>
      </c>
    </row>
    <row r="1341" spans="47:56" x14ac:dyDescent="0.25">
      <c r="AU1341" s="14">
        <v>242</v>
      </c>
      <c r="AX1341" s="14">
        <v>-177</v>
      </c>
      <c r="AY1341" s="14">
        <v>-49</v>
      </c>
      <c r="AZ1341" s="14">
        <v>514</v>
      </c>
      <c r="BB1341" s="14">
        <v>15</v>
      </c>
      <c r="BD1341" s="14">
        <v>-354</v>
      </c>
    </row>
    <row r="1342" spans="47:56" x14ac:dyDescent="0.25">
      <c r="AU1342" s="14">
        <v>188</v>
      </c>
      <c r="AX1342" s="14">
        <v>240</v>
      </c>
      <c r="AY1342" s="14">
        <v>24</v>
      </c>
      <c r="AZ1342" s="14">
        <v>203</v>
      </c>
      <c r="BB1342" s="14">
        <v>-137</v>
      </c>
      <c r="BD1342" s="14">
        <v>-375</v>
      </c>
    </row>
    <row r="1343" spans="47:56" x14ac:dyDescent="0.25">
      <c r="AU1343" s="14">
        <v>-257</v>
      </c>
      <c r="AX1343" s="14">
        <v>-36</v>
      </c>
      <c r="AY1343" s="14">
        <v>79</v>
      </c>
      <c r="AZ1343" s="14">
        <v>106</v>
      </c>
      <c r="BB1343" s="14">
        <v>-356</v>
      </c>
      <c r="BD1343" s="14">
        <v>1114</v>
      </c>
    </row>
    <row r="1344" spans="47:56" x14ac:dyDescent="0.25">
      <c r="AU1344" s="14">
        <v>30</v>
      </c>
      <c r="AX1344" s="14">
        <v>440</v>
      </c>
      <c r="AY1344" s="14">
        <v>-163</v>
      </c>
      <c r="AZ1344" s="14">
        <v>167</v>
      </c>
      <c r="BB1344" s="14">
        <v>-275</v>
      </c>
      <c r="BD1344" s="14">
        <v>1080</v>
      </c>
    </row>
    <row r="1345" spans="47:56" x14ac:dyDescent="0.25">
      <c r="AU1345" s="14">
        <v>11</v>
      </c>
      <c r="AX1345" s="14">
        <v>173</v>
      </c>
      <c r="AY1345" s="14">
        <v>526</v>
      </c>
      <c r="AZ1345" s="14">
        <v>293</v>
      </c>
      <c r="BB1345" s="14">
        <v>17</v>
      </c>
      <c r="BD1345" s="14">
        <v>-480</v>
      </c>
    </row>
    <row r="1346" spans="47:56" x14ac:dyDescent="0.25">
      <c r="AU1346" s="14">
        <v>-168</v>
      </c>
      <c r="AX1346" s="14">
        <v>-779</v>
      </c>
      <c r="AY1346" s="14">
        <v>158</v>
      </c>
      <c r="AZ1346" s="14">
        <v>181</v>
      </c>
      <c r="BB1346" s="14">
        <v>-289</v>
      </c>
      <c r="BD1346" s="14">
        <v>-508</v>
      </c>
    </row>
    <row r="1347" spans="47:56" x14ac:dyDescent="0.25">
      <c r="AU1347" s="14">
        <v>165</v>
      </c>
      <c r="AX1347" s="14">
        <v>518</v>
      </c>
      <c r="AY1347" s="14">
        <v>864</v>
      </c>
      <c r="AZ1347" s="14">
        <v>223</v>
      </c>
      <c r="BB1347" s="14">
        <v>-12</v>
      </c>
      <c r="BD1347" s="14">
        <v>-5127</v>
      </c>
    </row>
    <row r="1348" spans="47:56" x14ac:dyDescent="0.25">
      <c r="AU1348" s="14">
        <v>772</v>
      </c>
      <c r="AX1348" s="14">
        <v>-13</v>
      </c>
      <c r="AY1348" s="14">
        <v>968</v>
      </c>
      <c r="AZ1348" s="14">
        <v>77</v>
      </c>
      <c r="BB1348" s="14">
        <v>-284</v>
      </c>
      <c r="BD1348" s="14">
        <v>-2805</v>
      </c>
    </row>
    <row r="1349" spans="47:56" x14ac:dyDescent="0.25">
      <c r="AU1349" s="14">
        <v>-132</v>
      </c>
      <c r="AX1349" s="14">
        <v>234</v>
      </c>
      <c r="AY1349" s="14">
        <v>-40</v>
      </c>
      <c r="AZ1349" s="14">
        <v>168</v>
      </c>
      <c r="BB1349" s="14">
        <v>-646</v>
      </c>
      <c r="BD1349" s="14">
        <v>656</v>
      </c>
    </row>
    <row r="1350" spans="47:56" x14ac:dyDescent="0.25">
      <c r="AU1350" s="14">
        <v>-48</v>
      </c>
      <c r="AX1350" s="14">
        <v>-740</v>
      </c>
      <c r="AY1350" s="14">
        <v>-49</v>
      </c>
      <c r="AZ1350" s="14">
        <v>92</v>
      </c>
      <c r="BB1350" s="14">
        <v>-61</v>
      </c>
      <c r="BD1350" s="14">
        <v>-783</v>
      </c>
    </row>
    <row r="1351" spans="47:56" x14ac:dyDescent="0.25">
      <c r="AU1351" s="14">
        <v>51</v>
      </c>
      <c r="AX1351" s="14">
        <v>213</v>
      </c>
      <c r="AY1351" s="14">
        <v>-16</v>
      </c>
      <c r="AZ1351" s="14">
        <v>104</v>
      </c>
      <c r="BB1351" s="14">
        <v>86</v>
      </c>
      <c r="BD1351" s="14">
        <v>5031</v>
      </c>
    </row>
    <row r="1352" spans="47:56" x14ac:dyDescent="0.25">
      <c r="AU1352" s="14">
        <v>192</v>
      </c>
      <c r="AX1352" s="14">
        <v>241</v>
      </c>
      <c r="AY1352" s="14">
        <v>26</v>
      </c>
      <c r="AZ1352" s="14">
        <v>198</v>
      </c>
      <c r="BB1352" s="14">
        <v>-46</v>
      </c>
      <c r="BD1352" s="14">
        <v>3747</v>
      </c>
    </row>
    <row r="1353" spans="47:56" x14ac:dyDescent="0.25">
      <c r="AU1353" s="14">
        <v>14</v>
      </c>
      <c r="AX1353" s="14">
        <v>144</v>
      </c>
      <c r="AY1353" s="14">
        <v>10</v>
      </c>
      <c r="AZ1353" s="14">
        <v>156</v>
      </c>
      <c r="BB1353" s="14">
        <v>542</v>
      </c>
      <c r="BD1353" s="14">
        <v>57615</v>
      </c>
    </row>
    <row r="1354" spans="47:56" x14ac:dyDescent="0.25">
      <c r="AU1354" s="14">
        <v>67</v>
      </c>
      <c r="AX1354" s="14">
        <v>299</v>
      </c>
      <c r="AY1354" s="14">
        <v>15</v>
      </c>
      <c r="AZ1354" s="14">
        <v>125</v>
      </c>
      <c r="BB1354" s="14">
        <v>423</v>
      </c>
      <c r="BD1354" s="14">
        <v>38612</v>
      </c>
    </row>
    <row r="1355" spans="47:56" x14ac:dyDescent="0.25">
      <c r="AU1355" s="14">
        <v>3</v>
      </c>
      <c r="AX1355" s="14">
        <v>-210</v>
      </c>
      <c r="AY1355" s="14">
        <v>84</v>
      </c>
      <c r="AZ1355" s="14">
        <v>142</v>
      </c>
      <c r="BB1355" s="14">
        <v>110</v>
      </c>
      <c r="BD1355" s="14">
        <v>2767</v>
      </c>
    </row>
    <row r="1356" spans="47:56" x14ac:dyDescent="0.25">
      <c r="AU1356" s="14">
        <v>21</v>
      </c>
      <c r="AX1356" s="14">
        <v>173</v>
      </c>
      <c r="AY1356" s="14">
        <v>-42</v>
      </c>
      <c r="AZ1356" s="14">
        <v>93</v>
      </c>
      <c r="BB1356" s="14">
        <v>-422</v>
      </c>
      <c r="BD1356" s="14">
        <v>-81</v>
      </c>
    </row>
    <row r="1357" spans="47:56" x14ac:dyDescent="0.25">
      <c r="AU1357" s="14">
        <v>-56</v>
      </c>
      <c r="AX1357" s="14">
        <v>-86</v>
      </c>
      <c r="AY1357" s="14">
        <v>400</v>
      </c>
      <c r="AZ1357" s="14">
        <v>97</v>
      </c>
      <c r="BB1357" s="14">
        <v>-763</v>
      </c>
      <c r="BD1357" s="14">
        <v>73734</v>
      </c>
    </row>
    <row r="1358" spans="47:56" x14ac:dyDescent="0.25">
      <c r="AU1358" s="14">
        <v>321</v>
      </c>
      <c r="AX1358" s="14">
        <v>661</v>
      </c>
      <c r="AY1358" s="14">
        <v>612</v>
      </c>
      <c r="AZ1358" s="14">
        <v>178</v>
      </c>
      <c r="BB1358" s="14">
        <v>51</v>
      </c>
      <c r="BD1358" s="14">
        <v>45370</v>
      </c>
    </row>
    <row r="1359" spans="47:56" x14ac:dyDescent="0.25">
      <c r="AU1359" s="14">
        <v>-23</v>
      </c>
      <c r="AX1359" s="14">
        <v>-141</v>
      </c>
      <c r="AY1359" s="14">
        <v>-17</v>
      </c>
      <c r="AZ1359" s="14">
        <v>79</v>
      </c>
      <c r="BB1359" s="14">
        <v>-118</v>
      </c>
    </row>
    <row r="1360" spans="47:56" x14ac:dyDescent="0.25">
      <c r="AU1360" s="14">
        <v>-367</v>
      </c>
      <c r="AX1360" s="14">
        <v>105</v>
      </c>
      <c r="AY1360" s="14">
        <v>-27</v>
      </c>
      <c r="AZ1360" s="14">
        <v>166</v>
      </c>
      <c r="BB1360" s="14">
        <v>-824</v>
      </c>
    </row>
    <row r="1361" spans="47:54" x14ac:dyDescent="0.25">
      <c r="AU1361" s="14">
        <v>-499</v>
      </c>
      <c r="AX1361" s="14">
        <v>196</v>
      </c>
      <c r="AY1361" s="14">
        <v>669</v>
      </c>
      <c r="AZ1361" s="14">
        <v>56</v>
      </c>
      <c r="BB1361" s="14">
        <v>-614</v>
      </c>
    </row>
    <row r="1362" spans="47:54" x14ac:dyDescent="0.25">
      <c r="AU1362" s="14">
        <v>67</v>
      </c>
      <c r="AX1362" s="14">
        <v>118</v>
      </c>
      <c r="AY1362" s="14">
        <v>-111</v>
      </c>
      <c r="AZ1362" s="14">
        <v>347</v>
      </c>
      <c r="BB1362" s="14">
        <v>28</v>
      </c>
    </row>
    <row r="1363" spans="47:54" x14ac:dyDescent="0.25">
      <c r="AU1363" s="14">
        <v>257</v>
      </c>
      <c r="AX1363" s="14">
        <v>305</v>
      </c>
      <c r="AY1363" s="14">
        <v>-20</v>
      </c>
      <c r="AZ1363" s="14">
        <v>200</v>
      </c>
      <c r="BB1363" s="14">
        <v>-800</v>
      </c>
    </row>
    <row r="1364" spans="47:54" x14ac:dyDescent="0.25">
      <c r="AU1364" s="14">
        <v>113</v>
      </c>
      <c r="AX1364" s="14">
        <v>135</v>
      </c>
      <c r="AY1364" s="14">
        <v>-1</v>
      </c>
      <c r="AZ1364" s="14">
        <v>21</v>
      </c>
      <c r="BB1364" s="14">
        <v>-12</v>
      </c>
    </row>
    <row r="1365" spans="47:54" x14ac:dyDescent="0.25">
      <c r="AU1365" s="14">
        <v>-882</v>
      </c>
      <c r="AX1365" s="14">
        <v>-84</v>
      </c>
      <c r="AY1365" s="14">
        <v>40</v>
      </c>
      <c r="AZ1365" s="14">
        <v>-6</v>
      </c>
      <c r="BB1365" s="14">
        <v>-229</v>
      </c>
    </row>
    <row r="1366" spans="47:54" x14ac:dyDescent="0.25">
      <c r="AU1366" s="14">
        <v>-658</v>
      </c>
      <c r="AX1366" s="14">
        <v>663</v>
      </c>
      <c r="AY1366" s="14">
        <v>24</v>
      </c>
      <c r="AZ1366" s="14">
        <v>15</v>
      </c>
      <c r="BB1366" s="14">
        <v>-128</v>
      </c>
    </row>
    <row r="1367" spans="47:54" x14ac:dyDescent="0.25">
      <c r="AU1367" s="14">
        <v>-385</v>
      </c>
      <c r="AX1367" s="14">
        <v>-141</v>
      </c>
      <c r="AY1367" s="14">
        <v>-2</v>
      </c>
      <c r="AZ1367" s="14">
        <v>-7</v>
      </c>
      <c r="BB1367" s="14">
        <v>-35</v>
      </c>
    </row>
    <row r="1368" spans="47:54" x14ac:dyDescent="0.25">
      <c r="AU1368" s="14">
        <v>56</v>
      </c>
      <c r="AX1368" s="14">
        <v>157</v>
      </c>
      <c r="AY1368" s="14">
        <v>13</v>
      </c>
      <c r="AZ1368" s="14">
        <v>-7</v>
      </c>
      <c r="BB1368" s="14">
        <v>137</v>
      </c>
    </row>
    <row r="1369" spans="47:54" x14ac:dyDescent="0.25">
      <c r="AU1369" s="14">
        <v>-171</v>
      </c>
      <c r="AX1369" s="14">
        <v>178</v>
      </c>
      <c r="AY1369" s="14">
        <v>68</v>
      </c>
      <c r="AZ1369" s="14">
        <v>2</v>
      </c>
      <c r="BB1369" s="14">
        <v>-63</v>
      </c>
    </row>
    <row r="1370" spans="47:54" x14ac:dyDescent="0.25">
      <c r="AU1370" s="14">
        <v>-418</v>
      </c>
      <c r="AX1370" s="14">
        <v>121</v>
      </c>
      <c r="AY1370" s="14">
        <v>525</v>
      </c>
      <c r="AZ1370" s="14">
        <v>-4</v>
      </c>
      <c r="BB1370" s="14">
        <v>112</v>
      </c>
    </row>
    <row r="1371" spans="47:54" x14ac:dyDescent="0.25">
      <c r="AU1371" s="14">
        <v>-53</v>
      </c>
      <c r="AX1371" s="14">
        <v>309</v>
      </c>
      <c r="AY1371" s="14">
        <v>806</v>
      </c>
      <c r="AZ1371" s="14">
        <v>15</v>
      </c>
      <c r="BB1371" s="14">
        <v>101</v>
      </c>
    </row>
    <row r="1372" spans="47:54" x14ac:dyDescent="0.25">
      <c r="AU1372" s="14">
        <v>-56</v>
      </c>
      <c r="AX1372" s="14">
        <v>-746</v>
      </c>
      <c r="AY1372" s="14">
        <v>952</v>
      </c>
      <c r="AZ1372" s="14">
        <v>5</v>
      </c>
      <c r="BB1372" s="14">
        <v>108</v>
      </c>
    </row>
    <row r="1373" spans="47:54" x14ac:dyDescent="0.25">
      <c r="AU1373" s="14">
        <v>116</v>
      </c>
      <c r="AX1373" s="14">
        <v>797</v>
      </c>
      <c r="AY1373" s="14">
        <v>280</v>
      </c>
      <c r="AZ1373" s="14">
        <v>-3</v>
      </c>
      <c r="BB1373" s="14">
        <v>-537</v>
      </c>
    </row>
    <row r="1374" spans="47:54" x14ac:dyDescent="0.25">
      <c r="AU1374" s="14">
        <v>-363</v>
      </c>
      <c r="AX1374" s="14">
        <v>139</v>
      </c>
      <c r="AY1374" s="14">
        <v>593</v>
      </c>
      <c r="AZ1374" s="14">
        <v>1</v>
      </c>
      <c r="BB1374" s="14">
        <v>-224</v>
      </c>
    </row>
    <row r="1375" spans="47:54" x14ac:dyDescent="0.25">
      <c r="AU1375" s="14">
        <v>85</v>
      </c>
      <c r="AX1375" s="14">
        <v>-84</v>
      </c>
      <c r="AY1375" s="14">
        <v>103</v>
      </c>
      <c r="AZ1375" s="14">
        <v>1</v>
      </c>
      <c r="BB1375" s="14">
        <v>130</v>
      </c>
    </row>
    <row r="1376" spans="47:54" x14ac:dyDescent="0.25">
      <c r="AU1376" s="14">
        <v>204</v>
      </c>
      <c r="AX1376" s="14">
        <v>662</v>
      </c>
      <c r="AY1376" s="14">
        <v>444</v>
      </c>
      <c r="AZ1376" s="14">
        <v>-15</v>
      </c>
      <c r="BB1376" s="14">
        <v>103</v>
      </c>
    </row>
    <row r="1377" spans="47:54" x14ac:dyDescent="0.25">
      <c r="AU1377" s="14">
        <v>149</v>
      </c>
      <c r="AX1377" s="14">
        <v>-140</v>
      </c>
      <c r="AY1377" s="14">
        <v>830</v>
      </c>
      <c r="AZ1377" s="14">
        <v>-11</v>
      </c>
      <c r="BB1377" s="14">
        <v>-194</v>
      </c>
    </row>
    <row r="1378" spans="47:54" x14ac:dyDescent="0.25">
      <c r="AU1378" s="14">
        <v>179</v>
      </c>
      <c r="AX1378" s="14">
        <v>146</v>
      </c>
      <c r="AY1378" s="14">
        <v>661</v>
      </c>
      <c r="AZ1378" s="14">
        <v>9</v>
      </c>
      <c r="BB1378" s="14">
        <v>-123</v>
      </c>
    </row>
    <row r="1379" spans="47:54" x14ac:dyDescent="0.25">
      <c r="AU1379" s="14">
        <v>886</v>
      </c>
      <c r="AX1379" s="14">
        <v>184</v>
      </c>
      <c r="AY1379" s="14">
        <v>496</v>
      </c>
      <c r="AZ1379" s="14">
        <v>-1</v>
      </c>
      <c r="BB1379" s="14">
        <v>41</v>
      </c>
    </row>
    <row r="1380" spans="47:54" x14ac:dyDescent="0.25">
      <c r="AU1380" s="14">
        <v>-414</v>
      </c>
      <c r="AX1380" s="14">
        <v>117</v>
      </c>
      <c r="AY1380" s="14">
        <v>262</v>
      </c>
      <c r="AZ1380" s="14">
        <v>-15</v>
      </c>
      <c r="BB1380" s="14">
        <v>-115</v>
      </c>
    </row>
    <row r="1381" spans="47:54" x14ac:dyDescent="0.25">
      <c r="AU1381" s="14">
        <v>-123</v>
      </c>
      <c r="AX1381" s="14">
        <v>307</v>
      </c>
      <c r="AY1381" s="14">
        <v>558</v>
      </c>
      <c r="AZ1381" s="14">
        <v>-1</v>
      </c>
      <c r="BB1381" s="14">
        <v>29</v>
      </c>
    </row>
    <row r="1382" spans="47:54" x14ac:dyDescent="0.25">
      <c r="AU1382" s="14">
        <v>496</v>
      </c>
      <c r="AX1382" s="14">
        <v>528</v>
      </c>
      <c r="AY1382" s="14">
        <v>823</v>
      </c>
      <c r="AZ1382" s="14">
        <v>-11</v>
      </c>
      <c r="BB1382" s="14">
        <v>134</v>
      </c>
    </row>
    <row r="1383" spans="47:54" x14ac:dyDescent="0.25">
      <c r="AU1383" s="14">
        <v>126</v>
      </c>
      <c r="AX1383" s="14">
        <v>119</v>
      </c>
      <c r="AY1383" s="14">
        <v>482</v>
      </c>
      <c r="AZ1383" s="14">
        <v>8</v>
      </c>
      <c r="BB1383" s="14">
        <v>-160</v>
      </c>
    </row>
    <row r="1384" spans="47:54" x14ac:dyDescent="0.25">
      <c r="AU1384" s="14">
        <v>-112</v>
      </c>
      <c r="AX1384" s="14">
        <v>-84</v>
      </c>
      <c r="AY1384" s="14">
        <v>-688</v>
      </c>
      <c r="AZ1384" s="14">
        <v>5</v>
      </c>
      <c r="BB1384" s="14">
        <v>-389</v>
      </c>
    </row>
    <row r="1385" spans="47:54" x14ac:dyDescent="0.25">
      <c r="AU1385" s="14">
        <v>175</v>
      </c>
      <c r="AX1385" s="14">
        <v>600</v>
      </c>
      <c r="AY1385" s="14">
        <v>-608</v>
      </c>
      <c r="AZ1385" s="14">
        <v>102</v>
      </c>
      <c r="BB1385" s="14">
        <v>13</v>
      </c>
    </row>
    <row r="1386" spans="47:54" x14ac:dyDescent="0.25">
      <c r="AU1386" s="14">
        <v>49</v>
      </c>
      <c r="AX1386" s="14">
        <v>-142</v>
      </c>
      <c r="AY1386" s="14">
        <v>-105</v>
      </c>
      <c r="AZ1386" s="14">
        <v>958</v>
      </c>
      <c r="BB1386" s="14">
        <v>-131</v>
      </c>
    </row>
    <row r="1387" spans="47:54" x14ac:dyDescent="0.25">
      <c r="AU1387" s="14">
        <v>30</v>
      </c>
      <c r="AX1387" s="14">
        <v>243</v>
      </c>
      <c r="AY1387" s="14">
        <v>-311</v>
      </c>
      <c r="AZ1387" s="14">
        <v>939</v>
      </c>
      <c r="BB1387" s="14">
        <v>210</v>
      </c>
    </row>
    <row r="1388" spans="47:54" x14ac:dyDescent="0.25">
      <c r="AU1388" s="14">
        <v>-111</v>
      </c>
      <c r="AX1388" s="14">
        <v>303</v>
      </c>
      <c r="AY1388" s="14">
        <v>402</v>
      </c>
      <c r="AZ1388" s="14">
        <v>907</v>
      </c>
      <c r="BB1388" s="14">
        <v>218</v>
      </c>
    </row>
    <row r="1389" spans="47:54" x14ac:dyDescent="0.25">
      <c r="AU1389" s="14">
        <v>-120</v>
      </c>
      <c r="AX1389" s="14">
        <v>-958</v>
      </c>
      <c r="AY1389" s="14">
        <v>519</v>
      </c>
      <c r="AZ1389" s="14">
        <v>100</v>
      </c>
      <c r="BB1389" s="14">
        <v>-859</v>
      </c>
    </row>
    <row r="1390" spans="47:54" x14ac:dyDescent="0.25">
      <c r="AU1390" s="14">
        <v>-50</v>
      </c>
      <c r="AX1390" s="14">
        <v>233</v>
      </c>
      <c r="AY1390" s="14">
        <v>-437</v>
      </c>
      <c r="AZ1390" s="14">
        <v>895</v>
      </c>
      <c r="BB1390" s="14">
        <v>-775</v>
      </c>
    </row>
    <row r="1391" spans="47:54" x14ac:dyDescent="0.25">
      <c r="AU1391" s="14">
        <v>-10</v>
      </c>
      <c r="AX1391" s="14">
        <v>789</v>
      </c>
      <c r="AY1391" s="14">
        <v>220</v>
      </c>
      <c r="AZ1391" s="14">
        <v>958</v>
      </c>
      <c r="BB1391" s="14">
        <v>-348</v>
      </c>
    </row>
    <row r="1392" spans="47:54" x14ac:dyDescent="0.25">
      <c r="AU1392" s="14">
        <v>-21</v>
      </c>
      <c r="AX1392" s="14">
        <v>141</v>
      </c>
      <c r="AY1392" s="14">
        <v>-266</v>
      </c>
      <c r="AZ1392" s="14">
        <v>102</v>
      </c>
      <c r="BB1392" s="14">
        <v>149</v>
      </c>
    </row>
    <row r="1393" spans="47:54" x14ac:dyDescent="0.25">
      <c r="AU1393" s="14">
        <v>-67</v>
      </c>
      <c r="AX1393" s="14">
        <v>-83</v>
      </c>
      <c r="AY1393" s="14">
        <v>-295</v>
      </c>
      <c r="AZ1393" s="14">
        <v>104</v>
      </c>
      <c r="BB1393" s="14">
        <v>307</v>
      </c>
    </row>
    <row r="1394" spans="47:54" x14ac:dyDescent="0.25">
      <c r="AU1394" s="14">
        <v>552</v>
      </c>
      <c r="AX1394" s="14">
        <v>-199</v>
      </c>
      <c r="AY1394" s="14">
        <v>-73</v>
      </c>
      <c r="AZ1394" s="14">
        <v>104</v>
      </c>
      <c r="BB1394" s="14">
        <v>-237</v>
      </c>
    </row>
    <row r="1395" spans="47:54" x14ac:dyDescent="0.25">
      <c r="AU1395" s="14">
        <v>-162</v>
      </c>
      <c r="AX1395" s="14">
        <v>92</v>
      </c>
      <c r="AY1395" s="14">
        <v>-290</v>
      </c>
      <c r="AZ1395" s="14">
        <v>112</v>
      </c>
      <c r="BB1395" s="14">
        <v>-183</v>
      </c>
    </row>
    <row r="1396" spans="47:54" x14ac:dyDescent="0.25">
      <c r="AU1396" s="14">
        <v>-323</v>
      </c>
      <c r="AX1396" s="14">
        <v>-32</v>
      </c>
      <c r="AY1396" s="14">
        <v>19</v>
      </c>
      <c r="AZ1396" s="14">
        <v>102</v>
      </c>
      <c r="BB1396" s="14">
        <v>114</v>
      </c>
    </row>
    <row r="1397" spans="47:54" x14ac:dyDescent="0.25">
      <c r="AU1397" s="14">
        <v>600</v>
      </c>
      <c r="AX1397" s="14">
        <v>12</v>
      </c>
      <c r="AY1397" s="14">
        <v>87</v>
      </c>
      <c r="AZ1397" s="14">
        <v>119</v>
      </c>
      <c r="BB1397" s="14">
        <v>-112</v>
      </c>
    </row>
    <row r="1398" spans="47:54" x14ac:dyDescent="0.25">
      <c r="AU1398" s="14">
        <v>45</v>
      </c>
      <c r="AX1398" s="14">
        <v>459</v>
      </c>
      <c r="AY1398" s="14">
        <v>-401</v>
      </c>
      <c r="AZ1398" s="14">
        <v>121</v>
      </c>
      <c r="BB1398" s="14">
        <v>105</v>
      </c>
    </row>
    <row r="1399" spans="47:54" x14ac:dyDescent="0.25">
      <c r="AU1399" s="14">
        <v>-14</v>
      </c>
      <c r="AX1399" s="14">
        <v>199</v>
      </c>
      <c r="AY1399" s="14">
        <v>224</v>
      </c>
      <c r="AZ1399" s="14">
        <v>107</v>
      </c>
      <c r="BB1399" s="14">
        <v>505</v>
      </c>
    </row>
    <row r="1400" spans="47:54" x14ac:dyDescent="0.25">
      <c r="AU1400" s="14">
        <v>-7</v>
      </c>
      <c r="AX1400" s="14">
        <v>112</v>
      </c>
      <c r="AY1400" s="14">
        <v>9</v>
      </c>
      <c r="AZ1400" s="14">
        <v>981</v>
      </c>
      <c r="BB1400" s="14">
        <v>-336</v>
      </c>
    </row>
    <row r="1401" spans="47:54" x14ac:dyDescent="0.25">
      <c r="AU1401" s="14">
        <v>-51</v>
      </c>
      <c r="AX1401" s="14">
        <v>106</v>
      </c>
      <c r="AY1401" s="14">
        <v>-307</v>
      </c>
      <c r="AZ1401" s="14">
        <v>101</v>
      </c>
      <c r="BB1401" s="14">
        <v>-380</v>
      </c>
    </row>
    <row r="1402" spans="47:54" x14ac:dyDescent="0.25">
      <c r="AU1402" s="14">
        <v>-12</v>
      </c>
      <c r="AX1402" s="14">
        <v>420</v>
      </c>
      <c r="AY1402" s="14">
        <v>251</v>
      </c>
      <c r="AZ1402" s="14">
        <v>100</v>
      </c>
      <c r="BB1402" s="14">
        <v>173</v>
      </c>
    </row>
    <row r="1403" spans="47:54" x14ac:dyDescent="0.25">
      <c r="AU1403" s="14">
        <v>-2</v>
      </c>
      <c r="AX1403" s="14">
        <v>-237</v>
      </c>
      <c r="AY1403" s="14">
        <v>-110</v>
      </c>
      <c r="AZ1403" s="14">
        <v>100</v>
      </c>
      <c r="BB1403" s="14">
        <v>-38</v>
      </c>
    </row>
    <row r="1404" spans="47:54" x14ac:dyDescent="0.25">
      <c r="AU1404" s="14">
        <v>-19</v>
      </c>
      <c r="AX1404" s="14">
        <v>668</v>
      </c>
      <c r="AY1404" s="14">
        <v>283</v>
      </c>
      <c r="AZ1404" s="14">
        <v>999</v>
      </c>
      <c r="BB1404" s="14">
        <v>426</v>
      </c>
    </row>
    <row r="1405" spans="47:54" x14ac:dyDescent="0.25">
      <c r="AU1405" s="14">
        <v>20</v>
      </c>
      <c r="AX1405" s="14">
        <v>-951</v>
      </c>
      <c r="AY1405" s="14">
        <v>5</v>
      </c>
      <c r="AZ1405" s="14">
        <v>103</v>
      </c>
      <c r="BB1405" s="14">
        <v>261</v>
      </c>
    </row>
    <row r="1406" spans="47:54" x14ac:dyDescent="0.25">
      <c r="AU1406" s="14">
        <v>297</v>
      </c>
      <c r="AX1406" s="14">
        <v>430</v>
      </c>
      <c r="AY1406" s="14">
        <v>-199</v>
      </c>
      <c r="AZ1406" s="14">
        <v>106</v>
      </c>
      <c r="BB1406" s="14">
        <v>166</v>
      </c>
    </row>
    <row r="1407" spans="47:54" x14ac:dyDescent="0.25">
      <c r="AU1407" s="14">
        <v>-283</v>
      </c>
      <c r="AX1407" s="14">
        <v>262</v>
      </c>
      <c r="AY1407" s="14">
        <v>-38</v>
      </c>
      <c r="AZ1407" s="14">
        <v>584</v>
      </c>
      <c r="BB1407" s="14">
        <v>256</v>
      </c>
    </row>
    <row r="1408" spans="47:54" x14ac:dyDescent="0.25">
      <c r="AU1408" s="14">
        <v>-13</v>
      </c>
      <c r="AX1408" s="14">
        <v>-481</v>
      </c>
      <c r="AY1408" s="14">
        <v>-114</v>
      </c>
      <c r="AZ1408" s="14">
        <v>384</v>
      </c>
      <c r="BB1408" s="14">
        <v>-202</v>
      </c>
    </row>
    <row r="1409" spans="47:54" x14ac:dyDescent="0.25">
      <c r="AU1409" s="14">
        <v>341</v>
      </c>
      <c r="AX1409" s="14">
        <v>689</v>
      </c>
      <c r="AY1409" s="14">
        <v>21</v>
      </c>
      <c r="AZ1409" s="14">
        <v>548</v>
      </c>
      <c r="BB1409" s="14">
        <v>378</v>
      </c>
    </row>
    <row r="1410" spans="47:54" x14ac:dyDescent="0.25">
      <c r="AU1410" s="14">
        <v>-30</v>
      </c>
      <c r="AX1410" s="14">
        <v>199</v>
      </c>
      <c r="AY1410" s="14">
        <v>-154</v>
      </c>
      <c r="AZ1410" s="14">
        <v>447</v>
      </c>
      <c r="BB1410" s="14">
        <v>-185</v>
      </c>
    </row>
    <row r="1411" spans="47:54" x14ac:dyDescent="0.25">
      <c r="AU1411" s="14">
        <v>-8</v>
      </c>
      <c r="AX1411" s="14">
        <v>-493</v>
      </c>
      <c r="AY1411" s="14">
        <v>-10</v>
      </c>
      <c r="AZ1411" s="14">
        <v>508</v>
      </c>
      <c r="BB1411" s="14">
        <v>475</v>
      </c>
    </row>
    <row r="1412" spans="47:54" x14ac:dyDescent="0.25">
      <c r="AU1412" s="14">
        <v>-35</v>
      </c>
      <c r="AX1412" s="14">
        <v>231</v>
      </c>
      <c r="AY1412" s="14">
        <v>6</v>
      </c>
      <c r="AZ1412" s="14">
        <v>446</v>
      </c>
      <c r="BB1412" s="14">
        <v>-561</v>
      </c>
    </row>
    <row r="1413" spans="47:54" x14ac:dyDescent="0.25">
      <c r="AU1413" s="14">
        <v>30</v>
      </c>
      <c r="AX1413" s="14">
        <v>126</v>
      </c>
      <c r="AY1413" s="14">
        <v>-123</v>
      </c>
      <c r="AZ1413" s="14">
        <v>600</v>
      </c>
      <c r="BB1413" s="14">
        <v>236</v>
      </c>
    </row>
    <row r="1414" spans="47:54" x14ac:dyDescent="0.25">
      <c r="AU1414" s="14">
        <v>-15</v>
      </c>
      <c r="AX1414" s="14">
        <v>-117</v>
      </c>
      <c r="AY1414" s="14">
        <v>494</v>
      </c>
      <c r="AZ1414" s="14">
        <v>551</v>
      </c>
      <c r="BB1414" s="14">
        <v>-483</v>
      </c>
    </row>
    <row r="1415" spans="47:54" x14ac:dyDescent="0.25">
      <c r="AU1415" s="14">
        <v>-19</v>
      </c>
      <c r="AX1415" s="14">
        <v>628</v>
      </c>
      <c r="AY1415" s="14">
        <v>830</v>
      </c>
      <c r="AZ1415" s="14">
        <v>540</v>
      </c>
      <c r="BB1415" s="14">
        <v>158</v>
      </c>
    </row>
    <row r="1416" spans="47:54" x14ac:dyDescent="0.25">
      <c r="AU1416" s="14">
        <v>44</v>
      </c>
      <c r="AX1416" s="14">
        <v>956</v>
      </c>
      <c r="AY1416" s="14">
        <v>390</v>
      </c>
      <c r="AZ1416" s="14">
        <v>274</v>
      </c>
      <c r="BB1416" s="14">
        <v>-124</v>
      </c>
    </row>
    <row r="1417" spans="47:54" x14ac:dyDescent="0.25">
      <c r="AU1417" s="14">
        <v>8</v>
      </c>
      <c r="AX1417" s="14">
        <v>-783</v>
      </c>
      <c r="AY1417" s="14">
        <v>-214</v>
      </c>
      <c r="AZ1417" s="14">
        <v>371</v>
      </c>
      <c r="BB1417" s="14">
        <v>205</v>
      </c>
    </row>
    <row r="1418" spans="47:54" x14ac:dyDescent="0.25">
      <c r="AU1418" s="14">
        <v>-240</v>
      </c>
      <c r="AX1418" s="14">
        <v>165</v>
      </c>
      <c r="AY1418" s="14">
        <v>-512</v>
      </c>
      <c r="AZ1418" s="14">
        <v>323</v>
      </c>
      <c r="BB1418" s="14">
        <v>-279</v>
      </c>
    </row>
    <row r="1419" spans="47:54" x14ac:dyDescent="0.25">
      <c r="AU1419" s="14">
        <v>3</v>
      </c>
      <c r="AX1419" s="14">
        <v>181</v>
      </c>
      <c r="AY1419" s="14">
        <v>279</v>
      </c>
      <c r="AZ1419" s="14">
        <v>279</v>
      </c>
      <c r="BB1419" s="14">
        <v>44</v>
      </c>
    </row>
    <row r="1420" spans="47:54" x14ac:dyDescent="0.25">
      <c r="AU1420" s="14">
        <v>235</v>
      </c>
      <c r="AX1420" s="14">
        <v>-128</v>
      </c>
      <c r="AY1420" s="14">
        <v>-106</v>
      </c>
      <c r="AZ1420" s="14">
        <v>502</v>
      </c>
      <c r="BB1420" s="14">
        <v>119</v>
      </c>
    </row>
    <row r="1421" spans="47:54" x14ac:dyDescent="0.25">
      <c r="AU1421" s="14">
        <v>268</v>
      </c>
      <c r="AX1421" s="14">
        <v>539</v>
      </c>
      <c r="AY1421" s="14">
        <v>-106</v>
      </c>
      <c r="AZ1421" s="14">
        <v>418</v>
      </c>
      <c r="BB1421" s="14">
        <v>248</v>
      </c>
    </row>
    <row r="1422" spans="47:54" x14ac:dyDescent="0.25">
      <c r="AU1422" s="14">
        <v>191</v>
      </c>
      <c r="AX1422" s="14">
        <v>-984</v>
      </c>
      <c r="AY1422" s="14">
        <v>660</v>
      </c>
      <c r="AZ1422" s="14">
        <v>230</v>
      </c>
      <c r="BB1422" s="14">
        <v>118</v>
      </c>
    </row>
    <row r="1423" spans="47:54" x14ac:dyDescent="0.25">
      <c r="AU1423" s="14">
        <v>-13</v>
      </c>
      <c r="AX1423" s="14">
        <v>175</v>
      </c>
      <c r="AY1423" s="14">
        <v>-280</v>
      </c>
      <c r="AZ1423" s="14">
        <v>310</v>
      </c>
      <c r="BB1423" s="14">
        <v>130</v>
      </c>
    </row>
    <row r="1424" spans="47:54" x14ac:dyDescent="0.25">
      <c r="AU1424" s="14">
        <v>127</v>
      </c>
      <c r="AX1424" s="14">
        <v>280</v>
      </c>
      <c r="AY1424" s="14">
        <v>496</v>
      </c>
      <c r="AZ1424" s="14">
        <v>259</v>
      </c>
      <c r="BB1424" s="14">
        <v>116</v>
      </c>
    </row>
    <row r="1425" spans="47:54" x14ac:dyDescent="0.25">
      <c r="AU1425" s="14">
        <v>219</v>
      </c>
      <c r="AX1425" s="14">
        <v>166</v>
      </c>
      <c r="AY1425" s="14">
        <v>292</v>
      </c>
      <c r="AZ1425" s="14">
        <v>311</v>
      </c>
      <c r="BB1425" s="14">
        <v>-416</v>
      </c>
    </row>
    <row r="1426" spans="47:54" x14ac:dyDescent="0.25">
      <c r="AU1426" s="14">
        <v>3</v>
      </c>
      <c r="AX1426" s="14">
        <v>-139</v>
      </c>
      <c r="AY1426" s="14">
        <v>378</v>
      </c>
      <c r="AZ1426" s="14">
        <v>290</v>
      </c>
      <c r="BB1426" s="14">
        <v>199</v>
      </c>
    </row>
    <row r="1427" spans="47:54" x14ac:dyDescent="0.25">
      <c r="AU1427" s="14">
        <v>313</v>
      </c>
      <c r="AX1427" s="14">
        <v>669</v>
      </c>
      <c r="AY1427" s="14">
        <v>433</v>
      </c>
      <c r="AZ1427" s="14">
        <v>428</v>
      </c>
      <c r="BB1427" s="14">
        <v>-188</v>
      </c>
    </row>
    <row r="1428" spans="47:54" x14ac:dyDescent="0.25">
      <c r="AU1428" s="14">
        <v>192</v>
      </c>
      <c r="AX1428" s="14">
        <v>127</v>
      </c>
      <c r="AY1428" s="14">
        <v>493</v>
      </c>
      <c r="AZ1428" s="14">
        <v>188</v>
      </c>
      <c r="BB1428" s="14">
        <v>124</v>
      </c>
    </row>
    <row r="1429" spans="47:54" x14ac:dyDescent="0.25">
      <c r="AU1429" s="14">
        <v>114</v>
      </c>
      <c r="AX1429" s="14">
        <v>309</v>
      </c>
      <c r="AY1429" s="14">
        <v>364</v>
      </c>
      <c r="AZ1429" s="14">
        <v>292</v>
      </c>
      <c r="BB1429" s="14">
        <v>-123</v>
      </c>
    </row>
    <row r="1430" spans="47:54" x14ac:dyDescent="0.25">
      <c r="AU1430" s="14">
        <v>-127</v>
      </c>
      <c r="AX1430" s="14">
        <v>106</v>
      </c>
      <c r="AY1430" s="14">
        <v>204</v>
      </c>
      <c r="AZ1430" s="14">
        <v>375</v>
      </c>
      <c r="BB1430" s="14">
        <v>108</v>
      </c>
    </row>
    <row r="1431" spans="47:54" x14ac:dyDescent="0.25">
      <c r="AU1431" s="14">
        <v>86</v>
      </c>
      <c r="AX1431" s="14">
        <v>141</v>
      </c>
      <c r="AY1431" s="14">
        <v>855</v>
      </c>
      <c r="AZ1431" s="14">
        <v>703</v>
      </c>
      <c r="BB1431" s="14">
        <v>-635</v>
      </c>
    </row>
    <row r="1432" spans="47:54" x14ac:dyDescent="0.25">
      <c r="AU1432" s="14">
        <v>-200</v>
      </c>
      <c r="AX1432" s="14">
        <v>-154</v>
      </c>
      <c r="AY1432" s="14">
        <v>980</v>
      </c>
      <c r="AZ1432" s="14">
        <v>534</v>
      </c>
      <c r="BB1432" s="14">
        <v>152</v>
      </c>
    </row>
    <row r="1433" spans="47:54" x14ac:dyDescent="0.25">
      <c r="AU1433" s="14">
        <v>-324</v>
      </c>
      <c r="AX1433" s="14">
        <v>665</v>
      </c>
      <c r="AY1433" s="14">
        <v>-403</v>
      </c>
      <c r="AZ1433" s="14">
        <v>416</v>
      </c>
      <c r="BB1433" s="14">
        <v>-956</v>
      </c>
    </row>
    <row r="1434" spans="47:54" x14ac:dyDescent="0.25">
      <c r="AU1434" s="14">
        <v>886</v>
      </c>
      <c r="AX1434" s="14">
        <v>-189</v>
      </c>
      <c r="AY1434" s="14">
        <v>-588</v>
      </c>
      <c r="AZ1434" s="14">
        <v>390</v>
      </c>
      <c r="BB1434" s="14">
        <v>417</v>
      </c>
    </row>
    <row r="1435" spans="47:54" x14ac:dyDescent="0.25">
      <c r="AU1435" s="14">
        <v>532</v>
      </c>
      <c r="AX1435" s="14">
        <v>-531</v>
      </c>
      <c r="AY1435" s="14">
        <v>585</v>
      </c>
      <c r="AZ1435" s="14">
        <v>310</v>
      </c>
      <c r="BB1435" s="14">
        <v>-141</v>
      </c>
    </row>
    <row r="1436" spans="47:54" x14ac:dyDescent="0.25">
      <c r="AU1436" s="14">
        <v>-264</v>
      </c>
      <c r="AX1436" s="14">
        <v>116</v>
      </c>
      <c r="AY1436" s="14">
        <v>-522</v>
      </c>
      <c r="AZ1436" s="14">
        <v>345</v>
      </c>
      <c r="BB1436" s="14">
        <v>52</v>
      </c>
    </row>
    <row r="1437" spans="47:54" x14ac:dyDescent="0.25">
      <c r="AU1437" s="14">
        <v>-229</v>
      </c>
      <c r="AX1437" s="14">
        <v>-692</v>
      </c>
      <c r="AY1437" s="14">
        <v>157</v>
      </c>
      <c r="AZ1437" s="14">
        <v>211</v>
      </c>
      <c r="BB1437" s="14">
        <v>378</v>
      </c>
    </row>
    <row r="1438" spans="47:54" x14ac:dyDescent="0.25">
      <c r="AU1438" s="14">
        <v>206</v>
      </c>
      <c r="AX1438" s="14">
        <v>-230</v>
      </c>
      <c r="AY1438" s="14">
        <v>151</v>
      </c>
      <c r="AZ1438" s="14">
        <v>378</v>
      </c>
      <c r="BB1438" s="14">
        <v>595</v>
      </c>
    </row>
    <row r="1439" spans="47:54" x14ac:dyDescent="0.25">
      <c r="AU1439" s="14">
        <v>988</v>
      </c>
      <c r="AX1439" s="14">
        <v>679</v>
      </c>
      <c r="AY1439" s="14">
        <v>479</v>
      </c>
      <c r="AZ1439" s="14">
        <v>155</v>
      </c>
      <c r="BB1439" s="14">
        <v>432</v>
      </c>
    </row>
    <row r="1440" spans="47:54" x14ac:dyDescent="0.25">
      <c r="AU1440" s="14">
        <v>-103</v>
      </c>
      <c r="AX1440" s="14">
        <v>-304</v>
      </c>
      <c r="AY1440" s="14">
        <v>823</v>
      </c>
      <c r="AZ1440" s="14">
        <v>208</v>
      </c>
      <c r="BB1440" s="14">
        <v>163</v>
      </c>
    </row>
    <row r="1441" spans="47:54" x14ac:dyDescent="0.25">
      <c r="AU1441" s="14">
        <v>-163</v>
      </c>
      <c r="AX1441" s="14">
        <v>455</v>
      </c>
      <c r="AY1441" s="14">
        <v>216</v>
      </c>
      <c r="AZ1441" s="14">
        <v>192</v>
      </c>
      <c r="BB1441" s="14">
        <v>148</v>
      </c>
    </row>
    <row r="1442" spans="47:54" x14ac:dyDescent="0.25">
      <c r="AU1442" s="14">
        <v>-539</v>
      </c>
      <c r="AX1442" s="14">
        <v>-577</v>
      </c>
      <c r="AY1442" s="14">
        <v>282</v>
      </c>
      <c r="AZ1442" s="14">
        <v>110</v>
      </c>
      <c r="BB1442" s="14">
        <v>-101</v>
      </c>
    </row>
    <row r="1443" spans="47:54" x14ac:dyDescent="0.25">
      <c r="AU1443" s="14">
        <v>402</v>
      </c>
      <c r="AX1443" s="14">
        <v>447</v>
      </c>
      <c r="AY1443" s="14">
        <v>374</v>
      </c>
      <c r="AZ1443" s="14">
        <v>121</v>
      </c>
      <c r="BB1443" s="14">
        <v>633</v>
      </c>
    </row>
    <row r="1444" spans="47:54" x14ac:dyDescent="0.25">
      <c r="AU1444" s="14">
        <v>-126</v>
      </c>
      <c r="AX1444" s="14">
        <v>114</v>
      </c>
      <c r="AY1444" s="14">
        <v>483</v>
      </c>
      <c r="AZ1444" s="14">
        <v>156</v>
      </c>
      <c r="BB1444" s="14">
        <v>-149</v>
      </c>
    </row>
    <row r="1445" spans="47:54" x14ac:dyDescent="0.25">
      <c r="AU1445" s="14">
        <v>-585</v>
      </c>
      <c r="AX1445" s="14">
        <v>-718</v>
      </c>
      <c r="AY1445" s="14">
        <v>573</v>
      </c>
      <c r="AZ1445" s="14">
        <v>263</v>
      </c>
      <c r="BB1445" s="14">
        <v>265</v>
      </c>
    </row>
    <row r="1446" spans="47:54" x14ac:dyDescent="0.25">
      <c r="AU1446" s="14">
        <v>-207</v>
      </c>
      <c r="AX1446" s="14">
        <v>763</v>
      </c>
      <c r="AY1446" s="14">
        <v>-167</v>
      </c>
      <c r="AZ1446" s="14">
        <v>88</v>
      </c>
      <c r="BB1446" s="14">
        <v>-253</v>
      </c>
    </row>
    <row r="1447" spans="47:54" x14ac:dyDescent="0.25">
      <c r="AU1447" s="14">
        <v>143</v>
      </c>
      <c r="AX1447" s="14">
        <v>175</v>
      </c>
      <c r="AY1447" s="14">
        <v>258</v>
      </c>
      <c r="AZ1447" s="14">
        <v>267</v>
      </c>
      <c r="BB1447" s="14">
        <v>165</v>
      </c>
    </row>
    <row r="1448" spans="47:54" x14ac:dyDescent="0.25">
      <c r="AU1448" s="14">
        <v>907</v>
      </c>
      <c r="AX1448" s="14">
        <v>241</v>
      </c>
      <c r="AY1448" s="14">
        <v>793</v>
      </c>
      <c r="AZ1448" s="14">
        <v>344</v>
      </c>
      <c r="BB1448" s="14">
        <v>-162</v>
      </c>
    </row>
    <row r="1449" spans="47:54" x14ac:dyDescent="0.25">
      <c r="AU1449" s="14">
        <v>121</v>
      </c>
      <c r="AX1449" s="14">
        <v>-581</v>
      </c>
      <c r="AY1449" s="14">
        <v>-405</v>
      </c>
      <c r="AZ1449" s="14">
        <v>294</v>
      </c>
      <c r="BB1449" s="14">
        <v>145</v>
      </c>
    </row>
    <row r="1450" spans="47:54" x14ac:dyDescent="0.25">
      <c r="AU1450" s="14">
        <v>189</v>
      </c>
      <c r="AX1450" s="14">
        <v>141</v>
      </c>
      <c r="AY1450" s="14">
        <v>555</v>
      </c>
      <c r="AZ1450" s="14">
        <v>164</v>
      </c>
      <c r="BB1450" s="14">
        <v>-711</v>
      </c>
    </row>
    <row r="1451" spans="47:54" x14ac:dyDescent="0.25">
      <c r="AU1451" s="14">
        <v>202</v>
      </c>
      <c r="AX1451" s="14">
        <v>928</v>
      </c>
      <c r="AY1451" s="14">
        <v>200</v>
      </c>
      <c r="AZ1451" s="14">
        <v>366</v>
      </c>
      <c r="BB1451" s="14">
        <v>765</v>
      </c>
    </row>
    <row r="1452" spans="47:54" x14ac:dyDescent="0.25">
      <c r="AU1452" s="14">
        <v>-239</v>
      </c>
      <c r="AX1452" s="14">
        <v>-953</v>
      </c>
      <c r="AY1452" s="14">
        <v>764</v>
      </c>
      <c r="AZ1452" s="14">
        <v>2</v>
      </c>
      <c r="BB1452" s="14">
        <v>-76</v>
      </c>
    </row>
    <row r="1453" spans="47:54" x14ac:dyDescent="0.25">
      <c r="AU1453" s="14">
        <v>-293</v>
      </c>
      <c r="AX1453" s="14">
        <v>766</v>
      </c>
      <c r="AY1453" s="14">
        <v>-326</v>
      </c>
      <c r="AZ1453" s="14">
        <v>25</v>
      </c>
      <c r="BB1453" s="14">
        <v>77</v>
      </c>
    </row>
    <row r="1454" spans="47:54" x14ac:dyDescent="0.25">
      <c r="AU1454" s="14">
        <v>-799</v>
      </c>
      <c r="AX1454" s="14">
        <v>-170</v>
      </c>
      <c r="AY1454" s="14">
        <v>262</v>
      </c>
      <c r="AZ1454" s="14">
        <v>3</v>
      </c>
      <c r="BB1454" s="14">
        <v>479</v>
      </c>
    </row>
    <row r="1455" spans="47:54" x14ac:dyDescent="0.25">
      <c r="AU1455" s="14">
        <v>703</v>
      </c>
      <c r="AX1455" s="14">
        <v>522</v>
      </c>
      <c r="AY1455" s="14">
        <v>274</v>
      </c>
      <c r="AZ1455" s="14">
        <v>-5</v>
      </c>
      <c r="BB1455" s="14">
        <v>116</v>
      </c>
    </row>
    <row r="1456" spans="47:54" x14ac:dyDescent="0.25">
      <c r="AU1456" s="14">
        <v>-518</v>
      </c>
      <c r="AX1456" s="14">
        <v>-411</v>
      </c>
      <c r="AY1456" s="14">
        <v>354</v>
      </c>
      <c r="AZ1456" s="14">
        <v>13</v>
      </c>
      <c r="BB1456" s="14">
        <v>101</v>
      </c>
    </row>
    <row r="1457" spans="47:54" x14ac:dyDescent="0.25">
      <c r="AU1457" s="14">
        <v>-243</v>
      </c>
      <c r="AX1457" s="14">
        <v>440</v>
      </c>
      <c r="AY1457" s="14">
        <v>405</v>
      </c>
      <c r="AZ1457" s="14">
        <v>-9</v>
      </c>
      <c r="BB1457" s="14">
        <v>155</v>
      </c>
    </row>
    <row r="1458" spans="47:54" x14ac:dyDescent="0.25">
      <c r="AU1458" s="14">
        <v>72</v>
      </c>
      <c r="AX1458" s="14">
        <v>543</v>
      </c>
      <c r="AY1458" s="14">
        <v>470</v>
      </c>
      <c r="AZ1458" s="14">
        <v>1</v>
      </c>
      <c r="BB1458" s="14">
        <v>454</v>
      </c>
    </row>
    <row r="1459" spans="47:54" x14ac:dyDescent="0.25">
      <c r="AU1459" s="14">
        <v>104</v>
      </c>
      <c r="AX1459" s="14">
        <v>-755</v>
      </c>
      <c r="AY1459" s="14">
        <v>370</v>
      </c>
      <c r="AZ1459" s="14">
        <v>36</v>
      </c>
      <c r="BB1459" s="14">
        <v>-303</v>
      </c>
    </row>
    <row r="1460" spans="47:54" x14ac:dyDescent="0.25">
      <c r="AU1460" s="14">
        <v>272</v>
      </c>
      <c r="AX1460" s="14">
        <v>28</v>
      </c>
      <c r="AY1460" s="14">
        <v>155</v>
      </c>
      <c r="AZ1460" s="14">
        <v>-10</v>
      </c>
      <c r="BB1460" s="14">
        <v>163</v>
      </c>
    </row>
    <row r="1461" spans="47:54" x14ac:dyDescent="0.25">
      <c r="AU1461" s="14">
        <v>40</v>
      </c>
      <c r="AX1461" s="14">
        <v>-662</v>
      </c>
      <c r="AY1461" s="14">
        <v>144</v>
      </c>
      <c r="AZ1461" s="14">
        <v>-9</v>
      </c>
      <c r="BB1461" s="14">
        <v>133</v>
      </c>
    </row>
    <row r="1462" spans="47:54" x14ac:dyDescent="0.25">
      <c r="AU1462" s="14">
        <v>-1</v>
      </c>
      <c r="AX1462" s="14">
        <v>32</v>
      </c>
      <c r="AY1462" s="14">
        <v>-262</v>
      </c>
      <c r="AZ1462" s="14">
        <v>-6</v>
      </c>
      <c r="BB1462" s="14">
        <v>640</v>
      </c>
    </row>
    <row r="1463" spans="47:54" x14ac:dyDescent="0.25">
      <c r="AU1463" s="14">
        <v>28</v>
      </c>
      <c r="AX1463" s="14">
        <v>636</v>
      </c>
      <c r="AY1463" s="14">
        <v>293</v>
      </c>
      <c r="AZ1463" s="14">
        <v>-3</v>
      </c>
      <c r="BB1463" s="14">
        <v>-522</v>
      </c>
    </row>
    <row r="1464" spans="47:54" x14ac:dyDescent="0.25">
      <c r="AU1464" s="14">
        <v>26</v>
      </c>
      <c r="AX1464" s="14">
        <v>158</v>
      </c>
      <c r="AY1464" s="14">
        <v>-106</v>
      </c>
      <c r="AZ1464" s="14">
        <v>-7</v>
      </c>
      <c r="BB1464" s="14">
        <v>244</v>
      </c>
    </row>
    <row r="1465" spans="47:54" x14ac:dyDescent="0.25">
      <c r="AU1465" s="14">
        <v>-92</v>
      </c>
      <c r="AX1465" s="14">
        <v>243</v>
      </c>
      <c r="AY1465" s="14">
        <v>-204</v>
      </c>
      <c r="AZ1465" s="14">
        <v>7</v>
      </c>
      <c r="BB1465" s="14">
        <v>-239</v>
      </c>
    </row>
    <row r="1466" spans="47:54" x14ac:dyDescent="0.25">
      <c r="AU1466" s="14">
        <v>-162</v>
      </c>
      <c r="AX1466" s="14">
        <v>-17</v>
      </c>
      <c r="AY1466" s="14">
        <v>-159</v>
      </c>
      <c r="AZ1466" s="14">
        <v>-7</v>
      </c>
      <c r="BB1466" s="14">
        <v>-358</v>
      </c>
    </row>
    <row r="1467" spans="47:54" x14ac:dyDescent="0.25">
      <c r="AU1467" s="14">
        <v>39</v>
      </c>
      <c r="AX1467" s="14">
        <v>267</v>
      </c>
      <c r="AY1467" s="14">
        <v>-165</v>
      </c>
      <c r="AZ1467" s="14">
        <v>100</v>
      </c>
      <c r="BB1467" s="14">
        <v>426</v>
      </c>
    </row>
    <row r="1468" spans="47:54" x14ac:dyDescent="0.25">
      <c r="AU1468" s="14">
        <v>-526</v>
      </c>
      <c r="AX1468" s="14">
        <v>18</v>
      </c>
      <c r="AY1468" s="14">
        <v>-256</v>
      </c>
      <c r="AZ1468" s="14">
        <v>916</v>
      </c>
      <c r="BB1468" s="14">
        <v>978</v>
      </c>
    </row>
    <row r="1469" spans="47:54" x14ac:dyDescent="0.25">
      <c r="AU1469" s="14">
        <v>102</v>
      </c>
      <c r="AX1469" s="14">
        <v>-333</v>
      </c>
      <c r="AY1469" s="14">
        <v>482</v>
      </c>
      <c r="AZ1469" s="14">
        <v>913</v>
      </c>
      <c r="BB1469" s="14">
        <v>-853</v>
      </c>
    </row>
    <row r="1470" spans="47:54" x14ac:dyDescent="0.25">
      <c r="AU1470" s="14">
        <v>-522</v>
      </c>
      <c r="AX1470" s="14">
        <v>-49</v>
      </c>
      <c r="AY1470" s="14">
        <v>369</v>
      </c>
      <c r="AZ1470" s="14">
        <v>985</v>
      </c>
      <c r="BB1470" s="14">
        <v>7</v>
      </c>
    </row>
    <row r="1471" spans="47:54" x14ac:dyDescent="0.25">
      <c r="AU1471" s="14">
        <v>507</v>
      </c>
      <c r="AX1471" s="14">
        <v>395</v>
      </c>
      <c r="AY1471" s="14">
        <v>503</v>
      </c>
      <c r="AZ1471" s="14">
        <v>100</v>
      </c>
      <c r="BB1471" s="14">
        <v>101</v>
      </c>
    </row>
    <row r="1472" spans="47:54" x14ac:dyDescent="0.25">
      <c r="AU1472" s="14">
        <v>35</v>
      </c>
      <c r="AX1472" s="14">
        <v>-11</v>
      </c>
      <c r="AY1472" s="14">
        <v>611</v>
      </c>
      <c r="AZ1472" s="14">
        <v>101</v>
      </c>
      <c r="BB1472" s="14">
        <v>223</v>
      </c>
    </row>
    <row r="1473" spans="47:54" x14ac:dyDescent="0.25">
      <c r="AU1473" s="14">
        <v>1</v>
      </c>
      <c r="AX1473" s="14">
        <v>66</v>
      </c>
      <c r="AY1473" s="14">
        <v>750</v>
      </c>
      <c r="AZ1473" s="14">
        <v>962</v>
      </c>
      <c r="BB1473" s="14">
        <v>218</v>
      </c>
    </row>
    <row r="1474" spans="47:54" x14ac:dyDescent="0.25">
      <c r="AU1474" s="14">
        <v>4</v>
      </c>
      <c r="AX1474" s="14">
        <v>9</v>
      </c>
      <c r="AY1474" s="14">
        <v>728</v>
      </c>
      <c r="AZ1474" s="14">
        <v>101</v>
      </c>
      <c r="BB1474" s="14">
        <v>479</v>
      </c>
    </row>
    <row r="1475" spans="47:54" x14ac:dyDescent="0.25">
      <c r="AU1475" s="14">
        <v>138</v>
      </c>
      <c r="AX1475" s="14">
        <v>-134</v>
      </c>
      <c r="AY1475" s="14">
        <v>137</v>
      </c>
      <c r="AZ1475" s="14">
        <v>113</v>
      </c>
      <c r="BB1475" s="14">
        <v>600</v>
      </c>
    </row>
    <row r="1476" spans="47:54" x14ac:dyDescent="0.25">
      <c r="AU1476" s="14">
        <v>77</v>
      </c>
      <c r="AX1476" s="14">
        <v>2</v>
      </c>
      <c r="AY1476" s="14">
        <v>152</v>
      </c>
      <c r="AZ1476" s="14">
        <v>125</v>
      </c>
      <c r="BB1476" s="14">
        <v>-486</v>
      </c>
    </row>
    <row r="1477" spans="47:54" x14ac:dyDescent="0.25">
      <c r="AU1477" s="14">
        <v>-117</v>
      </c>
      <c r="AX1477" s="14">
        <v>-310</v>
      </c>
      <c r="AY1477" s="14">
        <v>297</v>
      </c>
      <c r="AZ1477" s="14">
        <v>109</v>
      </c>
      <c r="BB1477" s="14">
        <v>192</v>
      </c>
    </row>
    <row r="1478" spans="47:54" x14ac:dyDescent="0.25">
      <c r="AU1478" s="14">
        <v>-772</v>
      </c>
      <c r="AX1478" s="14">
        <v>-23</v>
      </c>
      <c r="AY1478" s="14">
        <v>-551</v>
      </c>
      <c r="AZ1478" s="14">
        <v>108</v>
      </c>
      <c r="BB1478" s="14">
        <v>407</v>
      </c>
    </row>
    <row r="1479" spans="47:54" x14ac:dyDescent="0.25">
      <c r="AU1479" s="14">
        <v>236</v>
      </c>
      <c r="AX1479" s="14">
        <v>130</v>
      </c>
      <c r="AY1479" s="14">
        <v>661</v>
      </c>
      <c r="AZ1479" s="14">
        <v>983</v>
      </c>
      <c r="BB1479" s="14">
        <v>803</v>
      </c>
    </row>
    <row r="1480" spans="47:54" x14ac:dyDescent="0.25">
      <c r="AU1480" s="14">
        <v>-422</v>
      </c>
      <c r="AX1480" s="14">
        <v>113</v>
      </c>
      <c r="AY1480" s="14">
        <v>365</v>
      </c>
      <c r="AZ1480" s="14">
        <v>939</v>
      </c>
      <c r="BB1480" s="14">
        <v>-795</v>
      </c>
    </row>
    <row r="1481" spans="47:54" x14ac:dyDescent="0.25">
      <c r="AU1481" s="14">
        <v>-105</v>
      </c>
      <c r="AX1481" s="14">
        <v>-135</v>
      </c>
      <c r="AY1481" s="14">
        <v>457</v>
      </c>
      <c r="AZ1481" s="14">
        <v>104</v>
      </c>
      <c r="BB1481" s="14">
        <v>701</v>
      </c>
    </row>
    <row r="1482" spans="47:54" x14ac:dyDescent="0.25">
      <c r="AU1482" s="14">
        <v>-126</v>
      </c>
      <c r="AX1482" s="14">
        <v>927</v>
      </c>
      <c r="AY1482" s="14">
        <v>533</v>
      </c>
      <c r="AZ1482" s="14">
        <v>213</v>
      </c>
      <c r="BB1482" s="14">
        <v>-239</v>
      </c>
    </row>
    <row r="1483" spans="47:54" x14ac:dyDescent="0.25">
      <c r="AU1483" s="14">
        <v>37</v>
      </c>
      <c r="AX1483" s="14">
        <v>453</v>
      </c>
      <c r="AY1483" s="14">
        <v>641</v>
      </c>
      <c r="AZ1483" s="14">
        <v>-67</v>
      </c>
      <c r="BB1483" s="14">
        <v>-134</v>
      </c>
    </row>
    <row r="1484" spans="47:54" x14ac:dyDescent="0.25">
      <c r="AU1484" s="14">
        <v>-169</v>
      </c>
      <c r="AX1484" s="14">
        <v>-140</v>
      </c>
      <c r="AY1484" s="14">
        <v>540</v>
      </c>
      <c r="AZ1484" s="14">
        <v>20</v>
      </c>
      <c r="BB1484" s="14">
        <v>165</v>
      </c>
    </row>
    <row r="1485" spans="47:54" x14ac:dyDescent="0.25">
      <c r="AU1485" s="14">
        <v>11</v>
      </c>
      <c r="AX1485" s="14">
        <v>-3</v>
      </c>
      <c r="AY1485" s="14">
        <v>943</v>
      </c>
      <c r="AZ1485" s="14">
        <v>-39</v>
      </c>
      <c r="BB1485" s="14">
        <v>210</v>
      </c>
    </row>
    <row r="1486" spans="47:54" x14ac:dyDescent="0.25">
      <c r="AU1486" s="14">
        <v>24</v>
      </c>
      <c r="AX1486" s="14">
        <v>253</v>
      </c>
      <c r="AY1486" s="14">
        <v>258</v>
      </c>
      <c r="AZ1486" s="14">
        <v>2</v>
      </c>
      <c r="BB1486" s="14">
        <v>-856</v>
      </c>
    </row>
    <row r="1487" spans="47:54" x14ac:dyDescent="0.25">
      <c r="AU1487" s="14">
        <v>-8</v>
      </c>
      <c r="AX1487" s="14">
        <v>253</v>
      </c>
      <c r="AY1487" s="14">
        <v>288</v>
      </c>
      <c r="AZ1487" s="14">
        <v>4</v>
      </c>
      <c r="BB1487" s="14">
        <v>102</v>
      </c>
    </row>
    <row r="1488" spans="47:54" x14ac:dyDescent="0.25">
      <c r="AU1488" s="14">
        <v>-48</v>
      </c>
      <c r="AX1488" s="14">
        <v>796</v>
      </c>
      <c r="AY1488" s="14">
        <v>236</v>
      </c>
      <c r="AZ1488" s="14">
        <v>2</v>
      </c>
      <c r="BB1488" s="14">
        <v>303</v>
      </c>
    </row>
    <row r="1489" spans="47:54" x14ac:dyDescent="0.25">
      <c r="AU1489" s="14">
        <v>-97</v>
      </c>
      <c r="AX1489" s="14">
        <v>-105</v>
      </c>
      <c r="AY1489" s="14">
        <v>-146</v>
      </c>
      <c r="AZ1489" s="14">
        <v>-1</v>
      </c>
      <c r="BB1489" s="14">
        <v>-20</v>
      </c>
    </row>
    <row r="1490" spans="47:54" x14ac:dyDescent="0.25">
      <c r="AU1490" s="14">
        <v>61</v>
      </c>
      <c r="AX1490" s="14">
        <v>341</v>
      </c>
      <c r="AY1490" s="14">
        <v>-203</v>
      </c>
      <c r="AZ1490" s="14">
        <v>22</v>
      </c>
      <c r="BB1490" s="14">
        <v>193</v>
      </c>
    </row>
    <row r="1491" spans="47:54" x14ac:dyDescent="0.25">
      <c r="AU1491" s="14">
        <v>951</v>
      </c>
      <c r="AX1491" s="14">
        <v>-148</v>
      </c>
      <c r="AY1491" s="14">
        <v>-791</v>
      </c>
      <c r="AZ1491" s="14">
        <v>25</v>
      </c>
      <c r="BB1491" s="14">
        <v>364</v>
      </c>
    </row>
    <row r="1492" spans="47:54" x14ac:dyDescent="0.25">
      <c r="AU1492" s="14">
        <v>-543</v>
      </c>
      <c r="AX1492" s="14">
        <v>959</v>
      </c>
      <c r="AY1492" s="14">
        <v>558</v>
      </c>
      <c r="AZ1492" s="14">
        <v>2</v>
      </c>
      <c r="BB1492" s="14">
        <v>211</v>
      </c>
    </row>
    <row r="1493" spans="47:54" x14ac:dyDescent="0.25">
      <c r="AU1493" s="14">
        <v>-144</v>
      </c>
      <c r="AX1493" s="14">
        <v>-226</v>
      </c>
      <c r="AY1493" s="14">
        <v>330</v>
      </c>
      <c r="AZ1493" s="14">
        <v>7</v>
      </c>
      <c r="BB1493" s="14">
        <v>-599</v>
      </c>
    </row>
    <row r="1494" spans="47:54" x14ac:dyDescent="0.25">
      <c r="AU1494" s="14">
        <v>-182</v>
      </c>
      <c r="AX1494" s="14">
        <v>-8</v>
      </c>
      <c r="AY1494" s="14">
        <v>294</v>
      </c>
      <c r="AZ1494" s="14">
        <v>1</v>
      </c>
      <c r="BB1494" s="14">
        <v>619</v>
      </c>
    </row>
    <row r="1495" spans="47:54" x14ac:dyDescent="0.25">
      <c r="AU1495" s="14">
        <v>-112</v>
      </c>
      <c r="AX1495" s="14">
        <v>161</v>
      </c>
      <c r="AY1495" s="14">
        <v>355</v>
      </c>
      <c r="AZ1495" s="14">
        <v>34</v>
      </c>
      <c r="BB1495" s="14">
        <v>-222</v>
      </c>
    </row>
    <row r="1496" spans="47:54" x14ac:dyDescent="0.25">
      <c r="AU1496" s="14">
        <v>-100</v>
      </c>
      <c r="AX1496" s="14">
        <v>-173</v>
      </c>
      <c r="AY1496" s="14">
        <v>479</v>
      </c>
      <c r="AZ1496" s="14">
        <v>134</v>
      </c>
      <c r="BB1496" s="14">
        <v>306</v>
      </c>
    </row>
    <row r="1497" spans="47:54" x14ac:dyDescent="0.25">
      <c r="AU1497" s="14">
        <v>49</v>
      </c>
      <c r="AX1497" s="14">
        <v>-702</v>
      </c>
      <c r="AY1497" s="14">
        <v>650</v>
      </c>
      <c r="AZ1497" s="14">
        <v>-18</v>
      </c>
      <c r="BB1497" s="14">
        <v>92</v>
      </c>
    </row>
    <row r="1498" spans="47:54" x14ac:dyDescent="0.25">
      <c r="AU1498" s="14">
        <v>-145</v>
      </c>
      <c r="AX1498" s="14">
        <v>524</v>
      </c>
      <c r="AY1498" s="14">
        <v>786</v>
      </c>
      <c r="AZ1498" s="14">
        <v>-5</v>
      </c>
      <c r="BB1498" s="14">
        <v>-180</v>
      </c>
    </row>
    <row r="1499" spans="47:54" x14ac:dyDescent="0.25">
      <c r="AU1499" s="14">
        <v>272</v>
      </c>
      <c r="AX1499" s="14">
        <v>-394</v>
      </c>
      <c r="AY1499" s="14">
        <v>-593</v>
      </c>
      <c r="AZ1499" s="14">
        <v>-21</v>
      </c>
      <c r="BB1499" s="14">
        <v>746</v>
      </c>
    </row>
    <row r="1500" spans="47:54" x14ac:dyDescent="0.25">
      <c r="AU1500" s="14">
        <v>237</v>
      </c>
      <c r="AX1500" s="14">
        <v>-297</v>
      </c>
      <c r="AY1500" s="14">
        <v>636</v>
      </c>
      <c r="AZ1500" s="14">
        <v>-15</v>
      </c>
      <c r="BB1500" s="14">
        <v>206</v>
      </c>
    </row>
    <row r="1501" spans="47:54" x14ac:dyDescent="0.25">
      <c r="AU1501" s="14">
        <v>416</v>
      </c>
      <c r="AX1501" s="14">
        <v>214</v>
      </c>
      <c r="AY1501" s="14">
        <v>314</v>
      </c>
      <c r="AZ1501" s="14">
        <v>-3</v>
      </c>
      <c r="BB1501" s="14">
        <v>-623</v>
      </c>
    </row>
    <row r="1502" spans="47:54" x14ac:dyDescent="0.25">
      <c r="AU1502" s="14">
        <v>561</v>
      </c>
      <c r="AX1502" s="14">
        <v>724</v>
      </c>
      <c r="AY1502" s="14">
        <v>319</v>
      </c>
      <c r="AZ1502" s="14">
        <v>3</v>
      </c>
      <c r="BB1502" s="14">
        <v>-175</v>
      </c>
    </row>
    <row r="1503" spans="47:54" x14ac:dyDescent="0.25">
      <c r="AU1503" s="14">
        <v>386</v>
      </c>
      <c r="AX1503" s="14">
        <v>-145</v>
      </c>
      <c r="AY1503" s="14">
        <v>268</v>
      </c>
      <c r="AZ1503" s="14">
        <v>-29</v>
      </c>
      <c r="BB1503" s="14">
        <v>-68</v>
      </c>
    </row>
    <row r="1504" spans="47:54" x14ac:dyDescent="0.25">
      <c r="AU1504" s="14">
        <v>-791</v>
      </c>
      <c r="AX1504" s="14">
        <v>291</v>
      </c>
      <c r="AY1504" s="14">
        <v>-256</v>
      </c>
      <c r="AZ1504" s="14">
        <v>109</v>
      </c>
      <c r="BB1504" s="14">
        <v>966</v>
      </c>
    </row>
    <row r="1505" spans="47:54" x14ac:dyDescent="0.25">
      <c r="AU1505" s="14">
        <v>-623</v>
      </c>
      <c r="AX1505" s="14">
        <v>291</v>
      </c>
      <c r="AY1505" s="14">
        <v>148</v>
      </c>
      <c r="AZ1505" s="14">
        <v>-11</v>
      </c>
      <c r="BB1505" s="14">
        <v>-447</v>
      </c>
    </row>
    <row r="1506" spans="47:54" x14ac:dyDescent="0.25">
      <c r="AU1506" s="14">
        <v>-9</v>
      </c>
      <c r="AX1506" s="14">
        <v>676</v>
      </c>
      <c r="AY1506" s="14">
        <v>-166</v>
      </c>
      <c r="AZ1506" s="14">
        <v>14</v>
      </c>
      <c r="BB1506" s="14">
        <v>480</v>
      </c>
    </row>
    <row r="1507" spans="47:54" x14ac:dyDescent="0.25">
      <c r="AU1507" s="14">
        <v>-851</v>
      </c>
      <c r="AX1507" s="14">
        <v>502</v>
      </c>
      <c r="AY1507" s="14">
        <v>-393</v>
      </c>
      <c r="AZ1507" s="14">
        <v>-46</v>
      </c>
      <c r="BB1507" s="14">
        <v>-552</v>
      </c>
    </row>
    <row r="1508" spans="47:54" x14ac:dyDescent="0.25">
      <c r="AU1508" s="14">
        <v>-545</v>
      </c>
      <c r="AX1508" s="14">
        <v>551</v>
      </c>
      <c r="AY1508" s="14">
        <v>366</v>
      </c>
      <c r="AZ1508" s="14">
        <v>191</v>
      </c>
      <c r="BB1508" s="14">
        <v>109</v>
      </c>
    </row>
    <row r="1509" spans="47:54" x14ac:dyDescent="0.25">
      <c r="AU1509" s="14">
        <v>90</v>
      </c>
      <c r="AX1509" s="14">
        <v>-197</v>
      </c>
      <c r="AY1509" s="14">
        <v>261</v>
      </c>
      <c r="AZ1509" s="14">
        <v>-10</v>
      </c>
      <c r="BB1509" s="14">
        <v>-367</v>
      </c>
    </row>
    <row r="1510" spans="47:54" x14ac:dyDescent="0.25">
      <c r="AU1510" s="14">
        <v>45</v>
      </c>
      <c r="AX1510" s="14">
        <v>244</v>
      </c>
      <c r="AY1510" s="14">
        <v>716</v>
      </c>
      <c r="AZ1510" s="14">
        <v>-8</v>
      </c>
      <c r="BB1510" s="14">
        <v>567</v>
      </c>
    </row>
    <row r="1511" spans="47:54" x14ac:dyDescent="0.25">
      <c r="AU1511" s="14">
        <v>4</v>
      </c>
      <c r="AX1511" s="14">
        <v>105</v>
      </c>
      <c r="AY1511" s="14">
        <v>116</v>
      </c>
      <c r="AZ1511" s="14">
        <v>15</v>
      </c>
      <c r="BB1511" s="14">
        <v>-575</v>
      </c>
    </row>
    <row r="1512" spans="47:54" x14ac:dyDescent="0.25">
      <c r="AU1512" s="14">
        <v>2</v>
      </c>
      <c r="AX1512" s="14">
        <v>-879</v>
      </c>
      <c r="AY1512" s="14">
        <v>146</v>
      </c>
      <c r="AZ1512" s="14">
        <v>-1</v>
      </c>
      <c r="BB1512" s="14">
        <v>321</v>
      </c>
    </row>
    <row r="1513" spans="47:54" x14ac:dyDescent="0.25">
      <c r="AU1513" s="14">
        <v>36</v>
      </c>
      <c r="AX1513" s="14">
        <v>152</v>
      </c>
      <c r="AY1513" s="14">
        <v>195</v>
      </c>
      <c r="AZ1513" s="14">
        <v>6</v>
      </c>
      <c r="BB1513" s="14">
        <v>-174</v>
      </c>
    </row>
    <row r="1514" spans="47:54" x14ac:dyDescent="0.25">
      <c r="AU1514" s="14">
        <v>95</v>
      </c>
      <c r="AX1514" s="14">
        <v>-100</v>
      </c>
      <c r="AY1514" s="14">
        <v>288</v>
      </c>
      <c r="AZ1514" s="14">
        <v>-2</v>
      </c>
      <c r="BB1514" s="14">
        <v>-90</v>
      </c>
    </row>
    <row r="1515" spans="47:54" x14ac:dyDescent="0.25">
      <c r="AU1515" s="14">
        <v>-853</v>
      </c>
      <c r="AX1515" s="14">
        <v>-832</v>
      </c>
      <c r="AY1515" s="14">
        <v>371</v>
      </c>
      <c r="AZ1515" s="14">
        <v>1</v>
      </c>
      <c r="BB1515" s="14">
        <v>-183</v>
      </c>
    </row>
    <row r="1516" spans="47:54" x14ac:dyDescent="0.25">
      <c r="AU1516" s="14">
        <v>-783</v>
      </c>
      <c r="AX1516" s="14">
        <v>930</v>
      </c>
      <c r="AY1516" s="14">
        <v>434</v>
      </c>
      <c r="AZ1516" s="14">
        <v>-6</v>
      </c>
      <c r="BB1516" s="14">
        <v>-271</v>
      </c>
    </row>
    <row r="1517" spans="47:54" x14ac:dyDescent="0.25">
      <c r="AU1517" s="14">
        <v>344</v>
      </c>
      <c r="AX1517" s="14">
        <v>-637</v>
      </c>
      <c r="AY1517" s="14">
        <v>-160</v>
      </c>
      <c r="AZ1517" s="14">
        <v>-5</v>
      </c>
      <c r="BB1517" s="14">
        <v>58</v>
      </c>
    </row>
    <row r="1518" spans="47:54" x14ac:dyDescent="0.25">
      <c r="AU1518" s="14">
        <v>292</v>
      </c>
      <c r="AX1518" s="14">
        <v>791</v>
      </c>
      <c r="AY1518" s="14">
        <v>-220</v>
      </c>
      <c r="AZ1518" s="14">
        <v>-7</v>
      </c>
      <c r="BB1518" s="14">
        <v>152</v>
      </c>
    </row>
    <row r="1519" spans="47:54" x14ac:dyDescent="0.25">
      <c r="AU1519" s="14">
        <v>-825</v>
      </c>
      <c r="AX1519" s="14">
        <v>-104</v>
      </c>
      <c r="AY1519" s="14">
        <v>-341</v>
      </c>
      <c r="AZ1519" s="14">
        <v>-5</v>
      </c>
      <c r="BB1519" s="14">
        <v>-351</v>
      </c>
    </row>
    <row r="1520" spans="47:54" x14ac:dyDescent="0.25">
      <c r="AU1520" s="14">
        <v>-271</v>
      </c>
      <c r="AX1520" s="14">
        <v>-712</v>
      </c>
      <c r="AY1520" s="14">
        <v>-450</v>
      </c>
      <c r="AZ1520" s="14">
        <v>-7</v>
      </c>
      <c r="BB1520" s="14">
        <v>460</v>
      </c>
    </row>
    <row r="1521" spans="47:54" x14ac:dyDescent="0.25">
      <c r="AU1521" s="14">
        <v>112</v>
      </c>
      <c r="AX1521" s="14">
        <v>814</v>
      </c>
      <c r="AY1521" s="14">
        <v>-519</v>
      </c>
      <c r="AZ1521" s="14">
        <v>-10</v>
      </c>
      <c r="BB1521" s="14">
        <v>-142</v>
      </c>
    </row>
    <row r="1522" spans="47:54" x14ac:dyDescent="0.25">
      <c r="AU1522" s="14">
        <v>-185</v>
      </c>
      <c r="AX1522" s="14">
        <v>288</v>
      </c>
      <c r="AY1522" s="14">
        <v>-380</v>
      </c>
      <c r="AZ1522" s="14">
        <v>-6</v>
      </c>
      <c r="BB1522" s="14">
        <v>157</v>
      </c>
    </row>
    <row r="1523" spans="47:54" x14ac:dyDescent="0.25">
      <c r="AU1523" s="14">
        <v>18</v>
      </c>
      <c r="AX1523" s="14">
        <v>595</v>
      </c>
      <c r="AY1523" s="14">
        <v>-303</v>
      </c>
      <c r="AZ1523" s="14">
        <v>189</v>
      </c>
      <c r="BB1523" s="14">
        <v>-633</v>
      </c>
    </row>
    <row r="1524" spans="47:54" x14ac:dyDescent="0.25">
      <c r="AU1524" s="14">
        <v>-27</v>
      </c>
      <c r="AX1524" s="14">
        <v>598</v>
      </c>
      <c r="AY1524" s="14">
        <v>718</v>
      </c>
      <c r="AZ1524" s="14">
        <v>-17</v>
      </c>
      <c r="BB1524" s="14">
        <v>923</v>
      </c>
    </row>
    <row r="1525" spans="47:54" x14ac:dyDescent="0.25">
      <c r="AU1525" s="14">
        <v>1</v>
      </c>
      <c r="AX1525" s="14">
        <v>-8</v>
      </c>
      <c r="AY1525" s="14">
        <v>179</v>
      </c>
      <c r="AZ1525" s="14">
        <v>-23</v>
      </c>
      <c r="BB1525" s="14">
        <v>184</v>
      </c>
    </row>
    <row r="1526" spans="47:54" x14ac:dyDescent="0.25">
      <c r="AU1526" s="14">
        <v>19</v>
      </c>
      <c r="AX1526" s="14">
        <v>323</v>
      </c>
      <c r="AY1526" s="14">
        <v>275</v>
      </c>
      <c r="AZ1526" s="14">
        <v>5</v>
      </c>
      <c r="BB1526" s="14">
        <v>297</v>
      </c>
    </row>
    <row r="1527" spans="47:54" x14ac:dyDescent="0.25">
      <c r="AU1527" s="14">
        <v>14</v>
      </c>
      <c r="AX1527" s="14">
        <v>-171</v>
      </c>
      <c r="AY1527" s="14">
        <v>336</v>
      </c>
      <c r="AZ1527" s="14">
        <v>-4</v>
      </c>
      <c r="BB1527" s="14">
        <v>-189</v>
      </c>
    </row>
    <row r="1528" spans="47:54" x14ac:dyDescent="0.25">
      <c r="AU1528" s="14">
        <v>69</v>
      </c>
      <c r="AX1528" s="14">
        <v>-704</v>
      </c>
      <c r="AY1528" s="14">
        <v>512</v>
      </c>
      <c r="AZ1528" s="14">
        <v>2</v>
      </c>
      <c r="BB1528" s="14">
        <v>-305</v>
      </c>
    </row>
    <row r="1529" spans="47:54" x14ac:dyDescent="0.25">
      <c r="AU1529" s="14">
        <v>42</v>
      </c>
      <c r="AX1529" s="14">
        <v>564</v>
      </c>
      <c r="AY1529" s="14">
        <v>584</v>
      </c>
      <c r="AZ1529" s="14">
        <v>1</v>
      </c>
      <c r="BB1529" s="14">
        <v>-198</v>
      </c>
    </row>
    <row r="1530" spans="47:54" x14ac:dyDescent="0.25">
      <c r="AU1530" s="14">
        <v>332</v>
      </c>
      <c r="AX1530" s="14">
        <v>-427</v>
      </c>
      <c r="AY1530" s="14">
        <v>113</v>
      </c>
      <c r="AZ1530" s="14">
        <v>-8</v>
      </c>
      <c r="BB1530" s="14">
        <v>-75</v>
      </c>
    </row>
    <row r="1531" spans="47:54" x14ac:dyDescent="0.25">
      <c r="AU1531" s="14">
        <v>140</v>
      </c>
      <c r="AX1531" s="14">
        <v>668</v>
      </c>
      <c r="AY1531" s="14">
        <v>201</v>
      </c>
      <c r="AZ1531" s="14">
        <v>-6</v>
      </c>
      <c r="BB1531" s="14">
        <v>-97</v>
      </c>
    </row>
    <row r="1532" spans="47:54" x14ac:dyDescent="0.25">
      <c r="AU1532" s="14">
        <v>-129</v>
      </c>
      <c r="AX1532" s="14">
        <v>-548</v>
      </c>
      <c r="AY1532" s="14">
        <v>-445</v>
      </c>
      <c r="AZ1532" s="14">
        <v>-7</v>
      </c>
      <c r="BB1532" s="14">
        <v>162</v>
      </c>
    </row>
    <row r="1533" spans="47:54" x14ac:dyDescent="0.25">
      <c r="AU1533" s="14">
        <v>163</v>
      </c>
      <c r="AX1533" s="14">
        <v>168</v>
      </c>
      <c r="AY1533" s="14">
        <v>-428</v>
      </c>
      <c r="AZ1533" s="14">
        <v>-10</v>
      </c>
      <c r="BB1533" s="14">
        <v>-196</v>
      </c>
    </row>
    <row r="1534" spans="47:54" x14ac:dyDescent="0.25">
      <c r="AU1534" s="14">
        <v>-71</v>
      </c>
      <c r="AX1534" s="14">
        <v>193</v>
      </c>
      <c r="AY1534" s="14">
        <v>-464</v>
      </c>
      <c r="AZ1534" s="14">
        <v>-12</v>
      </c>
      <c r="BB1534" s="14">
        <v>234</v>
      </c>
    </row>
    <row r="1535" spans="47:54" x14ac:dyDescent="0.25">
      <c r="AU1535" s="14">
        <v>125</v>
      </c>
      <c r="AX1535" s="14">
        <v>183</v>
      </c>
      <c r="AY1535" s="14">
        <v>-479</v>
      </c>
      <c r="AZ1535" s="14">
        <v>-9</v>
      </c>
      <c r="BB1535" s="14">
        <v>497</v>
      </c>
    </row>
    <row r="1536" spans="47:54" x14ac:dyDescent="0.25">
      <c r="AU1536" s="14">
        <v>30</v>
      </c>
      <c r="AX1536" s="14">
        <v>500</v>
      </c>
      <c r="AY1536" s="14">
        <v>-469</v>
      </c>
      <c r="AZ1536" s="14">
        <v>237</v>
      </c>
      <c r="BB1536" s="14">
        <v>-132</v>
      </c>
    </row>
    <row r="1537" spans="47:54" x14ac:dyDescent="0.25">
      <c r="AU1537" s="14">
        <v>7</v>
      </c>
      <c r="AX1537" s="14">
        <v>976</v>
      </c>
      <c r="AY1537" s="14">
        <v>-486</v>
      </c>
      <c r="AZ1537" s="14">
        <v>-10</v>
      </c>
      <c r="BB1537" s="14">
        <v>802</v>
      </c>
    </row>
    <row r="1538" spans="47:54" x14ac:dyDescent="0.25">
      <c r="AU1538" s="14">
        <v>-1</v>
      </c>
      <c r="AX1538" s="14">
        <v>-9</v>
      </c>
      <c r="AY1538" s="14">
        <v>-486</v>
      </c>
      <c r="AZ1538" s="14">
        <v>22</v>
      </c>
      <c r="BB1538" s="14">
        <v>473</v>
      </c>
    </row>
    <row r="1539" spans="47:54" x14ac:dyDescent="0.25">
      <c r="AU1539" s="14">
        <v>-12</v>
      </c>
      <c r="AX1539" s="14">
        <v>270</v>
      </c>
      <c r="AY1539" s="14">
        <v>-260</v>
      </c>
      <c r="AZ1539" s="14">
        <v>37</v>
      </c>
      <c r="BB1539" s="14">
        <v>339</v>
      </c>
    </row>
    <row r="1540" spans="47:54" x14ac:dyDescent="0.25">
      <c r="AU1540" s="14">
        <v>-12</v>
      </c>
      <c r="AX1540" s="14">
        <v>-106</v>
      </c>
      <c r="AY1540" s="14">
        <v>114</v>
      </c>
      <c r="AZ1540" s="14">
        <v>-3</v>
      </c>
      <c r="BB1540" s="14">
        <v>285</v>
      </c>
    </row>
    <row r="1541" spans="47:54" x14ac:dyDescent="0.25">
      <c r="AU1541" s="14">
        <v>-116</v>
      </c>
      <c r="AX1541" s="14">
        <v>-958</v>
      </c>
      <c r="AY1541" s="14">
        <v>117</v>
      </c>
      <c r="AZ1541" s="14">
        <v>15</v>
      </c>
      <c r="BB1541" s="14">
        <v>-128</v>
      </c>
    </row>
    <row r="1542" spans="47:54" x14ac:dyDescent="0.25">
      <c r="AU1542" s="14">
        <v>123</v>
      </c>
      <c r="AX1542" s="14">
        <v>636</v>
      </c>
      <c r="AY1542" s="14">
        <v>189</v>
      </c>
      <c r="AZ1542" s="14">
        <v>-2</v>
      </c>
      <c r="BB1542" s="14">
        <v>930</v>
      </c>
    </row>
    <row r="1543" spans="47:54" x14ac:dyDescent="0.25">
      <c r="AU1543" s="14">
        <v>-51</v>
      </c>
      <c r="AX1543" s="14">
        <v>-421</v>
      </c>
      <c r="AY1543" s="14">
        <v>293</v>
      </c>
      <c r="AZ1543" s="14">
        <v>1</v>
      </c>
      <c r="BB1543" s="14">
        <v>-451</v>
      </c>
    </row>
    <row r="1544" spans="47:54" x14ac:dyDescent="0.25">
      <c r="AU1544" s="14">
        <v>-19</v>
      </c>
      <c r="AX1544" s="14">
        <v>777</v>
      </c>
      <c r="AY1544" s="14">
        <v>541</v>
      </c>
      <c r="AZ1544" s="14">
        <v>-21</v>
      </c>
      <c r="BB1544" s="14">
        <v>597</v>
      </c>
    </row>
    <row r="1545" spans="47:54" x14ac:dyDescent="0.25">
      <c r="AU1545" s="14">
        <v>-59</v>
      </c>
      <c r="AX1545" s="14">
        <v>-906</v>
      </c>
      <c r="AY1545" s="14">
        <v>748</v>
      </c>
      <c r="AZ1545" s="14">
        <v>-11</v>
      </c>
      <c r="BB1545" s="14">
        <v>373</v>
      </c>
    </row>
    <row r="1546" spans="47:54" x14ac:dyDescent="0.25">
      <c r="AU1546" s="14">
        <v>174</v>
      </c>
      <c r="AX1546" s="14">
        <v>101</v>
      </c>
      <c r="AY1546" s="14">
        <v>965</v>
      </c>
      <c r="AZ1546" s="14">
        <v>-5</v>
      </c>
      <c r="BB1546" s="14">
        <v>-838</v>
      </c>
    </row>
    <row r="1547" spans="47:54" x14ac:dyDescent="0.25">
      <c r="AU1547" s="14">
        <v>878</v>
      </c>
      <c r="AX1547" s="14">
        <v>88</v>
      </c>
      <c r="AY1547" s="14">
        <v>158</v>
      </c>
      <c r="AZ1547" s="14">
        <v>-10</v>
      </c>
      <c r="BB1547" s="14">
        <v>122</v>
      </c>
    </row>
    <row r="1548" spans="47:54" x14ac:dyDescent="0.25">
      <c r="AU1548" s="14">
        <v>-134</v>
      </c>
      <c r="AX1548" s="14">
        <v>111</v>
      </c>
      <c r="AY1548" s="14">
        <v>267</v>
      </c>
      <c r="AZ1548" s="14">
        <v>-2</v>
      </c>
      <c r="BB1548" s="14">
        <v>371</v>
      </c>
    </row>
    <row r="1549" spans="47:54" x14ac:dyDescent="0.25">
      <c r="AU1549" s="14">
        <v>-20</v>
      </c>
      <c r="AX1549" s="14">
        <v>59</v>
      </c>
      <c r="AY1549" s="14">
        <v>243</v>
      </c>
      <c r="AZ1549" s="14">
        <v>-26</v>
      </c>
      <c r="BB1549" s="14">
        <v>175</v>
      </c>
    </row>
    <row r="1550" spans="47:54" x14ac:dyDescent="0.25">
      <c r="AU1550" s="14">
        <v>21</v>
      </c>
      <c r="AX1550" s="14">
        <v>52</v>
      </c>
      <c r="AY1550" s="14">
        <v>247</v>
      </c>
      <c r="AZ1550" s="14">
        <v>-16</v>
      </c>
      <c r="BB1550" s="14">
        <v>-281</v>
      </c>
    </row>
    <row r="1551" spans="47:54" x14ac:dyDescent="0.25">
      <c r="AU1551" s="14">
        <v>1</v>
      </c>
      <c r="AX1551" s="14">
        <v>35</v>
      </c>
      <c r="AY1551" s="14">
        <v>239</v>
      </c>
      <c r="AZ1551" s="14">
        <v>225</v>
      </c>
      <c r="BB1551" s="14">
        <v>217</v>
      </c>
    </row>
    <row r="1552" spans="47:54" x14ac:dyDescent="0.25">
      <c r="AU1552" s="14">
        <v>12</v>
      </c>
      <c r="AX1552" s="14">
        <v>36</v>
      </c>
      <c r="AY1552" s="14">
        <v>240</v>
      </c>
      <c r="AZ1552" s="14">
        <v>-15</v>
      </c>
      <c r="BB1552" s="14">
        <v>198</v>
      </c>
    </row>
    <row r="1553" spans="47:54" x14ac:dyDescent="0.25">
      <c r="AU1553" s="14">
        <v>29</v>
      </c>
      <c r="AX1553" s="14">
        <v>-52</v>
      </c>
      <c r="AY1553" s="14">
        <v>242</v>
      </c>
      <c r="AZ1553" s="14">
        <v>-3</v>
      </c>
      <c r="BB1553" s="14">
        <v>709</v>
      </c>
    </row>
    <row r="1554" spans="47:54" x14ac:dyDescent="0.25">
      <c r="AU1554" s="14">
        <v>-62</v>
      </c>
      <c r="AX1554" s="14">
        <v>311</v>
      </c>
      <c r="AY1554" s="14">
        <v>-418</v>
      </c>
      <c r="AZ1554" s="14">
        <v>-2</v>
      </c>
      <c r="BB1554" s="14">
        <v>884</v>
      </c>
    </row>
    <row r="1555" spans="47:54" x14ac:dyDescent="0.25">
      <c r="AU1555" s="14">
        <v>-37</v>
      </c>
      <c r="AX1555" s="14">
        <v>-164</v>
      </c>
      <c r="AY1555" s="14">
        <v>591</v>
      </c>
      <c r="AZ1555" s="14">
        <v>8</v>
      </c>
      <c r="BB1555" s="14">
        <v>-478</v>
      </c>
    </row>
    <row r="1556" spans="47:54" x14ac:dyDescent="0.25">
      <c r="AU1556" s="14">
        <v>746</v>
      </c>
      <c r="AX1556" s="14">
        <v>-652</v>
      </c>
      <c r="AY1556" s="14">
        <v>900</v>
      </c>
      <c r="AZ1556" s="14">
        <v>-2</v>
      </c>
      <c r="BB1556" s="14">
        <v>-532</v>
      </c>
    </row>
    <row r="1557" spans="47:54" x14ac:dyDescent="0.25">
      <c r="AU1557" s="14">
        <v>-942</v>
      </c>
      <c r="AX1557" s="14">
        <v>614</v>
      </c>
      <c r="AY1557" s="14">
        <v>127</v>
      </c>
      <c r="AZ1557" s="14">
        <v>-2</v>
      </c>
      <c r="BB1557" s="14">
        <v>727</v>
      </c>
    </row>
    <row r="1558" spans="47:54" x14ac:dyDescent="0.25">
      <c r="AU1558" s="14">
        <v>-321</v>
      </c>
      <c r="AX1558" s="14">
        <v>-459</v>
      </c>
      <c r="AY1558" s="14">
        <v>161</v>
      </c>
      <c r="AZ1558" s="14">
        <v>1</v>
      </c>
      <c r="BB1558" s="14">
        <v>-109</v>
      </c>
    </row>
    <row r="1559" spans="47:54" x14ac:dyDescent="0.25">
      <c r="AU1559" s="14">
        <v>-540</v>
      </c>
      <c r="AX1559" s="14">
        <v>635</v>
      </c>
      <c r="AY1559" s="14">
        <v>200</v>
      </c>
      <c r="AZ1559" s="14">
        <v>-19</v>
      </c>
      <c r="BB1559" s="14">
        <v>-788</v>
      </c>
    </row>
    <row r="1560" spans="47:54" x14ac:dyDescent="0.25">
      <c r="AU1560" s="14">
        <v>-243</v>
      </c>
      <c r="AX1560" s="14">
        <v>-351</v>
      </c>
      <c r="AY1560" s="14">
        <v>193</v>
      </c>
      <c r="AZ1560" s="14">
        <v>-23</v>
      </c>
      <c r="BB1560" s="14">
        <v>-551</v>
      </c>
    </row>
    <row r="1561" spans="47:54" x14ac:dyDescent="0.25">
      <c r="AU1561" s="14">
        <v>191</v>
      </c>
      <c r="AX1561" s="14">
        <v>254</v>
      </c>
      <c r="AY1561" s="14">
        <v>348</v>
      </c>
      <c r="AZ1561" s="14">
        <v>-7</v>
      </c>
      <c r="BB1561" s="14">
        <v>-90</v>
      </c>
    </row>
    <row r="1562" spans="47:54" x14ac:dyDescent="0.25">
      <c r="AU1562" s="14">
        <v>-425</v>
      </c>
      <c r="AX1562" s="14">
        <v>155</v>
      </c>
      <c r="AY1562" s="14">
        <v>555</v>
      </c>
      <c r="AZ1562" s="14">
        <v>-20</v>
      </c>
      <c r="BB1562" s="14">
        <v>-241</v>
      </c>
    </row>
    <row r="1563" spans="47:54" x14ac:dyDescent="0.25">
      <c r="AU1563" s="14">
        <v>-102</v>
      </c>
      <c r="AX1563" s="14">
        <v>246</v>
      </c>
      <c r="AY1563" s="14">
        <v>101</v>
      </c>
      <c r="AZ1563" s="14">
        <v>-5</v>
      </c>
      <c r="BB1563" s="14">
        <v>311</v>
      </c>
    </row>
    <row r="1564" spans="47:54" x14ac:dyDescent="0.25">
      <c r="AU1564" s="14">
        <v>5</v>
      </c>
      <c r="AX1564" s="14">
        <v>235</v>
      </c>
      <c r="AY1564" s="14">
        <v>107</v>
      </c>
      <c r="AZ1564" s="14">
        <v>-15</v>
      </c>
      <c r="BB1564" s="14">
        <v>-208</v>
      </c>
    </row>
    <row r="1565" spans="47:54" x14ac:dyDescent="0.25">
      <c r="AU1565" s="14">
        <v>-2</v>
      </c>
      <c r="AX1565" s="14">
        <v>59</v>
      </c>
      <c r="AY1565" s="14">
        <v>149</v>
      </c>
      <c r="AZ1565" s="14">
        <v>-17</v>
      </c>
      <c r="BB1565" s="14">
        <v>-144</v>
      </c>
    </row>
    <row r="1566" spans="47:54" x14ac:dyDescent="0.25">
      <c r="AU1566" s="14">
        <v>-7</v>
      </c>
      <c r="AX1566" s="14">
        <v>70</v>
      </c>
      <c r="AY1566" s="14">
        <v>339</v>
      </c>
      <c r="AZ1566" s="14">
        <v>291</v>
      </c>
      <c r="BB1566" s="14">
        <v>786</v>
      </c>
    </row>
    <row r="1567" spans="47:54" x14ac:dyDescent="0.25">
      <c r="AU1567" s="14">
        <v>102</v>
      </c>
      <c r="AX1567" s="14">
        <v>14</v>
      </c>
      <c r="AY1567" s="14">
        <v>113</v>
      </c>
      <c r="AZ1567" s="14">
        <v>-13</v>
      </c>
      <c r="BB1567" s="14">
        <v>-105</v>
      </c>
    </row>
    <row r="1568" spans="47:54" x14ac:dyDescent="0.25">
      <c r="AU1568" s="14">
        <v>-184</v>
      </c>
      <c r="AX1568" s="14">
        <v>76</v>
      </c>
      <c r="AY1568" s="14">
        <v>833</v>
      </c>
      <c r="AZ1568" s="14">
        <v>28</v>
      </c>
      <c r="BB1568" s="14">
        <v>138</v>
      </c>
    </row>
    <row r="1569" spans="47:54" x14ac:dyDescent="0.25">
      <c r="AU1569" s="14">
        <v>271</v>
      </c>
      <c r="AX1569" s="14">
        <v>363</v>
      </c>
      <c r="AY1569" s="14">
        <v>202</v>
      </c>
      <c r="AZ1569" s="14">
        <v>18</v>
      </c>
      <c r="BB1569" s="14">
        <v>538</v>
      </c>
    </row>
    <row r="1570" spans="47:54" x14ac:dyDescent="0.25">
      <c r="AU1570" s="14">
        <v>546</v>
      </c>
      <c r="AX1570" s="14">
        <v>-102</v>
      </c>
      <c r="AY1570" s="14">
        <v>-981</v>
      </c>
      <c r="AZ1570" s="14">
        <v>10</v>
      </c>
      <c r="BB1570" s="14">
        <v>-409</v>
      </c>
    </row>
    <row r="1571" spans="47:54" x14ac:dyDescent="0.25">
      <c r="AU1571" s="14">
        <v>143</v>
      </c>
      <c r="AX1571" s="14">
        <v>-917</v>
      </c>
      <c r="AY1571" s="14">
        <v>-273</v>
      </c>
      <c r="AZ1571" s="14">
        <v>-9</v>
      </c>
      <c r="BB1571" s="14">
        <v>-178</v>
      </c>
    </row>
    <row r="1572" spans="47:54" x14ac:dyDescent="0.25">
      <c r="AU1572" s="14">
        <v>756</v>
      </c>
      <c r="AX1572" s="14">
        <v>220</v>
      </c>
      <c r="AY1572" s="14">
        <v>127</v>
      </c>
      <c r="AZ1572" s="14">
        <v>3</v>
      </c>
      <c r="BB1572" s="14">
        <v>140</v>
      </c>
    </row>
    <row r="1573" spans="47:54" x14ac:dyDescent="0.25">
      <c r="AU1573" s="14">
        <v>-462</v>
      </c>
      <c r="AX1573" s="14">
        <v>-187</v>
      </c>
      <c r="AY1573" s="14">
        <v>290</v>
      </c>
      <c r="AZ1573" s="14">
        <v>10</v>
      </c>
      <c r="BB1573" s="14">
        <v>193</v>
      </c>
    </row>
    <row r="1574" spans="47:54" x14ac:dyDescent="0.25">
      <c r="AU1574" s="14">
        <v>150</v>
      </c>
      <c r="AX1574" s="14">
        <v>978</v>
      </c>
      <c r="AY1574" s="14">
        <v>283</v>
      </c>
      <c r="AZ1574" s="14">
        <v>-11</v>
      </c>
      <c r="BB1574" s="14">
        <v>327</v>
      </c>
    </row>
    <row r="1575" spans="47:54" x14ac:dyDescent="0.25">
      <c r="AU1575" s="14">
        <v>737</v>
      </c>
      <c r="AX1575" s="14">
        <v>553</v>
      </c>
      <c r="AY1575" s="14">
        <v>498</v>
      </c>
      <c r="AZ1575" s="14">
        <v>-13</v>
      </c>
      <c r="BB1575" s="14">
        <v>103</v>
      </c>
    </row>
    <row r="1576" spans="47:54" x14ac:dyDescent="0.25">
      <c r="AU1576" s="14">
        <v>185</v>
      </c>
      <c r="AX1576" s="14">
        <v>-175</v>
      </c>
      <c r="AY1576" s="14">
        <v>360</v>
      </c>
      <c r="AZ1576" s="14">
        <v>-8</v>
      </c>
      <c r="BB1576" s="14">
        <v>-203</v>
      </c>
    </row>
    <row r="1577" spans="47:54" x14ac:dyDescent="0.25">
      <c r="AU1577" s="14">
        <v>822</v>
      </c>
      <c r="AX1577" s="14">
        <v>19</v>
      </c>
      <c r="AY1577" s="14">
        <v>569</v>
      </c>
      <c r="AZ1577" s="14">
        <v>-12</v>
      </c>
      <c r="BB1577" s="14">
        <v>-537</v>
      </c>
    </row>
    <row r="1578" spans="47:54" x14ac:dyDescent="0.25">
      <c r="AU1578" s="14">
        <v>-388</v>
      </c>
      <c r="AX1578" s="14">
        <v>993</v>
      </c>
      <c r="AY1578" s="14">
        <v>736</v>
      </c>
      <c r="AZ1578" s="14">
        <v>3</v>
      </c>
      <c r="BB1578" s="14">
        <v>-177</v>
      </c>
    </row>
    <row r="1579" spans="47:54" x14ac:dyDescent="0.25">
      <c r="AU1579" s="14">
        <v>-163</v>
      </c>
      <c r="AX1579" s="14">
        <v>766</v>
      </c>
      <c r="AY1579" s="14">
        <v>150</v>
      </c>
      <c r="AZ1579" s="14">
        <v>-19</v>
      </c>
      <c r="BB1579" s="14">
        <v>142</v>
      </c>
    </row>
    <row r="1580" spans="47:54" x14ac:dyDescent="0.25">
      <c r="AU1580" s="14">
        <v>267</v>
      </c>
      <c r="AX1580" s="14">
        <v>-40</v>
      </c>
      <c r="AY1580" s="14">
        <v>-103</v>
      </c>
      <c r="AZ1580" s="14">
        <v>-8</v>
      </c>
      <c r="BB1580" s="14">
        <v>-688</v>
      </c>
    </row>
    <row r="1581" spans="47:54" x14ac:dyDescent="0.25">
      <c r="AU1581" s="14">
        <v>578</v>
      </c>
      <c r="AX1581" s="14">
        <v>995</v>
      </c>
      <c r="AY1581" s="14">
        <v>-100</v>
      </c>
      <c r="AZ1581" s="14">
        <v>221</v>
      </c>
      <c r="BB1581" s="14">
        <v>-967</v>
      </c>
    </row>
    <row r="1582" spans="47:54" x14ac:dyDescent="0.25">
      <c r="AU1582" s="14">
        <v>361</v>
      </c>
      <c r="AX1582" s="14">
        <v>651</v>
      </c>
      <c r="AY1582" s="14">
        <v>-126</v>
      </c>
      <c r="AZ1582" s="14">
        <v>-12</v>
      </c>
      <c r="BB1582" s="14">
        <v>-165</v>
      </c>
    </row>
    <row r="1583" spans="47:54" x14ac:dyDescent="0.25">
      <c r="AU1583" s="14">
        <v>490</v>
      </c>
      <c r="AX1583" s="14">
        <v>-111</v>
      </c>
      <c r="AY1583" s="14">
        <v>-152</v>
      </c>
      <c r="AZ1583" s="14">
        <v>-9</v>
      </c>
      <c r="BB1583" s="14">
        <v>740</v>
      </c>
    </row>
    <row r="1584" spans="47:54" x14ac:dyDescent="0.25">
      <c r="AU1584" s="14">
        <v>-274</v>
      </c>
      <c r="AX1584" s="14">
        <v>15</v>
      </c>
      <c r="AY1584" s="14">
        <v>-208</v>
      </c>
      <c r="AZ1584" s="14">
        <v>35</v>
      </c>
      <c r="BB1584" s="14">
        <v>-450</v>
      </c>
    </row>
    <row r="1585" spans="47:54" x14ac:dyDescent="0.25">
      <c r="AU1585" s="14">
        <v>131</v>
      </c>
      <c r="AX1585" s="14">
        <v>995</v>
      </c>
      <c r="AY1585" s="14">
        <v>-212</v>
      </c>
      <c r="AZ1585" s="14">
        <v>2</v>
      </c>
      <c r="BB1585" s="14">
        <v>55</v>
      </c>
    </row>
    <row r="1586" spans="47:54" x14ac:dyDescent="0.25">
      <c r="AU1586" s="14">
        <v>692</v>
      </c>
      <c r="AX1586" s="14">
        <v>639</v>
      </c>
      <c r="AY1586" s="14">
        <v>-248</v>
      </c>
      <c r="AZ1586" s="14">
        <v>3</v>
      </c>
      <c r="BB1586" s="14">
        <v>405</v>
      </c>
    </row>
    <row r="1587" spans="47:54" x14ac:dyDescent="0.25">
      <c r="AU1587" s="14">
        <v>238</v>
      </c>
      <c r="AX1587" s="14">
        <v>88</v>
      </c>
      <c r="AY1587" s="14">
        <v>-390</v>
      </c>
      <c r="AZ1587" s="14">
        <v>1</v>
      </c>
      <c r="BB1587" s="14">
        <v>390</v>
      </c>
    </row>
    <row r="1588" spans="47:54" x14ac:dyDescent="0.25">
      <c r="AU1588" s="14">
        <v>414</v>
      </c>
      <c r="AX1588" s="14">
        <v>21</v>
      </c>
      <c r="AY1588" s="14">
        <v>-102</v>
      </c>
      <c r="AZ1588" s="14">
        <v>6</v>
      </c>
      <c r="BB1588" s="14">
        <v>-184</v>
      </c>
    </row>
    <row r="1589" spans="47:54" x14ac:dyDescent="0.25">
      <c r="AU1589" s="14">
        <v>-195</v>
      </c>
      <c r="AX1589" s="14">
        <v>994</v>
      </c>
      <c r="AY1589" s="14">
        <v>682</v>
      </c>
      <c r="AZ1589" s="14">
        <v>-26</v>
      </c>
      <c r="BB1589" s="14">
        <v>-229</v>
      </c>
    </row>
    <row r="1590" spans="47:54" x14ac:dyDescent="0.25">
      <c r="AU1590" s="14">
        <v>-48</v>
      </c>
      <c r="AX1590" s="14">
        <v>783</v>
      </c>
      <c r="AY1590" s="14">
        <v>170</v>
      </c>
      <c r="AZ1590" s="14">
        <v>-14</v>
      </c>
      <c r="BB1590" s="14">
        <v>-120</v>
      </c>
    </row>
    <row r="1591" spans="47:54" x14ac:dyDescent="0.25">
      <c r="AU1591" s="14">
        <v>-86</v>
      </c>
      <c r="AX1591" s="14">
        <v>45</v>
      </c>
      <c r="AY1591" s="14">
        <v>252</v>
      </c>
      <c r="AZ1591" s="14">
        <v>-9</v>
      </c>
      <c r="BB1591" s="14">
        <v>113</v>
      </c>
    </row>
    <row r="1592" spans="47:54" x14ac:dyDescent="0.25">
      <c r="AU1592" s="14">
        <v>-1</v>
      </c>
      <c r="AX1592" s="14">
        <v>1</v>
      </c>
      <c r="AY1592" s="14">
        <v>319</v>
      </c>
      <c r="AZ1592" s="14">
        <v>-32</v>
      </c>
      <c r="BB1592" s="14">
        <v>379</v>
      </c>
    </row>
    <row r="1593" spans="47:54" x14ac:dyDescent="0.25">
      <c r="AU1593" s="14">
        <v>2</v>
      </c>
      <c r="AX1593" s="14">
        <v>100</v>
      </c>
      <c r="AY1593" s="14">
        <v>506</v>
      </c>
      <c r="AZ1593" s="14">
        <v>-7</v>
      </c>
      <c r="BB1593" s="14">
        <v>533</v>
      </c>
    </row>
    <row r="1594" spans="47:54" x14ac:dyDescent="0.25">
      <c r="AU1594" s="14">
        <v>-363</v>
      </c>
      <c r="AX1594" s="14">
        <v>658</v>
      </c>
      <c r="AY1594" s="14">
        <v>577</v>
      </c>
      <c r="AZ1594" s="14">
        <v>-17</v>
      </c>
      <c r="BB1594" s="14">
        <v>-895</v>
      </c>
    </row>
    <row r="1595" spans="47:54" x14ac:dyDescent="0.25">
      <c r="AU1595" s="14">
        <v>-129</v>
      </c>
      <c r="AX1595" s="14">
        <v>106</v>
      </c>
      <c r="AY1595" s="14">
        <v>113</v>
      </c>
      <c r="AZ1595" s="14">
        <v>-20</v>
      </c>
      <c r="BB1595" s="14">
        <v>-332</v>
      </c>
    </row>
    <row r="1596" spans="47:54" x14ac:dyDescent="0.25">
      <c r="AU1596" s="14">
        <v>24</v>
      </c>
      <c r="AX1596" s="14">
        <v>20</v>
      </c>
      <c r="AY1596" s="14">
        <v>200</v>
      </c>
      <c r="AZ1596" s="14">
        <v>242</v>
      </c>
      <c r="BB1596" s="14">
        <v>140</v>
      </c>
    </row>
    <row r="1597" spans="47:54" x14ac:dyDescent="0.25">
      <c r="AU1597" s="14">
        <v>-168</v>
      </c>
      <c r="AX1597" s="14">
        <v>970</v>
      </c>
      <c r="AY1597" s="14">
        <v>-415</v>
      </c>
      <c r="AZ1597" s="14">
        <v>-5</v>
      </c>
      <c r="BB1597" s="14">
        <v>151</v>
      </c>
    </row>
    <row r="1598" spans="47:54" x14ac:dyDescent="0.25">
      <c r="AU1598" s="14">
        <v>542</v>
      </c>
      <c r="AX1598" s="14">
        <v>482</v>
      </c>
      <c r="AY1598" s="14">
        <v>-411</v>
      </c>
      <c r="AZ1598" s="14">
        <v>-21</v>
      </c>
      <c r="BB1598" s="14">
        <v>-140</v>
      </c>
    </row>
    <row r="1599" spans="47:54" x14ac:dyDescent="0.25">
      <c r="AU1599" s="14">
        <v>-213</v>
      </c>
      <c r="AX1599" s="14">
        <v>-158</v>
      </c>
      <c r="AY1599" s="14">
        <v>-425</v>
      </c>
      <c r="AZ1599" s="14">
        <v>11</v>
      </c>
      <c r="BB1599" s="14">
        <v>133</v>
      </c>
    </row>
    <row r="1600" spans="47:54" x14ac:dyDescent="0.25">
      <c r="AU1600" s="14">
        <v>-140</v>
      </c>
      <c r="AX1600" s="14">
        <v>18</v>
      </c>
      <c r="AY1600" s="14">
        <v>-430</v>
      </c>
      <c r="AZ1600" s="14">
        <v>3</v>
      </c>
      <c r="BB1600" s="14">
        <v>-363</v>
      </c>
    </row>
    <row r="1601" spans="47:54" x14ac:dyDescent="0.25">
      <c r="AU1601" s="14">
        <v>236</v>
      </c>
      <c r="AX1601" s="14">
        <v>-470</v>
      </c>
      <c r="AY1601" s="14">
        <v>-431</v>
      </c>
      <c r="AZ1601" s="14">
        <v>-5</v>
      </c>
      <c r="BB1601" s="14">
        <v>-112</v>
      </c>
    </row>
    <row r="1602" spans="47:54" x14ac:dyDescent="0.25">
      <c r="AU1602" s="14">
        <v>-417</v>
      </c>
      <c r="AX1602" s="14">
        <v>989</v>
      </c>
      <c r="AY1602" s="14">
        <v>-452</v>
      </c>
      <c r="AZ1602" s="14">
        <v>1</v>
      </c>
      <c r="BB1602" s="14">
        <v>787</v>
      </c>
    </row>
    <row r="1603" spans="47:54" x14ac:dyDescent="0.25">
      <c r="AU1603" s="14">
        <v>141</v>
      </c>
      <c r="AX1603" s="14">
        <v>541</v>
      </c>
      <c r="AY1603" s="14">
        <v>-461</v>
      </c>
      <c r="AZ1603" s="14">
        <v>-2</v>
      </c>
      <c r="BB1603" s="14">
        <v>193</v>
      </c>
    </row>
    <row r="1604" spans="47:54" x14ac:dyDescent="0.25">
      <c r="AU1604" s="14">
        <v>7</v>
      </c>
      <c r="AX1604" s="14">
        <v>57</v>
      </c>
      <c r="AY1604" s="14">
        <v>-572</v>
      </c>
      <c r="AZ1604" s="14">
        <v>-12</v>
      </c>
      <c r="BB1604" s="14">
        <v>336</v>
      </c>
    </row>
    <row r="1605" spans="47:54" x14ac:dyDescent="0.25">
      <c r="AU1605" s="14">
        <v>33</v>
      </c>
      <c r="AX1605" s="14">
        <v>19</v>
      </c>
      <c r="AY1605" s="14">
        <v>-108</v>
      </c>
      <c r="AZ1605" s="14">
        <v>-16</v>
      </c>
      <c r="BB1605" s="14">
        <v>170</v>
      </c>
    </row>
    <row r="1606" spans="47:54" x14ac:dyDescent="0.25">
      <c r="AU1606" s="14">
        <v>1</v>
      </c>
      <c r="AX1606" s="14">
        <v>-564</v>
      </c>
      <c r="AY1606" s="14">
        <v>577</v>
      </c>
      <c r="AZ1606" s="14">
        <v>18</v>
      </c>
      <c r="BB1606" s="14">
        <v>-111</v>
      </c>
    </row>
    <row r="1607" spans="47:54" x14ac:dyDescent="0.25">
      <c r="AU1607" s="14">
        <v>44</v>
      </c>
      <c r="AX1607" s="14">
        <v>-6</v>
      </c>
      <c r="AY1607" s="14">
        <v>289</v>
      </c>
      <c r="AZ1607" s="14">
        <v>2</v>
      </c>
      <c r="BB1607" s="14">
        <v>-396</v>
      </c>
    </row>
    <row r="1608" spans="47:54" x14ac:dyDescent="0.25">
      <c r="AU1608" s="14">
        <v>64</v>
      </c>
      <c r="AX1608" s="14">
        <v>489</v>
      </c>
      <c r="AY1608" s="14">
        <v>799</v>
      </c>
      <c r="AZ1608" s="14">
        <v>-8</v>
      </c>
      <c r="BB1608" s="14">
        <v>-147</v>
      </c>
    </row>
    <row r="1609" spans="47:54" x14ac:dyDescent="0.25">
      <c r="AU1609" s="14">
        <v>-283</v>
      </c>
      <c r="AX1609" s="14">
        <v>257</v>
      </c>
      <c r="AY1609" s="14">
        <v>101</v>
      </c>
      <c r="AZ1609" s="14">
        <v>-7</v>
      </c>
      <c r="BB1609" s="14">
        <v>390</v>
      </c>
    </row>
    <row r="1610" spans="47:54" x14ac:dyDescent="0.25">
      <c r="AU1610" s="14">
        <v>-291</v>
      </c>
      <c r="AX1610" s="14">
        <v>989</v>
      </c>
      <c r="AY1610" s="14">
        <v>139</v>
      </c>
      <c r="AZ1610" s="14">
        <v>-12</v>
      </c>
      <c r="BB1610" s="14">
        <v>202</v>
      </c>
    </row>
    <row r="1611" spans="47:54" x14ac:dyDescent="0.25">
      <c r="AU1611" s="14">
        <v>125</v>
      </c>
      <c r="AX1611" s="14">
        <v>-4</v>
      </c>
      <c r="AY1611" s="14">
        <v>196</v>
      </c>
      <c r="AZ1611" s="14">
        <v>217</v>
      </c>
      <c r="BB1611" s="14">
        <v>-231</v>
      </c>
    </row>
    <row r="1612" spans="47:54" x14ac:dyDescent="0.25">
      <c r="AU1612" s="14">
        <v>-172</v>
      </c>
      <c r="AX1612" s="14">
        <v>90</v>
      </c>
      <c r="AY1612" s="14">
        <v>227</v>
      </c>
      <c r="AZ1612" s="14">
        <v>-16</v>
      </c>
      <c r="BB1612" s="14">
        <v>628</v>
      </c>
    </row>
    <row r="1613" spans="47:54" x14ac:dyDescent="0.25">
      <c r="AU1613" s="14">
        <v>13</v>
      </c>
      <c r="AX1613" s="14">
        <v>33</v>
      </c>
      <c r="AY1613" s="14">
        <v>440</v>
      </c>
      <c r="AZ1613" s="14">
        <v>22</v>
      </c>
      <c r="BB1613" s="14">
        <v>-524</v>
      </c>
    </row>
    <row r="1614" spans="47:54" x14ac:dyDescent="0.25">
      <c r="AU1614" s="14">
        <v>71</v>
      </c>
      <c r="AX1614" s="14">
        <v>450</v>
      </c>
      <c r="AY1614" s="14">
        <v>875</v>
      </c>
      <c r="AZ1614" s="14">
        <v>13</v>
      </c>
      <c r="BB1614" s="14">
        <v>-239</v>
      </c>
    </row>
    <row r="1615" spans="47:54" x14ac:dyDescent="0.25">
      <c r="AU1615" s="14">
        <v>-984</v>
      </c>
      <c r="AX1615" s="14">
        <v>-198</v>
      </c>
      <c r="AY1615" s="14">
        <v>779</v>
      </c>
      <c r="AZ1615" s="14">
        <v>5</v>
      </c>
      <c r="BB1615" s="14">
        <v>-298</v>
      </c>
    </row>
    <row r="1616" spans="47:54" x14ac:dyDescent="0.25">
      <c r="AU1616" s="14">
        <v>-2</v>
      </c>
      <c r="AX1616" s="14">
        <v>-153</v>
      </c>
      <c r="AY1616" s="14">
        <v>981</v>
      </c>
      <c r="AZ1616" s="14">
        <v>-3</v>
      </c>
      <c r="BB1616" s="14">
        <v>-781</v>
      </c>
    </row>
    <row r="1617" spans="47:54" x14ac:dyDescent="0.25">
      <c r="AU1617" s="14">
        <v>551</v>
      </c>
      <c r="AX1617" s="14">
        <v>174</v>
      </c>
      <c r="AY1617" s="14">
        <v>964</v>
      </c>
      <c r="AZ1617" s="14">
        <v>-4</v>
      </c>
      <c r="BB1617" s="14">
        <v>582</v>
      </c>
    </row>
    <row r="1618" spans="47:54" x14ac:dyDescent="0.25">
      <c r="AU1618" s="14">
        <v>732</v>
      </c>
      <c r="AX1618" s="14">
        <v>146</v>
      </c>
      <c r="AY1618" s="14">
        <v>678</v>
      </c>
      <c r="AZ1618" s="14">
        <v>5</v>
      </c>
      <c r="BB1618" s="14">
        <v>191</v>
      </c>
    </row>
    <row r="1619" spans="47:54" x14ac:dyDescent="0.25">
      <c r="AU1619" s="14">
        <v>383</v>
      </c>
      <c r="AX1619" s="14">
        <v>-110</v>
      </c>
      <c r="AY1619" s="14">
        <v>896</v>
      </c>
      <c r="AZ1619" s="14">
        <v>-16</v>
      </c>
      <c r="BB1619" s="14">
        <v>-225</v>
      </c>
    </row>
    <row r="1620" spans="47:54" x14ac:dyDescent="0.25">
      <c r="AU1620" s="14">
        <v>480</v>
      </c>
      <c r="AX1620" s="14">
        <v>-432</v>
      </c>
      <c r="AY1620" s="14">
        <v>910</v>
      </c>
      <c r="AZ1620" s="14">
        <v>-15</v>
      </c>
      <c r="BB1620" s="14">
        <v>851</v>
      </c>
    </row>
    <row r="1621" spans="47:54" x14ac:dyDescent="0.25">
      <c r="AU1621" s="14">
        <v>949</v>
      </c>
      <c r="AX1621" s="14">
        <v>111</v>
      </c>
      <c r="AY1621" s="14">
        <v>-558</v>
      </c>
      <c r="AZ1621" s="14">
        <v>-6</v>
      </c>
      <c r="BB1621" s="14">
        <v>375</v>
      </c>
    </row>
    <row r="1622" spans="47:54" x14ac:dyDescent="0.25">
      <c r="AU1622" s="14">
        <v>123</v>
      </c>
      <c r="AX1622" s="14">
        <v>129</v>
      </c>
      <c r="AY1622" s="14">
        <v>-556</v>
      </c>
      <c r="AZ1622" s="14">
        <v>-23</v>
      </c>
      <c r="BB1622" s="14">
        <v>447</v>
      </c>
    </row>
    <row r="1623" spans="47:54" x14ac:dyDescent="0.25">
      <c r="AU1623" s="14">
        <v>146</v>
      </c>
      <c r="AX1623" s="14">
        <v>967</v>
      </c>
      <c r="AY1623" s="14">
        <v>-565</v>
      </c>
      <c r="AZ1623" s="14">
        <v>-7</v>
      </c>
      <c r="BB1623" s="14">
        <v>453</v>
      </c>
    </row>
    <row r="1624" spans="47:54" x14ac:dyDescent="0.25">
      <c r="AU1624" s="14">
        <v>169</v>
      </c>
      <c r="AX1624" s="14">
        <v>180</v>
      </c>
      <c r="AY1624" s="14">
        <v>-537</v>
      </c>
      <c r="AZ1624" s="14">
        <v>-12</v>
      </c>
      <c r="BB1624" s="14">
        <v>-302</v>
      </c>
    </row>
    <row r="1625" spans="47:54" x14ac:dyDescent="0.25">
      <c r="AU1625" s="14">
        <v>196</v>
      </c>
      <c r="AX1625" s="14">
        <v>-262</v>
      </c>
      <c r="AY1625" s="14">
        <v>-610</v>
      </c>
      <c r="AZ1625" s="14">
        <v>-14</v>
      </c>
      <c r="BB1625" s="14">
        <v>-367</v>
      </c>
    </row>
    <row r="1626" spans="47:54" x14ac:dyDescent="0.25">
      <c r="AU1626" s="14">
        <v>224</v>
      </c>
      <c r="AX1626" s="14">
        <v>-535</v>
      </c>
      <c r="AY1626" s="14">
        <v>164</v>
      </c>
      <c r="AZ1626" s="14">
        <v>226</v>
      </c>
      <c r="BB1626" s="14">
        <v>-971</v>
      </c>
    </row>
    <row r="1627" spans="47:54" x14ac:dyDescent="0.25">
      <c r="AU1627" s="14">
        <v>277</v>
      </c>
      <c r="AX1627" s="14">
        <v>-7</v>
      </c>
      <c r="AY1627" s="14">
        <v>541</v>
      </c>
      <c r="AZ1627" s="14">
        <v>211</v>
      </c>
      <c r="BB1627" s="14">
        <v>290</v>
      </c>
    </row>
    <row r="1628" spans="47:54" x14ac:dyDescent="0.25">
      <c r="AU1628" s="14">
        <v>128</v>
      </c>
      <c r="AX1628" s="14">
        <v>-31</v>
      </c>
      <c r="AY1628" s="14">
        <v>-583</v>
      </c>
      <c r="AZ1628" s="14">
        <v>240</v>
      </c>
      <c r="BB1628" s="14">
        <v>-95</v>
      </c>
    </row>
    <row r="1629" spans="47:54" x14ac:dyDescent="0.25">
      <c r="AU1629" s="14">
        <v>131</v>
      </c>
      <c r="AX1629" s="14">
        <v>-46</v>
      </c>
      <c r="AY1629" s="14">
        <v>-706</v>
      </c>
      <c r="AZ1629" s="14">
        <v>171</v>
      </c>
      <c r="BB1629" s="14">
        <v>-700</v>
      </c>
    </row>
    <row r="1630" spans="47:54" x14ac:dyDescent="0.25">
      <c r="AU1630" s="14">
        <v>214</v>
      </c>
      <c r="AX1630" s="14">
        <v>-318</v>
      </c>
      <c r="AY1630" s="14">
        <v>139</v>
      </c>
      <c r="AZ1630" s="14">
        <v>204</v>
      </c>
      <c r="BB1630" s="14">
        <v>396</v>
      </c>
    </row>
    <row r="1631" spans="47:54" x14ac:dyDescent="0.25">
      <c r="AU1631" s="14">
        <v>-32</v>
      </c>
      <c r="AX1631" s="14">
        <v>3</v>
      </c>
      <c r="AY1631" s="14">
        <v>242</v>
      </c>
      <c r="AZ1631" s="14">
        <v>199</v>
      </c>
      <c r="BB1631" s="14">
        <v>-217</v>
      </c>
    </row>
    <row r="1632" spans="47:54" x14ac:dyDescent="0.25">
      <c r="AU1632" s="14">
        <v>107</v>
      </c>
      <c r="AX1632" s="14">
        <v>37</v>
      </c>
      <c r="AY1632" s="14">
        <v>-167</v>
      </c>
      <c r="AZ1632" s="14">
        <v>199</v>
      </c>
      <c r="BB1632" s="14">
        <v>945</v>
      </c>
    </row>
    <row r="1633" spans="47:54" x14ac:dyDescent="0.25">
      <c r="AU1633" s="14">
        <v>109</v>
      </c>
      <c r="AX1633" s="14">
        <v>308</v>
      </c>
      <c r="AY1633" s="14">
        <v>-252</v>
      </c>
      <c r="AZ1633" s="14">
        <v>206</v>
      </c>
      <c r="BB1633" s="14">
        <v>-552</v>
      </c>
    </row>
    <row r="1634" spans="47:54" x14ac:dyDescent="0.25">
      <c r="AU1634" s="14">
        <v>-71</v>
      </c>
      <c r="AX1634" s="14">
        <v>-51</v>
      </c>
      <c r="AY1634" s="14">
        <v>-274</v>
      </c>
      <c r="AZ1634" s="14">
        <v>182</v>
      </c>
      <c r="BB1634" s="14">
        <v>-193</v>
      </c>
    </row>
    <row r="1635" spans="47:54" x14ac:dyDescent="0.25">
      <c r="AU1635" s="14">
        <v>-149</v>
      </c>
      <c r="AX1635" s="14">
        <v>108</v>
      </c>
      <c r="AY1635" s="14">
        <v>-584</v>
      </c>
      <c r="AZ1635" s="14">
        <v>243</v>
      </c>
      <c r="BB1635" s="14">
        <v>715</v>
      </c>
    </row>
    <row r="1636" spans="47:54" x14ac:dyDescent="0.25">
      <c r="AU1636" s="14">
        <v>-113</v>
      </c>
      <c r="AX1636" s="14">
        <v>103</v>
      </c>
      <c r="AY1636" s="14">
        <v>-490</v>
      </c>
      <c r="AZ1636" s="14">
        <v>89</v>
      </c>
      <c r="BB1636" s="14">
        <v>371</v>
      </c>
    </row>
    <row r="1637" spans="47:54" x14ac:dyDescent="0.25">
      <c r="AU1637" s="14">
        <v>-103</v>
      </c>
      <c r="AX1637" s="14">
        <v>-784</v>
      </c>
      <c r="AY1637" s="14">
        <v>-485</v>
      </c>
      <c r="AZ1637" s="14">
        <v>109</v>
      </c>
      <c r="BB1637" s="14">
        <v>-783</v>
      </c>
    </row>
    <row r="1638" spans="47:54" x14ac:dyDescent="0.25">
      <c r="AU1638" s="14">
        <v>-111</v>
      </c>
      <c r="AX1638" s="14">
        <v>-185</v>
      </c>
      <c r="AY1638" s="14">
        <v>-468</v>
      </c>
      <c r="AZ1638" s="14">
        <v>145</v>
      </c>
      <c r="BB1638" s="14">
        <v>355</v>
      </c>
    </row>
    <row r="1639" spans="47:54" x14ac:dyDescent="0.25">
      <c r="AU1639" s="14">
        <v>-109</v>
      </c>
      <c r="AX1639" s="14">
        <v>-308</v>
      </c>
      <c r="AY1639" s="14">
        <v>-450</v>
      </c>
      <c r="AZ1639" s="14">
        <v>105</v>
      </c>
      <c r="BB1639" s="14">
        <v>626</v>
      </c>
    </row>
    <row r="1640" spans="47:54" x14ac:dyDescent="0.25">
      <c r="AU1640" s="14">
        <v>-92</v>
      </c>
      <c r="AX1640" s="14">
        <v>-11</v>
      </c>
      <c r="AY1640" s="14">
        <v>-510</v>
      </c>
      <c r="AZ1640" s="14">
        <v>144</v>
      </c>
      <c r="BB1640" s="14">
        <v>603</v>
      </c>
    </row>
    <row r="1641" spans="47:54" x14ac:dyDescent="0.25">
      <c r="AU1641" s="14">
        <v>-70</v>
      </c>
      <c r="AX1641" s="14">
        <v>-56</v>
      </c>
      <c r="AY1641" s="14">
        <v>239</v>
      </c>
      <c r="AZ1641" s="14">
        <v>152</v>
      </c>
      <c r="BB1641" s="14">
        <v>969</v>
      </c>
    </row>
    <row r="1642" spans="47:54" x14ac:dyDescent="0.25">
      <c r="AU1642" s="14">
        <v>-6</v>
      </c>
      <c r="AX1642" s="14">
        <v>-1</v>
      </c>
      <c r="AY1642" s="14">
        <v>242</v>
      </c>
      <c r="AZ1642" s="14">
        <v>63</v>
      </c>
      <c r="BB1642" s="14">
        <v>-466</v>
      </c>
    </row>
    <row r="1643" spans="47:54" x14ac:dyDescent="0.25">
      <c r="AU1643" s="14">
        <v>3</v>
      </c>
      <c r="AX1643" s="14">
        <v>-6</v>
      </c>
      <c r="AY1643" s="14">
        <v>243</v>
      </c>
      <c r="AZ1643" s="14">
        <v>123</v>
      </c>
      <c r="BB1643" s="14">
        <v>-182</v>
      </c>
    </row>
    <row r="1644" spans="47:54" x14ac:dyDescent="0.25">
      <c r="AU1644" s="14">
        <v>-17</v>
      </c>
      <c r="AX1644" s="14">
        <v>-271</v>
      </c>
      <c r="AY1644" s="14">
        <v>248</v>
      </c>
      <c r="AZ1644" s="14">
        <v>113</v>
      </c>
      <c r="BB1644" s="14">
        <v>-129</v>
      </c>
    </row>
    <row r="1645" spans="47:54" x14ac:dyDescent="0.25">
      <c r="AU1645" s="14">
        <v>348</v>
      </c>
      <c r="AX1645" s="14">
        <v>158</v>
      </c>
      <c r="AY1645" s="14">
        <v>234</v>
      </c>
      <c r="AZ1645" s="14">
        <v>116</v>
      </c>
      <c r="BB1645" s="14">
        <v>-745</v>
      </c>
    </row>
    <row r="1646" spans="47:54" x14ac:dyDescent="0.25">
      <c r="AU1646" s="14">
        <v>-984</v>
      </c>
      <c r="AX1646" s="14">
        <v>821</v>
      </c>
      <c r="AY1646" s="14">
        <v>140</v>
      </c>
      <c r="AZ1646" s="14">
        <v>78</v>
      </c>
      <c r="BB1646" s="14">
        <v>112</v>
      </c>
    </row>
    <row r="1647" spans="47:54" x14ac:dyDescent="0.25">
      <c r="AU1647" s="14">
        <v>-466</v>
      </c>
      <c r="AX1647" s="14">
        <v>547</v>
      </c>
      <c r="AY1647" s="14">
        <v>195</v>
      </c>
      <c r="AZ1647" s="14">
        <v>64</v>
      </c>
      <c r="BB1647" s="14">
        <v>-510</v>
      </c>
    </row>
    <row r="1648" spans="47:54" x14ac:dyDescent="0.25">
      <c r="AU1648" s="14">
        <v>-501</v>
      </c>
      <c r="AX1648" s="14">
        <v>164</v>
      </c>
      <c r="AY1648" s="14">
        <v>527</v>
      </c>
      <c r="AZ1648" s="14">
        <v>66</v>
      </c>
      <c r="BB1648" s="14">
        <v>-430</v>
      </c>
    </row>
    <row r="1649" spans="47:54" x14ac:dyDescent="0.25">
      <c r="AU1649" s="14">
        <v>-275</v>
      </c>
      <c r="AX1649" s="14">
        <v>905</v>
      </c>
      <c r="AY1649" s="14">
        <v>896</v>
      </c>
      <c r="AZ1649" s="14">
        <v>66</v>
      </c>
      <c r="BB1649" s="14">
        <v>-343</v>
      </c>
    </row>
    <row r="1650" spans="47:54" x14ac:dyDescent="0.25">
      <c r="AU1650" s="14">
        <v>-384</v>
      </c>
      <c r="AX1650" s="14">
        <v>268</v>
      </c>
      <c r="AY1650" s="14">
        <v>399</v>
      </c>
      <c r="AZ1650" s="14">
        <v>54</v>
      </c>
      <c r="BB1650" s="14">
        <v>-117</v>
      </c>
    </row>
    <row r="1651" spans="47:54" x14ac:dyDescent="0.25">
      <c r="AU1651" s="14">
        <v>121</v>
      </c>
      <c r="AX1651" s="14">
        <v>116</v>
      </c>
      <c r="AY1651" s="14">
        <v>-288</v>
      </c>
      <c r="AZ1651" s="14">
        <v>79</v>
      </c>
      <c r="BB1651" s="14">
        <v>-75</v>
      </c>
    </row>
    <row r="1652" spans="47:54" x14ac:dyDescent="0.25">
      <c r="AU1652" s="14">
        <v>417</v>
      </c>
      <c r="AX1652" s="14">
        <v>225</v>
      </c>
      <c r="AY1652" s="14">
        <v>-257</v>
      </c>
      <c r="AZ1652" s="14">
        <v>83</v>
      </c>
      <c r="BB1652" s="14">
        <v>-59</v>
      </c>
    </row>
    <row r="1653" spans="47:54" x14ac:dyDescent="0.25">
      <c r="AU1653" s="14">
        <v>-136</v>
      </c>
      <c r="AX1653" s="14">
        <v>104</v>
      </c>
      <c r="AY1653" s="14">
        <v>-259</v>
      </c>
      <c r="AZ1653" s="14">
        <v>49</v>
      </c>
      <c r="BB1653" s="14">
        <v>-48</v>
      </c>
    </row>
    <row r="1654" spans="47:54" x14ac:dyDescent="0.25">
      <c r="AU1654" s="14">
        <v>141</v>
      </c>
      <c r="AX1654" s="14">
        <v>43</v>
      </c>
      <c r="AY1654" s="14">
        <v>-195</v>
      </c>
      <c r="AZ1654" s="14">
        <v>81</v>
      </c>
      <c r="BB1654" s="14">
        <v>63</v>
      </c>
    </row>
    <row r="1655" spans="47:54" x14ac:dyDescent="0.25">
      <c r="AU1655" s="14">
        <v>-32</v>
      </c>
      <c r="AX1655" s="14">
        <v>124</v>
      </c>
      <c r="AY1655" s="14">
        <v>-357</v>
      </c>
      <c r="AZ1655" s="14">
        <v>82</v>
      </c>
      <c r="BB1655" s="14">
        <v>62</v>
      </c>
    </row>
    <row r="1656" spans="47:54" x14ac:dyDescent="0.25">
      <c r="AU1656" s="14">
        <v>-35</v>
      </c>
      <c r="AX1656" s="14">
        <v>-222</v>
      </c>
      <c r="AY1656" s="14">
        <v>-467</v>
      </c>
      <c r="AZ1656" s="14">
        <v>-237</v>
      </c>
      <c r="BB1656" s="14">
        <v>-97</v>
      </c>
    </row>
    <row r="1657" spans="47:54" x14ac:dyDescent="0.25">
      <c r="AU1657" s="14">
        <v>-28</v>
      </c>
      <c r="AX1657" s="14">
        <v>-355</v>
      </c>
      <c r="AY1657" s="14">
        <v>817</v>
      </c>
      <c r="AZ1657" s="14">
        <v>-102</v>
      </c>
      <c r="BB1657" s="14">
        <v>-9</v>
      </c>
    </row>
    <row r="1658" spans="47:54" x14ac:dyDescent="0.25">
      <c r="AU1658" s="14">
        <v>-4</v>
      </c>
      <c r="AX1658" s="14">
        <v>-18</v>
      </c>
      <c r="AY1658" s="14">
        <v>796</v>
      </c>
      <c r="AZ1658" s="14">
        <v>-398</v>
      </c>
      <c r="BB1658" s="14">
        <v>-38</v>
      </c>
    </row>
    <row r="1659" spans="47:54" x14ac:dyDescent="0.25">
      <c r="AU1659" s="14">
        <v>-14</v>
      </c>
      <c r="AX1659" s="14">
        <v>-46</v>
      </c>
      <c r="AY1659" s="14">
        <v>808</v>
      </c>
      <c r="AZ1659" s="14">
        <v>-270</v>
      </c>
      <c r="BB1659" s="14">
        <v>121</v>
      </c>
    </row>
    <row r="1660" spans="47:54" x14ac:dyDescent="0.25">
      <c r="AU1660" s="14">
        <v>2</v>
      </c>
      <c r="AX1660" s="14">
        <v>66</v>
      </c>
      <c r="AY1660" s="14">
        <v>879</v>
      </c>
      <c r="AZ1660" s="14">
        <v>-157</v>
      </c>
      <c r="BB1660" s="14">
        <v>-115</v>
      </c>
    </row>
    <row r="1661" spans="47:54" x14ac:dyDescent="0.25">
      <c r="AU1661" s="14">
        <v>19</v>
      </c>
      <c r="AX1661" s="14">
        <v>-149</v>
      </c>
      <c r="AY1661" s="14">
        <v>684</v>
      </c>
      <c r="AZ1661" s="14">
        <v>-39</v>
      </c>
      <c r="BB1661" s="14">
        <v>-75</v>
      </c>
    </row>
    <row r="1662" spans="47:54" x14ac:dyDescent="0.25">
      <c r="AU1662" s="14">
        <v>-14</v>
      </c>
      <c r="AX1662" s="14">
        <v>275</v>
      </c>
      <c r="AY1662" s="14">
        <v>124</v>
      </c>
      <c r="AZ1662" s="14">
        <v>-20</v>
      </c>
      <c r="BB1662" s="14">
        <v>-62</v>
      </c>
    </row>
    <row r="1663" spans="47:54" x14ac:dyDescent="0.25">
      <c r="AU1663" s="14">
        <v>-30</v>
      </c>
      <c r="AX1663" s="14">
        <v>118</v>
      </c>
      <c r="AY1663" s="14">
        <v>133</v>
      </c>
      <c r="AZ1663" s="14">
        <v>-12</v>
      </c>
      <c r="BB1663" s="14">
        <v>-51</v>
      </c>
    </row>
    <row r="1664" spans="47:54" x14ac:dyDescent="0.25">
      <c r="AU1664" s="14">
        <v>967</v>
      </c>
      <c r="AX1664" s="14">
        <v>-153</v>
      </c>
      <c r="AY1664" s="14">
        <v>-161</v>
      </c>
      <c r="AZ1664" s="14">
        <v>-11</v>
      </c>
      <c r="BB1664" s="14">
        <v>43</v>
      </c>
    </row>
    <row r="1665" spans="47:54" x14ac:dyDescent="0.25">
      <c r="AU1665" s="14">
        <v>832</v>
      </c>
      <c r="AX1665" s="14">
        <v>7</v>
      </c>
      <c r="AY1665" s="14">
        <v>-277</v>
      </c>
      <c r="AZ1665" s="14">
        <v>283</v>
      </c>
      <c r="BB1665" s="14">
        <v>41</v>
      </c>
    </row>
    <row r="1666" spans="47:54" x14ac:dyDescent="0.25">
      <c r="AU1666" s="14">
        <v>682</v>
      </c>
      <c r="AX1666" s="14">
        <v>11</v>
      </c>
      <c r="AY1666" s="14">
        <v>-407</v>
      </c>
      <c r="AZ1666" s="14">
        <v>61</v>
      </c>
      <c r="BB1666" s="14">
        <v>41</v>
      </c>
    </row>
    <row r="1667" spans="47:54" x14ac:dyDescent="0.25">
      <c r="AU1667" s="14">
        <v>438</v>
      </c>
      <c r="AX1667" s="14">
        <v>-458</v>
      </c>
      <c r="AY1667" s="14">
        <v>-541</v>
      </c>
      <c r="AZ1667" s="14">
        <v>350</v>
      </c>
      <c r="BB1667" s="14">
        <v>37</v>
      </c>
    </row>
    <row r="1668" spans="47:54" x14ac:dyDescent="0.25">
      <c r="AU1668" s="14">
        <v>249</v>
      </c>
      <c r="AX1668" s="14">
        <v>22</v>
      </c>
      <c r="AY1668" s="14">
        <v>-626</v>
      </c>
      <c r="AZ1668" s="14">
        <v>99</v>
      </c>
      <c r="BB1668" s="14">
        <v>108</v>
      </c>
    </row>
    <row r="1669" spans="47:54" x14ac:dyDescent="0.25">
      <c r="AU1669" s="14">
        <v>943</v>
      </c>
      <c r="AX1669" s="14">
        <v>686</v>
      </c>
      <c r="AY1669" s="14">
        <v>-683</v>
      </c>
      <c r="AZ1669" s="14">
        <v>-120</v>
      </c>
      <c r="BB1669" s="14">
        <v>957</v>
      </c>
    </row>
    <row r="1670" spans="47:54" x14ac:dyDescent="0.25">
      <c r="AU1670" s="14">
        <v>907</v>
      </c>
      <c r="AX1670" s="14">
        <v>-706</v>
      </c>
      <c r="AY1670" s="14">
        <v>-680</v>
      </c>
      <c r="AZ1670" s="14">
        <v>-51</v>
      </c>
      <c r="BB1670" s="14">
        <v>931</v>
      </c>
    </row>
    <row r="1671" spans="47:54" x14ac:dyDescent="0.25">
      <c r="AU1671" s="14">
        <v>701</v>
      </c>
      <c r="AX1671" s="14">
        <v>849</v>
      </c>
      <c r="AY1671" s="14">
        <v>-645</v>
      </c>
      <c r="AZ1671" s="14">
        <v>86</v>
      </c>
      <c r="BB1671" s="14">
        <v>833</v>
      </c>
    </row>
    <row r="1672" spans="47:54" x14ac:dyDescent="0.25">
      <c r="AU1672" s="14">
        <v>407</v>
      </c>
      <c r="AX1672" s="14">
        <v>-828</v>
      </c>
      <c r="AY1672" s="14">
        <v>-551</v>
      </c>
      <c r="AZ1672" s="14">
        <v>-13</v>
      </c>
      <c r="BB1672" s="14">
        <v>61</v>
      </c>
    </row>
    <row r="1673" spans="47:54" x14ac:dyDescent="0.25">
      <c r="AU1673" s="14">
        <v>229</v>
      </c>
      <c r="AX1673" s="14">
        <v>868</v>
      </c>
      <c r="AY1673" s="14">
        <v>-577</v>
      </c>
      <c r="AZ1673" s="14">
        <v>-27</v>
      </c>
      <c r="BB1673" s="14">
        <v>60</v>
      </c>
    </row>
    <row r="1674" spans="47:54" x14ac:dyDescent="0.25">
      <c r="AU1674" s="14">
        <v>861</v>
      </c>
      <c r="AX1674" s="14">
        <v>-767</v>
      </c>
      <c r="AY1674" s="14">
        <v>489</v>
      </c>
      <c r="AZ1674" s="14">
        <v>-29</v>
      </c>
      <c r="BB1674" s="14">
        <v>-92</v>
      </c>
    </row>
    <row r="1675" spans="47:54" x14ac:dyDescent="0.25">
      <c r="AU1675" s="14">
        <v>828</v>
      </c>
      <c r="AY1675" s="14">
        <v>592</v>
      </c>
      <c r="AZ1675" s="14">
        <v>801</v>
      </c>
      <c r="BB1675" s="14">
        <v>-8</v>
      </c>
    </row>
    <row r="1676" spans="47:54" x14ac:dyDescent="0.25">
      <c r="AU1676" s="14">
        <v>657</v>
      </c>
      <c r="AY1676" s="14">
        <v>-390</v>
      </c>
      <c r="AZ1676" s="14">
        <v>989</v>
      </c>
      <c r="BB1676" s="14">
        <v>-39</v>
      </c>
    </row>
    <row r="1677" spans="47:54" x14ac:dyDescent="0.25">
      <c r="AU1677" s="14">
        <v>349</v>
      </c>
      <c r="AY1677" s="14">
        <v>114</v>
      </c>
      <c r="AZ1677" s="14">
        <v>-50</v>
      </c>
      <c r="BB1677" s="14">
        <v>119</v>
      </c>
    </row>
    <row r="1678" spans="47:54" x14ac:dyDescent="0.25">
      <c r="AU1678" s="14">
        <v>138</v>
      </c>
      <c r="AY1678" s="14">
        <v>139</v>
      </c>
      <c r="AZ1678" s="14">
        <v>43</v>
      </c>
      <c r="BB1678" s="14">
        <v>-87</v>
      </c>
    </row>
    <row r="1679" spans="47:54" x14ac:dyDescent="0.25">
      <c r="AU1679" s="14">
        <v>876</v>
      </c>
      <c r="AY1679" s="14">
        <v>-441</v>
      </c>
      <c r="AZ1679" s="14">
        <v>-56</v>
      </c>
      <c r="BB1679" s="14">
        <v>-49</v>
      </c>
    </row>
    <row r="1680" spans="47:54" x14ac:dyDescent="0.25">
      <c r="AU1680" s="14">
        <v>811</v>
      </c>
      <c r="AY1680" s="14">
        <v>527</v>
      </c>
      <c r="AZ1680" s="14">
        <v>-9</v>
      </c>
      <c r="BB1680" s="14">
        <v>139</v>
      </c>
    </row>
    <row r="1681" spans="47:54" x14ac:dyDescent="0.25">
      <c r="AU1681" s="14">
        <v>630</v>
      </c>
      <c r="AY1681" s="14">
        <v>715</v>
      </c>
      <c r="AZ1681" s="14">
        <v>41</v>
      </c>
      <c r="BB1681" s="14">
        <v>-27</v>
      </c>
    </row>
    <row r="1682" spans="47:54" x14ac:dyDescent="0.25">
      <c r="AU1682" s="14">
        <v>310</v>
      </c>
      <c r="AY1682" s="14">
        <v>734</v>
      </c>
      <c r="AZ1682" s="14">
        <v>-4</v>
      </c>
      <c r="BB1682" s="14">
        <v>41</v>
      </c>
    </row>
    <row r="1683" spans="47:54" x14ac:dyDescent="0.25">
      <c r="AU1683" s="14">
        <v>68</v>
      </c>
      <c r="AY1683" s="14">
        <v>-609</v>
      </c>
      <c r="AZ1683" s="14">
        <v>17</v>
      </c>
      <c r="BB1683" s="14">
        <v>39</v>
      </c>
    </row>
    <row r="1684" spans="47:54" x14ac:dyDescent="0.25">
      <c r="AU1684" s="14">
        <v>802</v>
      </c>
      <c r="AY1684" s="14">
        <v>-592</v>
      </c>
      <c r="AZ1684" s="14">
        <v>-20</v>
      </c>
      <c r="BB1684" s="14">
        <v>39</v>
      </c>
    </row>
    <row r="1685" spans="47:54" x14ac:dyDescent="0.25">
      <c r="AU1685" s="14">
        <v>241</v>
      </c>
      <c r="AY1685" s="14">
        <v>-629</v>
      </c>
      <c r="AZ1685" s="14">
        <v>-10</v>
      </c>
      <c r="BB1685" s="14">
        <v>35</v>
      </c>
    </row>
    <row r="1686" spans="47:54" x14ac:dyDescent="0.25">
      <c r="AU1686" s="14">
        <v>79</v>
      </c>
      <c r="AY1686" s="14">
        <v>-655</v>
      </c>
      <c r="AZ1686" s="14">
        <v>4</v>
      </c>
      <c r="BB1686" s="14">
        <v>104</v>
      </c>
    </row>
    <row r="1687" spans="47:54" x14ac:dyDescent="0.25">
      <c r="AU1687" s="14">
        <v>125</v>
      </c>
      <c r="AY1687" s="14">
        <v>-660</v>
      </c>
      <c r="AZ1687" s="14">
        <v>15</v>
      </c>
      <c r="BB1687" s="14">
        <v>922</v>
      </c>
    </row>
    <row r="1688" spans="47:54" x14ac:dyDescent="0.25">
      <c r="AU1688" s="14">
        <v>162</v>
      </c>
      <c r="AY1688" s="14">
        <v>-698</v>
      </c>
      <c r="AZ1688" s="14">
        <v>-14</v>
      </c>
      <c r="BB1688" s="14">
        <v>901</v>
      </c>
    </row>
    <row r="1689" spans="47:54" x14ac:dyDescent="0.25">
      <c r="AU1689" s="14">
        <v>-8</v>
      </c>
      <c r="AY1689" s="14">
        <v>-700</v>
      </c>
      <c r="AZ1689" s="14">
        <v>1</v>
      </c>
      <c r="BB1689" s="14">
        <v>820</v>
      </c>
    </row>
    <row r="1690" spans="47:54" x14ac:dyDescent="0.25">
      <c r="AU1690" s="14">
        <v>-196</v>
      </c>
      <c r="AY1690" s="14">
        <v>-693</v>
      </c>
      <c r="AZ1690" s="14">
        <v>11</v>
      </c>
      <c r="BB1690" s="14">
        <v>-91</v>
      </c>
    </row>
    <row r="1691" spans="47:54" x14ac:dyDescent="0.25">
      <c r="AU1691" s="14">
        <v>-682</v>
      </c>
      <c r="AY1691" s="14">
        <v>-678</v>
      </c>
      <c r="AZ1691" s="14">
        <v>-599</v>
      </c>
      <c r="BB1691" s="14">
        <v>-85</v>
      </c>
    </row>
    <row r="1692" spans="47:54" x14ac:dyDescent="0.25">
      <c r="AU1692" s="14">
        <v>718</v>
      </c>
      <c r="AY1692" s="14">
        <v>-629</v>
      </c>
      <c r="AZ1692" s="14">
        <v>778</v>
      </c>
      <c r="BB1692" s="14">
        <v>-82</v>
      </c>
    </row>
    <row r="1693" spans="47:54" x14ac:dyDescent="0.25">
      <c r="AU1693" s="14">
        <v>446</v>
      </c>
      <c r="AY1693" s="14">
        <v>-606</v>
      </c>
      <c r="AZ1693" s="14">
        <v>983</v>
      </c>
      <c r="BB1693" s="14">
        <v>-84</v>
      </c>
    </row>
    <row r="1694" spans="47:54" x14ac:dyDescent="0.25">
      <c r="AU1694" s="14">
        <v>100</v>
      </c>
      <c r="AY1694" s="14">
        <v>-808</v>
      </c>
      <c r="AZ1694" s="14">
        <v>865</v>
      </c>
      <c r="BB1694" s="14">
        <v>61</v>
      </c>
    </row>
    <row r="1695" spans="47:54" x14ac:dyDescent="0.25">
      <c r="AU1695" s="14">
        <v>577</v>
      </c>
      <c r="AY1695" s="14">
        <v>-47</v>
      </c>
      <c r="AZ1695" s="14">
        <v>868</v>
      </c>
      <c r="BB1695" s="14">
        <v>60</v>
      </c>
    </row>
    <row r="1696" spans="47:54" x14ac:dyDescent="0.25">
      <c r="AU1696" s="14">
        <v>-6</v>
      </c>
      <c r="AY1696" s="14">
        <v>17</v>
      </c>
      <c r="AZ1696" s="14">
        <v>947</v>
      </c>
      <c r="BB1696" s="14">
        <v>91</v>
      </c>
    </row>
    <row r="1697" spans="47:54" x14ac:dyDescent="0.25">
      <c r="AU1697" s="14">
        <v>-139</v>
      </c>
      <c r="AY1697" s="14">
        <v>-333</v>
      </c>
      <c r="AZ1697" s="14">
        <v>103</v>
      </c>
      <c r="BB1697" s="14">
        <v>-6</v>
      </c>
    </row>
    <row r="1698" spans="47:54" x14ac:dyDescent="0.25">
      <c r="AU1698" s="14">
        <v>-670</v>
      </c>
      <c r="AY1698" s="14">
        <v>-115</v>
      </c>
      <c r="AZ1698" s="14">
        <v>-48</v>
      </c>
      <c r="BB1698" s="14">
        <v>-38</v>
      </c>
    </row>
    <row r="1699" spans="47:54" x14ac:dyDescent="0.25">
      <c r="AU1699" s="14">
        <v>551</v>
      </c>
      <c r="AY1699" s="14">
        <v>117</v>
      </c>
      <c r="AZ1699" s="14">
        <v>42</v>
      </c>
      <c r="BB1699" s="14">
        <v>119</v>
      </c>
    </row>
    <row r="1700" spans="47:54" x14ac:dyDescent="0.25">
      <c r="AU1700" s="14">
        <v>393</v>
      </c>
      <c r="AY1700" s="14">
        <v>175</v>
      </c>
      <c r="AZ1700" s="14">
        <v>-53</v>
      </c>
      <c r="BB1700" s="14">
        <v>-43</v>
      </c>
    </row>
    <row r="1701" spans="47:54" x14ac:dyDescent="0.25">
      <c r="AU1701" s="14">
        <v>69</v>
      </c>
      <c r="AY1701" s="14">
        <v>-190</v>
      </c>
      <c r="AZ1701" s="14">
        <v>-9</v>
      </c>
      <c r="BB1701" s="14">
        <v>-45</v>
      </c>
    </row>
    <row r="1702" spans="47:54" x14ac:dyDescent="0.25">
      <c r="AU1702" s="14">
        <v>711</v>
      </c>
      <c r="AY1702" s="14">
        <v>-204</v>
      </c>
      <c r="AZ1702" s="14">
        <v>45</v>
      </c>
      <c r="BB1702" s="14">
        <v>10</v>
      </c>
    </row>
    <row r="1703" spans="47:54" x14ac:dyDescent="0.25">
      <c r="AU1703" s="14">
        <v>-17</v>
      </c>
      <c r="AY1703" s="14">
        <v>-202</v>
      </c>
      <c r="AZ1703" s="14">
        <v>-5</v>
      </c>
      <c r="BB1703" s="14">
        <v>-5</v>
      </c>
    </row>
    <row r="1704" spans="47:54" x14ac:dyDescent="0.25">
      <c r="AU1704" s="14">
        <v>248</v>
      </c>
      <c r="AY1704" s="14">
        <v>-210</v>
      </c>
      <c r="AZ1704" s="14">
        <v>16</v>
      </c>
      <c r="BB1704" s="14">
        <v>-125</v>
      </c>
    </row>
    <row r="1705" spans="47:54" x14ac:dyDescent="0.25">
      <c r="AU1705" s="14">
        <v>-558</v>
      </c>
      <c r="AY1705" s="14">
        <v>101</v>
      </c>
      <c r="AZ1705" s="14">
        <v>-12</v>
      </c>
      <c r="BB1705" s="14">
        <v>-29</v>
      </c>
    </row>
    <row r="1706" spans="47:54" x14ac:dyDescent="0.25">
      <c r="AU1706" s="14">
        <v>477</v>
      </c>
      <c r="AY1706" s="14">
        <v>101</v>
      </c>
      <c r="AZ1706" s="14">
        <v>3</v>
      </c>
      <c r="BB1706" s="14">
        <v>365</v>
      </c>
    </row>
    <row r="1707" spans="47:54" x14ac:dyDescent="0.25">
      <c r="AU1707" s="14">
        <v>395</v>
      </c>
      <c r="AY1707" s="14">
        <v>101</v>
      </c>
      <c r="AZ1707" s="14">
        <v>21</v>
      </c>
      <c r="BB1707" s="14">
        <v>-189</v>
      </c>
    </row>
    <row r="1708" spans="47:54" x14ac:dyDescent="0.25">
      <c r="AU1708" s="14">
        <v>51</v>
      </c>
      <c r="AY1708" s="14">
        <v>101</v>
      </c>
      <c r="AZ1708" s="14">
        <v>10</v>
      </c>
      <c r="BB1708" s="14">
        <v>-69</v>
      </c>
    </row>
    <row r="1709" spans="47:54" x14ac:dyDescent="0.25">
      <c r="AU1709" s="14">
        <v>-13</v>
      </c>
      <c r="AY1709" s="14">
        <v>102</v>
      </c>
      <c r="AZ1709" s="14">
        <v>15</v>
      </c>
      <c r="BB1709" s="14">
        <v>3</v>
      </c>
    </row>
    <row r="1710" spans="47:54" x14ac:dyDescent="0.25">
      <c r="AU1710" s="14">
        <v>21</v>
      </c>
      <c r="AY1710" s="14">
        <v>102</v>
      </c>
      <c r="AZ1710" s="14">
        <v>28</v>
      </c>
      <c r="BB1710" s="14">
        <v>-95</v>
      </c>
    </row>
    <row r="1711" spans="47:54" x14ac:dyDescent="0.25">
      <c r="AU1711" s="14">
        <v>-527</v>
      </c>
      <c r="AY1711" s="14">
        <v>102</v>
      </c>
      <c r="AZ1711" s="14">
        <v>597</v>
      </c>
      <c r="BB1711" s="14">
        <v>4</v>
      </c>
    </row>
    <row r="1712" spans="47:54" x14ac:dyDescent="0.25">
      <c r="AU1712" s="14">
        <v>-600</v>
      </c>
      <c r="AY1712" s="14">
        <v>103</v>
      </c>
      <c r="AZ1712" s="14">
        <v>699</v>
      </c>
      <c r="BB1712" s="14">
        <v>-41</v>
      </c>
    </row>
    <row r="1713" spans="47:54" x14ac:dyDescent="0.25">
      <c r="AU1713" s="14">
        <v>530</v>
      </c>
      <c r="AY1713" s="14">
        <v>104</v>
      </c>
      <c r="AZ1713" s="14">
        <v>987</v>
      </c>
      <c r="BB1713" s="14">
        <v>-145</v>
      </c>
    </row>
    <row r="1714" spans="47:54" x14ac:dyDescent="0.25">
      <c r="AU1714" s="14">
        <v>366</v>
      </c>
      <c r="AY1714" s="14">
        <v>100</v>
      </c>
      <c r="AZ1714" s="14">
        <v>875</v>
      </c>
      <c r="BB1714" s="14">
        <v>15</v>
      </c>
    </row>
    <row r="1715" spans="47:54" x14ac:dyDescent="0.25">
      <c r="AU1715" s="14">
        <v>95</v>
      </c>
      <c r="AY1715" s="14">
        <v>87</v>
      </c>
      <c r="AZ1715" s="14">
        <v>918</v>
      </c>
      <c r="BB1715" s="14">
        <v>-56</v>
      </c>
    </row>
    <row r="1716" spans="47:54" x14ac:dyDescent="0.25">
      <c r="AU1716" s="14">
        <v>-10</v>
      </c>
      <c r="AY1716" s="14">
        <v>-141</v>
      </c>
      <c r="AZ1716" s="14">
        <v>986</v>
      </c>
      <c r="BB1716" s="14">
        <v>-127</v>
      </c>
    </row>
    <row r="1717" spans="47:54" x14ac:dyDescent="0.25">
      <c r="AU1717" s="14">
        <v>-6</v>
      </c>
      <c r="AY1717" s="14">
        <v>-584</v>
      </c>
      <c r="AZ1717" s="14">
        <v>103</v>
      </c>
      <c r="BB1717" s="14">
        <v>30</v>
      </c>
    </row>
    <row r="1718" spans="47:54" x14ac:dyDescent="0.25">
      <c r="AU1718" s="14">
        <v>-322</v>
      </c>
      <c r="AY1718" s="14">
        <v>-218</v>
      </c>
      <c r="AZ1718" s="14">
        <v>-48</v>
      </c>
    </row>
    <row r="1719" spans="47:54" x14ac:dyDescent="0.25">
      <c r="AU1719" s="14">
        <v>-688</v>
      </c>
      <c r="AY1719" s="14">
        <v>105</v>
      </c>
      <c r="AZ1719" s="14">
        <v>42</v>
      </c>
    </row>
    <row r="1720" spans="47:54" x14ac:dyDescent="0.25">
      <c r="AU1720" s="14">
        <v>559</v>
      </c>
      <c r="AY1720" s="14">
        <v>142</v>
      </c>
      <c r="AZ1720" s="14">
        <v>-53</v>
      </c>
    </row>
    <row r="1721" spans="47:54" x14ac:dyDescent="0.25">
      <c r="AU1721" s="14">
        <v>368</v>
      </c>
      <c r="AY1721" s="14">
        <v>241</v>
      </c>
      <c r="AZ1721" s="14">
        <v>-10</v>
      </c>
    </row>
    <row r="1722" spans="47:54" x14ac:dyDescent="0.25">
      <c r="AU1722" s="14">
        <v>34</v>
      </c>
      <c r="AY1722" s="14">
        <v>283</v>
      </c>
      <c r="AZ1722" s="14">
        <v>47</v>
      </c>
    </row>
    <row r="1723" spans="47:54" x14ac:dyDescent="0.25">
      <c r="AU1723" s="14">
        <v>50</v>
      </c>
      <c r="AY1723" s="14">
        <v>259</v>
      </c>
      <c r="AZ1723" s="14">
        <v>-5</v>
      </c>
    </row>
    <row r="1724" spans="47:54" x14ac:dyDescent="0.25">
      <c r="AU1724" s="14">
        <v>10</v>
      </c>
      <c r="AY1724" s="14">
        <v>233</v>
      </c>
      <c r="AZ1724" s="14">
        <v>17</v>
      </c>
    </row>
    <row r="1725" spans="47:54" x14ac:dyDescent="0.25">
      <c r="AU1725" s="14">
        <v>864</v>
      </c>
      <c r="AY1725" s="14">
        <v>-250</v>
      </c>
      <c r="AZ1725" s="14">
        <v>-15</v>
      </c>
    </row>
    <row r="1726" spans="47:54" x14ac:dyDescent="0.25">
      <c r="AU1726" s="14">
        <v>146</v>
      </c>
      <c r="AY1726" s="14">
        <v>219</v>
      </c>
      <c r="AZ1726" s="14">
        <v>-2</v>
      </c>
    </row>
    <row r="1727" spans="47:54" x14ac:dyDescent="0.25">
      <c r="AU1727" s="14">
        <v>511</v>
      </c>
      <c r="AY1727" s="14">
        <v>669</v>
      </c>
      <c r="AZ1727" s="14">
        <v>15</v>
      </c>
    </row>
    <row r="1728" spans="47:54" x14ac:dyDescent="0.25">
      <c r="AU1728" s="14">
        <v>332</v>
      </c>
      <c r="AY1728" s="14">
        <v>923</v>
      </c>
      <c r="AZ1728" s="14">
        <v>-3</v>
      </c>
    </row>
    <row r="1729" spans="47:52" x14ac:dyDescent="0.25">
      <c r="AU1729" s="14">
        <v>-77</v>
      </c>
      <c r="AY1729" s="14">
        <v>187</v>
      </c>
      <c r="AZ1729" s="14">
        <v>13</v>
      </c>
    </row>
    <row r="1730" spans="47:52" x14ac:dyDescent="0.25">
      <c r="AU1730" s="14">
        <v>79</v>
      </c>
      <c r="AY1730" s="14">
        <v>55</v>
      </c>
      <c r="AZ1730" s="14">
        <v>29</v>
      </c>
    </row>
    <row r="1731" spans="47:52" x14ac:dyDescent="0.25">
      <c r="AU1731" s="14">
        <v>143</v>
      </c>
      <c r="AY1731" s="14">
        <v>522</v>
      </c>
      <c r="AZ1731" s="14">
        <v>42</v>
      </c>
    </row>
    <row r="1732" spans="47:52" x14ac:dyDescent="0.25">
      <c r="AU1732" s="14">
        <v>-100</v>
      </c>
      <c r="AY1732" s="14">
        <v>368</v>
      </c>
      <c r="AZ1732" s="14">
        <v>-596</v>
      </c>
    </row>
    <row r="1733" spans="47:52" x14ac:dyDescent="0.25">
      <c r="AU1733" s="14">
        <v>502</v>
      </c>
      <c r="AY1733" s="14">
        <v>623</v>
      </c>
      <c r="AZ1733" s="14">
        <v>436</v>
      </c>
    </row>
    <row r="1734" spans="47:52" x14ac:dyDescent="0.25">
      <c r="AU1734" s="14">
        <v>327</v>
      </c>
      <c r="AY1734" s="14">
        <v>139</v>
      </c>
      <c r="AZ1734" s="14">
        <v>395</v>
      </c>
    </row>
    <row r="1735" spans="47:52" x14ac:dyDescent="0.25">
      <c r="AU1735" s="14">
        <v>-128</v>
      </c>
      <c r="AY1735" s="14">
        <v>204</v>
      </c>
      <c r="AZ1735" s="14">
        <v>-96</v>
      </c>
    </row>
    <row r="1736" spans="47:52" x14ac:dyDescent="0.25">
      <c r="AU1736" s="14">
        <v>23</v>
      </c>
      <c r="AY1736" s="14">
        <v>145</v>
      </c>
      <c r="AZ1736" s="14">
        <v>41</v>
      </c>
    </row>
    <row r="1737" spans="47:52" x14ac:dyDescent="0.25">
      <c r="AU1737" s="14">
        <v>127</v>
      </c>
      <c r="AY1737" s="14">
        <v>203</v>
      </c>
      <c r="AZ1737" s="14">
        <v>-219</v>
      </c>
    </row>
    <row r="1738" spans="47:52" x14ac:dyDescent="0.25">
      <c r="AU1738" s="14">
        <v>-786</v>
      </c>
      <c r="AY1738" s="14">
        <v>226</v>
      </c>
      <c r="AZ1738" s="14">
        <v>3</v>
      </c>
    </row>
    <row r="1739" spans="47:52" x14ac:dyDescent="0.25">
      <c r="AU1739" s="14">
        <v>-43</v>
      </c>
      <c r="AY1739" s="14">
        <v>260</v>
      </c>
      <c r="AZ1739" s="14">
        <v>15</v>
      </c>
    </row>
    <row r="1740" spans="47:52" x14ac:dyDescent="0.25">
      <c r="AU1740" s="14">
        <v>-214</v>
      </c>
      <c r="AY1740" s="14">
        <v>-119</v>
      </c>
      <c r="AZ1740" s="14">
        <v>-104</v>
      </c>
    </row>
    <row r="1741" spans="47:52" x14ac:dyDescent="0.25">
      <c r="AU1741" s="14">
        <v>386</v>
      </c>
      <c r="AY1741" s="14">
        <v>121</v>
      </c>
      <c r="AZ1741" s="14">
        <v>30</v>
      </c>
    </row>
    <row r="1742" spans="47:52" x14ac:dyDescent="0.25">
      <c r="AU1742" s="14">
        <v>502</v>
      </c>
      <c r="AY1742" s="14">
        <v>474</v>
      </c>
      <c r="AZ1742" s="14">
        <v>-189</v>
      </c>
    </row>
    <row r="1743" spans="47:52" x14ac:dyDescent="0.25">
      <c r="AU1743" s="14">
        <v>328</v>
      </c>
      <c r="AY1743" s="14">
        <v>140</v>
      </c>
      <c r="AZ1743" s="14">
        <v>-680</v>
      </c>
    </row>
    <row r="1744" spans="47:52" x14ac:dyDescent="0.25">
      <c r="AU1744" s="14">
        <v>-119</v>
      </c>
      <c r="AY1744" s="14">
        <v>235</v>
      </c>
      <c r="AZ1744" s="14">
        <v>-592</v>
      </c>
    </row>
    <row r="1745" spans="47:52" x14ac:dyDescent="0.25">
      <c r="AU1745" s="14">
        <v>12</v>
      </c>
      <c r="AY1745" s="14">
        <v>294</v>
      </c>
      <c r="AZ1745" s="14">
        <v>-239</v>
      </c>
    </row>
    <row r="1746" spans="47:52" x14ac:dyDescent="0.25">
      <c r="AU1746" s="14">
        <v>17</v>
      </c>
      <c r="AY1746" s="14">
        <v>343</v>
      </c>
      <c r="AZ1746" s="14">
        <v>346</v>
      </c>
    </row>
    <row r="1747" spans="47:52" x14ac:dyDescent="0.25">
      <c r="AU1747" s="14">
        <v>481</v>
      </c>
      <c r="AY1747" s="14">
        <v>-299</v>
      </c>
      <c r="AZ1747" s="14">
        <v>110</v>
      </c>
    </row>
    <row r="1748" spans="47:52" x14ac:dyDescent="0.25">
      <c r="AU1748" s="14">
        <v>-316</v>
      </c>
      <c r="AY1748" s="14">
        <v>-159</v>
      </c>
      <c r="AZ1748" s="14">
        <v>35</v>
      </c>
    </row>
    <row r="1749" spans="47:52" x14ac:dyDescent="0.25">
      <c r="AU1749" s="14">
        <v>-131</v>
      </c>
      <c r="AY1749" s="14">
        <v>-438</v>
      </c>
      <c r="AZ1749" s="14">
        <v>-135</v>
      </c>
    </row>
    <row r="1750" spans="47:52" x14ac:dyDescent="0.25">
      <c r="AU1750" s="14">
        <v>28</v>
      </c>
      <c r="AY1750" s="14">
        <v>-794</v>
      </c>
      <c r="AZ1750" s="14">
        <v>413</v>
      </c>
    </row>
    <row r="1751" spans="47:52" x14ac:dyDescent="0.25">
      <c r="AU1751" s="14">
        <v>59</v>
      </c>
      <c r="AY1751" s="14">
        <v>-142</v>
      </c>
      <c r="AZ1751" s="14">
        <v>261</v>
      </c>
    </row>
    <row r="1752" spans="47:52" x14ac:dyDescent="0.25">
      <c r="AU1752" s="14">
        <v>-345</v>
      </c>
      <c r="AY1752" s="14">
        <v>-161</v>
      </c>
      <c r="AZ1752" s="14">
        <v>-281</v>
      </c>
    </row>
    <row r="1753" spans="47:52" x14ac:dyDescent="0.25">
      <c r="AU1753" s="14">
        <v>-149</v>
      </c>
      <c r="AY1753" s="14">
        <v>-194</v>
      </c>
      <c r="AZ1753" s="14">
        <v>12</v>
      </c>
    </row>
    <row r="1754" spans="47:52" x14ac:dyDescent="0.25">
      <c r="AU1754" s="14">
        <v>-151</v>
      </c>
      <c r="AY1754" s="14">
        <v>-229</v>
      </c>
      <c r="AZ1754" s="14">
        <v>-224</v>
      </c>
    </row>
    <row r="1755" spans="47:52" x14ac:dyDescent="0.25">
      <c r="AU1755" s="14">
        <v>134</v>
      </c>
      <c r="AY1755" s="14">
        <v>-179</v>
      </c>
      <c r="AZ1755" s="14">
        <v>37</v>
      </c>
    </row>
    <row r="1756" spans="47:52" x14ac:dyDescent="0.25">
      <c r="AU1756" s="14">
        <v>3</v>
      </c>
      <c r="AY1756" s="14">
        <v>-162</v>
      </c>
      <c r="AZ1756" s="14">
        <v>-92</v>
      </c>
    </row>
    <row r="1757" spans="47:52" x14ac:dyDescent="0.25">
      <c r="AU1757" s="14">
        <v>-281</v>
      </c>
      <c r="AY1757" s="14">
        <v>-655</v>
      </c>
      <c r="AZ1757" s="14">
        <v>39</v>
      </c>
    </row>
    <row r="1758" spans="47:52" x14ac:dyDescent="0.25">
      <c r="AU1758" s="14">
        <v>167</v>
      </c>
      <c r="AY1758" s="14">
        <v>-384</v>
      </c>
      <c r="AZ1758" s="14">
        <v>-231</v>
      </c>
    </row>
    <row r="1759" spans="47:52" x14ac:dyDescent="0.25">
      <c r="AU1759" s="14">
        <v>-345</v>
      </c>
      <c r="AY1759" s="14">
        <v>69</v>
      </c>
      <c r="AZ1759" s="14">
        <v>4</v>
      </c>
    </row>
    <row r="1760" spans="47:52" x14ac:dyDescent="0.25">
      <c r="AU1760" s="14">
        <v>-149</v>
      </c>
      <c r="AY1760" s="14">
        <v>367</v>
      </c>
      <c r="AZ1760" s="14">
        <v>29</v>
      </c>
    </row>
    <row r="1761" spans="47:52" x14ac:dyDescent="0.25">
      <c r="AU1761" s="14">
        <v>3</v>
      </c>
      <c r="AY1761" s="14">
        <v>100</v>
      </c>
      <c r="AZ1761" s="14">
        <v>-100</v>
      </c>
    </row>
    <row r="1762" spans="47:52" x14ac:dyDescent="0.25">
      <c r="AU1762" s="14">
        <v>-432</v>
      </c>
      <c r="AY1762" s="14">
        <v>158</v>
      </c>
      <c r="AZ1762" s="14">
        <v>22</v>
      </c>
    </row>
    <row r="1763" spans="47:52" x14ac:dyDescent="0.25">
      <c r="AU1763" s="14">
        <v>301</v>
      </c>
      <c r="AY1763" s="14">
        <v>639</v>
      </c>
      <c r="AZ1763" s="14">
        <v>-120</v>
      </c>
    </row>
    <row r="1764" spans="47:52" x14ac:dyDescent="0.25">
      <c r="AU1764" s="14">
        <v>9</v>
      </c>
      <c r="AY1764" s="14">
        <v>820</v>
      </c>
      <c r="AZ1764" s="14">
        <v>-615</v>
      </c>
    </row>
    <row r="1765" spans="47:52" x14ac:dyDescent="0.25">
      <c r="AU1765" s="14">
        <v>890</v>
      </c>
      <c r="AY1765" s="14">
        <v>968</v>
      </c>
      <c r="AZ1765" s="14">
        <v>-613</v>
      </c>
    </row>
    <row r="1766" spans="47:52" x14ac:dyDescent="0.25">
      <c r="AU1766" s="14">
        <v>169</v>
      </c>
      <c r="AY1766" s="14">
        <v>109</v>
      </c>
      <c r="AZ1766" s="14">
        <v>-244</v>
      </c>
    </row>
    <row r="1767" spans="47:52" x14ac:dyDescent="0.25">
      <c r="AU1767" s="14">
        <v>502</v>
      </c>
      <c r="AY1767" s="14">
        <v>187</v>
      </c>
      <c r="AZ1767" s="14">
        <v>296</v>
      </c>
    </row>
    <row r="1768" spans="47:52" x14ac:dyDescent="0.25">
      <c r="AU1768" s="14">
        <v>336</v>
      </c>
      <c r="AY1768" s="14">
        <v>201</v>
      </c>
      <c r="AZ1768" s="14">
        <v>126</v>
      </c>
    </row>
    <row r="1769" spans="47:52" x14ac:dyDescent="0.25">
      <c r="AU1769" s="14">
        <v>-80</v>
      </c>
      <c r="AY1769" s="14">
        <v>550</v>
      </c>
      <c r="AZ1769" s="14">
        <v>65</v>
      </c>
    </row>
    <row r="1770" spans="47:52" x14ac:dyDescent="0.25">
      <c r="AU1770" s="14">
        <v>35</v>
      </c>
      <c r="AY1770" s="14">
        <v>702</v>
      </c>
      <c r="AZ1770" s="14">
        <v>-164</v>
      </c>
    </row>
    <row r="1771" spans="47:52" x14ac:dyDescent="0.25">
      <c r="AU1771" s="14">
        <v>-153</v>
      </c>
      <c r="AY1771" s="14">
        <v>-316</v>
      </c>
      <c r="AZ1771" s="14">
        <v>349</v>
      </c>
    </row>
    <row r="1772" spans="47:52" x14ac:dyDescent="0.25">
      <c r="AU1772" s="14">
        <v>224</v>
      </c>
      <c r="AY1772" s="14">
        <v>-137</v>
      </c>
      <c r="AZ1772" s="14">
        <v>389</v>
      </c>
    </row>
    <row r="1773" spans="47:52" x14ac:dyDescent="0.25">
      <c r="AU1773" s="14">
        <v>639</v>
      </c>
      <c r="AY1773" s="14">
        <v>335</v>
      </c>
      <c r="AZ1773" s="14">
        <v>107</v>
      </c>
    </row>
    <row r="1774" spans="47:52" x14ac:dyDescent="0.25">
      <c r="AU1774" s="14">
        <v>245</v>
      </c>
      <c r="AY1774" s="14">
        <v>163</v>
      </c>
      <c r="AZ1774" s="14">
        <v>231</v>
      </c>
    </row>
    <row r="1775" spans="47:52" x14ac:dyDescent="0.25">
      <c r="AU1775" s="14">
        <v>-54</v>
      </c>
      <c r="AY1775" s="14">
        <v>392</v>
      </c>
      <c r="AZ1775" s="14">
        <v>47</v>
      </c>
    </row>
    <row r="1776" spans="47:52" x14ac:dyDescent="0.25">
      <c r="AU1776" s="14">
        <v>-303</v>
      </c>
      <c r="AY1776" s="14">
        <v>979</v>
      </c>
      <c r="AZ1776" s="14">
        <v>244</v>
      </c>
    </row>
    <row r="1777" spans="47:52" x14ac:dyDescent="0.25">
      <c r="AU1777" s="14">
        <v>126</v>
      </c>
      <c r="AY1777" s="14">
        <v>290</v>
      </c>
      <c r="AZ1777" s="14">
        <v>-93</v>
      </c>
    </row>
    <row r="1778" spans="47:52" x14ac:dyDescent="0.25">
      <c r="AU1778" s="14">
        <v>-742</v>
      </c>
      <c r="AY1778" s="14">
        <v>-179</v>
      </c>
      <c r="AZ1778" s="14">
        <v>39</v>
      </c>
    </row>
    <row r="1779" spans="47:52" x14ac:dyDescent="0.25">
      <c r="AU1779" s="14">
        <v>340</v>
      </c>
      <c r="AY1779" s="14">
        <v>165</v>
      </c>
      <c r="AZ1779" s="14">
        <v>-224</v>
      </c>
    </row>
    <row r="1780" spans="47:52" x14ac:dyDescent="0.25">
      <c r="AU1780" s="14">
        <v>379</v>
      </c>
      <c r="AY1780" s="14">
        <v>280</v>
      </c>
      <c r="AZ1780" s="14">
        <v>-3</v>
      </c>
    </row>
    <row r="1781" spans="47:52" x14ac:dyDescent="0.25">
      <c r="AU1781" s="14">
        <v>-55</v>
      </c>
      <c r="AY1781" s="14">
        <v>-486</v>
      </c>
      <c r="AZ1781" s="14">
        <v>29</v>
      </c>
    </row>
    <row r="1782" spans="47:52" x14ac:dyDescent="0.25">
      <c r="AU1782" s="14">
        <v>84</v>
      </c>
      <c r="AY1782" s="14">
        <v>-262</v>
      </c>
      <c r="AZ1782" s="14">
        <v>-84</v>
      </c>
    </row>
    <row r="1783" spans="47:52" x14ac:dyDescent="0.25">
      <c r="AU1783" s="14">
        <v>-24</v>
      </c>
      <c r="AY1783" s="14">
        <v>115</v>
      </c>
      <c r="AZ1783" s="14">
        <v>31</v>
      </c>
    </row>
    <row r="1784" spans="47:52" x14ac:dyDescent="0.25">
      <c r="AU1784" s="14">
        <v>618</v>
      </c>
      <c r="AY1784" s="14">
        <v>106</v>
      </c>
      <c r="AZ1784" s="14">
        <v>-73</v>
      </c>
    </row>
    <row r="1785" spans="47:52" x14ac:dyDescent="0.25">
      <c r="AU1785" s="14">
        <v>648</v>
      </c>
      <c r="AY1785" s="14">
        <v>350</v>
      </c>
      <c r="AZ1785" s="14">
        <v>-527</v>
      </c>
    </row>
    <row r="1786" spans="47:52" x14ac:dyDescent="0.25">
      <c r="AU1786" s="14">
        <v>271</v>
      </c>
      <c r="AY1786" s="14">
        <v>517</v>
      </c>
      <c r="AZ1786" s="14">
        <v>-537</v>
      </c>
    </row>
    <row r="1787" spans="47:52" x14ac:dyDescent="0.25">
      <c r="AU1787" s="14">
        <v>-434</v>
      </c>
      <c r="AY1787" s="14">
        <v>698</v>
      </c>
      <c r="AZ1787" s="14">
        <v>-144</v>
      </c>
    </row>
    <row r="1788" spans="47:52" x14ac:dyDescent="0.25">
      <c r="AU1788" s="14">
        <v>6</v>
      </c>
      <c r="AY1788" s="14">
        <v>828</v>
      </c>
      <c r="AZ1788" s="14">
        <v>360</v>
      </c>
    </row>
    <row r="1789" spans="47:52" x14ac:dyDescent="0.25">
      <c r="AU1789" s="14">
        <v>-333</v>
      </c>
      <c r="AY1789" s="14">
        <v>124</v>
      </c>
      <c r="AZ1789" s="14">
        <v>128</v>
      </c>
    </row>
    <row r="1790" spans="47:52" x14ac:dyDescent="0.25">
      <c r="AU1790" s="14">
        <v>710</v>
      </c>
      <c r="AY1790" s="14">
        <v>111</v>
      </c>
      <c r="AZ1790" s="14">
        <v>83</v>
      </c>
    </row>
    <row r="1791" spans="47:52" x14ac:dyDescent="0.25">
      <c r="AU1791" s="14">
        <v>524</v>
      </c>
      <c r="AY1791" s="14">
        <v>143</v>
      </c>
      <c r="AZ1791" s="14">
        <v>-174</v>
      </c>
    </row>
    <row r="1792" spans="47:52" x14ac:dyDescent="0.25">
      <c r="AU1792" s="14">
        <v>339</v>
      </c>
      <c r="AY1792" s="14">
        <v>139</v>
      </c>
      <c r="AZ1792" s="14">
        <v>630</v>
      </c>
    </row>
    <row r="1793" spans="47:52" x14ac:dyDescent="0.25">
      <c r="AU1793" s="14">
        <v>-374</v>
      </c>
      <c r="AY1793" s="14">
        <v>107</v>
      </c>
      <c r="AZ1793" s="14">
        <v>553</v>
      </c>
    </row>
    <row r="1794" spans="47:52" x14ac:dyDescent="0.25">
      <c r="AU1794" s="14">
        <v>-32</v>
      </c>
      <c r="AY1794" s="14">
        <v>123</v>
      </c>
      <c r="AZ1794" s="14">
        <v>-2</v>
      </c>
    </row>
    <row r="1795" spans="47:52" x14ac:dyDescent="0.25">
      <c r="AU1795" s="14">
        <v>-68</v>
      </c>
      <c r="AY1795" s="14">
        <v>116</v>
      </c>
      <c r="AZ1795" s="14">
        <v>2</v>
      </c>
    </row>
    <row r="1796" spans="47:52" x14ac:dyDescent="0.25">
      <c r="AU1796" s="14">
        <v>37</v>
      </c>
      <c r="AY1796" s="14">
        <v>109</v>
      </c>
      <c r="AZ1796" s="14">
        <v>-1</v>
      </c>
    </row>
    <row r="1797" spans="47:52" x14ac:dyDescent="0.25">
      <c r="AU1797" s="14">
        <v>26</v>
      </c>
      <c r="AY1797" s="14">
        <v>109</v>
      </c>
      <c r="AZ1797" s="14">
        <v>-2</v>
      </c>
    </row>
    <row r="1798" spans="47:52" x14ac:dyDescent="0.25">
      <c r="AU1798" s="14">
        <v>8</v>
      </c>
      <c r="AY1798" s="14">
        <v>110</v>
      </c>
      <c r="AZ1798" s="14">
        <v>9</v>
      </c>
    </row>
    <row r="1799" spans="47:52" x14ac:dyDescent="0.25">
      <c r="AU1799" s="14">
        <v>-37</v>
      </c>
      <c r="AY1799" s="14">
        <v>118</v>
      </c>
      <c r="AZ1799" s="14">
        <v>5</v>
      </c>
    </row>
    <row r="1800" spans="47:52" x14ac:dyDescent="0.25">
      <c r="AU1800" s="14">
        <v>41</v>
      </c>
      <c r="AY1800" s="14">
        <v>663</v>
      </c>
      <c r="AZ1800" s="14">
        <v>-7</v>
      </c>
    </row>
    <row r="1801" spans="47:52" x14ac:dyDescent="0.25">
      <c r="AU1801" s="14">
        <v>3</v>
      </c>
      <c r="AY1801" s="14">
        <v>446</v>
      </c>
      <c r="AZ1801" s="14">
        <v>2</v>
      </c>
    </row>
    <row r="1802" spans="47:52" x14ac:dyDescent="0.25">
      <c r="AU1802" s="14">
        <v>178</v>
      </c>
      <c r="AY1802" s="14">
        <v>-111</v>
      </c>
      <c r="AZ1802" s="14">
        <v>-13</v>
      </c>
    </row>
    <row r="1803" spans="47:52" x14ac:dyDescent="0.25">
      <c r="AU1803" s="14">
        <v>24</v>
      </c>
      <c r="AY1803" s="14">
        <v>109</v>
      </c>
      <c r="AZ1803" s="14">
        <v>7</v>
      </c>
    </row>
    <row r="1804" spans="47:52" x14ac:dyDescent="0.25">
      <c r="AU1804" s="14">
        <v>-28</v>
      </c>
      <c r="AY1804" s="14">
        <v>-195</v>
      </c>
      <c r="AZ1804" s="14">
        <v>-6</v>
      </c>
    </row>
    <row r="1805" spans="47:52" x14ac:dyDescent="0.25">
      <c r="AU1805" s="14">
        <v>-96</v>
      </c>
      <c r="AY1805" s="14">
        <v>421</v>
      </c>
      <c r="AZ1805" s="14">
        <v>-7</v>
      </c>
    </row>
    <row r="1806" spans="47:52" x14ac:dyDescent="0.25">
      <c r="AU1806" s="14">
        <v>-27</v>
      </c>
      <c r="AY1806" s="14">
        <v>-679</v>
      </c>
      <c r="AZ1806" s="14">
        <v>19</v>
      </c>
    </row>
    <row r="1807" spans="47:52" x14ac:dyDescent="0.25">
      <c r="AU1807" s="14">
        <v>-55</v>
      </c>
      <c r="AY1807" s="14">
        <v>402</v>
      </c>
      <c r="AZ1807" s="14">
        <v>-40</v>
      </c>
    </row>
    <row r="1808" spans="47:52" x14ac:dyDescent="0.25">
      <c r="AU1808" s="14">
        <v>-51</v>
      </c>
      <c r="AY1808" s="14">
        <v>113</v>
      </c>
      <c r="AZ1808" s="14">
        <v>-913</v>
      </c>
    </row>
    <row r="1809" spans="47:52" x14ac:dyDescent="0.25">
      <c r="AU1809" s="14">
        <v>30</v>
      </c>
      <c r="AY1809" s="14">
        <v>183</v>
      </c>
      <c r="AZ1809" s="14">
        <v>677</v>
      </c>
    </row>
    <row r="1810" spans="47:52" x14ac:dyDescent="0.25">
      <c r="AU1810" s="14">
        <v>-17</v>
      </c>
      <c r="AY1810" s="14">
        <v>234</v>
      </c>
      <c r="AZ1810" s="14">
        <v>543</v>
      </c>
    </row>
    <row r="1811" spans="47:52" x14ac:dyDescent="0.25">
      <c r="AU1811" s="14">
        <v>24</v>
      </c>
      <c r="AY1811" s="14">
        <v>296</v>
      </c>
      <c r="AZ1811" s="14">
        <v>405</v>
      </c>
    </row>
    <row r="1812" spans="47:52" x14ac:dyDescent="0.25">
      <c r="AU1812" s="14">
        <v>11</v>
      </c>
      <c r="AY1812" s="14">
        <v>413</v>
      </c>
      <c r="AZ1812" s="14">
        <v>469</v>
      </c>
    </row>
    <row r="1813" spans="47:52" x14ac:dyDescent="0.25">
      <c r="AU1813" s="14">
        <v>104</v>
      </c>
      <c r="AY1813" s="14">
        <v>508</v>
      </c>
      <c r="AZ1813" s="14">
        <v>449</v>
      </c>
    </row>
    <row r="1814" spans="47:52" x14ac:dyDescent="0.25">
      <c r="AU1814" s="14">
        <v>-44</v>
      </c>
      <c r="AY1814" s="14">
        <v>622</v>
      </c>
      <c r="AZ1814" s="14">
        <v>652</v>
      </c>
    </row>
    <row r="1815" spans="47:52" x14ac:dyDescent="0.25">
      <c r="AU1815" s="14">
        <v>-6</v>
      </c>
      <c r="AY1815" s="14">
        <v>-73</v>
      </c>
      <c r="AZ1815" s="14">
        <v>-2</v>
      </c>
    </row>
    <row r="1816" spans="47:52" x14ac:dyDescent="0.25">
      <c r="AU1816" s="14">
        <v>18</v>
      </c>
      <c r="AY1816" s="14">
        <v>233</v>
      </c>
      <c r="AZ1816" s="14">
        <v>2</v>
      </c>
    </row>
    <row r="1817" spans="47:52" x14ac:dyDescent="0.25">
      <c r="AU1817" s="14">
        <v>89</v>
      </c>
      <c r="AY1817" s="14">
        <v>-311</v>
      </c>
      <c r="AZ1817" s="14">
        <v>-1</v>
      </c>
    </row>
    <row r="1818" spans="47:52" x14ac:dyDescent="0.25">
      <c r="AU1818" s="14">
        <v>44</v>
      </c>
      <c r="AY1818" s="14">
        <v>-46</v>
      </c>
      <c r="AZ1818" s="14">
        <v>10</v>
      </c>
    </row>
    <row r="1819" spans="47:52" x14ac:dyDescent="0.25">
      <c r="AU1819" s="14">
        <v>33</v>
      </c>
      <c r="AY1819" s="14">
        <v>-212</v>
      </c>
      <c r="AZ1819" s="14">
        <v>5</v>
      </c>
    </row>
    <row r="1820" spans="47:52" x14ac:dyDescent="0.25">
      <c r="AU1820" s="14">
        <v>21</v>
      </c>
      <c r="AY1820" s="14">
        <v>33</v>
      </c>
      <c r="AZ1820" s="14">
        <v>-6</v>
      </c>
    </row>
    <row r="1821" spans="47:52" x14ac:dyDescent="0.25">
      <c r="AU1821" s="14">
        <v>14</v>
      </c>
      <c r="AY1821" s="14">
        <v>148</v>
      </c>
      <c r="AZ1821" s="14">
        <v>3</v>
      </c>
    </row>
    <row r="1822" spans="47:52" x14ac:dyDescent="0.25">
      <c r="AU1822" s="14">
        <v>123</v>
      </c>
      <c r="AY1822" s="14">
        <v>443</v>
      </c>
      <c r="AZ1822" s="14">
        <v>-7</v>
      </c>
    </row>
    <row r="1823" spans="47:52" x14ac:dyDescent="0.25">
      <c r="AU1823" s="14">
        <v>68</v>
      </c>
      <c r="AY1823" s="14">
        <v>678</v>
      </c>
      <c r="AZ1823" s="14">
        <v>7</v>
      </c>
    </row>
    <row r="1824" spans="47:52" x14ac:dyDescent="0.25">
      <c r="AU1824" s="14">
        <v>46</v>
      </c>
      <c r="AY1824" s="14">
        <v>792</v>
      </c>
      <c r="AZ1824" s="14">
        <v>-7</v>
      </c>
    </row>
    <row r="1825" spans="47:52" x14ac:dyDescent="0.25">
      <c r="AU1825" s="14">
        <v>27</v>
      </c>
      <c r="AY1825" s="14">
        <v>123</v>
      </c>
      <c r="AZ1825" s="14">
        <v>2</v>
      </c>
    </row>
    <row r="1826" spans="47:52" x14ac:dyDescent="0.25">
      <c r="AU1826" s="14">
        <v>-68</v>
      </c>
      <c r="AY1826" s="14">
        <v>140</v>
      </c>
      <c r="AZ1826" s="14">
        <v>31</v>
      </c>
    </row>
    <row r="1827" spans="47:52" x14ac:dyDescent="0.25">
      <c r="AU1827" s="14">
        <v>-22</v>
      </c>
      <c r="AY1827" s="14">
        <v>271</v>
      </c>
      <c r="AZ1827" s="14">
        <v>-38</v>
      </c>
    </row>
    <row r="1828" spans="47:52" x14ac:dyDescent="0.25">
      <c r="AU1828" s="14">
        <v>-111</v>
      </c>
      <c r="AY1828" s="14">
        <v>448</v>
      </c>
      <c r="AZ1828" s="14">
        <v>-813</v>
      </c>
    </row>
    <row r="1829" spans="47:52" x14ac:dyDescent="0.25">
      <c r="AU1829" s="14">
        <v>-36</v>
      </c>
      <c r="AY1829" s="14">
        <v>-171</v>
      </c>
      <c r="AZ1829" s="14">
        <v>662</v>
      </c>
    </row>
    <row r="1830" spans="47:52" x14ac:dyDescent="0.25">
      <c r="AU1830" s="14">
        <v>-56</v>
      </c>
      <c r="AY1830" s="14">
        <v>-118</v>
      </c>
      <c r="AZ1830" s="14">
        <v>497</v>
      </c>
    </row>
    <row r="1831" spans="47:52" x14ac:dyDescent="0.25">
      <c r="AU1831" s="14">
        <v>-24</v>
      </c>
      <c r="AY1831" s="14">
        <v>-874</v>
      </c>
      <c r="AZ1831" s="14">
        <v>430</v>
      </c>
    </row>
    <row r="1832" spans="47:52" x14ac:dyDescent="0.25">
      <c r="AU1832" s="14">
        <v>501</v>
      </c>
      <c r="AY1832" s="14">
        <v>-500</v>
      </c>
      <c r="AZ1832" s="14">
        <v>478</v>
      </c>
    </row>
    <row r="1833" spans="47:52" x14ac:dyDescent="0.25">
      <c r="AU1833" s="14">
        <v>82</v>
      </c>
      <c r="AY1833" s="14">
        <v>200</v>
      </c>
      <c r="AZ1833" s="14">
        <v>438</v>
      </c>
    </row>
    <row r="1834" spans="47:52" x14ac:dyDescent="0.25">
      <c r="AU1834" s="14">
        <v>179</v>
      </c>
      <c r="AY1834" s="14">
        <v>1</v>
      </c>
      <c r="AZ1834" s="14">
        <v>635</v>
      </c>
    </row>
    <row r="1835" spans="47:52" x14ac:dyDescent="0.25">
      <c r="AU1835" s="14">
        <v>-76</v>
      </c>
      <c r="AY1835" s="14">
        <v>176</v>
      </c>
      <c r="AZ1835" s="14">
        <v>-2</v>
      </c>
    </row>
    <row r="1836" spans="47:52" x14ac:dyDescent="0.25">
      <c r="AU1836" s="14">
        <v>-48</v>
      </c>
      <c r="AY1836" s="14">
        <v>393</v>
      </c>
      <c r="AZ1836" s="14">
        <v>2</v>
      </c>
    </row>
    <row r="1837" spans="47:52" x14ac:dyDescent="0.25">
      <c r="AU1837" s="14">
        <v>-11</v>
      </c>
      <c r="AY1837" s="14">
        <v>642</v>
      </c>
      <c r="AZ1837" s="14">
        <v>9</v>
      </c>
    </row>
    <row r="1838" spans="47:52" x14ac:dyDescent="0.25">
      <c r="AU1838" s="14">
        <v>45</v>
      </c>
      <c r="AY1838" s="14">
        <v>110</v>
      </c>
      <c r="AZ1838" s="14">
        <v>5</v>
      </c>
    </row>
    <row r="1839" spans="47:52" x14ac:dyDescent="0.25">
      <c r="AU1839" s="14">
        <v>-38</v>
      </c>
      <c r="AY1839" s="14">
        <v>153</v>
      </c>
      <c r="AZ1839" s="14">
        <v>-6</v>
      </c>
    </row>
    <row r="1840" spans="47:52" x14ac:dyDescent="0.25">
      <c r="AU1840" s="14">
        <v>-87</v>
      </c>
      <c r="AY1840" s="14">
        <v>199</v>
      </c>
      <c r="AZ1840" s="14">
        <v>2</v>
      </c>
    </row>
    <row r="1841" spans="47:52" x14ac:dyDescent="0.25">
      <c r="AU1841" s="14">
        <v>40</v>
      </c>
      <c r="AY1841" s="14">
        <v>336</v>
      </c>
      <c r="AZ1841" s="14">
        <v>-7</v>
      </c>
    </row>
    <row r="1842" spans="47:52" x14ac:dyDescent="0.25">
      <c r="AU1842" s="14">
        <v>62</v>
      </c>
      <c r="AY1842" s="14">
        <v>505</v>
      </c>
      <c r="AZ1842" s="14">
        <v>8</v>
      </c>
    </row>
    <row r="1843" spans="47:52" x14ac:dyDescent="0.25">
      <c r="AU1843" s="14">
        <v>26</v>
      </c>
      <c r="AY1843" s="14">
        <v>766</v>
      </c>
      <c r="AZ1843" s="14">
        <v>-7</v>
      </c>
    </row>
    <row r="1844" spans="47:52" x14ac:dyDescent="0.25">
      <c r="AU1844" s="14">
        <v>530</v>
      </c>
      <c r="AY1844" s="14">
        <v>-223</v>
      </c>
      <c r="AZ1844" s="14">
        <v>3</v>
      </c>
    </row>
    <row r="1845" spans="47:52" x14ac:dyDescent="0.25">
      <c r="AU1845" s="14">
        <v>147</v>
      </c>
      <c r="AY1845" s="14">
        <v>-218</v>
      </c>
      <c r="AZ1845" s="14">
        <v>35</v>
      </c>
    </row>
    <row r="1846" spans="47:52" x14ac:dyDescent="0.25">
      <c r="AU1846" s="14">
        <v>-170</v>
      </c>
      <c r="AY1846" s="14">
        <v>-57</v>
      </c>
      <c r="AZ1846" s="14">
        <v>-38</v>
      </c>
    </row>
    <row r="1847" spans="47:52" x14ac:dyDescent="0.25">
      <c r="AU1847" s="14">
        <v>-94</v>
      </c>
      <c r="AY1847" s="14">
        <v>375</v>
      </c>
      <c r="AZ1847" s="14">
        <v>-845</v>
      </c>
    </row>
    <row r="1848" spans="47:52" x14ac:dyDescent="0.25">
      <c r="AU1848" s="14">
        <v>290</v>
      </c>
      <c r="AY1848" s="14">
        <v>241</v>
      </c>
      <c r="AZ1848" s="14">
        <v>426</v>
      </c>
    </row>
    <row r="1849" spans="47:52" x14ac:dyDescent="0.25">
      <c r="AU1849" s="14">
        <v>-34</v>
      </c>
      <c r="AY1849" s="14">
        <v>342</v>
      </c>
      <c r="AZ1849" s="14">
        <v>317</v>
      </c>
    </row>
    <row r="1850" spans="47:52" x14ac:dyDescent="0.25">
      <c r="AU1850" s="14">
        <v>17</v>
      </c>
      <c r="AY1850" s="14">
        <v>375</v>
      </c>
      <c r="AZ1850" s="14">
        <v>244</v>
      </c>
    </row>
    <row r="1851" spans="47:52" x14ac:dyDescent="0.25">
      <c r="AU1851" s="14">
        <v>163</v>
      </c>
      <c r="AY1851" s="14">
        <v>600</v>
      </c>
      <c r="AZ1851" s="14">
        <v>299</v>
      </c>
    </row>
    <row r="1852" spans="47:52" x14ac:dyDescent="0.25">
      <c r="AU1852" s="14">
        <v>339</v>
      </c>
      <c r="AY1852" s="14">
        <v>676</v>
      </c>
      <c r="AZ1852" s="14">
        <v>259</v>
      </c>
    </row>
    <row r="1853" spans="47:52" x14ac:dyDescent="0.25">
      <c r="AU1853" s="14">
        <v>357</v>
      </c>
      <c r="AY1853" s="14">
        <v>973</v>
      </c>
      <c r="AZ1853" s="14">
        <v>416</v>
      </c>
    </row>
    <row r="1854" spans="47:52" x14ac:dyDescent="0.25">
      <c r="AU1854" s="14">
        <v>413</v>
      </c>
      <c r="AY1854" s="14">
        <v>173</v>
      </c>
      <c r="AZ1854" s="14">
        <v>-2</v>
      </c>
    </row>
    <row r="1855" spans="47:52" x14ac:dyDescent="0.25">
      <c r="AU1855" s="14">
        <v>488</v>
      </c>
      <c r="AY1855" s="14">
        <v>-133</v>
      </c>
      <c r="AZ1855" s="14">
        <v>2</v>
      </c>
    </row>
    <row r="1856" spans="47:52" x14ac:dyDescent="0.25">
      <c r="AU1856" s="14">
        <v>509</v>
      </c>
      <c r="AY1856" s="14">
        <v>735</v>
      </c>
      <c r="AZ1856" s="14">
        <v>-28</v>
      </c>
    </row>
    <row r="1857" spans="47:52" x14ac:dyDescent="0.25">
      <c r="AU1857" s="14">
        <v>90</v>
      </c>
      <c r="AY1857" s="14">
        <v>-40</v>
      </c>
      <c r="AZ1857" s="14">
        <v>2</v>
      </c>
    </row>
    <row r="1858" spans="47:52" x14ac:dyDescent="0.25">
      <c r="AU1858" s="14">
        <v>-79</v>
      </c>
      <c r="AY1858" s="14">
        <v>220</v>
      </c>
      <c r="AZ1858" s="14">
        <v>10</v>
      </c>
    </row>
    <row r="1859" spans="47:52" x14ac:dyDescent="0.25">
      <c r="AU1859" s="14">
        <v>-137</v>
      </c>
      <c r="AY1859" s="14">
        <v>411</v>
      </c>
      <c r="AZ1859" s="14">
        <v>-5</v>
      </c>
    </row>
    <row r="1860" spans="47:52" x14ac:dyDescent="0.25">
      <c r="AU1860" s="14">
        <v>-88</v>
      </c>
      <c r="AY1860" s="14">
        <v>452</v>
      </c>
      <c r="AZ1860" s="14">
        <v>10</v>
      </c>
    </row>
    <row r="1861" spans="47:52" x14ac:dyDescent="0.25">
      <c r="AU1861" s="14">
        <v>188</v>
      </c>
      <c r="AY1861" s="14">
        <v>798</v>
      </c>
      <c r="AZ1861" s="14">
        <v>-8</v>
      </c>
    </row>
    <row r="1862" spans="47:52" x14ac:dyDescent="0.25">
      <c r="AU1862" s="14">
        <v>-86</v>
      </c>
      <c r="AY1862" s="14">
        <v>563</v>
      </c>
      <c r="AZ1862" s="14">
        <v>-53</v>
      </c>
    </row>
    <row r="1863" spans="47:52" x14ac:dyDescent="0.25">
      <c r="AU1863" s="14">
        <v>-83</v>
      </c>
      <c r="AY1863" s="14">
        <v>877</v>
      </c>
      <c r="AZ1863" s="14">
        <v>-14</v>
      </c>
    </row>
    <row r="1864" spans="47:52" x14ac:dyDescent="0.25">
      <c r="AU1864" s="14">
        <v>-77</v>
      </c>
      <c r="AY1864" s="14">
        <v>135</v>
      </c>
      <c r="AZ1864" s="14">
        <v>-54</v>
      </c>
    </row>
    <row r="1865" spans="47:52" x14ac:dyDescent="0.25">
      <c r="AU1865" s="14">
        <v>25</v>
      </c>
      <c r="AY1865" s="14">
        <v>246</v>
      </c>
      <c r="AZ1865" s="14">
        <v>-1</v>
      </c>
    </row>
    <row r="1866" spans="47:52" x14ac:dyDescent="0.25">
      <c r="AU1866" s="14">
        <v>8</v>
      </c>
      <c r="AY1866" s="14">
        <v>300</v>
      </c>
      <c r="AZ1866" s="14">
        <v>4</v>
      </c>
    </row>
    <row r="1867" spans="47:52" x14ac:dyDescent="0.25">
      <c r="AU1867" s="14">
        <v>-17</v>
      </c>
      <c r="AY1867" s="14">
        <v>-522</v>
      </c>
      <c r="AZ1867" s="14">
        <v>12</v>
      </c>
    </row>
    <row r="1868" spans="47:52" x14ac:dyDescent="0.25">
      <c r="AU1868" s="14">
        <v>178</v>
      </c>
      <c r="AY1868" s="14">
        <v>-273</v>
      </c>
      <c r="AZ1868" s="14">
        <v>407</v>
      </c>
    </row>
    <row r="1869" spans="47:52" x14ac:dyDescent="0.25">
      <c r="AU1869" s="14">
        <v>30</v>
      </c>
      <c r="AY1869" s="14">
        <v>104</v>
      </c>
      <c r="AZ1869" s="14">
        <v>276</v>
      </c>
    </row>
    <row r="1870" spans="47:52" x14ac:dyDescent="0.25">
      <c r="AU1870" s="14">
        <v>-81</v>
      </c>
      <c r="AY1870" s="14">
        <v>576</v>
      </c>
      <c r="AZ1870" s="14">
        <v>269</v>
      </c>
    </row>
    <row r="1871" spans="47:52" x14ac:dyDescent="0.25">
      <c r="AU1871" s="14">
        <v>-27</v>
      </c>
      <c r="AY1871" s="14">
        <v>100</v>
      </c>
      <c r="AZ1871" s="14">
        <v>302</v>
      </c>
    </row>
    <row r="1872" spans="47:52" x14ac:dyDescent="0.25">
      <c r="AU1872" s="14">
        <v>-77</v>
      </c>
      <c r="AY1872" s="14">
        <v>168</v>
      </c>
      <c r="AZ1872" s="14">
        <v>274</v>
      </c>
    </row>
    <row r="1873" spans="47:52" x14ac:dyDescent="0.25">
      <c r="AU1873" s="14">
        <v>-71</v>
      </c>
      <c r="AY1873" s="14">
        <v>247</v>
      </c>
      <c r="AZ1873" s="14">
        <v>397</v>
      </c>
    </row>
    <row r="1874" spans="47:52" x14ac:dyDescent="0.25">
      <c r="AU1874" s="14">
        <v>-71</v>
      </c>
      <c r="AY1874" s="14">
        <v>297</v>
      </c>
      <c r="AZ1874" s="14">
        <v>-1</v>
      </c>
    </row>
    <row r="1875" spans="47:52" x14ac:dyDescent="0.25">
      <c r="AU1875" s="14">
        <v>-51</v>
      </c>
      <c r="AY1875" s="14">
        <v>344</v>
      </c>
      <c r="AZ1875" s="14">
        <v>2</v>
      </c>
    </row>
    <row r="1876" spans="47:52" x14ac:dyDescent="0.25">
      <c r="AU1876" s="14">
        <v>132</v>
      </c>
      <c r="AY1876" s="14">
        <v>428</v>
      </c>
      <c r="AZ1876" s="14">
        <v>-27</v>
      </c>
    </row>
    <row r="1877" spans="47:52" x14ac:dyDescent="0.25">
      <c r="AU1877" s="14">
        <v>43</v>
      </c>
      <c r="AY1877" s="14">
        <v>474</v>
      </c>
      <c r="AZ1877" s="14">
        <v>2</v>
      </c>
    </row>
    <row r="1878" spans="47:52" x14ac:dyDescent="0.25">
      <c r="AU1878" s="14">
        <v>186</v>
      </c>
      <c r="AY1878" s="14">
        <v>153</v>
      </c>
      <c r="AZ1878" s="14">
        <v>9</v>
      </c>
    </row>
    <row r="1879" spans="47:52" x14ac:dyDescent="0.25">
      <c r="AU1879" s="14">
        <v>-135</v>
      </c>
      <c r="AY1879" s="14">
        <v>105</v>
      </c>
      <c r="AZ1879" s="14">
        <v>-5</v>
      </c>
    </row>
    <row r="1880" spans="47:52" x14ac:dyDescent="0.25">
      <c r="AU1880" s="14">
        <v>-53</v>
      </c>
      <c r="AY1880" s="14">
        <v>374</v>
      </c>
      <c r="AZ1880" s="14">
        <v>10</v>
      </c>
    </row>
    <row r="1881" spans="47:52" x14ac:dyDescent="0.25">
      <c r="AU1881" s="14">
        <v>178</v>
      </c>
      <c r="AY1881" s="14">
        <v>-121</v>
      </c>
      <c r="AZ1881" s="14">
        <v>-9</v>
      </c>
    </row>
    <row r="1882" spans="47:52" x14ac:dyDescent="0.25">
      <c r="AU1882" s="14">
        <v>21</v>
      </c>
      <c r="AY1882" s="14">
        <v>-55</v>
      </c>
      <c r="AZ1882" s="14">
        <v>-54</v>
      </c>
    </row>
    <row r="1883" spans="47:52" x14ac:dyDescent="0.25">
      <c r="AU1883" s="14">
        <v>110</v>
      </c>
      <c r="AY1883" s="14">
        <v>473</v>
      </c>
      <c r="AZ1883" s="14">
        <v>-15</v>
      </c>
    </row>
    <row r="1884" spans="47:52" x14ac:dyDescent="0.25">
      <c r="AU1884" s="14">
        <v>255</v>
      </c>
      <c r="AY1884" s="14">
        <v>519</v>
      </c>
      <c r="AZ1884" s="14">
        <v>-54</v>
      </c>
    </row>
    <row r="1885" spans="47:52" x14ac:dyDescent="0.25">
      <c r="AU1885" s="14">
        <v>174</v>
      </c>
      <c r="AY1885" s="14">
        <v>116</v>
      </c>
      <c r="AZ1885" s="14">
        <v>-2</v>
      </c>
    </row>
    <row r="1886" spans="47:52" x14ac:dyDescent="0.25">
      <c r="AU1886" s="14">
        <v>-99</v>
      </c>
      <c r="AY1886" s="14">
        <v>143</v>
      </c>
      <c r="AZ1886" s="14">
        <v>4</v>
      </c>
    </row>
    <row r="1887" spans="47:52" x14ac:dyDescent="0.25">
      <c r="AU1887" s="14">
        <v>195</v>
      </c>
      <c r="AY1887" s="14">
        <v>235</v>
      </c>
      <c r="AZ1887" s="14">
        <v>12</v>
      </c>
    </row>
    <row r="1888" spans="47:52" x14ac:dyDescent="0.25">
      <c r="AU1888" s="14">
        <v>-65</v>
      </c>
      <c r="AY1888" s="14">
        <v>299</v>
      </c>
      <c r="AZ1888" s="14">
        <v>-290</v>
      </c>
    </row>
    <row r="1889" spans="47:52" x14ac:dyDescent="0.25">
      <c r="AU1889" s="14">
        <v>-250</v>
      </c>
      <c r="AY1889" s="14">
        <v>359</v>
      </c>
      <c r="AZ1889" s="14">
        <v>916</v>
      </c>
    </row>
    <row r="1890" spans="47:52" x14ac:dyDescent="0.25">
      <c r="AU1890" s="14">
        <v>-99</v>
      </c>
      <c r="AY1890" s="14">
        <v>655</v>
      </c>
      <c r="AZ1890" s="14">
        <v>851</v>
      </c>
    </row>
    <row r="1891" spans="47:52" x14ac:dyDescent="0.25">
      <c r="AU1891" s="14">
        <v>32</v>
      </c>
      <c r="AY1891" s="14">
        <v>1</v>
      </c>
      <c r="AZ1891" s="14">
        <v>-4</v>
      </c>
    </row>
    <row r="1892" spans="47:52" x14ac:dyDescent="0.25">
      <c r="AU1892" s="14">
        <v>35</v>
      </c>
      <c r="AY1892" s="14">
        <v>11</v>
      </c>
      <c r="AZ1892" s="14">
        <v>4</v>
      </c>
    </row>
    <row r="1893" spans="47:52" x14ac:dyDescent="0.25">
      <c r="AU1893" s="14">
        <v>-190</v>
      </c>
      <c r="AY1893" s="14">
        <v>-15</v>
      </c>
      <c r="AZ1893" s="14">
        <v>7</v>
      </c>
    </row>
    <row r="1894" spans="47:52" x14ac:dyDescent="0.25">
      <c r="AU1894" s="14">
        <v>-47</v>
      </c>
      <c r="AY1894" s="14">
        <v>-51</v>
      </c>
      <c r="AZ1894" s="14">
        <v>-8</v>
      </c>
    </row>
    <row r="1895" spans="47:52" x14ac:dyDescent="0.25">
      <c r="AU1895" s="14">
        <v>54</v>
      </c>
      <c r="AY1895" s="14">
        <v>6</v>
      </c>
      <c r="AZ1895" s="14">
        <v>21</v>
      </c>
    </row>
    <row r="1896" spans="47:52" x14ac:dyDescent="0.25">
      <c r="AU1896" s="14">
        <v>14</v>
      </c>
      <c r="AY1896" s="14">
        <v>-18</v>
      </c>
      <c r="AZ1896" s="14">
        <v>3</v>
      </c>
    </row>
    <row r="1897" spans="47:52" x14ac:dyDescent="0.25">
      <c r="AU1897" s="14">
        <v>-30</v>
      </c>
      <c r="AY1897" s="14">
        <v>10</v>
      </c>
      <c r="AZ1897" s="14">
        <v>1</v>
      </c>
    </row>
    <row r="1898" spans="47:52" x14ac:dyDescent="0.25">
      <c r="AU1898" s="14">
        <v>50</v>
      </c>
      <c r="AY1898" s="14">
        <v>26</v>
      </c>
      <c r="AZ1898" s="14">
        <v>6</v>
      </c>
    </row>
    <row r="1899" spans="47:52" x14ac:dyDescent="0.25">
      <c r="AU1899" s="14">
        <v>-87</v>
      </c>
      <c r="AY1899" s="14">
        <v>1</v>
      </c>
      <c r="AZ1899" s="14">
        <v>-52</v>
      </c>
    </row>
    <row r="1900" spans="47:52" x14ac:dyDescent="0.25">
      <c r="AU1900" s="14">
        <v>-41</v>
      </c>
      <c r="AY1900" s="14">
        <v>-798</v>
      </c>
      <c r="AZ1900" s="14">
        <v>-12</v>
      </c>
    </row>
    <row r="1901" spans="47:52" x14ac:dyDescent="0.25">
      <c r="AU1901" s="14">
        <v>45</v>
      </c>
      <c r="AY1901" s="14">
        <v>-104</v>
      </c>
      <c r="AZ1901" s="14">
        <v>60</v>
      </c>
    </row>
    <row r="1902" spans="47:52" x14ac:dyDescent="0.25">
      <c r="AU1902" s="14">
        <v>-5</v>
      </c>
      <c r="AY1902" s="14">
        <v>4</v>
      </c>
      <c r="AZ1902" s="14">
        <v>-9</v>
      </c>
    </row>
    <row r="1903" spans="47:52" x14ac:dyDescent="0.25">
      <c r="AU1903" s="14">
        <v>-64</v>
      </c>
      <c r="AY1903" s="14">
        <v>-23</v>
      </c>
      <c r="AZ1903" s="14">
        <v>-88</v>
      </c>
    </row>
    <row r="1904" spans="47:52" x14ac:dyDescent="0.25">
      <c r="AU1904" s="14">
        <v>122</v>
      </c>
      <c r="AY1904" s="14">
        <v>18</v>
      </c>
      <c r="AZ1904" s="14">
        <v>-29</v>
      </c>
    </row>
    <row r="1905" spans="47:52" x14ac:dyDescent="0.25">
      <c r="AU1905" s="14">
        <v>-10</v>
      </c>
      <c r="AY1905" s="14">
        <v>32</v>
      </c>
      <c r="AZ1905" s="14">
        <v>-505</v>
      </c>
    </row>
    <row r="1906" spans="47:52" x14ac:dyDescent="0.25">
      <c r="AU1906" s="14">
        <v>215</v>
      </c>
      <c r="AY1906" s="14">
        <v>1</v>
      </c>
      <c r="AZ1906" s="14">
        <v>932</v>
      </c>
    </row>
    <row r="1907" spans="47:52" x14ac:dyDescent="0.25">
      <c r="AU1907" s="14">
        <v>77</v>
      </c>
      <c r="AY1907" s="14">
        <v>-693</v>
      </c>
      <c r="AZ1907" s="14">
        <v>750</v>
      </c>
    </row>
    <row r="1908" spans="47:52" x14ac:dyDescent="0.25">
      <c r="AU1908" s="14">
        <v>82</v>
      </c>
      <c r="AY1908" s="14">
        <v>-69</v>
      </c>
      <c r="AZ1908" s="14">
        <v>634</v>
      </c>
    </row>
    <row r="1909" spans="47:52" x14ac:dyDescent="0.25">
      <c r="AU1909" s="14">
        <v>41</v>
      </c>
      <c r="AY1909" s="14">
        <v>7</v>
      </c>
      <c r="AZ1909" s="14">
        <v>658</v>
      </c>
    </row>
    <row r="1910" spans="47:52" x14ac:dyDescent="0.25">
      <c r="AU1910" s="14">
        <v>43</v>
      </c>
      <c r="AY1910" s="14">
        <v>-16</v>
      </c>
      <c r="AZ1910" s="14">
        <v>702</v>
      </c>
    </row>
    <row r="1911" spans="47:52" x14ac:dyDescent="0.25">
      <c r="AU1911" s="14">
        <v>236</v>
      </c>
      <c r="AY1911" s="14">
        <v>13</v>
      </c>
      <c r="AZ1911" s="14">
        <v>915</v>
      </c>
    </row>
    <row r="1912" spans="47:52" x14ac:dyDescent="0.25">
      <c r="AU1912" s="14">
        <v>127</v>
      </c>
      <c r="AY1912" s="14">
        <v>25</v>
      </c>
      <c r="AZ1912" s="14">
        <v>-3</v>
      </c>
    </row>
    <row r="1913" spans="47:52" x14ac:dyDescent="0.25">
      <c r="AU1913" s="14">
        <v>104</v>
      </c>
      <c r="AY1913" s="14">
        <v>1</v>
      </c>
      <c r="AZ1913" s="14">
        <v>5</v>
      </c>
    </row>
    <row r="1914" spans="47:52" x14ac:dyDescent="0.25">
      <c r="AU1914" s="14">
        <v>207</v>
      </c>
      <c r="AY1914" s="14">
        <v>-965</v>
      </c>
      <c r="AZ1914" s="14">
        <v>7</v>
      </c>
    </row>
    <row r="1915" spans="47:52" x14ac:dyDescent="0.25">
      <c r="AU1915" s="14">
        <v>40</v>
      </c>
      <c r="AY1915" s="14">
        <v>-52</v>
      </c>
      <c r="AZ1915" s="14">
        <v>-7</v>
      </c>
    </row>
    <row r="1916" spans="47:52" x14ac:dyDescent="0.25">
      <c r="AU1916" s="14">
        <v>53</v>
      </c>
      <c r="AY1916" s="14">
        <v>6</v>
      </c>
      <c r="AZ1916" s="14">
        <v>21</v>
      </c>
    </row>
    <row r="1917" spans="47:52" x14ac:dyDescent="0.25">
      <c r="AU1917" s="14">
        <v>-5</v>
      </c>
      <c r="AY1917" s="14">
        <v>-19</v>
      </c>
      <c r="AZ1917" s="14">
        <v>2</v>
      </c>
    </row>
    <row r="1918" spans="47:52" x14ac:dyDescent="0.25">
      <c r="AU1918" s="14">
        <v>-30</v>
      </c>
      <c r="AY1918" s="14">
        <v>10</v>
      </c>
      <c r="AZ1918" s="14">
        <v>1</v>
      </c>
    </row>
    <row r="1919" spans="47:52" x14ac:dyDescent="0.25">
      <c r="AU1919" s="14">
        <v>-56</v>
      </c>
      <c r="AY1919" s="14">
        <v>26</v>
      </c>
      <c r="AZ1919" s="14">
        <v>16</v>
      </c>
    </row>
    <row r="1920" spans="47:52" x14ac:dyDescent="0.25">
      <c r="AU1920" s="14">
        <v>66</v>
      </c>
      <c r="AY1920" s="14">
        <v>98</v>
      </c>
      <c r="AZ1920" s="14">
        <v>-40</v>
      </c>
    </row>
    <row r="1921" spans="47:52" x14ac:dyDescent="0.25">
      <c r="AU1921" s="14">
        <v>-2</v>
      </c>
      <c r="AY1921" s="14">
        <v>1</v>
      </c>
      <c r="AZ1921" s="14">
        <v>2</v>
      </c>
    </row>
    <row r="1922" spans="47:52" x14ac:dyDescent="0.25">
      <c r="AU1922" s="14">
        <v>5</v>
      </c>
      <c r="AY1922" s="14">
        <v>-8</v>
      </c>
      <c r="AZ1922" s="14">
        <v>70</v>
      </c>
    </row>
    <row r="1923" spans="47:52" x14ac:dyDescent="0.25">
      <c r="AU1923" s="14">
        <v>230</v>
      </c>
      <c r="AY1923" s="14">
        <v>-3</v>
      </c>
      <c r="AZ1923" s="14">
        <v>1</v>
      </c>
    </row>
    <row r="1924" spans="47:52" x14ac:dyDescent="0.25">
      <c r="AU1924" s="14">
        <v>-5</v>
      </c>
      <c r="AY1924" s="14">
        <v>-105</v>
      </c>
      <c r="AZ1924" s="14">
        <v>-65</v>
      </c>
    </row>
    <row r="1925" spans="47:52" x14ac:dyDescent="0.25">
      <c r="AU1925" s="14">
        <v>508</v>
      </c>
      <c r="AY1925" s="14">
        <v>4</v>
      </c>
      <c r="AZ1925" s="14">
        <v>-21</v>
      </c>
    </row>
    <row r="1926" spans="47:52" x14ac:dyDescent="0.25">
      <c r="AU1926" s="14">
        <v>42</v>
      </c>
      <c r="AY1926" s="14">
        <v>-23</v>
      </c>
      <c r="AZ1926" s="14">
        <v>-440</v>
      </c>
    </row>
    <row r="1927" spans="47:52" x14ac:dyDescent="0.25">
      <c r="AU1927" s="14">
        <v>98</v>
      </c>
      <c r="AY1927" s="14">
        <v>19</v>
      </c>
      <c r="AZ1927" s="14">
        <v>592</v>
      </c>
    </row>
    <row r="1928" spans="47:52" x14ac:dyDescent="0.25">
      <c r="AU1928" s="14">
        <v>24</v>
      </c>
      <c r="AY1928" s="14">
        <v>32</v>
      </c>
      <c r="AZ1928" s="14">
        <v>347</v>
      </c>
    </row>
    <row r="1929" spans="47:52" x14ac:dyDescent="0.25">
      <c r="AU1929" s="14">
        <v>14</v>
      </c>
      <c r="AY1929" s="14">
        <v>84</v>
      </c>
      <c r="AZ1929" s="14">
        <v>357</v>
      </c>
    </row>
    <row r="1930" spans="47:52" x14ac:dyDescent="0.25">
      <c r="AU1930" s="14">
        <v>173</v>
      </c>
      <c r="AY1930" s="14">
        <v>1</v>
      </c>
      <c r="AZ1930" s="14">
        <v>324</v>
      </c>
    </row>
    <row r="1931" spans="47:52" x14ac:dyDescent="0.25">
      <c r="AU1931" s="14">
        <v>138</v>
      </c>
      <c r="AY1931" s="14">
        <v>-7</v>
      </c>
      <c r="AZ1931" s="14">
        <v>363</v>
      </c>
    </row>
    <row r="1932" spans="47:52" x14ac:dyDescent="0.25">
      <c r="AU1932" s="14">
        <v>-12</v>
      </c>
      <c r="AY1932" s="14">
        <v>-4</v>
      </c>
      <c r="AZ1932" s="14">
        <v>578</v>
      </c>
    </row>
    <row r="1933" spans="47:52" x14ac:dyDescent="0.25">
      <c r="AU1933" s="14">
        <v>98</v>
      </c>
      <c r="AY1933" s="14">
        <v>-70</v>
      </c>
      <c r="AZ1933" s="14">
        <v>-3</v>
      </c>
    </row>
    <row r="1934" spans="47:52" x14ac:dyDescent="0.25">
      <c r="AU1934" s="14">
        <v>358</v>
      </c>
      <c r="AY1934" s="14">
        <v>7</v>
      </c>
      <c r="AZ1934" s="14">
        <v>5</v>
      </c>
    </row>
    <row r="1935" spans="47:52" x14ac:dyDescent="0.25">
      <c r="AU1935" s="14">
        <v>270</v>
      </c>
      <c r="AY1935" s="14">
        <v>-16</v>
      </c>
      <c r="AZ1935" s="14">
        <v>8</v>
      </c>
    </row>
    <row r="1936" spans="47:52" x14ac:dyDescent="0.25">
      <c r="AU1936" s="14">
        <v>96</v>
      </c>
      <c r="AY1936" s="14">
        <v>14</v>
      </c>
      <c r="AZ1936" s="14">
        <v>-1</v>
      </c>
    </row>
    <row r="1937" spans="47:52" x14ac:dyDescent="0.25">
      <c r="AU1937" s="14">
        <v>-49</v>
      </c>
      <c r="AY1937" s="14">
        <v>25</v>
      </c>
      <c r="AZ1937" s="14">
        <v>20</v>
      </c>
    </row>
    <row r="1938" spans="47:52" x14ac:dyDescent="0.25">
      <c r="AU1938" s="14">
        <v>-151</v>
      </c>
      <c r="AY1938" s="14">
        <v>11</v>
      </c>
      <c r="AZ1938" s="14">
        <v>2</v>
      </c>
    </row>
    <row r="1939" spans="47:52" x14ac:dyDescent="0.25">
      <c r="AU1939" s="14">
        <v>92</v>
      </c>
      <c r="AY1939" s="14">
        <v>1</v>
      </c>
      <c r="AZ1939" s="14">
        <v>2</v>
      </c>
    </row>
    <row r="1940" spans="47:52" x14ac:dyDescent="0.25">
      <c r="AU1940" s="14">
        <v>-20</v>
      </c>
      <c r="AY1940" s="14">
        <v>25</v>
      </c>
      <c r="AZ1940" s="14">
        <v>15</v>
      </c>
    </row>
    <row r="1941" spans="47:52" x14ac:dyDescent="0.25">
      <c r="AU1941" s="14">
        <v>-67</v>
      </c>
      <c r="AY1941" s="14">
        <v>-2</v>
      </c>
      <c r="AZ1941" s="14">
        <v>-39</v>
      </c>
    </row>
    <row r="1942" spans="47:52" x14ac:dyDescent="0.25">
      <c r="AU1942" s="14">
        <v>84</v>
      </c>
      <c r="AY1942" s="14">
        <v>-53</v>
      </c>
      <c r="AZ1942" s="14">
        <v>1</v>
      </c>
    </row>
    <row r="1943" spans="47:52" x14ac:dyDescent="0.25">
      <c r="AU1943" s="14">
        <v>245</v>
      </c>
      <c r="AY1943" s="14">
        <v>6</v>
      </c>
      <c r="AZ1943" s="14">
        <v>68</v>
      </c>
    </row>
    <row r="1944" spans="47:52" x14ac:dyDescent="0.25">
      <c r="AU1944" s="14">
        <v>137</v>
      </c>
      <c r="AY1944" s="14">
        <v>-19</v>
      </c>
      <c r="AZ1944" s="14">
        <v>2</v>
      </c>
    </row>
    <row r="1945" spans="47:52" x14ac:dyDescent="0.25">
      <c r="AU1945" s="14">
        <v>46</v>
      </c>
      <c r="AY1945" s="14">
        <v>10</v>
      </c>
      <c r="AZ1945" s="14">
        <v>-62</v>
      </c>
    </row>
    <row r="1946" spans="47:52" x14ac:dyDescent="0.25">
      <c r="AU1946" s="14">
        <v>153</v>
      </c>
      <c r="AY1946" s="14">
        <v>26</v>
      </c>
      <c r="AZ1946" s="14">
        <v>-18</v>
      </c>
    </row>
    <row r="1947" spans="47:52" x14ac:dyDescent="0.25">
      <c r="AU1947" s="14">
        <v>-3</v>
      </c>
      <c r="AY1947" s="14">
        <v>98</v>
      </c>
      <c r="AZ1947" s="14">
        <v>-209</v>
      </c>
    </row>
    <row r="1948" spans="47:52" x14ac:dyDescent="0.25">
      <c r="AU1948" s="14">
        <v>236</v>
      </c>
      <c r="AY1948" s="14">
        <v>1</v>
      </c>
      <c r="AZ1948" s="14">
        <v>642</v>
      </c>
    </row>
    <row r="1949" spans="47:52" x14ac:dyDescent="0.25">
      <c r="AU1949" s="14">
        <v>72</v>
      </c>
      <c r="AY1949" s="14">
        <v>-8</v>
      </c>
      <c r="AZ1949" s="14">
        <v>591</v>
      </c>
    </row>
    <row r="1950" spans="47:52" x14ac:dyDescent="0.25">
      <c r="AU1950" s="14">
        <v>215</v>
      </c>
      <c r="AY1950" s="14">
        <v>-3</v>
      </c>
      <c r="AZ1950" s="14">
        <v>-2</v>
      </c>
    </row>
    <row r="1951" spans="47:52" x14ac:dyDescent="0.25">
      <c r="AU1951" s="14">
        <v>323</v>
      </c>
      <c r="AY1951" s="14">
        <v>-27</v>
      </c>
      <c r="AZ1951" s="14">
        <v>-3</v>
      </c>
    </row>
    <row r="1952" spans="47:52" x14ac:dyDescent="0.25">
      <c r="AU1952" s="14">
        <v>-218</v>
      </c>
      <c r="AY1952" s="14">
        <v>-13</v>
      </c>
      <c r="AZ1952" s="14">
        <v>-1</v>
      </c>
    </row>
    <row r="1953" spans="47:52" x14ac:dyDescent="0.25">
      <c r="AU1953" s="14">
        <v>-279</v>
      </c>
      <c r="AY1953" s="14">
        <v>-53</v>
      </c>
      <c r="AZ1953" s="14">
        <v>16</v>
      </c>
    </row>
    <row r="1954" spans="47:52" x14ac:dyDescent="0.25">
      <c r="AU1954" s="14">
        <v>-30</v>
      </c>
      <c r="AY1954" s="14">
        <v>6</v>
      </c>
      <c r="AZ1954" s="14">
        <v>9</v>
      </c>
    </row>
    <row r="1955" spans="47:52" x14ac:dyDescent="0.25">
      <c r="AU1955" s="14">
        <v>-57</v>
      </c>
      <c r="AY1955" s="14">
        <v>-19</v>
      </c>
      <c r="AZ1955" s="14">
        <v>-1</v>
      </c>
    </row>
    <row r="1956" spans="47:52" x14ac:dyDescent="0.25">
      <c r="AU1956" s="14">
        <v>-38</v>
      </c>
      <c r="AY1956" s="14">
        <v>10</v>
      </c>
      <c r="AZ1956" s="14">
        <v>4</v>
      </c>
    </row>
    <row r="1957" spans="47:52" x14ac:dyDescent="0.25">
      <c r="AU1957" s="14">
        <v>-181</v>
      </c>
      <c r="AY1957" s="14">
        <v>26</v>
      </c>
      <c r="AZ1957" s="14">
        <v>8</v>
      </c>
    </row>
    <row r="1958" spans="47:52" x14ac:dyDescent="0.25">
      <c r="AU1958" s="14">
        <v>-46</v>
      </c>
      <c r="AY1958" s="14">
        <v>98</v>
      </c>
      <c r="AZ1958" s="14">
        <v>-8</v>
      </c>
    </row>
    <row r="1959" spans="47:52" x14ac:dyDescent="0.25">
      <c r="AU1959" s="14">
        <v>-177</v>
      </c>
      <c r="AY1959" s="14">
        <v>1</v>
      </c>
      <c r="AZ1959" s="14">
        <v>34</v>
      </c>
    </row>
    <row r="1960" spans="47:52" x14ac:dyDescent="0.25">
      <c r="AU1960" s="14">
        <v>-333</v>
      </c>
      <c r="AY1960" s="14">
        <v>-8</v>
      </c>
      <c r="AZ1960" s="14">
        <v>-9</v>
      </c>
    </row>
    <row r="1961" spans="47:52" x14ac:dyDescent="0.25">
      <c r="AU1961" s="14">
        <v>42</v>
      </c>
      <c r="AY1961" s="14">
        <v>-3</v>
      </c>
      <c r="AZ1961" s="14">
        <v>-7</v>
      </c>
    </row>
    <row r="1962" spans="47:52" x14ac:dyDescent="0.25">
      <c r="AU1962" s="14">
        <v>-289</v>
      </c>
      <c r="AY1962" s="14">
        <v>-41</v>
      </c>
      <c r="AZ1962" s="14">
        <v>-46</v>
      </c>
    </row>
    <row r="1963" spans="47:52" x14ac:dyDescent="0.25">
      <c r="AU1963" s="14">
        <v>353</v>
      </c>
      <c r="AY1963" s="14">
        <v>-17</v>
      </c>
      <c r="AZ1963" s="14">
        <v>409</v>
      </c>
    </row>
    <row r="1964" spans="47:52" x14ac:dyDescent="0.25">
      <c r="AU1964" s="14">
        <v>105</v>
      </c>
      <c r="AY1964" s="14">
        <v>-108</v>
      </c>
      <c r="AZ1964" s="14">
        <v>701</v>
      </c>
    </row>
    <row r="1965" spans="47:52" x14ac:dyDescent="0.25">
      <c r="AU1965" s="14">
        <v>-1</v>
      </c>
      <c r="AY1965" s="14">
        <v>392</v>
      </c>
      <c r="AZ1965" s="14">
        <v>547</v>
      </c>
    </row>
    <row r="1966" spans="47:52" x14ac:dyDescent="0.25">
      <c r="AU1966" s="14">
        <v>119</v>
      </c>
      <c r="AY1966" s="14">
        <v>-22</v>
      </c>
      <c r="AZ1966" s="14">
        <v>404</v>
      </c>
    </row>
    <row r="1967" spans="47:52" x14ac:dyDescent="0.25">
      <c r="AU1967" s="14">
        <v>197</v>
      </c>
      <c r="AY1967" s="14">
        <v>196</v>
      </c>
      <c r="AZ1967" s="14">
        <v>554</v>
      </c>
    </row>
    <row r="1968" spans="47:52" x14ac:dyDescent="0.25">
      <c r="AU1968" s="14">
        <v>568</v>
      </c>
      <c r="AY1968" s="14">
        <v>32</v>
      </c>
      <c r="AZ1968" s="14">
        <v>535</v>
      </c>
    </row>
    <row r="1969" spans="47:52" x14ac:dyDescent="0.25">
      <c r="AU1969" s="14">
        <v>248</v>
      </c>
      <c r="AY1969" s="14">
        <v>86</v>
      </c>
      <c r="AZ1969" s="14">
        <v>692</v>
      </c>
    </row>
    <row r="1970" spans="47:52" x14ac:dyDescent="0.25">
      <c r="AU1970" s="14">
        <v>180</v>
      </c>
      <c r="AY1970" s="14">
        <v>123</v>
      </c>
      <c r="AZ1970" s="14">
        <v>-2</v>
      </c>
    </row>
    <row r="1971" spans="47:52" x14ac:dyDescent="0.25">
      <c r="AU1971" s="14">
        <v>403</v>
      </c>
      <c r="AY1971" s="14">
        <v>-7</v>
      </c>
      <c r="AZ1971" s="14">
        <v>-4</v>
      </c>
    </row>
    <row r="1972" spans="47:52" x14ac:dyDescent="0.25">
      <c r="AU1972" s="14">
        <v>139</v>
      </c>
      <c r="AY1972" s="14">
        <v>-4</v>
      </c>
      <c r="AZ1972" s="14">
        <v>-1</v>
      </c>
    </row>
    <row r="1973" spans="47:52" x14ac:dyDescent="0.25">
      <c r="AU1973" s="14">
        <v>31</v>
      </c>
      <c r="AY1973" s="14">
        <v>-42</v>
      </c>
      <c r="AZ1973" s="14">
        <v>14</v>
      </c>
    </row>
    <row r="1974" spans="47:52" x14ac:dyDescent="0.25">
      <c r="AU1974" s="14">
        <v>98</v>
      </c>
      <c r="AY1974" s="14">
        <v>-4</v>
      </c>
      <c r="AZ1974" s="14">
        <v>9</v>
      </c>
    </row>
    <row r="1975" spans="47:52" x14ac:dyDescent="0.25">
      <c r="AU1975" s="14">
        <v>22</v>
      </c>
      <c r="AY1975" s="14">
        <v>-107</v>
      </c>
      <c r="AZ1975" s="14">
        <v>4</v>
      </c>
    </row>
    <row r="1976" spans="47:52" x14ac:dyDescent="0.25">
      <c r="AU1976" s="14">
        <v>58</v>
      </c>
      <c r="AY1976" s="14">
        <v>405</v>
      </c>
      <c r="AZ1976" s="14">
        <v>6</v>
      </c>
    </row>
    <row r="1977" spans="47:52" x14ac:dyDescent="0.25">
      <c r="AU1977" s="14">
        <v>118</v>
      </c>
      <c r="AY1977" s="14">
        <v>-23</v>
      </c>
      <c r="AZ1977" s="14">
        <v>-7</v>
      </c>
    </row>
    <row r="1978" spans="47:52" x14ac:dyDescent="0.25">
      <c r="AU1978" s="14">
        <v>125</v>
      </c>
      <c r="AY1978" s="14">
        <v>191</v>
      </c>
      <c r="AZ1978" s="14">
        <v>33</v>
      </c>
    </row>
    <row r="1979" spans="47:52" x14ac:dyDescent="0.25">
      <c r="AU1979" s="14">
        <v>224</v>
      </c>
      <c r="AY1979" s="14">
        <v>32</v>
      </c>
      <c r="AZ1979" s="14">
        <v>-11</v>
      </c>
    </row>
    <row r="1980" spans="47:52" x14ac:dyDescent="0.25">
      <c r="AU1980" s="14">
        <v>64</v>
      </c>
      <c r="AY1980" s="14">
        <v>85</v>
      </c>
      <c r="AZ1980" s="14">
        <v>-1</v>
      </c>
    </row>
    <row r="1981" spans="47:52" x14ac:dyDescent="0.25">
      <c r="AU1981" s="14">
        <v>-4</v>
      </c>
      <c r="AY1981" s="14">
        <v>123</v>
      </c>
      <c r="AZ1981" s="14">
        <v>-39</v>
      </c>
    </row>
    <row r="1982" spans="47:52" x14ac:dyDescent="0.25">
      <c r="AU1982" s="14">
        <v>-115</v>
      </c>
      <c r="AY1982" s="14">
        <v>-7</v>
      </c>
      <c r="AZ1982" s="14">
        <v>340</v>
      </c>
    </row>
    <row r="1983" spans="47:52" x14ac:dyDescent="0.25">
      <c r="AU1983" s="14">
        <v>250</v>
      </c>
      <c r="AY1983" s="14">
        <v>-4</v>
      </c>
      <c r="AZ1983" s="14">
        <v>711</v>
      </c>
    </row>
    <row r="1984" spans="47:52" x14ac:dyDescent="0.25">
      <c r="AU1984" s="14">
        <v>132</v>
      </c>
      <c r="AY1984" s="14">
        <v>-47</v>
      </c>
      <c r="AZ1984" s="14">
        <v>501</v>
      </c>
    </row>
    <row r="1985" spans="47:52" x14ac:dyDescent="0.25">
      <c r="AU1985" s="14">
        <v>52</v>
      </c>
      <c r="AY1985" s="14">
        <v>-22</v>
      </c>
      <c r="AZ1985" s="14">
        <v>464</v>
      </c>
    </row>
    <row r="1986" spans="47:52" x14ac:dyDescent="0.25">
      <c r="AU1986" s="14">
        <v>16</v>
      </c>
      <c r="AY1986" s="14">
        <v>-717</v>
      </c>
      <c r="AZ1986" s="14">
        <v>569</v>
      </c>
    </row>
    <row r="1987" spans="47:52" x14ac:dyDescent="0.25">
      <c r="AU1987" s="14">
        <v>-272</v>
      </c>
      <c r="AY1987" s="14">
        <v>746</v>
      </c>
      <c r="AZ1987" s="14">
        <v>547</v>
      </c>
    </row>
    <row r="1988" spans="47:52" x14ac:dyDescent="0.25">
      <c r="AU1988" s="14">
        <v>-155</v>
      </c>
      <c r="AY1988" s="14">
        <v>-17</v>
      </c>
      <c r="AZ1988" s="14">
        <v>702</v>
      </c>
    </row>
    <row r="1989" spans="47:52" x14ac:dyDescent="0.25">
      <c r="AU1989" s="14">
        <v>10</v>
      </c>
      <c r="AY1989" s="14">
        <v>134</v>
      </c>
      <c r="AZ1989" s="14">
        <v>-2</v>
      </c>
    </row>
    <row r="1990" spans="47:52" x14ac:dyDescent="0.25">
      <c r="AU1990" s="14">
        <v>79</v>
      </c>
      <c r="AY1990" s="14">
        <v>25</v>
      </c>
      <c r="AZ1990" s="14">
        <v>-4</v>
      </c>
    </row>
    <row r="1991" spans="47:52" x14ac:dyDescent="0.25">
      <c r="AU1991" s="14">
        <v>-238</v>
      </c>
      <c r="AY1991" s="14">
        <v>11</v>
      </c>
      <c r="AZ1991" s="14">
        <v>1</v>
      </c>
    </row>
    <row r="1992" spans="47:52" x14ac:dyDescent="0.25">
      <c r="AU1992" s="14">
        <v>-134</v>
      </c>
      <c r="AY1992" s="14">
        <v>10</v>
      </c>
      <c r="AZ1992" s="14">
        <v>13</v>
      </c>
    </row>
    <row r="1993" spans="47:52" x14ac:dyDescent="0.25">
      <c r="AU1993" s="14">
        <v>20</v>
      </c>
      <c r="AY1993" s="14">
        <v>-10</v>
      </c>
      <c r="AZ1993" s="14">
        <v>8</v>
      </c>
    </row>
    <row r="1994" spans="47:52" x14ac:dyDescent="0.25">
      <c r="AU1994" s="14">
        <v>57</v>
      </c>
      <c r="AY1994" s="14">
        <v>-2</v>
      </c>
      <c r="AZ1994" s="14">
        <v>3</v>
      </c>
    </row>
    <row r="1995" spans="47:52" x14ac:dyDescent="0.25">
      <c r="AU1995" s="14">
        <v>100</v>
      </c>
      <c r="AY1995" s="14">
        <v>-19</v>
      </c>
      <c r="AZ1995" s="14">
        <v>7</v>
      </c>
    </row>
    <row r="1996" spans="47:52" x14ac:dyDescent="0.25">
      <c r="AU1996" s="14">
        <v>-14</v>
      </c>
      <c r="AY1996" s="14">
        <v>-19</v>
      </c>
      <c r="AZ1996" s="14">
        <v>-5</v>
      </c>
    </row>
    <row r="1997" spans="47:52" x14ac:dyDescent="0.25">
      <c r="AU1997" s="14">
        <v>-71</v>
      </c>
      <c r="AY1997" s="14">
        <v>-709</v>
      </c>
      <c r="AZ1997" s="14">
        <v>34</v>
      </c>
    </row>
    <row r="1998" spans="47:52" x14ac:dyDescent="0.25">
      <c r="AU1998" s="14">
        <v>-128</v>
      </c>
      <c r="AY1998" s="14">
        <v>725</v>
      </c>
      <c r="AZ1998" s="14">
        <v>-8</v>
      </c>
    </row>
    <row r="1999" spans="47:52" x14ac:dyDescent="0.25">
      <c r="AU1999" s="14">
        <v>-23</v>
      </c>
      <c r="AY1999" s="14">
        <v>-17</v>
      </c>
      <c r="AZ1999" s="14">
        <v>1</v>
      </c>
    </row>
    <row r="2000" spans="47:52" x14ac:dyDescent="0.25">
      <c r="AU2000" s="14">
        <v>-87</v>
      </c>
      <c r="AY2000" s="14">
        <v>134</v>
      </c>
      <c r="AZ2000" s="14">
        <v>-38</v>
      </c>
    </row>
    <row r="2001" spans="47:52" x14ac:dyDescent="0.25">
      <c r="AU2001" s="14">
        <v>-47</v>
      </c>
      <c r="AY2001" s="14">
        <v>25</v>
      </c>
      <c r="AZ2001" s="14">
        <v>295</v>
      </c>
    </row>
    <row r="2002" spans="47:52" x14ac:dyDescent="0.25">
      <c r="AU2002" s="14">
        <v>32</v>
      </c>
      <c r="AY2002" s="14">
        <v>11</v>
      </c>
      <c r="AZ2002" s="14">
        <v>566</v>
      </c>
    </row>
    <row r="2003" spans="47:52" x14ac:dyDescent="0.25">
      <c r="AU2003" s="14">
        <v>-50</v>
      </c>
      <c r="AY2003" s="14">
        <v>9</v>
      </c>
      <c r="AZ2003" s="14">
        <v>488</v>
      </c>
    </row>
    <row r="2004" spans="47:52" x14ac:dyDescent="0.25">
      <c r="AU2004" s="14">
        <v>115</v>
      </c>
      <c r="AY2004" s="14">
        <v>-10</v>
      </c>
      <c r="AZ2004" s="14">
        <v>2</v>
      </c>
    </row>
    <row r="2005" spans="47:52" x14ac:dyDescent="0.25">
      <c r="AU2005" s="14">
        <v>-1</v>
      </c>
      <c r="AY2005" s="14">
        <v>-2</v>
      </c>
      <c r="AZ2005" s="14">
        <v>17</v>
      </c>
    </row>
    <row r="2006" spans="47:52" x14ac:dyDescent="0.25">
      <c r="AU2006" s="14">
        <v>73</v>
      </c>
      <c r="AY2006" s="14">
        <v>-39</v>
      </c>
      <c r="AZ2006" s="14">
        <v>-4</v>
      </c>
    </row>
    <row r="2007" spans="47:52" x14ac:dyDescent="0.25">
      <c r="AU2007" s="14">
        <v>-100</v>
      </c>
      <c r="AY2007" s="14">
        <v>-13</v>
      </c>
      <c r="AZ2007" s="14">
        <v>22</v>
      </c>
    </row>
    <row r="2008" spans="47:52" x14ac:dyDescent="0.25">
      <c r="AU2008" s="14">
        <v>3</v>
      </c>
      <c r="AY2008" s="14">
        <v>-6</v>
      </c>
      <c r="AZ2008" s="14">
        <v>-8</v>
      </c>
    </row>
    <row r="2009" spans="47:52" x14ac:dyDescent="0.25">
      <c r="AU2009" s="14">
        <v>54</v>
      </c>
      <c r="AY2009" s="14">
        <v>6</v>
      </c>
      <c r="AZ2009" s="14">
        <v>-15</v>
      </c>
    </row>
    <row r="2010" spans="47:52" x14ac:dyDescent="0.25">
      <c r="AU2010" s="14">
        <v>83</v>
      </c>
      <c r="AY2010" s="14">
        <v>-11</v>
      </c>
      <c r="AZ2010" s="14">
        <v>18</v>
      </c>
    </row>
    <row r="2011" spans="47:52" x14ac:dyDescent="0.25">
      <c r="AU2011" s="14">
        <v>118</v>
      </c>
      <c r="AY2011" s="14">
        <v>1</v>
      </c>
      <c r="AZ2011" s="14">
        <v>33</v>
      </c>
    </row>
    <row r="2012" spans="47:52" x14ac:dyDescent="0.25">
      <c r="AU2012" s="14">
        <v>39</v>
      </c>
      <c r="AY2012" s="14">
        <v>18</v>
      </c>
      <c r="AZ2012" s="14">
        <v>67</v>
      </c>
    </row>
    <row r="2013" spans="47:52" x14ac:dyDescent="0.25">
      <c r="AU2013" s="14">
        <v>52</v>
      </c>
      <c r="AY2013" s="14">
        <v>10</v>
      </c>
      <c r="AZ2013" s="14">
        <v>49</v>
      </c>
    </row>
    <row r="2014" spans="47:52" x14ac:dyDescent="0.25">
      <c r="AU2014" s="14">
        <v>126</v>
      </c>
      <c r="AY2014" s="14">
        <v>1</v>
      </c>
      <c r="AZ2014" s="14">
        <v>48</v>
      </c>
    </row>
    <row r="2015" spans="47:52" x14ac:dyDescent="0.25">
      <c r="AU2015" s="14">
        <v>10</v>
      </c>
      <c r="AY2015" s="14">
        <v>-5</v>
      </c>
      <c r="AZ2015" s="14">
        <v>106</v>
      </c>
    </row>
    <row r="2016" spans="47:52" x14ac:dyDescent="0.25">
      <c r="AU2016" s="14">
        <v>-48</v>
      </c>
      <c r="AY2016" s="14">
        <v>-2</v>
      </c>
      <c r="AZ2016" s="14">
        <v>23</v>
      </c>
    </row>
    <row r="2017" spans="47:52" x14ac:dyDescent="0.25">
      <c r="AU2017" s="14">
        <v>26</v>
      </c>
      <c r="AY2017" s="14">
        <v>-2</v>
      </c>
      <c r="AZ2017" s="14">
        <v>279</v>
      </c>
    </row>
    <row r="2018" spans="47:52" x14ac:dyDescent="0.25">
      <c r="AU2018" s="14">
        <v>-47</v>
      </c>
      <c r="AY2018" s="14">
        <v>1</v>
      </c>
      <c r="AZ2018" s="14">
        <v>619</v>
      </c>
    </row>
    <row r="2019" spans="47:52" x14ac:dyDescent="0.25">
      <c r="AU2019" s="14">
        <v>-6</v>
      </c>
      <c r="AY2019" s="14">
        <v>-6</v>
      </c>
      <c r="AZ2019" s="14">
        <v>469</v>
      </c>
    </row>
    <row r="2020" spans="47:52" x14ac:dyDescent="0.25">
      <c r="AU2020" s="14">
        <v>11</v>
      </c>
      <c r="AY2020" s="14">
        <v>8</v>
      </c>
      <c r="AZ2020" s="14">
        <v>389</v>
      </c>
    </row>
    <row r="2021" spans="47:52" x14ac:dyDescent="0.25">
      <c r="AU2021" s="14">
        <v>34</v>
      </c>
      <c r="AY2021" s="14">
        <v>-11</v>
      </c>
      <c r="AZ2021" s="14">
        <v>390</v>
      </c>
    </row>
    <row r="2022" spans="47:52" x14ac:dyDescent="0.25">
      <c r="AU2022" s="14">
        <v>195</v>
      </c>
      <c r="AY2022" s="14">
        <v>1</v>
      </c>
      <c r="AZ2022" s="14">
        <v>504</v>
      </c>
    </row>
    <row r="2023" spans="47:52" x14ac:dyDescent="0.25">
      <c r="AU2023" s="14">
        <v>64</v>
      </c>
      <c r="AY2023" s="14">
        <v>18</v>
      </c>
      <c r="AZ2023" s="14">
        <v>598</v>
      </c>
    </row>
    <row r="2024" spans="47:52" x14ac:dyDescent="0.25">
      <c r="AU2024" s="14">
        <v>76</v>
      </c>
      <c r="AY2024" s="14">
        <v>10</v>
      </c>
      <c r="AZ2024" s="14">
        <v>2</v>
      </c>
    </row>
    <row r="2025" spans="47:52" x14ac:dyDescent="0.25">
      <c r="AU2025" s="14">
        <v>-52</v>
      </c>
      <c r="AY2025" s="14">
        <v>1</v>
      </c>
      <c r="AZ2025" s="14">
        <v>1</v>
      </c>
    </row>
    <row r="2026" spans="47:52" x14ac:dyDescent="0.25">
      <c r="AU2026" s="14">
        <v>-4</v>
      </c>
      <c r="AY2026" s="14">
        <v>-5</v>
      </c>
      <c r="AZ2026" s="14">
        <v>16</v>
      </c>
    </row>
    <row r="2027" spans="47:52" x14ac:dyDescent="0.25">
      <c r="AU2027" s="14">
        <v>47</v>
      </c>
      <c r="AY2027" s="14">
        <v>-2</v>
      </c>
      <c r="AZ2027" s="14">
        <v>-4</v>
      </c>
    </row>
    <row r="2028" spans="47:52" x14ac:dyDescent="0.25">
      <c r="AU2028" s="14">
        <v>69</v>
      </c>
      <c r="AY2028" s="14">
        <v>-9</v>
      </c>
      <c r="AZ2028" s="14">
        <v>20</v>
      </c>
    </row>
    <row r="2029" spans="47:52" x14ac:dyDescent="0.25">
      <c r="AU2029" s="14">
        <v>92</v>
      </c>
      <c r="AY2029" s="14">
        <v>8</v>
      </c>
      <c r="AZ2029" s="14">
        <v>-7</v>
      </c>
    </row>
    <row r="2030" spans="47:52" x14ac:dyDescent="0.25">
      <c r="AU2030" s="14">
        <v>-19</v>
      </c>
      <c r="AY2030" s="14">
        <v>-51</v>
      </c>
      <c r="AZ2030" s="14">
        <v>-13</v>
      </c>
    </row>
    <row r="2031" spans="47:52" x14ac:dyDescent="0.25">
      <c r="AU2031" s="14">
        <v>-13</v>
      </c>
      <c r="AY2031" s="14">
        <v>6</v>
      </c>
      <c r="AZ2031" s="14">
        <v>16</v>
      </c>
    </row>
    <row r="2032" spans="47:52" x14ac:dyDescent="0.25">
      <c r="AU2032" s="14">
        <v>63</v>
      </c>
      <c r="AY2032" s="14">
        <v>-185</v>
      </c>
      <c r="AZ2032" s="14">
        <v>34</v>
      </c>
    </row>
    <row r="2033" spans="47:52" x14ac:dyDescent="0.25">
      <c r="AU2033" s="14">
        <v>-57</v>
      </c>
      <c r="AY2033" s="14">
        <v>10</v>
      </c>
      <c r="AZ2033" s="14">
        <v>64</v>
      </c>
    </row>
    <row r="2034" spans="47:52" x14ac:dyDescent="0.25">
      <c r="AU2034" s="14">
        <v>-169</v>
      </c>
      <c r="AY2034" s="14">
        <v>261</v>
      </c>
      <c r="AZ2034" s="14">
        <v>41</v>
      </c>
    </row>
    <row r="2035" spans="47:52" x14ac:dyDescent="0.25">
      <c r="AU2035" s="14">
        <v>-174</v>
      </c>
      <c r="AY2035" s="14">
        <v>289</v>
      </c>
      <c r="AZ2035" s="14">
        <v>49</v>
      </c>
    </row>
    <row r="2036" spans="47:52" x14ac:dyDescent="0.25">
      <c r="AU2036" s="14">
        <v>18</v>
      </c>
      <c r="AY2036" s="14">
        <v>1</v>
      </c>
      <c r="AZ2036" s="14">
        <v>100</v>
      </c>
    </row>
    <row r="2037" spans="47:52" x14ac:dyDescent="0.25">
      <c r="AU2037" s="14">
        <v>-126</v>
      </c>
      <c r="AY2037" s="14">
        <v>-809</v>
      </c>
      <c r="AZ2037" s="14">
        <v>24</v>
      </c>
    </row>
    <row r="2038" spans="47:52" x14ac:dyDescent="0.25">
      <c r="AU2038" s="14">
        <v>-80</v>
      </c>
      <c r="AY2038" s="14">
        <v>-101</v>
      </c>
      <c r="AZ2038" s="14">
        <v>233</v>
      </c>
    </row>
    <row r="2039" spans="47:52" x14ac:dyDescent="0.25">
      <c r="AU2039" s="14">
        <v>-54</v>
      </c>
      <c r="AY2039" s="14">
        <v>-104</v>
      </c>
      <c r="AZ2039" s="14">
        <v>627</v>
      </c>
    </row>
    <row r="2040" spans="47:52" x14ac:dyDescent="0.25">
      <c r="AU2040" s="14">
        <v>157</v>
      </c>
      <c r="AY2040" s="14">
        <v>4</v>
      </c>
      <c r="AZ2040" s="14">
        <v>470</v>
      </c>
    </row>
    <row r="2041" spans="47:52" x14ac:dyDescent="0.25">
      <c r="AU2041" s="14">
        <v>88</v>
      </c>
      <c r="AY2041" s="14">
        <v>-227</v>
      </c>
      <c r="AZ2041" s="14">
        <v>398</v>
      </c>
    </row>
    <row r="2042" spans="47:52" x14ac:dyDescent="0.25">
      <c r="AU2042" s="14">
        <v>95</v>
      </c>
      <c r="AY2042" s="14">
        <v>18</v>
      </c>
      <c r="AZ2042" s="14">
        <v>383</v>
      </c>
    </row>
    <row r="2043" spans="47:52" x14ac:dyDescent="0.25">
      <c r="AU2043" s="14">
        <v>142</v>
      </c>
      <c r="AY2043" s="14">
        <v>318</v>
      </c>
      <c r="AZ2043" s="14">
        <v>539</v>
      </c>
    </row>
    <row r="2044" spans="47:52" x14ac:dyDescent="0.25">
      <c r="AU2044" s="14">
        <v>114</v>
      </c>
      <c r="AY2044" s="14">
        <v>245</v>
      </c>
      <c r="AZ2044" s="14">
        <v>604</v>
      </c>
    </row>
    <row r="2045" spans="47:52" x14ac:dyDescent="0.25">
      <c r="AU2045" s="14">
        <v>239</v>
      </c>
      <c r="AY2045" s="14">
        <v>1</v>
      </c>
      <c r="AZ2045" s="14">
        <v>2</v>
      </c>
    </row>
    <row r="2046" spans="47:52" x14ac:dyDescent="0.25">
      <c r="AU2046" s="14">
        <v>304</v>
      </c>
      <c r="AY2046" s="14">
        <v>-720</v>
      </c>
      <c r="AZ2046" s="14">
        <v>1</v>
      </c>
    </row>
    <row r="2047" spans="47:52" x14ac:dyDescent="0.25">
      <c r="AU2047" s="14">
        <v>178</v>
      </c>
      <c r="AY2047" s="14">
        <v>-242</v>
      </c>
      <c r="AZ2047" s="14">
        <v>16</v>
      </c>
    </row>
    <row r="2048" spans="47:52" x14ac:dyDescent="0.25">
      <c r="AU2048" s="14">
        <v>-81</v>
      </c>
      <c r="AY2048" s="14">
        <v>-71</v>
      </c>
      <c r="AZ2048" s="14">
        <v>-3</v>
      </c>
    </row>
    <row r="2049" spans="47:52" x14ac:dyDescent="0.25">
      <c r="AU2049" s="14">
        <v>-173</v>
      </c>
      <c r="AY2049" s="14">
        <v>7</v>
      </c>
      <c r="AZ2049" s="14">
        <v>20</v>
      </c>
    </row>
    <row r="2050" spans="47:52" x14ac:dyDescent="0.25">
      <c r="AU2050" s="14">
        <v>247</v>
      </c>
      <c r="AY2050" s="14">
        <v>-163</v>
      </c>
      <c r="AZ2050" s="14">
        <v>-7</v>
      </c>
    </row>
    <row r="2051" spans="47:52" x14ac:dyDescent="0.25">
      <c r="AU2051" s="14">
        <v>-12</v>
      </c>
      <c r="AY2051" s="14">
        <v>13</v>
      </c>
      <c r="AZ2051" s="14">
        <v>-13</v>
      </c>
    </row>
    <row r="2052" spans="47:52" x14ac:dyDescent="0.25">
      <c r="AU2052" s="14">
        <v>52</v>
      </c>
      <c r="AY2052" s="14">
        <v>246</v>
      </c>
      <c r="AZ2052" s="14">
        <v>16</v>
      </c>
    </row>
    <row r="2053" spans="47:52" x14ac:dyDescent="0.25">
      <c r="AU2053" s="14">
        <v>-165</v>
      </c>
      <c r="AY2053" s="14">
        <v>321</v>
      </c>
      <c r="AZ2053" s="14">
        <v>33</v>
      </c>
    </row>
    <row r="2054" spans="47:52" x14ac:dyDescent="0.25">
      <c r="AU2054" s="14">
        <v>-85</v>
      </c>
      <c r="AY2054" s="14">
        <v>1</v>
      </c>
      <c r="AZ2054" s="14">
        <v>63</v>
      </c>
    </row>
    <row r="2055" spans="47:52" x14ac:dyDescent="0.25">
      <c r="AU2055" s="14">
        <v>-210</v>
      </c>
      <c r="AY2055" s="14">
        <v>-953</v>
      </c>
      <c r="AZ2055" s="14">
        <v>40</v>
      </c>
    </row>
    <row r="2056" spans="47:52" x14ac:dyDescent="0.25">
      <c r="AU2056" s="14">
        <v>-20</v>
      </c>
      <c r="AY2056" s="14">
        <v>26</v>
      </c>
      <c r="AZ2056" s="14">
        <v>48</v>
      </c>
    </row>
    <row r="2057" spans="47:52" x14ac:dyDescent="0.25">
      <c r="AU2057" s="14">
        <v>-313</v>
      </c>
      <c r="AY2057" s="14">
        <v>-72</v>
      </c>
      <c r="AZ2057" s="14">
        <v>98</v>
      </c>
    </row>
    <row r="2058" spans="47:52" x14ac:dyDescent="0.25">
      <c r="AU2058" s="14">
        <v>131</v>
      </c>
      <c r="AY2058" s="14">
        <v>7</v>
      </c>
      <c r="AZ2058" s="14">
        <v>24</v>
      </c>
    </row>
    <row r="2059" spans="47:52" x14ac:dyDescent="0.25">
      <c r="AU2059" s="14">
        <v>-171</v>
      </c>
      <c r="AY2059" s="14">
        <v>-172</v>
      </c>
      <c r="AZ2059" s="14">
        <v>212</v>
      </c>
    </row>
    <row r="2060" spans="47:52" x14ac:dyDescent="0.25">
      <c r="AU2060" s="14">
        <v>60</v>
      </c>
      <c r="AY2060" s="14">
        <v>13</v>
      </c>
      <c r="AZ2060" s="14">
        <v>770</v>
      </c>
    </row>
    <row r="2061" spans="47:52" x14ac:dyDescent="0.25">
      <c r="AU2061" s="14">
        <v>-270</v>
      </c>
      <c r="AY2061" s="14">
        <v>251</v>
      </c>
      <c r="AZ2061" s="14">
        <v>694</v>
      </c>
    </row>
    <row r="2062" spans="47:52" x14ac:dyDescent="0.25">
      <c r="AU2062" s="14">
        <v>-251</v>
      </c>
      <c r="AY2062" s="14">
        <v>106</v>
      </c>
      <c r="AZ2062" s="14">
        <v>5</v>
      </c>
    </row>
    <row r="2063" spans="47:52" x14ac:dyDescent="0.25">
      <c r="AU2063" s="14">
        <v>89</v>
      </c>
      <c r="AY2063" s="14">
        <v>1</v>
      </c>
      <c r="AZ2063" s="14">
        <v>-29</v>
      </c>
    </row>
    <row r="2064" spans="47:52" x14ac:dyDescent="0.25">
      <c r="AU2064" s="14">
        <v>25</v>
      </c>
      <c r="AY2064" s="14">
        <v>-969</v>
      </c>
      <c r="AZ2064" s="14">
        <v>-4</v>
      </c>
    </row>
    <row r="2065" spans="47:52" x14ac:dyDescent="0.25">
      <c r="AU2065" s="14">
        <v>-9</v>
      </c>
      <c r="AY2065" s="14">
        <v>-241</v>
      </c>
      <c r="AZ2065" s="14">
        <v>15</v>
      </c>
    </row>
    <row r="2066" spans="47:52" x14ac:dyDescent="0.25">
      <c r="AU2066" s="14">
        <v>-32</v>
      </c>
      <c r="AY2066" s="14">
        <v>-19</v>
      </c>
      <c r="AZ2066" s="14">
        <v>38</v>
      </c>
    </row>
    <row r="2067" spans="47:52" x14ac:dyDescent="0.25">
      <c r="AU2067" s="14">
        <v>9</v>
      </c>
      <c r="AY2067" s="14">
        <v>-19</v>
      </c>
      <c r="AZ2067" s="14">
        <v>-36</v>
      </c>
    </row>
    <row r="2068" spans="47:52" x14ac:dyDescent="0.25">
      <c r="AU2068" s="14">
        <v>45</v>
      </c>
      <c r="AY2068" s="14">
        <v>-71</v>
      </c>
      <c r="AZ2068" s="14">
        <v>120</v>
      </c>
    </row>
    <row r="2069" spans="47:52" x14ac:dyDescent="0.25">
      <c r="AU2069" s="14">
        <v>69</v>
      </c>
      <c r="AY2069" s="14">
        <v>7</v>
      </c>
      <c r="AZ2069" s="14">
        <v>84</v>
      </c>
    </row>
    <row r="2070" spans="47:52" x14ac:dyDescent="0.25">
      <c r="AU2070" s="14">
        <v>6</v>
      </c>
      <c r="AY2070" s="14">
        <v>-173</v>
      </c>
      <c r="AZ2070" s="14">
        <v>-131</v>
      </c>
    </row>
    <row r="2071" spans="47:52" x14ac:dyDescent="0.25">
      <c r="AU2071" s="14">
        <v>27</v>
      </c>
      <c r="AY2071" s="14">
        <v>13</v>
      </c>
      <c r="AZ2071" s="14">
        <v>-21</v>
      </c>
    </row>
    <row r="2072" spans="47:52" x14ac:dyDescent="0.25">
      <c r="AU2072" s="14">
        <v>203</v>
      </c>
      <c r="AY2072" s="14">
        <v>247</v>
      </c>
      <c r="AZ2072" s="14">
        <v>-172</v>
      </c>
    </row>
    <row r="2073" spans="47:52" x14ac:dyDescent="0.25">
      <c r="AU2073" s="14">
        <v>61</v>
      </c>
      <c r="AY2073" s="14">
        <v>106</v>
      </c>
      <c r="AZ2073" s="14">
        <v>-587</v>
      </c>
    </row>
    <row r="2074" spans="47:52" x14ac:dyDescent="0.25">
      <c r="AU2074" s="14">
        <v>175</v>
      </c>
      <c r="AY2074" s="14">
        <v>1</v>
      </c>
      <c r="AZ2074" s="14">
        <v>-384</v>
      </c>
    </row>
    <row r="2075" spans="47:52" x14ac:dyDescent="0.25">
      <c r="AU2075" s="14">
        <v>116</v>
      </c>
      <c r="AY2075" s="14">
        <v>-974</v>
      </c>
      <c r="AZ2075" s="14">
        <v>-807</v>
      </c>
    </row>
    <row r="2076" spans="47:52" x14ac:dyDescent="0.25">
      <c r="AU2076" s="14">
        <v>-111</v>
      </c>
      <c r="AY2076" s="14">
        <v>-243</v>
      </c>
      <c r="AZ2076" s="14">
        <v>794</v>
      </c>
    </row>
    <row r="2077" spans="47:52" x14ac:dyDescent="0.25">
      <c r="AU2077" s="14">
        <v>-114</v>
      </c>
      <c r="AY2077" s="14">
        <v>-389</v>
      </c>
      <c r="AZ2077" s="14">
        <v>540</v>
      </c>
    </row>
    <row r="2078" spans="47:52" x14ac:dyDescent="0.25">
      <c r="AU2078" s="14">
        <v>45</v>
      </c>
      <c r="AY2078" s="14">
        <v>-132</v>
      </c>
      <c r="AZ2078" s="14">
        <v>547</v>
      </c>
    </row>
    <row r="2079" spans="47:52" x14ac:dyDescent="0.25">
      <c r="AU2079" s="14">
        <v>139</v>
      </c>
      <c r="AY2079" s="14">
        <v>-107</v>
      </c>
      <c r="AZ2079" s="14">
        <v>552</v>
      </c>
    </row>
    <row r="2080" spans="47:52" x14ac:dyDescent="0.25">
      <c r="AU2080" s="14">
        <v>-90</v>
      </c>
      <c r="AY2080" s="14">
        <v>385</v>
      </c>
      <c r="AZ2080" s="14">
        <v>432</v>
      </c>
    </row>
    <row r="2081" spans="51:52" x14ac:dyDescent="0.25">
      <c r="AY2081" s="14">
        <v>-222</v>
      </c>
      <c r="AZ2081" s="14">
        <v>797</v>
      </c>
    </row>
    <row r="2082" spans="51:52" x14ac:dyDescent="0.25">
      <c r="AY2082" s="14">
        <v>194</v>
      </c>
      <c r="AZ2082" s="14">
        <v>-1</v>
      </c>
    </row>
    <row r="2083" spans="51:52" x14ac:dyDescent="0.25">
      <c r="AY2083" s="14">
        <v>316</v>
      </c>
      <c r="AZ2083" s="14">
        <v>5</v>
      </c>
    </row>
    <row r="2084" spans="51:52" x14ac:dyDescent="0.25">
      <c r="AY2084" s="14">
        <v>259</v>
      </c>
      <c r="AZ2084" s="14">
        <v>-31</v>
      </c>
    </row>
    <row r="2085" spans="51:52" x14ac:dyDescent="0.25">
      <c r="AY2085" s="14">
        <v>125</v>
      </c>
      <c r="AZ2085" s="14">
        <v>-3</v>
      </c>
    </row>
    <row r="2086" spans="51:52" x14ac:dyDescent="0.25">
      <c r="AY2086" s="14">
        <v>-710</v>
      </c>
      <c r="AZ2086" s="14">
        <v>12</v>
      </c>
    </row>
    <row r="2087" spans="51:52" x14ac:dyDescent="0.25">
      <c r="AY2087" s="14">
        <v>-141</v>
      </c>
      <c r="AZ2087" s="14">
        <v>28</v>
      </c>
    </row>
    <row r="2088" spans="51:52" x14ac:dyDescent="0.25">
      <c r="AY2088" s="14">
        <v>-42</v>
      </c>
      <c r="AZ2088" s="14">
        <v>-27</v>
      </c>
    </row>
    <row r="2089" spans="51:52" x14ac:dyDescent="0.25">
      <c r="AY2089" s="14">
        <v>-1</v>
      </c>
      <c r="AZ2089" s="14">
        <v>72</v>
      </c>
    </row>
    <row r="2090" spans="51:52" x14ac:dyDescent="0.25">
      <c r="AY2090" s="14">
        <v>-106</v>
      </c>
      <c r="AZ2090" s="14">
        <v>89</v>
      </c>
    </row>
    <row r="2091" spans="51:52" x14ac:dyDescent="0.25">
      <c r="AY2091" s="14">
        <v>397</v>
      </c>
      <c r="AZ2091" s="14">
        <v>-133</v>
      </c>
    </row>
    <row r="2092" spans="51:52" x14ac:dyDescent="0.25">
      <c r="AY2092" s="14">
        <v>-229</v>
      </c>
      <c r="AZ2092" s="14">
        <v>-35</v>
      </c>
    </row>
    <row r="2093" spans="51:52" x14ac:dyDescent="0.25">
      <c r="AY2093" s="14">
        <v>189</v>
      </c>
      <c r="AZ2093" s="14">
        <v>-177</v>
      </c>
    </row>
    <row r="2094" spans="51:52" x14ac:dyDescent="0.25">
      <c r="AY2094" s="14">
        <v>319</v>
      </c>
      <c r="AZ2094" s="14">
        <v>-562</v>
      </c>
    </row>
    <row r="2095" spans="51:52" x14ac:dyDescent="0.25">
      <c r="AY2095" s="14">
        <v>258</v>
      </c>
      <c r="AZ2095" s="14">
        <v>-400</v>
      </c>
    </row>
    <row r="2096" spans="51:52" x14ac:dyDescent="0.25">
      <c r="AY2096" s="14">
        <v>124</v>
      </c>
      <c r="AZ2096" s="14">
        <v>-654</v>
      </c>
    </row>
    <row r="2097" spans="51:52" x14ac:dyDescent="0.25">
      <c r="AY2097" s="14">
        <v>-736</v>
      </c>
      <c r="AZ2097" s="14">
        <v>679</v>
      </c>
    </row>
    <row r="2098" spans="51:52" x14ac:dyDescent="0.25">
      <c r="AY2098" s="14">
        <v>-142</v>
      </c>
      <c r="AZ2098" s="14">
        <v>365</v>
      </c>
    </row>
    <row r="2099" spans="51:52" x14ac:dyDescent="0.25">
      <c r="AY2099" s="14">
        <v>-470</v>
      </c>
      <c r="AZ2099" s="14">
        <v>454</v>
      </c>
    </row>
    <row r="2100" spans="51:52" x14ac:dyDescent="0.25">
      <c r="AY2100" s="14">
        <v>-214</v>
      </c>
      <c r="AZ2100" s="14">
        <v>437</v>
      </c>
    </row>
    <row r="2101" spans="51:52" x14ac:dyDescent="0.25">
      <c r="AY2101" s="14">
        <v>-721</v>
      </c>
      <c r="AZ2101" s="14">
        <v>295</v>
      </c>
    </row>
    <row r="2102" spans="51:52" x14ac:dyDescent="0.25">
      <c r="AY2102" s="14">
        <v>741</v>
      </c>
      <c r="AZ2102" s="14">
        <v>663</v>
      </c>
    </row>
    <row r="2103" spans="51:52" x14ac:dyDescent="0.25">
      <c r="AY2103" s="14">
        <v>-172</v>
      </c>
      <c r="AZ2103" s="14">
        <v>-1</v>
      </c>
    </row>
    <row r="2104" spans="51:52" x14ac:dyDescent="0.25">
      <c r="AY2104" s="14">
        <v>132</v>
      </c>
      <c r="AZ2104" s="14">
        <v>6</v>
      </c>
    </row>
    <row r="2105" spans="51:52" x14ac:dyDescent="0.25">
      <c r="AY2105" s="14">
        <v>251</v>
      </c>
      <c r="AZ2105" s="14">
        <v>-31</v>
      </c>
    </row>
    <row r="2106" spans="51:52" x14ac:dyDescent="0.25">
      <c r="AY2106" s="14">
        <v>335</v>
      </c>
      <c r="AZ2106" s="14">
        <v>3</v>
      </c>
    </row>
    <row r="2107" spans="51:52" x14ac:dyDescent="0.25">
      <c r="AY2107" s="14">
        <v>96</v>
      </c>
      <c r="AZ2107" s="14">
        <v>8</v>
      </c>
    </row>
    <row r="2108" spans="51:52" x14ac:dyDescent="0.25">
      <c r="AY2108" s="14">
        <v>-973</v>
      </c>
      <c r="AZ2108" s="14">
        <v>28</v>
      </c>
    </row>
    <row r="2109" spans="51:52" x14ac:dyDescent="0.25">
      <c r="AY2109" s="14">
        <v>-752</v>
      </c>
      <c r="AZ2109" s="14">
        <v>-21</v>
      </c>
    </row>
    <row r="2110" spans="51:52" x14ac:dyDescent="0.25">
      <c r="AY2110" s="14">
        <v>-19</v>
      </c>
      <c r="AZ2110" s="14">
        <v>89</v>
      </c>
    </row>
    <row r="2111" spans="51:52" x14ac:dyDescent="0.25">
      <c r="AY2111" s="14">
        <v>-714</v>
      </c>
      <c r="AZ2111" s="14">
        <v>100</v>
      </c>
    </row>
    <row r="2112" spans="51:52" x14ac:dyDescent="0.25">
      <c r="AY2112" s="14">
        <v>72</v>
      </c>
      <c r="AZ2112" s="14">
        <v>-137</v>
      </c>
    </row>
    <row r="2113" spans="51:52" x14ac:dyDescent="0.25">
      <c r="AY2113" s="14">
        <v>-172</v>
      </c>
      <c r="AZ2113" s="14">
        <v>-29</v>
      </c>
    </row>
    <row r="2114" spans="51:52" x14ac:dyDescent="0.25">
      <c r="AY2114" s="14">
        <v>132</v>
      </c>
      <c r="AZ2114" s="14">
        <v>-174</v>
      </c>
    </row>
    <row r="2115" spans="51:52" x14ac:dyDescent="0.25">
      <c r="AY2115" s="14">
        <v>247</v>
      </c>
      <c r="AZ2115" s="14">
        <v>-557</v>
      </c>
    </row>
    <row r="2116" spans="51:52" x14ac:dyDescent="0.25">
      <c r="AY2116" s="14">
        <v>335</v>
      </c>
      <c r="AZ2116" s="14">
        <v>-404</v>
      </c>
    </row>
    <row r="2117" spans="51:52" x14ac:dyDescent="0.25">
      <c r="AY2117" s="14">
        <v>953</v>
      </c>
      <c r="AZ2117" s="14">
        <v>-681</v>
      </c>
    </row>
    <row r="2118" spans="51:52" x14ac:dyDescent="0.25">
      <c r="AY2118" s="14">
        <v>-977</v>
      </c>
      <c r="AZ2118" s="14">
        <v>783</v>
      </c>
    </row>
    <row r="2119" spans="51:52" x14ac:dyDescent="0.25">
      <c r="AY2119" s="14">
        <v>-764</v>
      </c>
      <c r="AZ2119" s="14">
        <v>669</v>
      </c>
    </row>
    <row r="2120" spans="51:52" x14ac:dyDescent="0.25">
      <c r="AY2120" s="14">
        <v>-390</v>
      </c>
      <c r="AZ2120" s="14">
        <v>-1</v>
      </c>
    </row>
    <row r="2121" spans="51:52" x14ac:dyDescent="0.25">
      <c r="AY2121" s="14">
        <v>-125</v>
      </c>
      <c r="AZ2121" s="14">
        <v>4</v>
      </c>
    </row>
    <row r="2122" spans="51:52" x14ac:dyDescent="0.25">
      <c r="AY2122" s="14">
        <v>-62</v>
      </c>
      <c r="AZ2122" s="14">
        <v>19</v>
      </c>
    </row>
    <row r="2123" spans="51:52" x14ac:dyDescent="0.25">
      <c r="AY2123" s="14">
        <v>6</v>
      </c>
      <c r="AZ2123" s="14">
        <v>-10</v>
      </c>
    </row>
    <row r="2124" spans="51:52" x14ac:dyDescent="0.25">
      <c r="AY2124" s="14">
        <v>-108</v>
      </c>
      <c r="AZ2124" s="14">
        <v>16</v>
      </c>
    </row>
    <row r="2125" spans="51:52" x14ac:dyDescent="0.25">
      <c r="AY2125" s="14">
        <v>286</v>
      </c>
      <c r="AZ2125" s="14">
        <v>15</v>
      </c>
    </row>
    <row r="2126" spans="51:52" x14ac:dyDescent="0.25">
      <c r="AY2126" s="14">
        <v>80</v>
      </c>
      <c r="AZ2126" s="14">
        <v>5</v>
      </c>
    </row>
    <row r="2127" spans="51:52" x14ac:dyDescent="0.25">
      <c r="AY2127" s="14">
        <v>15</v>
      </c>
      <c r="AZ2127" s="14">
        <v>-69</v>
      </c>
    </row>
    <row r="2128" spans="51:52" x14ac:dyDescent="0.25">
      <c r="AY2128" s="14">
        <v>1</v>
      </c>
      <c r="AZ2128" s="14">
        <v>-46</v>
      </c>
    </row>
    <row r="2129" spans="51:52" x14ac:dyDescent="0.25">
      <c r="AY2129" s="14">
        <v>182</v>
      </c>
      <c r="AZ2129" s="14">
        <v>-21</v>
      </c>
    </row>
    <row r="2130" spans="51:52" x14ac:dyDescent="0.25">
      <c r="AY2130" s="14">
        <v>-511</v>
      </c>
      <c r="AZ2130" s="14">
        <v>-68</v>
      </c>
    </row>
    <row r="2131" spans="51:52" x14ac:dyDescent="0.25">
      <c r="AY2131" s="14">
        <v>-1</v>
      </c>
      <c r="AZ2131" s="14">
        <v>-36</v>
      </c>
    </row>
    <row r="2132" spans="51:52" x14ac:dyDescent="0.25">
      <c r="AY2132" s="14">
        <v>1</v>
      </c>
      <c r="AZ2132" s="14">
        <v>11</v>
      </c>
    </row>
    <row r="2133" spans="51:52" x14ac:dyDescent="0.25">
      <c r="AY2133" s="14">
        <v>-62</v>
      </c>
      <c r="AZ2133" s="14">
        <v>-37</v>
      </c>
    </row>
    <row r="2134" spans="51:52" x14ac:dyDescent="0.25">
      <c r="AY2134" s="14">
        <v>8</v>
      </c>
      <c r="AZ2134" s="14">
        <v>-386</v>
      </c>
    </row>
    <row r="2135" spans="51:52" x14ac:dyDescent="0.25">
      <c r="AY2135" s="14">
        <v>-108</v>
      </c>
      <c r="AZ2135" s="14">
        <v>798</v>
      </c>
    </row>
    <row r="2136" spans="51:52" x14ac:dyDescent="0.25">
      <c r="AY2136" s="14">
        <v>286</v>
      </c>
      <c r="AZ2136" s="14">
        <v>624</v>
      </c>
    </row>
    <row r="2137" spans="51:52" x14ac:dyDescent="0.25">
      <c r="AY2137" s="14">
        <v>87</v>
      </c>
      <c r="AZ2137" s="14">
        <v>524</v>
      </c>
    </row>
    <row r="2138" spans="51:52" x14ac:dyDescent="0.25">
      <c r="AY2138" s="14">
        <v>15</v>
      </c>
      <c r="AZ2138" s="14">
        <v>569</v>
      </c>
    </row>
    <row r="2139" spans="51:52" x14ac:dyDescent="0.25">
      <c r="AY2139" s="14">
        <v>1</v>
      </c>
      <c r="AZ2139" s="14">
        <v>567</v>
      </c>
    </row>
    <row r="2140" spans="51:52" x14ac:dyDescent="0.25">
      <c r="AY2140" s="14">
        <v>182</v>
      </c>
      <c r="AZ2140" s="14">
        <v>788</v>
      </c>
    </row>
    <row r="2141" spans="51:52" x14ac:dyDescent="0.25">
      <c r="AY2141" s="14">
        <v>-520</v>
      </c>
      <c r="AZ2141" s="14">
        <v>-1</v>
      </c>
    </row>
    <row r="2142" spans="51:52" x14ac:dyDescent="0.25">
      <c r="AY2142" s="14">
        <v>-9</v>
      </c>
      <c r="AZ2142" s="14">
        <v>4</v>
      </c>
    </row>
    <row r="2143" spans="51:52" x14ac:dyDescent="0.25">
      <c r="AY2143" s="14">
        <v>9</v>
      </c>
      <c r="AZ2143" s="14">
        <v>20</v>
      </c>
    </row>
    <row r="2144" spans="51:52" x14ac:dyDescent="0.25">
      <c r="AZ2144" s="14">
        <v>-10</v>
      </c>
    </row>
    <row r="2145" spans="52:52" x14ac:dyDescent="0.25">
      <c r="AZ2145" s="14">
        <v>21</v>
      </c>
    </row>
    <row r="2146" spans="52:52" x14ac:dyDescent="0.25">
      <c r="AZ2146" s="14">
        <v>14</v>
      </c>
    </row>
    <row r="2147" spans="52:52" x14ac:dyDescent="0.25">
      <c r="AZ2147" s="14">
        <v>4</v>
      </c>
    </row>
    <row r="2148" spans="52:52" x14ac:dyDescent="0.25">
      <c r="AZ2148" s="14">
        <v>-65</v>
      </c>
    </row>
    <row r="2149" spans="52:52" x14ac:dyDescent="0.25">
      <c r="AZ2149" s="14">
        <v>-42</v>
      </c>
    </row>
    <row r="2150" spans="52:52" x14ac:dyDescent="0.25">
      <c r="AZ2150" s="14">
        <v>-24</v>
      </c>
    </row>
    <row r="2151" spans="52:52" x14ac:dyDescent="0.25">
      <c r="AZ2151" s="14">
        <v>-67</v>
      </c>
    </row>
    <row r="2152" spans="52:52" x14ac:dyDescent="0.25">
      <c r="AZ2152" s="14">
        <v>-31</v>
      </c>
    </row>
    <row r="2153" spans="52:52" x14ac:dyDescent="0.25">
      <c r="AZ2153" s="14">
        <v>16</v>
      </c>
    </row>
    <row r="2154" spans="52:52" x14ac:dyDescent="0.25">
      <c r="AZ2154" s="14">
        <v>-32</v>
      </c>
    </row>
    <row r="2155" spans="52:52" x14ac:dyDescent="0.25">
      <c r="AZ2155" s="14">
        <v>-352</v>
      </c>
    </row>
    <row r="2156" spans="52:52" x14ac:dyDescent="0.25">
      <c r="AZ2156" s="14">
        <v>562</v>
      </c>
    </row>
    <row r="2157" spans="52:52" x14ac:dyDescent="0.25">
      <c r="AZ2157" s="14">
        <v>348</v>
      </c>
    </row>
    <row r="2158" spans="52:52" x14ac:dyDescent="0.25">
      <c r="AZ2158" s="14">
        <v>317</v>
      </c>
    </row>
    <row r="2159" spans="52:52" x14ac:dyDescent="0.25">
      <c r="AZ2159" s="14">
        <v>333</v>
      </c>
    </row>
    <row r="2160" spans="52:52" x14ac:dyDescent="0.25">
      <c r="AZ2160" s="14">
        <v>341</v>
      </c>
    </row>
    <row r="2161" spans="52:52" x14ac:dyDescent="0.25">
      <c r="AZ2161" s="14">
        <v>561</v>
      </c>
    </row>
    <row r="2162" spans="52:52" x14ac:dyDescent="0.25">
      <c r="AZ2162" s="14">
        <v>-1</v>
      </c>
    </row>
    <row r="2163" spans="52:52" x14ac:dyDescent="0.25">
      <c r="AZ2163" s="14">
        <v>4</v>
      </c>
    </row>
    <row r="2164" spans="52:52" x14ac:dyDescent="0.25">
      <c r="AZ2164" s="14">
        <v>2</v>
      </c>
    </row>
    <row r="2165" spans="52:52" x14ac:dyDescent="0.25">
      <c r="AZ2165" s="14">
        <v>-4</v>
      </c>
    </row>
    <row r="2166" spans="52:52" x14ac:dyDescent="0.25">
      <c r="AZ2166" s="14">
        <v>19</v>
      </c>
    </row>
    <row r="2167" spans="52:52" x14ac:dyDescent="0.25">
      <c r="AZ2167" s="14">
        <v>15</v>
      </c>
    </row>
    <row r="2168" spans="52:52" x14ac:dyDescent="0.25">
      <c r="AZ2168" s="14">
        <v>4</v>
      </c>
    </row>
    <row r="2169" spans="52:52" x14ac:dyDescent="0.25">
      <c r="AZ2169" s="14">
        <v>-62</v>
      </c>
    </row>
    <row r="2170" spans="52:52" x14ac:dyDescent="0.25">
      <c r="AZ2170" s="14">
        <v>-38</v>
      </c>
    </row>
    <row r="2171" spans="52:52" x14ac:dyDescent="0.25">
      <c r="AZ2171" s="14">
        <v>-24</v>
      </c>
    </row>
    <row r="2172" spans="52:52" x14ac:dyDescent="0.25">
      <c r="AZ2172" s="14">
        <v>-65</v>
      </c>
    </row>
    <row r="2173" spans="52:52" x14ac:dyDescent="0.25">
      <c r="AZ2173" s="14">
        <v>-29</v>
      </c>
    </row>
    <row r="2174" spans="52:52" x14ac:dyDescent="0.25">
      <c r="AZ2174" s="14">
        <v>18</v>
      </c>
    </row>
    <row r="2175" spans="52:52" x14ac:dyDescent="0.25">
      <c r="AZ2175" s="14">
        <v>-29</v>
      </c>
    </row>
    <row r="2176" spans="52:52" x14ac:dyDescent="0.25">
      <c r="AZ2176" s="14">
        <v>-141</v>
      </c>
    </row>
    <row r="2177" spans="52:52" x14ac:dyDescent="0.25">
      <c r="AZ2177" s="14">
        <v>290</v>
      </c>
    </row>
    <row r="2178" spans="52:52" x14ac:dyDescent="0.25">
      <c r="AZ2178" s="14">
        <v>140</v>
      </c>
    </row>
    <row r="2179" spans="52:52" x14ac:dyDescent="0.25">
      <c r="AZ2179" s="14">
        <v>-4</v>
      </c>
    </row>
    <row r="2180" spans="52:52" x14ac:dyDescent="0.25">
      <c r="AZ2180" s="14">
        <v>5</v>
      </c>
    </row>
    <row r="2181" spans="52:52" x14ac:dyDescent="0.25">
      <c r="AZ2181" s="14">
        <v>-22</v>
      </c>
    </row>
    <row r="2182" spans="52:52" x14ac:dyDescent="0.25">
      <c r="AZ2182" s="14">
        <v>-6</v>
      </c>
    </row>
    <row r="2183" spans="52:52" x14ac:dyDescent="0.25">
      <c r="AZ2183" s="14">
        <v>17</v>
      </c>
    </row>
    <row r="2184" spans="52:52" x14ac:dyDescent="0.25">
      <c r="AZ2184" s="14">
        <v>-9</v>
      </c>
    </row>
    <row r="2185" spans="52:52" x14ac:dyDescent="0.25">
      <c r="AZ2185" s="14">
        <v>-2</v>
      </c>
    </row>
    <row r="2186" spans="52:52" x14ac:dyDescent="0.25">
      <c r="AZ2186" s="14">
        <v>-57</v>
      </c>
    </row>
    <row r="2187" spans="52:52" x14ac:dyDescent="0.25">
      <c r="AZ2187" s="14">
        <v>-50</v>
      </c>
    </row>
    <row r="2188" spans="52:52" x14ac:dyDescent="0.25">
      <c r="AZ2188" s="14">
        <v>46</v>
      </c>
    </row>
    <row r="2189" spans="52:52" x14ac:dyDescent="0.25">
      <c r="AZ2189" s="14">
        <v>18</v>
      </c>
    </row>
    <row r="2190" spans="52:52" x14ac:dyDescent="0.25">
      <c r="AZ2190" s="14">
        <v>24</v>
      </c>
    </row>
    <row r="2191" spans="52:52" x14ac:dyDescent="0.25">
      <c r="AZ2191" s="14">
        <v>-145</v>
      </c>
    </row>
    <row r="2192" spans="52:52" x14ac:dyDescent="0.25">
      <c r="AZ2192" s="14">
        <v>-82</v>
      </c>
    </row>
    <row r="2193" spans="52:52" x14ac:dyDescent="0.25">
      <c r="AZ2193" s="14">
        <v>-530</v>
      </c>
    </row>
    <row r="2194" spans="52:52" x14ac:dyDescent="0.25">
      <c r="AZ2194" s="14">
        <v>322</v>
      </c>
    </row>
    <row r="2195" spans="52:52" x14ac:dyDescent="0.25">
      <c r="AZ2195" s="14">
        <v>137</v>
      </c>
    </row>
    <row r="2196" spans="52:52" x14ac:dyDescent="0.25">
      <c r="AZ2196" s="14">
        <v>-7</v>
      </c>
    </row>
    <row r="2197" spans="52:52" x14ac:dyDescent="0.25">
      <c r="AZ2197" s="14">
        <v>53</v>
      </c>
    </row>
    <row r="2198" spans="52:52" x14ac:dyDescent="0.25">
      <c r="AZ2198" s="14">
        <v>50</v>
      </c>
    </row>
    <row r="2199" spans="52:52" x14ac:dyDescent="0.25">
      <c r="AZ2199" s="14">
        <v>275</v>
      </c>
    </row>
    <row r="2200" spans="52:52" x14ac:dyDescent="0.25">
      <c r="AZ2200" s="14">
        <v>-4</v>
      </c>
    </row>
    <row r="2201" spans="52:52" x14ac:dyDescent="0.25">
      <c r="AZ2201" s="14">
        <v>5</v>
      </c>
    </row>
    <row r="2202" spans="52:52" x14ac:dyDescent="0.25">
      <c r="AZ2202" s="14">
        <v>-22</v>
      </c>
    </row>
    <row r="2203" spans="52:52" x14ac:dyDescent="0.25">
      <c r="AZ2203" s="14">
        <v>-6</v>
      </c>
    </row>
    <row r="2204" spans="52:52" x14ac:dyDescent="0.25">
      <c r="AZ2204" s="14">
        <v>18</v>
      </c>
    </row>
    <row r="2205" spans="52:52" x14ac:dyDescent="0.25">
      <c r="AZ2205" s="14">
        <v>-9</v>
      </c>
    </row>
    <row r="2206" spans="52:52" x14ac:dyDescent="0.25">
      <c r="AZ2206" s="14">
        <v>-2</v>
      </c>
    </row>
    <row r="2207" spans="52:52" x14ac:dyDescent="0.25">
      <c r="AZ2207" s="14">
        <v>-56</v>
      </c>
    </row>
    <row r="2208" spans="52:52" x14ac:dyDescent="0.25">
      <c r="AZ2208" s="14">
        <v>-43</v>
      </c>
    </row>
    <row r="2209" spans="52:52" x14ac:dyDescent="0.25">
      <c r="AZ2209" s="14">
        <v>53</v>
      </c>
    </row>
    <row r="2210" spans="52:52" x14ac:dyDescent="0.25">
      <c r="AZ2210" s="14">
        <v>36</v>
      </c>
    </row>
    <row r="2211" spans="52:52" x14ac:dyDescent="0.25">
      <c r="AZ2211" s="14">
        <v>30</v>
      </c>
    </row>
    <row r="2212" spans="52:52" x14ac:dyDescent="0.25">
      <c r="AZ2212" s="14">
        <v>-139</v>
      </c>
    </row>
    <row r="2213" spans="52:52" x14ac:dyDescent="0.25">
      <c r="AZ2213" s="14">
        <v>-501</v>
      </c>
    </row>
    <row r="2214" spans="52:52" x14ac:dyDescent="0.25">
      <c r="AZ2214" s="14">
        <v>284</v>
      </c>
    </row>
    <row r="2215" spans="52:52" x14ac:dyDescent="0.25">
      <c r="AZ2215" s="14">
        <v>80</v>
      </c>
    </row>
    <row r="2216" spans="52:52" x14ac:dyDescent="0.25">
      <c r="AZ2216" s="14">
        <v>9</v>
      </c>
    </row>
    <row r="2217" spans="52:52" x14ac:dyDescent="0.25">
      <c r="AZ2217" s="14">
        <v>3</v>
      </c>
    </row>
    <row r="2218" spans="52:52" x14ac:dyDescent="0.25">
      <c r="AZ2218" s="14">
        <v>57</v>
      </c>
    </row>
    <row r="2219" spans="52:52" x14ac:dyDescent="0.25">
      <c r="AZ2219" s="14">
        <v>244</v>
      </c>
    </row>
    <row r="2220" spans="52:52" x14ac:dyDescent="0.25">
      <c r="AZ2220" s="14">
        <v>-4</v>
      </c>
    </row>
    <row r="2221" spans="52:52" x14ac:dyDescent="0.25">
      <c r="AZ2221" s="14">
        <v>5</v>
      </c>
    </row>
    <row r="2222" spans="52:52" x14ac:dyDescent="0.25">
      <c r="AZ2222" s="14">
        <v>-21</v>
      </c>
    </row>
    <row r="2223" spans="52:52" x14ac:dyDescent="0.25">
      <c r="AZ2223" s="14">
        <v>-6</v>
      </c>
    </row>
    <row r="2224" spans="52:52" x14ac:dyDescent="0.25">
      <c r="AZ2224" s="14">
        <v>18</v>
      </c>
    </row>
    <row r="2225" spans="52:52" x14ac:dyDescent="0.25">
      <c r="AZ2225" s="14">
        <v>-8</v>
      </c>
    </row>
    <row r="2226" spans="52:52" x14ac:dyDescent="0.25">
      <c r="AZ2226" s="14">
        <v>-2</v>
      </c>
    </row>
    <row r="2227" spans="52:52" x14ac:dyDescent="0.25">
      <c r="AZ2227" s="14">
        <v>-56</v>
      </c>
    </row>
    <row r="2228" spans="52:52" x14ac:dyDescent="0.25">
      <c r="AZ2228" s="14">
        <v>-42</v>
      </c>
    </row>
    <row r="2229" spans="52:52" x14ac:dyDescent="0.25">
      <c r="AZ2229" s="14">
        <v>52</v>
      </c>
    </row>
    <row r="2230" spans="52:52" x14ac:dyDescent="0.25">
      <c r="AZ2230" s="14">
        <v>34</v>
      </c>
    </row>
    <row r="2231" spans="52:52" x14ac:dyDescent="0.25">
      <c r="AZ2231" s="14">
        <v>31</v>
      </c>
    </row>
    <row r="2232" spans="52:52" x14ac:dyDescent="0.25">
      <c r="AZ2232" s="14">
        <v>-138</v>
      </c>
    </row>
    <row r="2233" spans="52:52" x14ac:dyDescent="0.25">
      <c r="AZ2233" s="14">
        <v>-87</v>
      </c>
    </row>
    <row r="2234" spans="52:52" x14ac:dyDescent="0.25">
      <c r="AZ2234" s="14">
        <v>-507</v>
      </c>
    </row>
    <row r="2235" spans="52:52" x14ac:dyDescent="0.25">
      <c r="AZ2235" s="14">
        <v>8</v>
      </c>
    </row>
    <row r="2236" spans="52:52" x14ac:dyDescent="0.25">
      <c r="AZ2236" s="14">
        <v>7</v>
      </c>
    </row>
    <row r="2237" spans="52:52" x14ac:dyDescent="0.25">
      <c r="AZ2237" s="14">
        <v>10</v>
      </c>
    </row>
    <row r="2238" spans="52:52" x14ac:dyDescent="0.25">
      <c r="AZ2238" s="14">
        <v>9</v>
      </c>
    </row>
    <row r="2239" spans="52:52" x14ac:dyDescent="0.25">
      <c r="AZ2239" s="14">
        <v>479</v>
      </c>
    </row>
    <row r="2240" spans="52:52" x14ac:dyDescent="0.25">
      <c r="AZ2240" s="14">
        <v>458</v>
      </c>
    </row>
    <row r="2241" spans="52:52" x14ac:dyDescent="0.25">
      <c r="AZ2241" s="14">
        <v>303</v>
      </c>
    </row>
    <row r="2242" spans="52:52" x14ac:dyDescent="0.25">
      <c r="AZ2242" s="14">
        <v>405</v>
      </c>
    </row>
    <row r="2243" spans="52:52" x14ac:dyDescent="0.25">
      <c r="AZ2243" s="14">
        <v>410</v>
      </c>
    </row>
    <row r="2244" spans="52:52" x14ac:dyDescent="0.25">
      <c r="AZ2244" s="14">
        <v>281</v>
      </c>
    </row>
    <row r="2245" spans="52:52" x14ac:dyDescent="0.25">
      <c r="AZ2245" s="14">
        <v>179</v>
      </c>
    </row>
    <row r="2246" spans="52:52" x14ac:dyDescent="0.25">
      <c r="AZ2246" s="14">
        <v>188</v>
      </c>
    </row>
    <row r="2247" spans="52:52" x14ac:dyDescent="0.25">
      <c r="AZ2247" s="14">
        <v>750</v>
      </c>
    </row>
    <row r="2248" spans="52:52" x14ac:dyDescent="0.25">
      <c r="AZ2248" s="14">
        <v>238</v>
      </c>
    </row>
    <row r="2249" spans="52:52" x14ac:dyDescent="0.25">
      <c r="AZ2249" s="14">
        <v>102</v>
      </c>
    </row>
    <row r="2250" spans="52:52" x14ac:dyDescent="0.25">
      <c r="AZ2250" s="14">
        <v>251</v>
      </c>
    </row>
    <row r="2251" spans="52:52" x14ac:dyDescent="0.25">
      <c r="AZ2251" s="14">
        <v>293</v>
      </c>
    </row>
    <row r="2252" spans="52:52" x14ac:dyDescent="0.25">
      <c r="AZ2252" s="14">
        <v>9</v>
      </c>
    </row>
    <row r="2253" spans="52:52" x14ac:dyDescent="0.25">
      <c r="AZ2253" s="14">
        <v>4</v>
      </c>
    </row>
    <row r="2254" spans="52:52" x14ac:dyDescent="0.25">
      <c r="AZ2254" s="14">
        <v>10</v>
      </c>
    </row>
    <row r="2255" spans="52:52" x14ac:dyDescent="0.25">
      <c r="AZ2255" s="14">
        <v>8</v>
      </c>
    </row>
    <row r="2256" spans="52:52" x14ac:dyDescent="0.25">
      <c r="AZ2256" s="14">
        <v>419</v>
      </c>
    </row>
    <row r="2257" spans="52:52" x14ac:dyDescent="0.25">
      <c r="AZ2257" s="14">
        <v>388</v>
      </c>
    </row>
    <row r="2258" spans="52:52" x14ac:dyDescent="0.25">
      <c r="AZ2258" s="14">
        <v>299</v>
      </c>
    </row>
    <row r="2259" spans="52:52" x14ac:dyDescent="0.25">
      <c r="AZ2259" s="14">
        <v>493</v>
      </c>
    </row>
    <row r="2260" spans="52:52" x14ac:dyDescent="0.25">
      <c r="AZ2260" s="14">
        <v>138</v>
      </c>
    </row>
    <row r="2261" spans="52:52" x14ac:dyDescent="0.25">
      <c r="AZ2261" s="14">
        <v>293</v>
      </c>
    </row>
    <row r="2262" spans="52:52" x14ac:dyDescent="0.25">
      <c r="AZ2262" s="14">
        <v>335</v>
      </c>
    </row>
    <row r="2263" spans="52:52" x14ac:dyDescent="0.25">
      <c r="AZ2263" s="14">
        <v>174</v>
      </c>
    </row>
    <row r="2264" spans="52:52" x14ac:dyDescent="0.25">
      <c r="AZ2264" s="14">
        <v>649</v>
      </c>
    </row>
    <row r="2265" spans="52:52" x14ac:dyDescent="0.25">
      <c r="AZ2265" s="14">
        <v>291</v>
      </c>
    </row>
    <row r="2266" spans="52:52" x14ac:dyDescent="0.25">
      <c r="AZ2266" s="14">
        <v>134</v>
      </c>
    </row>
    <row r="2267" spans="52:52" x14ac:dyDescent="0.25">
      <c r="AZ2267" s="14">
        <v>310</v>
      </c>
    </row>
    <row r="2268" spans="52:52" x14ac:dyDescent="0.25">
      <c r="AZ2268" s="14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41B0-DE40-465A-B7AC-660033BA8EC0}">
  <dimension ref="A1:AT1528"/>
  <sheetViews>
    <sheetView topLeftCell="Q1" workbookViewId="0">
      <selection activeCell="AO1" sqref="AO1"/>
    </sheetView>
  </sheetViews>
  <sheetFormatPr defaultRowHeight="15" x14ac:dyDescent="0.25"/>
  <cols>
    <col min="1" max="16384" width="9.140625" style="14"/>
  </cols>
  <sheetData>
    <row r="1" spans="1:46" x14ac:dyDescent="0.25">
      <c r="A1" s="89" t="s">
        <v>488</v>
      </c>
      <c r="B1" s="89" t="s">
        <v>489</v>
      </c>
      <c r="C1" s="89" t="s">
        <v>490</v>
      </c>
      <c r="D1" s="89" t="s">
        <v>491</v>
      </c>
      <c r="E1" s="89" t="s">
        <v>492</v>
      </c>
      <c r="F1" s="89" t="s">
        <v>493</v>
      </c>
      <c r="G1" s="89" t="s">
        <v>494</v>
      </c>
      <c r="H1" s="89" t="s">
        <v>495</v>
      </c>
      <c r="I1" s="89" t="s">
        <v>496</v>
      </c>
      <c r="J1" s="89" t="s">
        <v>497</v>
      </c>
      <c r="K1" s="89" t="s">
        <v>498</v>
      </c>
      <c r="L1" s="89" t="s">
        <v>499</v>
      </c>
      <c r="M1" s="89" t="s">
        <v>500</v>
      </c>
      <c r="N1" s="89" t="s">
        <v>501</v>
      </c>
      <c r="O1" s="89" t="s">
        <v>502</v>
      </c>
      <c r="P1" s="89" t="s">
        <v>503</v>
      </c>
      <c r="Q1" s="89" t="s">
        <v>504</v>
      </c>
      <c r="R1" s="89" t="s">
        <v>505</v>
      </c>
      <c r="S1" s="89" t="s">
        <v>506</v>
      </c>
      <c r="T1" s="89" t="s">
        <v>507</v>
      </c>
      <c r="U1" s="89" t="s">
        <v>508</v>
      </c>
      <c r="V1" s="89" t="s">
        <v>509</v>
      </c>
      <c r="W1" s="89" t="s">
        <v>510</v>
      </c>
      <c r="X1" s="89" t="s">
        <v>511</v>
      </c>
      <c r="Y1" s="89" t="s">
        <v>512</v>
      </c>
      <c r="Z1" s="89" t="s">
        <v>513</v>
      </c>
      <c r="AA1" s="89" t="s">
        <v>514</v>
      </c>
      <c r="AB1" s="89" t="s">
        <v>515</v>
      </c>
      <c r="AC1" s="89" t="s">
        <v>516</v>
      </c>
      <c r="AD1" s="89" t="s">
        <v>517</v>
      </c>
      <c r="AE1" s="89" t="s">
        <v>518</v>
      </c>
      <c r="AF1" s="89" t="s">
        <v>519</v>
      </c>
      <c r="AG1" s="89" t="s">
        <v>520</v>
      </c>
      <c r="AH1" s="89" t="s">
        <v>521</v>
      </c>
      <c r="AI1" s="89" t="s">
        <v>522</v>
      </c>
      <c r="AJ1" s="89" t="s">
        <v>523</v>
      </c>
      <c r="AK1" s="89" t="s">
        <v>524</v>
      </c>
      <c r="AL1" s="89" t="s">
        <v>525</v>
      </c>
      <c r="AM1" s="89" t="s">
        <v>526</v>
      </c>
      <c r="AN1" s="89" t="s">
        <v>585</v>
      </c>
      <c r="AO1" s="89" t="s">
        <v>597</v>
      </c>
      <c r="AP1" s="89" t="s">
        <v>527</v>
      </c>
      <c r="AQ1" s="89" t="s">
        <v>528</v>
      </c>
      <c r="AR1" s="89" t="s">
        <v>529</v>
      </c>
      <c r="AS1" s="89" t="s">
        <v>530</v>
      </c>
      <c r="AT1" s="89" t="s">
        <v>531</v>
      </c>
    </row>
    <row r="2" spans="1:46" x14ac:dyDescent="0.25">
      <c r="A2" s="14">
        <v>12</v>
      </c>
      <c r="B2" s="14">
        <v>171</v>
      </c>
      <c r="C2" s="14">
        <v>32</v>
      </c>
      <c r="D2" s="14">
        <v>56</v>
      </c>
      <c r="E2" s="14">
        <v>110</v>
      </c>
      <c r="F2" s="14">
        <v>856</v>
      </c>
      <c r="G2" s="14">
        <v>12</v>
      </c>
      <c r="H2" s="14">
        <v>12</v>
      </c>
      <c r="I2" s="14">
        <v>20</v>
      </c>
      <c r="J2" s="14">
        <v>114</v>
      </c>
      <c r="K2" s="14">
        <v>8</v>
      </c>
      <c r="L2" s="14">
        <v>85</v>
      </c>
      <c r="M2" s="14">
        <v>15</v>
      </c>
      <c r="N2" s="14">
        <v>101</v>
      </c>
      <c r="O2" s="14">
        <v>55</v>
      </c>
      <c r="P2" s="14">
        <v>90</v>
      </c>
      <c r="Q2" s="14">
        <v>571</v>
      </c>
      <c r="R2" s="14">
        <v>115</v>
      </c>
      <c r="S2" s="14">
        <v>4</v>
      </c>
      <c r="T2" s="14">
        <v>15</v>
      </c>
      <c r="U2" s="14">
        <v>119</v>
      </c>
      <c r="V2" s="14">
        <v>23</v>
      </c>
      <c r="W2" s="14">
        <v>143</v>
      </c>
      <c r="X2" s="14">
        <v>15</v>
      </c>
      <c r="Y2" s="14">
        <v>768</v>
      </c>
      <c r="Z2" s="14">
        <v>4</v>
      </c>
      <c r="AA2" s="14">
        <v>57</v>
      </c>
      <c r="AB2" s="14">
        <v>363</v>
      </c>
      <c r="AC2" s="14">
        <v>1</v>
      </c>
      <c r="AD2" s="14">
        <v>966</v>
      </c>
      <c r="AE2" s="14">
        <v>76</v>
      </c>
      <c r="AF2" s="14">
        <v>54</v>
      </c>
      <c r="AG2" s="14">
        <v>7</v>
      </c>
      <c r="AH2" s="14">
        <v>528</v>
      </c>
      <c r="AI2" s="14">
        <v>92</v>
      </c>
      <c r="AJ2" s="14">
        <v>376</v>
      </c>
      <c r="AK2" s="14">
        <v>217</v>
      </c>
      <c r="AL2" s="14">
        <v>48</v>
      </c>
      <c r="AM2" s="14">
        <v>449</v>
      </c>
      <c r="AN2" s="14">
        <v>355</v>
      </c>
      <c r="AO2" s="14">
        <v>605</v>
      </c>
      <c r="AP2" s="14">
        <v>59</v>
      </c>
      <c r="AQ2" s="14">
        <v>312</v>
      </c>
      <c r="AR2" s="14">
        <v>11</v>
      </c>
      <c r="AS2" s="14">
        <v>136</v>
      </c>
      <c r="AT2" s="14">
        <v>16</v>
      </c>
    </row>
    <row r="3" spans="1:46" x14ac:dyDescent="0.25">
      <c r="A3" s="14">
        <v>16</v>
      </c>
      <c r="B3" s="14">
        <v>106</v>
      </c>
      <c r="C3" s="14">
        <v>34</v>
      </c>
      <c r="D3" s="14">
        <v>49</v>
      </c>
      <c r="E3" s="14">
        <v>299</v>
      </c>
      <c r="F3" s="14">
        <v>241</v>
      </c>
      <c r="G3" s="14">
        <v>13</v>
      </c>
      <c r="H3" s="14">
        <v>535</v>
      </c>
      <c r="I3" s="14">
        <v>16</v>
      </c>
      <c r="J3" s="14">
        <v>130</v>
      </c>
      <c r="K3" s="14">
        <v>9</v>
      </c>
      <c r="L3" s="14">
        <v>63</v>
      </c>
      <c r="M3" s="14">
        <v>1</v>
      </c>
      <c r="N3" s="14">
        <v>4</v>
      </c>
      <c r="O3" s="14">
        <v>23</v>
      </c>
      <c r="P3" s="14">
        <v>90</v>
      </c>
      <c r="Q3" s="14">
        <v>124</v>
      </c>
      <c r="R3" s="14">
        <v>276</v>
      </c>
      <c r="S3" s="14">
        <v>78</v>
      </c>
      <c r="T3" s="14">
        <v>16</v>
      </c>
      <c r="U3" s="14">
        <v>190</v>
      </c>
      <c r="V3" s="14">
        <v>42</v>
      </c>
      <c r="W3" s="14">
        <v>337</v>
      </c>
      <c r="X3" s="14">
        <v>163</v>
      </c>
      <c r="Y3" s="14">
        <v>128</v>
      </c>
      <c r="Z3" s="14">
        <v>3</v>
      </c>
      <c r="AA3" s="14">
        <v>154</v>
      </c>
      <c r="AB3" s="14">
        <v>323</v>
      </c>
      <c r="AC3" s="14">
        <v>4</v>
      </c>
      <c r="AD3" s="14">
        <v>858</v>
      </c>
      <c r="AE3" s="14">
        <v>26</v>
      </c>
      <c r="AF3" s="14">
        <v>7</v>
      </c>
      <c r="AG3" s="14">
        <v>17</v>
      </c>
      <c r="AH3" s="14">
        <v>318</v>
      </c>
      <c r="AI3" s="14">
        <v>73</v>
      </c>
      <c r="AJ3" s="14">
        <v>177</v>
      </c>
      <c r="AK3" s="14">
        <v>137</v>
      </c>
      <c r="AL3" s="14">
        <v>68</v>
      </c>
      <c r="AM3" s="14">
        <v>1</v>
      </c>
      <c r="AN3" s="14">
        <v>11</v>
      </c>
      <c r="AO3" s="14">
        <v>338</v>
      </c>
      <c r="AP3" s="14">
        <v>7</v>
      </c>
      <c r="AQ3" s="14">
        <v>113</v>
      </c>
      <c r="AR3" s="14">
        <v>14</v>
      </c>
      <c r="AS3" s="14">
        <v>59</v>
      </c>
      <c r="AT3" s="14">
        <v>5</v>
      </c>
    </row>
    <row r="4" spans="1:46" x14ac:dyDescent="0.25">
      <c r="A4" s="14">
        <v>15</v>
      </c>
      <c r="B4" s="14">
        <v>15</v>
      </c>
      <c r="C4" s="14">
        <v>16</v>
      </c>
      <c r="D4" s="14">
        <v>485</v>
      </c>
      <c r="E4" s="14">
        <v>122</v>
      </c>
      <c r="F4" s="14">
        <v>542</v>
      </c>
      <c r="G4" s="14">
        <v>12</v>
      </c>
      <c r="H4" s="14">
        <v>16</v>
      </c>
      <c r="I4" s="14">
        <v>15</v>
      </c>
      <c r="J4" s="14">
        <v>112</v>
      </c>
      <c r="K4" s="14">
        <v>15</v>
      </c>
      <c r="L4" s="14">
        <v>77</v>
      </c>
      <c r="M4" s="14">
        <v>145</v>
      </c>
      <c r="N4" s="14">
        <v>2</v>
      </c>
      <c r="O4" s="14">
        <v>2</v>
      </c>
      <c r="P4" s="14">
        <v>86</v>
      </c>
      <c r="Q4" s="14">
        <v>107</v>
      </c>
      <c r="R4" s="14">
        <v>53</v>
      </c>
      <c r="S4" s="14">
        <v>168</v>
      </c>
      <c r="T4" s="14">
        <v>5</v>
      </c>
      <c r="U4" s="14">
        <v>238</v>
      </c>
      <c r="V4" s="14">
        <v>41</v>
      </c>
      <c r="W4" s="14">
        <v>105</v>
      </c>
      <c r="X4" s="14">
        <v>11</v>
      </c>
      <c r="Y4" s="14">
        <v>95</v>
      </c>
      <c r="Z4" s="14">
        <v>1</v>
      </c>
      <c r="AA4" s="14">
        <v>125</v>
      </c>
      <c r="AB4" s="14">
        <v>114</v>
      </c>
      <c r="AC4" s="14">
        <v>8</v>
      </c>
      <c r="AD4" s="14">
        <v>861</v>
      </c>
      <c r="AE4" s="14">
        <v>37</v>
      </c>
      <c r="AF4" s="14">
        <v>234</v>
      </c>
      <c r="AG4" s="14">
        <v>18</v>
      </c>
      <c r="AH4" s="14">
        <v>179</v>
      </c>
      <c r="AI4" s="14">
        <v>73</v>
      </c>
      <c r="AJ4" s="14">
        <v>101</v>
      </c>
      <c r="AK4" s="14">
        <v>28</v>
      </c>
      <c r="AL4" s="14">
        <v>70</v>
      </c>
      <c r="AM4" s="14">
        <v>1</v>
      </c>
      <c r="AN4" s="14">
        <v>142</v>
      </c>
      <c r="AO4" s="14">
        <v>551</v>
      </c>
      <c r="AP4" s="14">
        <v>554</v>
      </c>
      <c r="AQ4" s="14">
        <v>113</v>
      </c>
      <c r="AR4" s="14">
        <v>11</v>
      </c>
      <c r="AS4" s="14">
        <v>138</v>
      </c>
      <c r="AT4" s="14">
        <v>41</v>
      </c>
    </row>
    <row r="5" spans="1:46" x14ac:dyDescent="0.25">
      <c r="A5" s="14">
        <v>10</v>
      </c>
      <c r="B5" s="14">
        <v>55</v>
      </c>
      <c r="C5" s="14">
        <v>9</v>
      </c>
      <c r="D5" s="14">
        <v>44</v>
      </c>
      <c r="E5" s="14">
        <v>259</v>
      </c>
      <c r="F5" s="14">
        <v>635</v>
      </c>
      <c r="G5" s="14">
        <v>18</v>
      </c>
      <c r="H5" s="14">
        <v>3</v>
      </c>
      <c r="I5" s="14">
        <v>5</v>
      </c>
      <c r="J5" s="14">
        <v>115</v>
      </c>
      <c r="K5" s="14">
        <v>15</v>
      </c>
      <c r="L5" s="14">
        <v>80</v>
      </c>
      <c r="M5" s="14">
        <v>24</v>
      </c>
      <c r="N5" s="14">
        <v>1</v>
      </c>
      <c r="P5" s="14">
        <v>122</v>
      </c>
      <c r="Q5" s="14">
        <v>55</v>
      </c>
      <c r="R5" s="14">
        <v>53</v>
      </c>
      <c r="S5" s="14">
        <v>33</v>
      </c>
      <c r="T5" s="14">
        <v>135</v>
      </c>
      <c r="U5" s="14">
        <v>167</v>
      </c>
      <c r="V5" s="14">
        <v>36</v>
      </c>
      <c r="W5" s="14">
        <v>270</v>
      </c>
      <c r="X5" s="14">
        <v>124</v>
      </c>
      <c r="Y5" s="14">
        <v>665</v>
      </c>
      <c r="Z5" s="14">
        <v>104</v>
      </c>
      <c r="AA5" s="14">
        <v>90</v>
      </c>
      <c r="AB5" s="14">
        <v>499</v>
      </c>
      <c r="AC5" s="14">
        <v>1</v>
      </c>
      <c r="AD5" s="14">
        <v>1</v>
      </c>
      <c r="AE5" s="14">
        <v>12</v>
      </c>
      <c r="AF5" s="14">
        <v>257</v>
      </c>
      <c r="AG5" s="14">
        <v>20</v>
      </c>
      <c r="AH5" s="14">
        <v>194</v>
      </c>
      <c r="AI5" s="14">
        <v>137</v>
      </c>
      <c r="AJ5" s="14">
        <v>255</v>
      </c>
      <c r="AK5" s="14">
        <v>539</v>
      </c>
      <c r="AL5" s="14">
        <v>78</v>
      </c>
      <c r="AM5" s="14">
        <v>475</v>
      </c>
      <c r="AN5" s="14">
        <v>139</v>
      </c>
      <c r="AO5" s="14">
        <v>260</v>
      </c>
      <c r="AP5" s="14">
        <v>15</v>
      </c>
      <c r="AQ5" s="14">
        <v>205</v>
      </c>
      <c r="AR5" s="14">
        <v>50</v>
      </c>
      <c r="AS5" s="14">
        <v>78</v>
      </c>
      <c r="AT5" s="14">
        <v>8</v>
      </c>
    </row>
    <row r="6" spans="1:46" x14ac:dyDescent="0.25">
      <c r="A6" s="14">
        <v>10</v>
      </c>
      <c r="B6" s="14">
        <v>92</v>
      </c>
      <c r="C6" s="14">
        <v>14</v>
      </c>
      <c r="D6" s="14">
        <v>44</v>
      </c>
      <c r="E6" s="14">
        <v>109</v>
      </c>
      <c r="F6" s="14">
        <v>711</v>
      </c>
      <c r="G6" s="14">
        <v>16</v>
      </c>
      <c r="H6" s="14">
        <v>2</v>
      </c>
      <c r="I6" s="14">
        <v>30</v>
      </c>
      <c r="J6" s="14">
        <v>154</v>
      </c>
      <c r="K6" s="14">
        <v>14</v>
      </c>
      <c r="L6" s="14">
        <v>84</v>
      </c>
      <c r="M6" s="14">
        <v>1</v>
      </c>
      <c r="N6" s="14">
        <v>1</v>
      </c>
      <c r="P6" s="14">
        <v>111</v>
      </c>
      <c r="Q6" s="14">
        <v>49</v>
      </c>
      <c r="R6" s="14">
        <v>4</v>
      </c>
      <c r="S6" s="14">
        <v>222</v>
      </c>
      <c r="T6" s="14">
        <v>286</v>
      </c>
      <c r="U6" s="14">
        <v>165</v>
      </c>
      <c r="V6" s="14">
        <v>30</v>
      </c>
      <c r="W6" s="14">
        <v>141</v>
      </c>
      <c r="X6" s="14">
        <v>21</v>
      </c>
      <c r="Y6" s="14">
        <v>141</v>
      </c>
      <c r="Z6" s="14">
        <v>120</v>
      </c>
      <c r="AA6" s="14">
        <v>269</v>
      </c>
      <c r="AB6" s="14">
        <v>294</v>
      </c>
      <c r="AC6" s="14">
        <v>7</v>
      </c>
      <c r="AD6" s="14">
        <v>897</v>
      </c>
      <c r="AE6" s="14">
        <v>66</v>
      </c>
      <c r="AF6" s="14">
        <v>256</v>
      </c>
      <c r="AG6" s="14">
        <v>23</v>
      </c>
      <c r="AH6" s="14">
        <v>588</v>
      </c>
      <c r="AI6" s="14">
        <v>701</v>
      </c>
      <c r="AJ6" s="14">
        <v>655</v>
      </c>
      <c r="AK6" s="14">
        <v>267</v>
      </c>
      <c r="AL6" s="14">
        <v>63</v>
      </c>
      <c r="AM6" s="14">
        <v>506</v>
      </c>
      <c r="AN6" s="14">
        <v>184</v>
      </c>
      <c r="AO6" s="14">
        <v>288</v>
      </c>
      <c r="AP6" s="14">
        <v>27</v>
      </c>
      <c r="AQ6" s="14">
        <v>182</v>
      </c>
      <c r="AR6" s="14">
        <v>7</v>
      </c>
      <c r="AS6" s="14">
        <v>98</v>
      </c>
      <c r="AT6" s="14">
        <v>2</v>
      </c>
    </row>
    <row r="7" spans="1:46" x14ac:dyDescent="0.25">
      <c r="A7" s="14">
        <v>21</v>
      </c>
      <c r="B7" s="14">
        <v>7592</v>
      </c>
      <c r="C7" s="14">
        <v>8</v>
      </c>
      <c r="D7" s="14">
        <v>297</v>
      </c>
      <c r="E7" s="14">
        <v>291</v>
      </c>
      <c r="F7" s="14">
        <v>149</v>
      </c>
      <c r="G7" s="14">
        <v>17</v>
      </c>
      <c r="H7" s="14">
        <v>4</v>
      </c>
      <c r="I7" s="14">
        <v>26</v>
      </c>
      <c r="J7" s="14">
        <v>157</v>
      </c>
      <c r="K7" s="14">
        <v>13</v>
      </c>
      <c r="L7" s="14">
        <v>53</v>
      </c>
      <c r="M7" s="14">
        <v>191</v>
      </c>
      <c r="N7" s="14">
        <v>1</v>
      </c>
      <c r="P7" s="14">
        <v>96</v>
      </c>
      <c r="Q7" s="14">
        <v>47</v>
      </c>
      <c r="R7" s="14">
        <v>87</v>
      </c>
      <c r="S7" s="14">
        <v>166</v>
      </c>
      <c r="T7" s="14">
        <v>254</v>
      </c>
      <c r="U7" s="14">
        <v>228</v>
      </c>
      <c r="V7" s="14">
        <v>39</v>
      </c>
      <c r="W7" s="14">
        <v>12</v>
      </c>
      <c r="X7" s="14">
        <v>249</v>
      </c>
      <c r="Y7" s="14">
        <v>63</v>
      </c>
      <c r="Z7" s="14">
        <v>1</v>
      </c>
      <c r="AA7" s="14">
        <v>152</v>
      </c>
      <c r="AB7" s="14">
        <v>124</v>
      </c>
      <c r="AC7" s="14">
        <v>4</v>
      </c>
      <c r="AD7" s="14">
        <v>4</v>
      </c>
      <c r="AE7" s="14">
        <v>27</v>
      </c>
      <c r="AF7" s="14">
        <v>865</v>
      </c>
      <c r="AG7" s="14">
        <v>3</v>
      </c>
      <c r="AH7" s="14">
        <v>120</v>
      </c>
      <c r="AI7" s="14">
        <v>582</v>
      </c>
      <c r="AJ7" s="14">
        <v>186</v>
      </c>
      <c r="AK7" s="14">
        <v>270</v>
      </c>
      <c r="AL7" s="14">
        <v>72</v>
      </c>
      <c r="AM7" s="14">
        <v>467</v>
      </c>
      <c r="AN7" s="14">
        <v>176</v>
      </c>
      <c r="AO7" s="14">
        <v>837</v>
      </c>
      <c r="AP7" s="14">
        <v>4</v>
      </c>
      <c r="AQ7" s="14">
        <v>323</v>
      </c>
      <c r="AR7" s="14">
        <v>8</v>
      </c>
      <c r="AS7" s="14">
        <v>51</v>
      </c>
      <c r="AT7" s="14">
        <v>28</v>
      </c>
    </row>
    <row r="8" spans="1:46" x14ac:dyDescent="0.25">
      <c r="A8" s="14">
        <v>33</v>
      </c>
      <c r="B8" s="14">
        <v>99</v>
      </c>
      <c r="C8" s="14">
        <v>16</v>
      </c>
      <c r="D8" s="14">
        <v>28</v>
      </c>
      <c r="E8" s="14">
        <v>28</v>
      </c>
      <c r="F8" s="14">
        <v>336</v>
      </c>
      <c r="G8" s="14">
        <v>22</v>
      </c>
      <c r="H8" s="14">
        <v>6</v>
      </c>
      <c r="I8" s="14">
        <v>16</v>
      </c>
      <c r="J8" s="14">
        <v>155</v>
      </c>
      <c r="K8" s="14">
        <v>6</v>
      </c>
      <c r="L8" s="14">
        <v>63</v>
      </c>
      <c r="M8" s="14">
        <v>24</v>
      </c>
      <c r="N8" s="14">
        <v>2</v>
      </c>
      <c r="P8" s="14">
        <v>104</v>
      </c>
      <c r="Q8" s="14">
        <v>39</v>
      </c>
      <c r="R8" s="14">
        <v>2</v>
      </c>
      <c r="S8" s="14">
        <v>942</v>
      </c>
      <c r="T8" s="14">
        <v>288</v>
      </c>
      <c r="U8" s="14">
        <v>212</v>
      </c>
      <c r="V8" s="14">
        <v>42</v>
      </c>
      <c r="W8" s="14">
        <v>131</v>
      </c>
      <c r="X8" s="14">
        <v>268</v>
      </c>
      <c r="Y8" s="14">
        <v>75</v>
      </c>
      <c r="Z8" s="14">
        <v>70</v>
      </c>
      <c r="AA8" s="14">
        <v>136</v>
      </c>
      <c r="AB8" s="14">
        <v>905</v>
      </c>
      <c r="AC8" s="14">
        <v>7</v>
      </c>
      <c r="AD8" s="14">
        <v>160</v>
      </c>
      <c r="AE8" s="14">
        <v>33</v>
      </c>
      <c r="AF8" s="14">
        <v>19</v>
      </c>
      <c r="AG8" s="14">
        <v>3</v>
      </c>
      <c r="AH8" s="14">
        <v>194</v>
      </c>
      <c r="AI8" s="14">
        <v>157</v>
      </c>
      <c r="AJ8" s="14">
        <v>150</v>
      </c>
      <c r="AK8" s="14">
        <v>81</v>
      </c>
      <c r="AL8" s="14">
        <v>70</v>
      </c>
      <c r="AM8" s="14">
        <v>381</v>
      </c>
      <c r="AN8" s="14">
        <v>168</v>
      </c>
      <c r="AO8" s="14">
        <v>420</v>
      </c>
      <c r="AP8" s="14">
        <v>38</v>
      </c>
      <c r="AQ8" s="14">
        <v>193</v>
      </c>
      <c r="AR8" s="14">
        <v>15</v>
      </c>
      <c r="AS8" s="14">
        <v>17</v>
      </c>
      <c r="AT8" s="14">
        <v>4</v>
      </c>
    </row>
    <row r="9" spans="1:46" x14ac:dyDescent="0.25">
      <c r="A9" s="14">
        <v>30</v>
      </c>
      <c r="B9" s="14">
        <v>7519</v>
      </c>
      <c r="C9" s="14">
        <v>9</v>
      </c>
      <c r="D9" s="14">
        <v>258</v>
      </c>
      <c r="E9" s="14">
        <v>149</v>
      </c>
      <c r="F9" s="14">
        <v>958</v>
      </c>
      <c r="G9" s="14">
        <v>16</v>
      </c>
      <c r="H9" s="14">
        <v>724</v>
      </c>
      <c r="I9" s="14">
        <v>5</v>
      </c>
      <c r="J9" s="14">
        <v>172</v>
      </c>
      <c r="K9" s="14">
        <v>5</v>
      </c>
      <c r="L9" s="14">
        <v>50</v>
      </c>
      <c r="M9" s="14">
        <v>1</v>
      </c>
      <c r="N9" s="14">
        <v>7</v>
      </c>
      <c r="P9" s="14">
        <v>105</v>
      </c>
      <c r="Q9" s="14">
        <v>6</v>
      </c>
      <c r="R9" s="14">
        <v>2</v>
      </c>
      <c r="S9" s="14">
        <v>110</v>
      </c>
      <c r="T9" s="14">
        <v>169</v>
      </c>
      <c r="U9" s="14">
        <v>230</v>
      </c>
      <c r="V9" s="14">
        <v>64</v>
      </c>
      <c r="W9" s="14">
        <v>205</v>
      </c>
      <c r="X9" s="14">
        <v>205</v>
      </c>
      <c r="Y9" s="14">
        <v>515</v>
      </c>
      <c r="Z9" s="14">
        <v>273</v>
      </c>
      <c r="AA9" s="14">
        <v>82</v>
      </c>
      <c r="AB9" s="14">
        <v>428</v>
      </c>
      <c r="AC9" s="14">
        <v>1</v>
      </c>
      <c r="AD9" s="14">
        <v>3</v>
      </c>
      <c r="AE9" s="14">
        <v>10</v>
      </c>
      <c r="AF9" s="14">
        <v>21</v>
      </c>
      <c r="AG9" s="14">
        <v>4</v>
      </c>
      <c r="AH9" s="14">
        <v>829</v>
      </c>
      <c r="AI9" s="14">
        <v>77</v>
      </c>
      <c r="AJ9" s="14">
        <v>532</v>
      </c>
      <c r="AK9" s="14">
        <v>1</v>
      </c>
      <c r="AL9" s="14">
        <v>7</v>
      </c>
      <c r="AM9" s="14">
        <v>977</v>
      </c>
      <c r="AN9" s="14">
        <v>225</v>
      </c>
      <c r="AO9" s="14">
        <v>277</v>
      </c>
      <c r="AP9" s="14">
        <v>4</v>
      </c>
      <c r="AQ9" s="14">
        <v>28</v>
      </c>
      <c r="AR9" s="14">
        <v>60</v>
      </c>
      <c r="AS9" s="14">
        <v>15</v>
      </c>
      <c r="AT9" s="14">
        <v>7</v>
      </c>
    </row>
    <row r="10" spans="1:46" x14ac:dyDescent="0.25">
      <c r="A10" s="14">
        <v>23</v>
      </c>
      <c r="B10" s="14">
        <v>17321</v>
      </c>
      <c r="C10" s="14">
        <v>17</v>
      </c>
      <c r="D10" s="14">
        <v>38</v>
      </c>
      <c r="E10" s="14">
        <v>57</v>
      </c>
      <c r="F10" s="14">
        <v>839</v>
      </c>
      <c r="G10" s="14">
        <v>13</v>
      </c>
      <c r="H10" s="14">
        <v>129</v>
      </c>
      <c r="I10" s="14">
        <v>4</v>
      </c>
      <c r="J10" s="14">
        <v>161</v>
      </c>
      <c r="K10" s="14">
        <v>11</v>
      </c>
      <c r="L10" s="14">
        <v>83</v>
      </c>
      <c r="M10" s="14">
        <v>184</v>
      </c>
      <c r="N10" s="14">
        <v>1</v>
      </c>
      <c r="P10" s="14">
        <v>100</v>
      </c>
      <c r="Q10" s="14">
        <v>100</v>
      </c>
      <c r="R10" s="14">
        <v>2</v>
      </c>
      <c r="S10" s="14">
        <v>1</v>
      </c>
      <c r="T10" s="14">
        <v>296</v>
      </c>
      <c r="U10" s="14">
        <v>291</v>
      </c>
      <c r="V10" s="14">
        <v>48</v>
      </c>
      <c r="W10" s="14">
        <v>177</v>
      </c>
      <c r="X10" s="14">
        <v>12</v>
      </c>
      <c r="Y10" s="14">
        <v>716</v>
      </c>
      <c r="Z10" s="14">
        <v>400</v>
      </c>
      <c r="AA10" s="14">
        <v>74</v>
      </c>
      <c r="AB10" s="14">
        <v>448</v>
      </c>
      <c r="AC10" s="14">
        <v>10</v>
      </c>
      <c r="AD10" s="14">
        <v>998</v>
      </c>
      <c r="AE10" s="14">
        <v>6</v>
      </c>
      <c r="AF10" s="14">
        <v>339</v>
      </c>
      <c r="AG10" s="14">
        <v>4</v>
      </c>
      <c r="AH10" s="14">
        <v>570</v>
      </c>
      <c r="AI10" s="14">
        <v>94</v>
      </c>
      <c r="AJ10" s="14">
        <v>471</v>
      </c>
      <c r="AK10" s="14">
        <v>149</v>
      </c>
      <c r="AL10" s="14">
        <v>16</v>
      </c>
      <c r="AM10" s="14">
        <v>115</v>
      </c>
      <c r="AN10" s="14">
        <v>421</v>
      </c>
      <c r="AO10" s="14">
        <v>305</v>
      </c>
      <c r="AP10" s="14">
        <v>219</v>
      </c>
      <c r="AQ10" s="14">
        <v>75</v>
      </c>
      <c r="AR10" s="14">
        <v>2</v>
      </c>
      <c r="AS10" s="14">
        <v>52</v>
      </c>
      <c r="AT10" s="14">
        <v>1</v>
      </c>
    </row>
    <row r="11" spans="1:46" x14ac:dyDescent="0.25">
      <c r="A11" s="14">
        <v>55</v>
      </c>
      <c r="B11" s="14">
        <v>92</v>
      </c>
      <c r="C11" s="14">
        <v>12</v>
      </c>
      <c r="D11" s="14">
        <v>149</v>
      </c>
      <c r="E11" s="14">
        <v>126</v>
      </c>
      <c r="F11" s="14">
        <v>440</v>
      </c>
      <c r="G11" s="14">
        <v>14</v>
      </c>
      <c r="H11" s="14">
        <v>153</v>
      </c>
      <c r="I11" s="14">
        <v>2</v>
      </c>
      <c r="J11" s="14">
        <v>214</v>
      </c>
      <c r="K11" s="14">
        <v>12</v>
      </c>
      <c r="L11" s="14">
        <v>59</v>
      </c>
      <c r="M11" s="14">
        <v>25</v>
      </c>
      <c r="N11" s="14">
        <v>3</v>
      </c>
      <c r="P11" s="14">
        <v>142</v>
      </c>
      <c r="Q11" s="14">
        <v>187</v>
      </c>
      <c r="R11" s="14">
        <v>200</v>
      </c>
      <c r="S11" s="14">
        <v>5</v>
      </c>
      <c r="T11" s="14">
        <v>136</v>
      </c>
      <c r="U11" s="14">
        <v>182</v>
      </c>
      <c r="V11" s="14">
        <v>68</v>
      </c>
      <c r="W11" s="14">
        <v>107</v>
      </c>
      <c r="X11" s="14">
        <v>132</v>
      </c>
      <c r="Y11" s="14">
        <v>139</v>
      </c>
      <c r="Z11" s="14">
        <v>30</v>
      </c>
      <c r="AA11" s="14">
        <v>7</v>
      </c>
      <c r="AB11" s="14">
        <v>644</v>
      </c>
      <c r="AC11" s="14">
        <v>6</v>
      </c>
      <c r="AD11" s="14">
        <v>60</v>
      </c>
      <c r="AE11" s="14">
        <v>7</v>
      </c>
      <c r="AF11" s="14">
        <v>355</v>
      </c>
      <c r="AG11" s="14">
        <v>4</v>
      </c>
      <c r="AH11" s="14">
        <v>549</v>
      </c>
      <c r="AI11" s="14">
        <v>82</v>
      </c>
      <c r="AJ11" s="14">
        <v>277</v>
      </c>
      <c r="AK11" s="14">
        <v>754</v>
      </c>
      <c r="AL11" s="14">
        <v>968</v>
      </c>
      <c r="AM11" s="14">
        <v>348</v>
      </c>
      <c r="AN11" s="14">
        <v>211</v>
      </c>
      <c r="AO11" s="14">
        <v>540</v>
      </c>
      <c r="AP11" s="14">
        <v>64</v>
      </c>
      <c r="AQ11" s="14">
        <v>201</v>
      </c>
      <c r="AR11" s="14">
        <v>70</v>
      </c>
      <c r="AS11" s="14">
        <v>72</v>
      </c>
      <c r="AT11" s="14">
        <v>3</v>
      </c>
    </row>
    <row r="12" spans="1:46" x14ac:dyDescent="0.25">
      <c r="A12" s="14">
        <v>45</v>
      </c>
      <c r="B12" s="14">
        <v>7320</v>
      </c>
      <c r="C12" s="14">
        <v>10</v>
      </c>
      <c r="D12" s="14">
        <v>383</v>
      </c>
      <c r="E12" s="14">
        <v>114</v>
      </c>
      <c r="F12" s="14">
        <v>525</v>
      </c>
      <c r="G12" s="14">
        <v>13</v>
      </c>
      <c r="H12" s="14">
        <v>212</v>
      </c>
      <c r="I12" s="14">
        <v>4</v>
      </c>
      <c r="J12" s="14">
        <v>190</v>
      </c>
      <c r="K12" s="14">
        <v>6</v>
      </c>
      <c r="L12" s="14">
        <v>70</v>
      </c>
      <c r="M12" s="14">
        <v>1</v>
      </c>
      <c r="N12" s="14">
        <v>10</v>
      </c>
      <c r="P12" s="14">
        <v>129</v>
      </c>
      <c r="Q12" s="14">
        <v>186</v>
      </c>
      <c r="R12" s="14">
        <v>385</v>
      </c>
      <c r="S12" s="14">
        <v>24</v>
      </c>
      <c r="T12" s="14">
        <v>14</v>
      </c>
      <c r="U12" s="14">
        <v>94</v>
      </c>
      <c r="V12" s="14">
        <v>80</v>
      </c>
      <c r="W12" s="14">
        <v>217</v>
      </c>
      <c r="X12" s="14">
        <v>9</v>
      </c>
      <c r="Y12" s="14">
        <v>315</v>
      </c>
      <c r="Z12" s="14">
        <v>104</v>
      </c>
      <c r="AA12" s="14">
        <v>181</v>
      </c>
      <c r="AB12" s="14">
        <v>499</v>
      </c>
      <c r="AC12" s="14">
        <v>11</v>
      </c>
      <c r="AD12" s="14">
        <v>124</v>
      </c>
      <c r="AE12" s="14">
        <v>36</v>
      </c>
      <c r="AF12" s="14">
        <v>293</v>
      </c>
      <c r="AG12" s="14">
        <v>17</v>
      </c>
      <c r="AH12" s="14">
        <v>204</v>
      </c>
      <c r="AI12" s="14">
        <v>46</v>
      </c>
      <c r="AJ12" s="14">
        <v>124</v>
      </c>
      <c r="AK12" s="14">
        <v>753</v>
      </c>
      <c r="AL12" s="14">
        <v>824</v>
      </c>
      <c r="AM12" s="14">
        <v>548</v>
      </c>
      <c r="AN12" s="14">
        <v>286</v>
      </c>
      <c r="AO12" s="14">
        <v>262</v>
      </c>
      <c r="AP12" s="14">
        <v>16</v>
      </c>
      <c r="AQ12" s="14">
        <v>80</v>
      </c>
      <c r="AR12" s="14">
        <v>42</v>
      </c>
      <c r="AS12" s="14">
        <v>46</v>
      </c>
      <c r="AT12" s="14">
        <v>1</v>
      </c>
    </row>
    <row r="13" spans="1:46" x14ac:dyDescent="0.25">
      <c r="A13" s="14">
        <v>37</v>
      </c>
      <c r="B13" s="14">
        <v>12067</v>
      </c>
      <c r="C13" s="14">
        <v>19</v>
      </c>
      <c r="D13" s="14">
        <v>163</v>
      </c>
      <c r="E13" s="14">
        <v>182</v>
      </c>
      <c r="F13" s="14">
        <v>353</v>
      </c>
      <c r="G13" s="14">
        <v>18</v>
      </c>
      <c r="H13" s="14">
        <v>218</v>
      </c>
      <c r="I13" s="14">
        <v>3</v>
      </c>
      <c r="J13" s="14">
        <v>183</v>
      </c>
      <c r="K13" s="14">
        <v>5</v>
      </c>
      <c r="L13" s="14">
        <v>56</v>
      </c>
      <c r="M13" s="14">
        <v>191</v>
      </c>
      <c r="N13" s="14">
        <v>1</v>
      </c>
      <c r="P13" s="14">
        <v>111</v>
      </c>
      <c r="Q13" s="14">
        <v>7</v>
      </c>
      <c r="R13" s="14">
        <v>79</v>
      </c>
      <c r="S13" s="14">
        <v>94</v>
      </c>
      <c r="T13" s="14">
        <v>14</v>
      </c>
      <c r="U13" s="14">
        <v>238</v>
      </c>
      <c r="V13" s="14">
        <v>68</v>
      </c>
      <c r="W13" s="14">
        <v>390</v>
      </c>
      <c r="X13" s="14">
        <v>12</v>
      </c>
      <c r="Y13" s="14">
        <v>62</v>
      </c>
      <c r="Z13" s="14">
        <v>105</v>
      </c>
      <c r="AA13" s="14">
        <v>186</v>
      </c>
      <c r="AB13" s="14">
        <v>427</v>
      </c>
      <c r="AC13" s="14">
        <v>11</v>
      </c>
      <c r="AD13" s="14">
        <v>2</v>
      </c>
      <c r="AE13" s="14">
        <v>24</v>
      </c>
      <c r="AF13" s="14">
        <v>310</v>
      </c>
      <c r="AG13" s="14">
        <v>17</v>
      </c>
      <c r="AH13" s="14">
        <v>194</v>
      </c>
      <c r="AI13" s="14">
        <v>211</v>
      </c>
      <c r="AJ13" s="14">
        <v>304</v>
      </c>
      <c r="AK13" s="14">
        <v>179</v>
      </c>
      <c r="AL13" s="14">
        <v>877</v>
      </c>
      <c r="AM13" s="14">
        <v>938</v>
      </c>
      <c r="AN13" s="14">
        <v>102</v>
      </c>
      <c r="AO13" s="14">
        <v>282</v>
      </c>
      <c r="AP13" s="14">
        <v>3</v>
      </c>
      <c r="AQ13" s="14">
        <v>120</v>
      </c>
      <c r="AR13" s="14">
        <v>30</v>
      </c>
      <c r="AS13" s="14">
        <v>13</v>
      </c>
      <c r="AT13" s="14">
        <v>9</v>
      </c>
    </row>
    <row r="14" spans="1:46" x14ac:dyDescent="0.25">
      <c r="A14" s="14">
        <v>30</v>
      </c>
      <c r="B14" s="14">
        <v>93</v>
      </c>
      <c r="C14" s="14">
        <v>19</v>
      </c>
      <c r="D14" s="14">
        <v>100</v>
      </c>
      <c r="E14" s="14">
        <v>34</v>
      </c>
      <c r="F14" s="14">
        <v>460</v>
      </c>
      <c r="G14" s="14">
        <v>16</v>
      </c>
      <c r="H14" s="14">
        <v>910</v>
      </c>
      <c r="I14" s="14">
        <v>40</v>
      </c>
      <c r="J14" s="14">
        <v>469</v>
      </c>
      <c r="K14" s="14">
        <v>68</v>
      </c>
      <c r="L14" s="14">
        <v>74</v>
      </c>
      <c r="M14" s="14">
        <v>18</v>
      </c>
      <c r="N14" s="14">
        <v>1</v>
      </c>
      <c r="P14" s="14">
        <v>134</v>
      </c>
      <c r="Q14" s="14">
        <v>494</v>
      </c>
      <c r="R14" s="14">
        <v>94</v>
      </c>
      <c r="S14" s="14">
        <v>12</v>
      </c>
      <c r="T14" s="14">
        <v>5</v>
      </c>
      <c r="U14" s="14">
        <v>362</v>
      </c>
      <c r="V14" s="14">
        <v>60</v>
      </c>
      <c r="W14" s="14">
        <v>198</v>
      </c>
      <c r="X14" s="14">
        <v>9</v>
      </c>
      <c r="Y14" s="14">
        <v>57</v>
      </c>
      <c r="Z14" s="14">
        <v>70</v>
      </c>
      <c r="AA14" s="14">
        <v>103</v>
      </c>
      <c r="AB14" s="14">
        <v>239</v>
      </c>
      <c r="AC14" s="14">
        <v>7</v>
      </c>
      <c r="AD14" s="14">
        <v>34</v>
      </c>
      <c r="AE14" s="14">
        <v>31</v>
      </c>
      <c r="AF14" s="14">
        <v>386</v>
      </c>
      <c r="AG14" s="14">
        <v>17</v>
      </c>
      <c r="AH14" s="14">
        <v>586</v>
      </c>
      <c r="AI14" s="14">
        <v>183</v>
      </c>
      <c r="AJ14" s="14">
        <v>303</v>
      </c>
      <c r="AK14" s="14">
        <v>203</v>
      </c>
      <c r="AL14" s="14">
        <v>713</v>
      </c>
      <c r="AM14" s="14">
        <v>861</v>
      </c>
      <c r="AN14" s="14">
        <v>123</v>
      </c>
      <c r="AO14" s="14">
        <v>100</v>
      </c>
      <c r="AP14" s="14">
        <v>27</v>
      </c>
      <c r="AQ14" s="14">
        <v>216</v>
      </c>
      <c r="AR14" s="14">
        <v>59</v>
      </c>
      <c r="AS14" s="14">
        <v>57</v>
      </c>
      <c r="AT14" s="14">
        <v>8</v>
      </c>
    </row>
    <row r="15" spans="1:46" x14ac:dyDescent="0.25">
      <c r="A15" s="14">
        <v>49</v>
      </c>
      <c r="B15" s="14">
        <v>7461</v>
      </c>
      <c r="C15" s="14">
        <v>26</v>
      </c>
      <c r="D15" s="14">
        <v>80</v>
      </c>
      <c r="E15" s="14">
        <v>110</v>
      </c>
      <c r="F15" s="14">
        <v>1202</v>
      </c>
      <c r="G15" s="14">
        <v>17</v>
      </c>
      <c r="H15" s="14">
        <v>180</v>
      </c>
      <c r="I15" s="14">
        <v>55</v>
      </c>
      <c r="J15" s="14">
        <v>404</v>
      </c>
      <c r="K15" s="14">
        <v>62</v>
      </c>
      <c r="L15" s="14">
        <v>68</v>
      </c>
      <c r="M15" s="14">
        <v>7</v>
      </c>
      <c r="N15" s="14">
        <v>1</v>
      </c>
      <c r="P15" s="14">
        <v>124</v>
      </c>
      <c r="Q15" s="14">
        <v>183</v>
      </c>
      <c r="R15" s="14">
        <v>4</v>
      </c>
      <c r="S15" s="14">
        <v>121</v>
      </c>
      <c r="T15" s="14">
        <v>114</v>
      </c>
      <c r="U15" s="14">
        <v>269</v>
      </c>
      <c r="V15" s="14">
        <v>90</v>
      </c>
      <c r="W15" s="14">
        <v>19</v>
      </c>
      <c r="X15" s="14">
        <v>33</v>
      </c>
      <c r="Y15" s="14">
        <v>90</v>
      </c>
      <c r="Z15" s="14">
        <v>76</v>
      </c>
      <c r="AA15" s="14">
        <v>183</v>
      </c>
      <c r="AB15" s="14">
        <v>666</v>
      </c>
      <c r="AC15" s="14">
        <v>12</v>
      </c>
      <c r="AD15" s="14">
        <v>8</v>
      </c>
      <c r="AE15" s="14">
        <v>60</v>
      </c>
      <c r="AF15" s="14">
        <v>228</v>
      </c>
      <c r="AG15" s="14">
        <v>20</v>
      </c>
      <c r="AH15" s="14">
        <v>121</v>
      </c>
      <c r="AI15" s="14">
        <v>61</v>
      </c>
      <c r="AJ15" s="14">
        <v>825</v>
      </c>
      <c r="AK15" s="14">
        <v>38</v>
      </c>
      <c r="AL15" s="14">
        <v>779</v>
      </c>
      <c r="AM15" s="14">
        <v>139</v>
      </c>
      <c r="AN15" s="14">
        <v>224</v>
      </c>
      <c r="AO15" s="14">
        <v>560</v>
      </c>
      <c r="AP15" s="14">
        <v>3</v>
      </c>
      <c r="AQ15" s="14">
        <v>188</v>
      </c>
      <c r="AR15" s="14">
        <v>77</v>
      </c>
      <c r="AS15" s="14">
        <v>69</v>
      </c>
      <c r="AT15" s="14">
        <v>664</v>
      </c>
    </row>
    <row r="16" spans="1:46" x14ac:dyDescent="0.25">
      <c r="A16" s="14">
        <v>47</v>
      </c>
      <c r="B16" s="14">
        <v>20406</v>
      </c>
      <c r="C16" s="14">
        <v>11</v>
      </c>
      <c r="D16" s="14">
        <v>56</v>
      </c>
      <c r="E16" s="14">
        <v>178</v>
      </c>
      <c r="F16" s="14">
        <v>710</v>
      </c>
      <c r="G16" s="14">
        <v>18</v>
      </c>
      <c r="H16" s="14">
        <v>307</v>
      </c>
      <c r="I16" s="14">
        <v>17</v>
      </c>
      <c r="J16" s="14">
        <v>462</v>
      </c>
      <c r="K16" s="14">
        <v>64</v>
      </c>
      <c r="L16" s="14">
        <v>79</v>
      </c>
      <c r="M16" s="14">
        <v>143</v>
      </c>
      <c r="N16" s="14">
        <v>10</v>
      </c>
      <c r="P16" s="14">
        <v>78</v>
      </c>
      <c r="Q16" s="14">
        <v>407</v>
      </c>
      <c r="R16" s="14">
        <v>102</v>
      </c>
      <c r="S16" s="14">
        <v>202</v>
      </c>
      <c r="T16" s="14">
        <v>227</v>
      </c>
      <c r="U16" s="14">
        <v>537</v>
      </c>
      <c r="V16" s="14">
        <v>91</v>
      </c>
      <c r="W16" s="14">
        <v>236</v>
      </c>
      <c r="X16" s="14">
        <v>4</v>
      </c>
      <c r="Y16" s="14">
        <v>704</v>
      </c>
      <c r="Z16" s="14">
        <v>78</v>
      </c>
      <c r="AA16" s="14">
        <v>223</v>
      </c>
      <c r="AB16" s="14">
        <v>547</v>
      </c>
      <c r="AC16" s="14">
        <v>1</v>
      </c>
      <c r="AD16" s="14">
        <v>433</v>
      </c>
      <c r="AE16" s="14">
        <v>43</v>
      </c>
      <c r="AF16" s="14">
        <v>221</v>
      </c>
      <c r="AG16" s="14">
        <v>3</v>
      </c>
      <c r="AH16" s="14">
        <v>196</v>
      </c>
      <c r="AI16" s="14">
        <v>67</v>
      </c>
      <c r="AJ16" s="14">
        <v>457</v>
      </c>
      <c r="AK16" s="14">
        <v>282</v>
      </c>
      <c r="AL16" s="14">
        <v>795</v>
      </c>
      <c r="AM16" s="14">
        <v>748</v>
      </c>
      <c r="AN16" s="14">
        <v>929</v>
      </c>
      <c r="AO16" s="14">
        <v>254</v>
      </c>
      <c r="AP16" s="14">
        <v>147</v>
      </c>
      <c r="AQ16" s="14">
        <v>262</v>
      </c>
      <c r="AR16" s="14">
        <v>83</v>
      </c>
      <c r="AS16" s="14">
        <v>61</v>
      </c>
      <c r="AT16" s="14">
        <v>699</v>
      </c>
    </row>
    <row r="17" spans="1:46" x14ac:dyDescent="0.25">
      <c r="A17" s="14">
        <v>60</v>
      </c>
      <c r="B17" s="14">
        <v>91</v>
      </c>
      <c r="C17" s="14">
        <v>21</v>
      </c>
      <c r="D17" s="14">
        <v>37</v>
      </c>
      <c r="E17" s="14">
        <v>77</v>
      </c>
      <c r="F17" s="14">
        <v>137</v>
      </c>
      <c r="G17" s="14">
        <v>13</v>
      </c>
      <c r="H17" s="14">
        <v>296</v>
      </c>
      <c r="I17" s="14">
        <v>25</v>
      </c>
      <c r="J17" s="14">
        <v>486</v>
      </c>
      <c r="K17" s="14">
        <v>109</v>
      </c>
      <c r="L17" s="14">
        <v>57</v>
      </c>
      <c r="M17" s="14">
        <v>739</v>
      </c>
      <c r="N17" s="14">
        <v>7</v>
      </c>
      <c r="P17" s="14">
        <v>107</v>
      </c>
      <c r="Q17" s="14">
        <v>73</v>
      </c>
      <c r="R17" s="14">
        <v>3</v>
      </c>
      <c r="S17" s="14">
        <v>42</v>
      </c>
      <c r="T17" s="14">
        <v>211</v>
      </c>
      <c r="U17" s="14">
        <v>598</v>
      </c>
      <c r="V17" s="14">
        <v>121</v>
      </c>
      <c r="W17" s="14">
        <v>295</v>
      </c>
      <c r="X17" s="14">
        <v>14</v>
      </c>
      <c r="Y17" s="14">
        <v>132</v>
      </c>
      <c r="Z17" s="14">
        <v>82</v>
      </c>
      <c r="AA17" s="14">
        <v>212</v>
      </c>
      <c r="AB17" s="14">
        <v>476</v>
      </c>
      <c r="AC17" s="14">
        <v>8</v>
      </c>
      <c r="AD17" s="14">
        <v>416</v>
      </c>
      <c r="AE17" s="14">
        <v>16</v>
      </c>
      <c r="AF17" s="14">
        <v>52</v>
      </c>
      <c r="AG17" s="14">
        <v>3</v>
      </c>
      <c r="AH17" s="14">
        <v>887</v>
      </c>
      <c r="AI17" s="14">
        <v>132</v>
      </c>
      <c r="AJ17" s="14">
        <v>148</v>
      </c>
      <c r="AK17" s="14">
        <v>139</v>
      </c>
      <c r="AL17" s="14">
        <v>839</v>
      </c>
      <c r="AM17" s="14">
        <v>510</v>
      </c>
      <c r="AN17" s="14">
        <v>132</v>
      </c>
      <c r="AO17" s="14">
        <v>282</v>
      </c>
      <c r="AP17" s="14">
        <v>49</v>
      </c>
      <c r="AQ17" s="14">
        <v>171</v>
      </c>
      <c r="AR17" s="14">
        <v>126</v>
      </c>
      <c r="AS17" s="14">
        <v>17</v>
      </c>
      <c r="AT17" s="14">
        <v>722</v>
      </c>
    </row>
    <row r="18" spans="1:46" x14ac:dyDescent="0.25">
      <c r="A18" s="14">
        <v>64</v>
      </c>
      <c r="B18" s="14">
        <v>7077</v>
      </c>
      <c r="C18" s="14">
        <v>11</v>
      </c>
      <c r="D18" s="14">
        <v>89</v>
      </c>
      <c r="E18" s="14">
        <v>208</v>
      </c>
      <c r="F18" s="14">
        <v>319</v>
      </c>
      <c r="G18" s="14">
        <v>758</v>
      </c>
      <c r="H18" s="14">
        <v>40</v>
      </c>
      <c r="I18" s="14">
        <v>59</v>
      </c>
      <c r="J18" s="14">
        <v>524</v>
      </c>
      <c r="K18" s="14">
        <v>16</v>
      </c>
      <c r="L18" s="14">
        <v>61</v>
      </c>
      <c r="M18" s="14">
        <v>347</v>
      </c>
      <c r="N18" s="14">
        <v>1</v>
      </c>
      <c r="P18" s="14">
        <v>109</v>
      </c>
      <c r="Q18" s="14">
        <v>66</v>
      </c>
      <c r="R18" s="14">
        <v>2</v>
      </c>
      <c r="S18" s="14">
        <v>222</v>
      </c>
      <c r="T18" s="14">
        <v>271</v>
      </c>
      <c r="U18" s="14">
        <v>683</v>
      </c>
      <c r="V18" s="14">
        <v>14</v>
      </c>
      <c r="W18" s="14">
        <v>172</v>
      </c>
      <c r="X18" s="14">
        <v>4</v>
      </c>
      <c r="Y18" s="14">
        <v>223</v>
      </c>
      <c r="Z18" s="14">
        <v>327</v>
      </c>
      <c r="AA18" s="14">
        <v>188</v>
      </c>
      <c r="AB18" s="14">
        <v>193</v>
      </c>
      <c r="AC18" s="14">
        <v>5</v>
      </c>
      <c r="AD18" s="14">
        <v>442</v>
      </c>
      <c r="AE18" s="14">
        <v>29</v>
      </c>
      <c r="AF18" s="14">
        <v>89</v>
      </c>
      <c r="AG18" s="14">
        <v>3</v>
      </c>
      <c r="AH18" s="14">
        <v>650</v>
      </c>
      <c r="AI18" s="14">
        <v>74</v>
      </c>
      <c r="AJ18" s="14">
        <v>132</v>
      </c>
      <c r="AK18" s="14">
        <v>146</v>
      </c>
      <c r="AL18" s="14">
        <v>604</v>
      </c>
      <c r="AM18" s="14">
        <v>461</v>
      </c>
      <c r="AN18" s="14">
        <v>168</v>
      </c>
      <c r="AO18" s="14">
        <v>24</v>
      </c>
      <c r="AP18" s="14">
        <v>12</v>
      </c>
      <c r="AQ18" s="14">
        <v>62</v>
      </c>
      <c r="AR18" s="14">
        <v>102</v>
      </c>
      <c r="AS18" s="14">
        <v>56</v>
      </c>
      <c r="AT18" s="14">
        <v>145</v>
      </c>
    </row>
    <row r="19" spans="1:46" x14ac:dyDescent="0.25">
      <c r="A19" s="14">
        <v>76</v>
      </c>
      <c r="B19" s="14">
        <v>17882</v>
      </c>
      <c r="C19" s="14">
        <v>25</v>
      </c>
      <c r="D19" s="14">
        <v>71</v>
      </c>
      <c r="E19" s="14">
        <v>205</v>
      </c>
      <c r="F19" s="14">
        <v>863</v>
      </c>
      <c r="G19" s="14">
        <v>780</v>
      </c>
      <c r="H19" s="14">
        <v>40</v>
      </c>
      <c r="I19" s="14">
        <v>107</v>
      </c>
      <c r="J19" s="14">
        <v>523</v>
      </c>
      <c r="K19" s="14">
        <v>11</v>
      </c>
      <c r="L19" s="14">
        <v>211</v>
      </c>
      <c r="M19" s="14">
        <v>259</v>
      </c>
      <c r="N19" s="14">
        <v>15</v>
      </c>
      <c r="P19" s="14">
        <v>106</v>
      </c>
      <c r="Q19" s="14">
        <v>41</v>
      </c>
      <c r="R19" s="14">
        <v>2</v>
      </c>
      <c r="S19" s="14">
        <v>167</v>
      </c>
      <c r="T19" s="14">
        <v>159</v>
      </c>
      <c r="U19" s="14">
        <v>115</v>
      </c>
      <c r="V19" s="14">
        <v>35</v>
      </c>
      <c r="W19" s="14">
        <v>406</v>
      </c>
      <c r="X19" s="14">
        <v>12</v>
      </c>
      <c r="Y19" s="14">
        <v>845</v>
      </c>
      <c r="Z19" s="14">
        <v>132</v>
      </c>
      <c r="AA19" s="14">
        <v>295</v>
      </c>
      <c r="AB19" s="14">
        <v>392</v>
      </c>
      <c r="AC19" s="14">
        <v>10</v>
      </c>
      <c r="AD19" s="14">
        <v>236</v>
      </c>
      <c r="AE19" s="14">
        <v>29</v>
      </c>
      <c r="AF19" s="14">
        <v>90</v>
      </c>
      <c r="AG19" s="14">
        <v>21</v>
      </c>
      <c r="AH19" s="14">
        <v>163</v>
      </c>
      <c r="AI19" s="14">
        <v>51</v>
      </c>
      <c r="AJ19" s="14">
        <v>331</v>
      </c>
      <c r="AK19" s="14">
        <v>189</v>
      </c>
      <c r="AL19" s="14">
        <v>584</v>
      </c>
      <c r="AM19" s="14">
        <v>132</v>
      </c>
      <c r="AN19" s="14">
        <v>238</v>
      </c>
      <c r="AO19" s="14">
        <v>27</v>
      </c>
      <c r="AP19" s="14">
        <v>2</v>
      </c>
      <c r="AQ19" s="14">
        <v>191</v>
      </c>
      <c r="AR19" s="14">
        <v>160</v>
      </c>
      <c r="AS19" s="14">
        <v>63</v>
      </c>
      <c r="AT19" s="14">
        <v>449</v>
      </c>
    </row>
    <row r="20" spans="1:46" x14ac:dyDescent="0.25">
      <c r="A20" s="14">
        <v>38</v>
      </c>
      <c r="B20" s="14">
        <v>85</v>
      </c>
      <c r="C20" s="14">
        <v>22</v>
      </c>
      <c r="D20" s="14">
        <v>35</v>
      </c>
      <c r="E20" s="14">
        <v>197</v>
      </c>
      <c r="F20" s="14">
        <v>629</v>
      </c>
      <c r="G20" s="14">
        <v>848</v>
      </c>
      <c r="H20" s="14">
        <v>120</v>
      </c>
      <c r="I20" s="14">
        <v>23</v>
      </c>
      <c r="J20" s="14">
        <v>630</v>
      </c>
      <c r="K20" s="14">
        <v>42</v>
      </c>
      <c r="L20" s="14">
        <v>191</v>
      </c>
      <c r="M20" s="14">
        <v>162</v>
      </c>
      <c r="N20" s="14">
        <v>1</v>
      </c>
      <c r="P20" s="14">
        <v>133</v>
      </c>
      <c r="Q20" s="14">
        <v>28</v>
      </c>
      <c r="R20" s="14">
        <v>245</v>
      </c>
      <c r="S20" s="14">
        <v>106</v>
      </c>
      <c r="T20" s="14">
        <v>230</v>
      </c>
      <c r="U20" s="14">
        <v>144</v>
      </c>
      <c r="V20" s="14">
        <v>33</v>
      </c>
      <c r="W20" s="14">
        <v>121</v>
      </c>
      <c r="X20" s="14">
        <v>15</v>
      </c>
      <c r="Y20" s="14">
        <v>95</v>
      </c>
      <c r="Z20" s="14">
        <v>32</v>
      </c>
      <c r="AA20" s="14">
        <v>216</v>
      </c>
      <c r="AB20" s="14">
        <v>860</v>
      </c>
      <c r="AC20" s="14">
        <v>1</v>
      </c>
      <c r="AD20" s="14">
        <v>459</v>
      </c>
      <c r="AE20" s="14">
        <v>101</v>
      </c>
      <c r="AF20" s="14">
        <v>14</v>
      </c>
      <c r="AG20" s="14">
        <v>22</v>
      </c>
      <c r="AH20" s="14">
        <v>295</v>
      </c>
      <c r="AI20" s="14">
        <v>224</v>
      </c>
      <c r="AJ20" s="14">
        <v>810</v>
      </c>
      <c r="AK20" s="14">
        <v>190</v>
      </c>
      <c r="AL20" s="14">
        <v>470</v>
      </c>
      <c r="AM20" s="14">
        <v>504</v>
      </c>
      <c r="AN20" s="14">
        <v>455</v>
      </c>
      <c r="AO20" s="14">
        <v>675</v>
      </c>
      <c r="AP20" s="14">
        <v>631</v>
      </c>
      <c r="AQ20" s="14">
        <v>366</v>
      </c>
      <c r="AR20" s="14">
        <v>25</v>
      </c>
      <c r="AS20" s="14">
        <v>43</v>
      </c>
      <c r="AT20" s="14">
        <v>237</v>
      </c>
    </row>
    <row r="21" spans="1:46" x14ac:dyDescent="0.25">
      <c r="A21" s="14">
        <v>35</v>
      </c>
      <c r="B21" s="14">
        <v>6790</v>
      </c>
      <c r="C21" s="14">
        <v>10</v>
      </c>
      <c r="D21" s="14">
        <v>73</v>
      </c>
      <c r="E21" s="14">
        <v>124</v>
      </c>
      <c r="F21" s="14">
        <v>1638</v>
      </c>
      <c r="G21" s="14">
        <v>105</v>
      </c>
      <c r="H21" s="14">
        <v>205</v>
      </c>
      <c r="I21" s="14">
        <v>27</v>
      </c>
      <c r="J21" s="14">
        <v>612</v>
      </c>
      <c r="K21" s="14">
        <v>189</v>
      </c>
      <c r="L21" s="14">
        <v>249</v>
      </c>
      <c r="M21" s="14">
        <v>856</v>
      </c>
      <c r="N21" s="14">
        <v>2</v>
      </c>
      <c r="P21" s="14">
        <v>123</v>
      </c>
      <c r="Q21" s="14">
        <v>28</v>
      </c>
      <c r="R21" s="14">
        <v>597</v>
      </c>
      <c r="S21" s="14">
        <v>378</v>
      </c>
      <c r="T21" s="14">
        <v>119</v>
      </c>
      <c r="U21" s="14">
        <v>163</v>
      </c>
      <c r="V21" s="14">
        <v>26</v>
      </c>
      <c r="W21" s="14">
        <v>357</v>
      </c>
      <c r="X21" s="14">
        <v>11</v>
      </c>
      <c r="Y21" s="14">
        <v>41</v>
      </c>
      <c r="Z21" s="14">
        <v>89</v>
      </c>
      <c r="AA21" s="14">
        <v>188</v>
      </c>
      <c r="AB21" s="14">
        <v>771</v>
      </c>
      <c r="AC21" s="14">
        <v>7</v>
      </c>
      <c r="AD21" s="14">
        <v>443</v>
      </c>
      <c r="AE21" s="14">
        <v>19</v>
      </c>
      <c r="AF21" s="14">
        <v>82</v>
      </c>
      <c r="AG21" s="14">
        <v>684</v>
      </c>
      <c r="AH21" s="14">
        <v>157</v>
      </c>
      <c r="AI21" s="14">
        <v>175</v>
      </c>
      <c r="AJ21" s="14">
        <v>566</v>
      </c>
      <c r="AK21" s="14">
        <v>941</v>
      </c>
      <c r="AL21" s="14">
        <v>584</v>
      </c>
      <c r="AM21" s="14">
        <v>138</v>
      </c>
      <c r="AN21" s="14">
        <v>330</v>
      </c>
      <c r="AO21" s="14">
        <v>405</v>
      </c>
      <c r="AP21" s="14">
        <v>294</v>
      </c>
      <c r="AQ21" s="14">
        <v>52</v>
      </c>
      <c r="AR21" s="14">
        <v>9</v>
      </c>
      <c r="AS21" s="14">
        <v>13</v>
      </c>
      <c r="AT21" s="14">
        <v>631</v>
      </c>
    </row>
    <row r="22" spans="1:46" x14ac:dyDescent="0.25">
      <c r="A22" s="14">
        <v>29</v>
      </c>
      <c r="B22" s="14">
        <v>17265</v>
      </c>
      <c r="C22" s="14">
        <v>7</v>
      </c>
      <c r="D22" s="14">
        <v>30</v>
      </c>
      <c r="E22" s="14">
        <v>329</v>
      </c>
      <c r="F22" s="14">
        <v>151</v>
      </c>
      <c r="G22" s="14">
        <v>106</v>
      </c>
      <c r="H22" s="14">
        <v>210</v>
      </c>
      <c r="I22" s="14">
        <v>974</v>
      </c>
      <c r="J22" s="14">
        <v>742</v>
      </c>
      <c r="K22" s="14">
        <v>120</v>
      </c>
      <c r="L22" s="14">
        <v>237</v>
      </c>
      <c r="M22" s="14">
        <v>338</v>
      </c>
      <c r="N22" s="14">
        <v>7</v>
      </c>
      <c r="P22" s="14">
        <v>77</v>
      </c>
      <c r="Q22" s="14">
        <v>23</v>
      </c>
      <c r="R22" s="14">
        <v>117</v>
      </c>
      <c r="S22" s="14">
        <v>2</v>
      </c>
      <c r="T22" s="14">
        <v>484</v>
      </c>
      <c r="U22" s="14">
        <v>174</v>
      </c>
      <c r="V22" s="14">
        <v>15</v>
      </c>
      <c r="W22" s="14">
        <v>176</v>
      </c>
      <c r="X22" s="14">
        <v>42</v>
      </c>
      <c r="Y22" s="14">
        <v>56</v>
      </c>
      <c r="AA22" s="14">
        <v>160</v>
      </c>
      <c r="AB22" s="14">
        <v>778</v>
      </c>
      <c r="AC22" s="14">
        <v>8</v>
      </c>
      <c r="AD22" s="14">
        <v>543</v>
      </c>
      <c r="AE22" s="14">
        <v>6</v>
      </c>
      <c r="AF22" s="14">
        <v>76</v>
      </c>
      <c r="AG22" s="14">
        <v>290</v>
      </c>
      <c r="AH22" s="14">
        <v>874</v>
      </c>
      <c r="AI22" s="14">
        <v>56</v>
      </c>
      <c r="AJ22" s="14">
        <v>222</v>
      </c>
      <c r="AK22" s="14">
        <v>197</v>
      </c>
      <c r="AL22" s="14">
        <v>544</v>
      </c>
      <c r="AM22" s="14">
        <v>378</v>
      </c>
      <c r="AN22" s="14">
        <v>319</v>
      </c>
      <c r="AO22" s="14">
        <v>270</v>
      </c>
      <c r="AP22" s="14">
        <v>238</v>
      </c>
      <c r="AQ22" s="14">
        <v>89</v>
      </c>
      <c r="AR22" s="14">
        <v>48</v>
      </c>
      <c r="AS22" s="14">
        <v>1248</v>
      </c>
      <c r="AT22" s="14">
        <v>796</v>
      </c>
    </row>
    <row r="23" spans="1:46" x14ac:dyDescent="0.25">
      <c r="A23" s="14">
        <v>31</v>
      </c>
      <c r="B23" s="14">
        <v>774</v>
      </c>
      <c r="C23" s="14">
        <v>7</v>
      </c>
      <c r="D23" s="14">
        <v>41</v>
      </c>
      <c r="E23" s="14">
        <v>30</v>
      </c>
      <c r="F23" s="14">
        <v>144</v>
      </c>
      <c r="G23" s="14">
        <v>1002</v>
      </c>
      <c r="H23" s="14">
        <v>166</v>
      </c>
      <c r="I23" s="14">
        <v>133</v>
      </c>
      <c r="J23" s="14">
        <v>498</v>
      </c>
      <c r="K23" s="14">
        <v>116</v>
      </c>
      <c r="L23" s="14">
        <v>238</v>
      </c>
      <c r="M23" s="14">
        <v>188</v>
      </c>
      <c r="N23" s="14">
        <v>3</v>
      </c>
      <c r="P23" s="14">
        <v>106</v>
      </c>
      <c r="Q23" s="14">
        <v>3</v>
      </c>
      <c r="R23" s="14">
        <v>122</v>
      </c>
      <c r="S23" s="14">
        <v>2</v>
      </c>
      <c r="T23" s="14">
        <v>261</v>
      </c>
      <c r="U23" s="14">
        <v>231</v>
      </c>
      <c r="V23" s="14">
        <v>28</v>
      </c>
      <c r="W23" s="14">
        <v>130</v>
      </c>
      <c r="X23" s="14">
        <v>5</v>
      </c>
      <c r="Y23" s="14">
        <v>118</v>
      </c>
      <c r="AA23" s="14">
        <v>266</v>
      </c>
      <c r="AB23" s="14">
        <v>406</v>
      </c>
      <c r="AC23" s="14">
        <v>10</v>
      </c>
      <c r="AD23" s="14">
        <v>542</v>
      </c>
      <c r="AE23" s="14">
        <v>7</v>
      </c>
      <c r="AF23" s="14">
        <v>111</v>
      </c>
      <c r="AG23" s="14">
        <v>701</v>
      </c>
      <c r="AH23" s="14">
        <v>584</v>
      </c>
      <c r="AI23" s="14">
        <v>100</v>
      </c>
      <c r="AJ23" s="14">
        <v>116</v>
      </c>
      <c r="AK23" s="14">
        <v>197</v>
      </c>
      <c r="AL23" s="14">
        <v>110</v>
      </c>
      <c r="AM23" s="14">
        <v>461</v>
      </c>
      <c r="AN23" s="14">
        <v>284</v>
      </c>
      <c r="AO23" s="14">
        <v>30</v>
      </c>
      <c r="AP23" s="14">
        <v>767</v>
      </c>
      <c r="AQ23" s="14">
        <v>126</v>
      </c>
      <c r="AR23" s="14">
        <v>6</v>
      </c>
      <c r="AS23" s="14">
        <v>1302</v>
      </c>
      <c r="AT23" s="14">
        <v>688</v>
      </c>
    </row>
    <row r="24" spans="1:46" x14ac:dyDescent="0.25">
      <c r="A24" s="14">
        <v>38</v>
      </c>
      <c r="B24" s="14">
        <v>83</v>
      </c>
      <c r="C24" s="14">
        <v>27</v>
      </c>
      <c r="D24" s="14">
        <v>39</v>
      </c>
      <c r="E24" s="14">
        <v>163</v>
      </c>
      <c r="F24" s="14">
        <v>231</v>
      </c>
      <c r="G24" s="14">
        <v>669</v>
      </c>
      <c r="H24" s="14">
        <v>279</v>
      </c>
      <c r="I24" s="14">
        <v>165</v>
      </c>
      <c r="J24" s="14">
        <v>653</v>
      </c>
      <c r="K24" s="14">
        <v>15</v>
      </c>
      <c r="L24" s="14">
        <v>144</v>
      </c>
      <c r="M24" s="14">
        <v>12</v>
      </c>
      <c r="N24" s="14">
        <v>1</v>
      </c>
      <c r="P24" s="14">
        <v>109</v>
      </c>
      <c r="Q24" s="14">
        <v>64</v>
      </c>
      <c r="R24" s="14">
        <v>6</v>
      </c>
      <c r="S24" s="14">
        <v>33</v>
      </c>
      <c r="T24" s="14">
        <v>303</v>
      </c>
      <c r="U24" s="14">
        <v>245</v>
      </c>
      <c r="V24" s="14">
        <v>29</v>
      </c>
      <c r="W24" s="14">
        <v>156</v>
      </c>
      <c r="X24" s="14">
        <v>18</v>
      </c>
      <c r="Y24" s="14">
        <v>63</v>
      </c>
      <c r="AA24" s="14">
        <v>152</v>
      </c>
      <c r="AB24" s="14">
        <v>684</v>
      </c>
      <c r="AC24" s="14">
        <v>1</v>
      </c>
      <c r="AD24" s="14">
        <v>236</v>
      </c>
      <c r="AE24" s="14">
        <v>46</v>
      </c>
      <c r="AF24" s="14">
        <v>215</v>
      </c>
      <c r="AG24" s="14">
        <v>559</v>
      </c>
      <c r="AH24" s="14">
        <v>122</v>
      </c>
      <c r="AI24" s="14">
        <v>104</v>
      </c>
      <c r="AJ24" s="14">
        <v>379</v>
      </c>
      <c r="AK24" s="14">
        <v>544</v>
      </c>
      <c r="AL24" s="14">
        <v>102</v>
      </c>
      <c r="AM24" s="14">
        <v>780</v>
      </c>
      <c r="AN24" s="14">
        <v>266</v>
      </c>
      <c r="AO24" s="14">
        <v>29</v>
      </c>
      <c r="AP24" s="14">
        <v>398</v>
      </c>
      <c r="AQ24" s="14">
        <v>174</v>
      </c>
      <c r="AR24" s="14">
        <v>129</v>
      </c>
      <c r="AS24" s="14">
        <v>1089</v>
      </c>
      <c r="AT24" s="14">
        <v>828</v>
      </c>
    </row>
    <row r="25" spans="1:46" x14ac:dyDescent="0.25">
      <c r="A25" s="14">
        <v>30</v>
      </c>
      <c r="B25" s="14">
        <v>7152</v>
      </c>
      <c r="C25" s="14">
        <v>9</v>
      </c>
      <c r="D25" s="14">
        <v>66</v>
      </c>
      <c r="E25" s="14">
        <v>61</v>
      </c>
      <c r="F25" s="14">
        <v>133</v>
      </c>
      <c r="G25" s="14">
        <v>752</v>
      </c>
      <c r="H25" s="14">
        <v>41</v>
      </c>
      <c r="I25" s="14">
        <v>124</v>
      </c>
      <c r="J25" s="14">
        <v>157</v>
      </c>
      <c r="K25" s="14">
        <v>11</v>
      </c>
      <c r="L25" s="14">
        <v>168</v>
      </c>
      <c r="M25" s="14">
        <v>12</v>
      </c>
      <c r="N25" s="14">
        <v>1</v>
      </c>
      <c r="P25" s="14">
        <v>106</v>
      </c>
      <c r="Q25" s="14">
        <v>144</v>
      </c>
      <c r="R25" s="14">
        <v>172</v>
      </c>
      <c r="S25" s="14">
        <v>150</v>
      </c>
      <c r="T25" s="14">
        <v>101</v>
      </c>
      <c r="U25" s="14">
        <v>240</v>
      </c>
      <c r="V25" s="14">
        <v>58</v>
      </c>
      <c r="W25" s="14">
        <v>183</v>
      </c>
      <c r="X25" s="14">
        <v>5</v>
      </c>
      <c r="Y25" s="14">
        <v>132</v>
      </c>
      <c r="AA25" s="14">
        <v>134</v>
      </c>
      <c r="AB25" s="14">
        <v>249</v>
      </c>
      <c r="AC25" s="14">
        <v>10</v>
      </c>
      <c r="AD25" s="14">
        <v>162</v>
      </c>
      <c r="AE25" s="14">
        <v>27</v>
      </c>
      <c r="AF25" s="14">
        <v>693</v>
      </c>
      <c r="AG25" s="14">
        <v>235</v>
      </c>
      <c r="AH25" s="14">
        <v>577</v>
      </c>
      <c r="AI25" s="14">
        <v>93</v>
      </c>
      <c r="AJ25" s="14">
        <v>107</v>
      </c>
      <c r="AK25" s="14">
        <v>360</v>
      </c>
      <c r="AL25" s="14">
        <v>120</v>
      </c>
      <c r="AM25" s="14">
        <v>141</v>
      </c>
      <c r="AN25" s="14">
        <v>261</v>
      </c>
      <c r="AO25" s="14">
        <v>784</v>
      </c>
      <c r="AP25" s="14">
        <v>356</v>
      </c>
      <c r="AQ25" s="14">
        <v>310</v>
      </c>
      <c r="AR25" s="14">
        <v>3</v>
      </c>
      <c r="AS25" s="14">
        <v>1107</v>
      </c>
      <c r="AT25" s="14">
        <v>753</v>
      </c>
    </row>
    <row r="26" spans="1:46" x14ac:dyDescent="0.25">
      <c r="A26" s="14">
        <v>49</v>
      </c>
      <c r="B26" s="14">
        <v>17679</v>
      </c>
      <c r="C26" s="14">
        <v>10</v>
      </c>
      <c r="D26" s="14">
        <v>14</v>
      </c>
      <c r="E26" s="14">
        <v>137</v>
      </c>
      <c r="F26" s="14">
        <v>635</v>
      </c>
      <c r="G26" s="14">
        <v>302</v>
      </c>
      <c r="H26" s="14">
        <v>41</v>
      </c>
      <c r="I26" s="14">
        <v>167</v>
      </c>
      <c r="J26" s="14">
        <v>146</v>
      </c>
      <c r="K26" s="14">
        <v>43</v>
      </c>
      <c r="L26" s="14">
        <v>136</v>
      </c>
      <c r="M26" s="14">
        <v>739</v>
      </c>
      <c r="N26" s="14">
        <v>15</v>
      </c>
      <c r="P26" s="14">
        <v>203</v>
      </c>
      <c r="Q26" s="14">
        <v>158</v>
      </c>
      <c r="R26" s="14">
        <v>4</v>
      </c>
      <c r="S26" s="14">
        <v>43</v>
      </c>
      <c r="T26" s="14">
        <v>557</v>
      </c>
      <c r="U26" s="14">
        <v>249</v>
      </c>
      <c r="V26" s="14">
        <v>48</v>
      </c>
      <c r="W26" s="14">
        <v>212</v>
      </c>
      <c r="X26" s="14">
        <v>11</v>
      </c>
      <c r="Y26" s="14">
        <v>746</v>
      </c>
      <c r="AA26" s="14">
        <v>80</v>
      </c>
      <c r="AB26" s="14">
        <v>203</v>
      </c>
      <c r="AC26" s="14">
        <v>4</v>
      </c>
      <c r="AD26" s="14">
        <v>186</v>
      </c>
      <c r="AE26" s="14">
        <v>35</v>
      </c>
      <c r="AF26" s="14">
        <v>368</v>
      </c>
      <c r="AG26" s="14">
        <v>569</v>
      </c>
      <c r="AH26" s="14">
        <v>550</v>
      </c>
      <c r="AI26" s="14">
        <v>98</v>
      </c>
      <c r="AJ26" s="14">
        <v>515</v>
      </c>
      <c r="AK26" s="14">
        <v>8</v>
      </c>
      <c r="AL26" s="14">
        <v>74</v>
      </c>
      <c r="AM26" s="14">
        <v>434</v>
      </c>
      <c r="AN26" s="14">
        <v>280</v>
      </c>
      <c r="AO26" s="14">
        <v>408</v>
      </c>
      <c r="AP26" s="14">
        <v>19</v>
      </c>
      <c r="AQ26" s="14">
        <v>204</v>
      </c>
      <c r="AR26" s="14">
        <v>11</v>
      </c>
      <c r="AS26" s="14">
        <v>1154</v>
      </c>
      <c r="AT26" s="14">
        <v>681</v>
      </c>
    </row>
    <row r="27" spans="1:46" x14ac:dyDescent="0.25">
      <c r="A27" s="14">
        <v>42</v>
      </c>
      <c r="B27" s="14">
        <v>87</v>
      </c>
      <c r="C27" s="14">
        <v>24</v>
      </c>
      <c r="D27" s="14">
        <v>38</v>
      </c>
      <c r="E27" s="14">
        <v>163</v>
      </c>
      <c r="F27" s="14">
        <v>306</v>
      </c>
      <c r="G27" s="14">
        <v>190</v>
      </c>
      <c r="H27" s="14">
        <v>119</v>
      </c>
      <c r="I27" s="14">
        <v>184</v>
      </c>
      <c r="J27" s="14">
        <v>135</v>
      </c>
      <c r="K27" s="14">
        <v>210</v>
      </c>
      <c r="L27" s="14">
        <v>219</v>
      </c>
      <c r="M27" s="14">
        <v>347</v>
      </c>
      <c r="N27" s="14">
        <v>3</v>
      </c>
      <c r="P27" s="14">
        <v>205</v>
      </c>
      <c r="Q27" s="14">
        <v>4</v>
      </c>
      <c r="R27" s="14">
        <v>3</v>
      </c>
      <c r="S27" s="14">
        <v>382</v>
      </c>
      <c r="T27" s="14">
        <v>709</v>
      </c>
      <c r="U27" s="14">
        <v>267</v>
      </c>
      <c r="V27" s="14">
        <v>64</v>
      </c>
      <c r="W27" s="14">
        <v>113</v>
      </c>
      <c r="X27" s="14">
        <v>14</v>
      </c>
      <c r="Y27" s="14">
        <v>93</v>
      </c>
      <c r="AA27" s="14">
        <v>73</v>
      </c>
      <c r="AB27" s="14">
        <v>58</v>
      </c>
      <c r="AC27" s="14">
        <v>8</v>
      </c>
      <c r="AD27" s="14">
        <v>155</v>
      </c>
      <c r="AE27" s="14">
        <v>36</v>
      </c>
      <c r="AF27" s="14">
        <v>76</v>
      </c>
      <c r="AG27" s="14">
        <v>868</v>
      </c>
      <c r="AH27" s="14">
        <v>204</v>
      </c>
      <c r="AI27" s="14">
        <v>418</v>
      </c>
      <c r="AJ27" s="14">
        <v>125</v>
      </c>
      <c r="AK27" s="14">
        <v>129</v>
      </c>
      <c r="AL27" s="14">
        <v>113</v>
      </c>
      <c r="AM27" s="14">
        <v>404</v>
      </c>
      <c r="AN27" s="14">
        <v>274</v>
      </c>
      <c r="AO27" s="14">
        <v>262</v>
      </c>
      <c r="AP27" s="14">
        <v>69</v>
      </c>
      <c r="AQ27" s="14">
        <v>119</v>
      </c>
      <c r="AR27" s="14">
        <v>28</v>
      </c>
      <c r="AS27" s="14">
        <v>921</v>
      </c>
      <c r="AT27" s="14">
        <v>841</v>
      </c>
    </row>
    <row r="28" spans="1:46" x14ac:dyDescent="0.25">
      <c r="A28" s="14">
        <v>31</v>
      </c>
      <c r="B28" s="14">
        <v>6905</v>
      </c>
      <c r="C28" s="14">
        <v>54</v>
      </c>
      <c r="D28" s="14">
        <v>37</v>
      </c>
      <c r="E28" s="14">
        <v>154</v>
      </c>
      <c r="F28" s="14">
        <v>294</v>
      </c>
      <c r="G28" s="14">
        <v>202</v>
      </c>
      <c r="H28" s="14">
        <v>127</v>
      </c>
      <c r="J28" s="14">
        <v>126</v>
      </c>
      <c r="K28" s="14">
        <v>131</v>
      </c>
      <c r="L28" s="14">
        <v>159</v>
      </c>
      <c r="M28" s="14">
        <v>259</v>
      </c>
      <c r="N28" s="14">
        <v>10</v>
      </c>
      <c r="P28" s="14">
        <v>101</v>
      </c>
      <c r="Q28" s="14">
        <v>77</v>
      </c>
      <c r="R28" s="14">
        <v>3</v>
      </c>
      <c r="S28" s="14">
        <v>150</v>
      </c>
      <c r="T28" s="14">
        <v>246</v>
      </c>
      <c r="U28" s="14">
        <v>295</v>
      </c>
      <c r="V28" s="14">
        <v>118</v>
      </c>
      <c r="W28" s="14">
        <v>257</v>
      </c>
      <c r="X28" s="14">
        <v>10</v>
      </c>
      <c r="Y28" s="14">
        <v>41</v>
      </c>
      <c r="AA28" s="14">
        <v>7</v>
      </c>
      <c r="AB28" s="14">
        <v>45</v>
      </c>
      <c r="AC28" s="14">
        <v>1</v>
      </c>
      <c r="AD28" s="14">
        <v>173</v>
      </c>
      <c r="AE28" s="14">
        <v>46</v>
      </c>
      <c r="AF28" s="14">
        <v>155</v>
      </c>
      <c r="AG28" s="14">
        <v>301</v>
      </c>
      <c r="AH28" s="14">
        <v>194</v>
      </c>
      <c r="AI28" s="14">
        <v>306</v>
      </c>
      <c r="AJ28" s="14">
        <v>115</v>
      </c>
      <c r="AK28" s="14">
        <v>629</v>
      </c>
      <c r="AL28" s="14">
        <v>96</v>
      </c>
      <c r="AM28" s="14">
        <v>220</v>
      </c>
      <c r="AN28" s="14">
        <v>258</v>
      </c>
      <c r="AO28" s="14">
        <v>300</v>
      </c>
      <c r="AP28" s="14">
        <v>45</v>
      </c>
      <c r="AQ28" s="14">
        <v>124</v>
      </c>
      <c r="AR28" s="14">
        <v>4</v>
      </c>
      <c r="AS28" s="14">
        <v>1128</v>
      </c>
      <c r="AT28" s="14">
        <v>198</v>
      </c>
    </row>
    <row r="29" spans="1:46" x14ac:dyDescent="0.25">
      <c r="A29" s="14">
        <v>25</v>
      </c>
      <c r="B29" s="14">
        <v>17173</v>
      </c>
      <c r="D29" s="14">
        <v>13</v>
      </c>
      <c r="E29" s="14">
        <v>45</v>
      </c>
      <c r="F29" s="14">
        <v>577</v>
      </c>
      <c r="G29" s="14">
        <v>200</v>
      </c>
      <c r="H29" s="14">
        <v>123</v>
      </c>
      <c r="J29" s="14">
        <v>126</v>
      </c>
      <c r="K29" s="14">
        <v>48</v>
      </c>
      <c r="L29" s="14">
        <v>195</v>
      </c>
      <c r="M29" s="14">
        <v>162</v>
      </c>
      <c r="N29" s="14">
        <v>4</v>
      </c>
      <c r="P29" s="14">
        <v>400</v>
      </c>
      <c r="Q29" s="14">
        <v>23</v>
      </c>
      <c r="R29" s="14">
        <v>179</v>
      </c>
      <c r="S29" s="14">
        <v>26</v>
      </c>
      <c r="T29" s="14">
        <v>589</v>
      </c>
      <c r="U29" s="14">
        <v>285</v>
      </c>
      <c r="V29" s="14">
        <v>93</v>
      </c>
      <c r="W29" s="14">
        <v>694</v>
      </c>
      <c r="X29" s="14">
        <v>39</v>
      </c>
      <c r="Y29" s="14">
        <v>56</v>
      </c>
      <c r="AA29" s="14">
        <v>185</v>
      </c>
      <c r="AB29" s="14">
        <v>424</v>
      </c>
      <c r="AC29" s="14">
        <v>10</v>
      </c>
      <c r="AD29" s="14">
        <v>111</v>
      </c>
      <c r="AE29" s="14">
        <v>17</v>
      </c>
      <c r="AF29" s="14">
        <v>245</v>
      </c>
      <c r="AG29" s="14">
        <v>716</v>
      </c>
      <c r="AH29" s="14">
        <v>586</v>
      </c>
      <c r="AI29" s="14">
        <v>107</v>
      </c>
      <c r="AJ29" s="14">
        <v>233</v>
      </c>
      <c r="AK29" s="14">
        <v>650</v>
      </c>
      <c r="AL29" s="14">
        <v>66</v>
      </c>
      <c r="AM29" s="14">
        <v>516</v>
      </c>
      <c r="AN29" s="14">
        <v>245</v>
      </c>
      <c r="AO29" s="14">
        <v>10</v>
      </c>
      <c r="AP29" s="14">
        <v>824</v>
      </c>
      <c r="AQ29" s="14">
        <v>189</v>
      </c>
      <c r="AR29" s="14">
        <v>1720</v>
      </c>
      <c r="AS29" s="14">
        <v>1176</v>
      </c>
      <c r="AT29" s="14">
        <v>177</v>
      </c>
    </row>
    <row r="30" spans="1:46" x14ac:dyDescent="0.25">
      <c r="A30" s="14">
        <v>25</v>
      </c>
      <c r="B30" s="14">
        <v>86</v>
      </c>
      <c r="D30" s="14">
        <v>33</v>
      </c>
      <c r="E30" s="14">
        <v>42</v>
      </c>
      <c r="F30" s="14">
        <v>160</v>
      </c>
      <c r="G30" s="14">
        <v>276</v>
      </c>
      <c r="H30" s="14">
        <v>146</v>
      </c>
      <c r="J30" s="14">
        <v>150</v>
      </c>
      <c r="K30" s="14">
        <v>39</v>
      </c>
      <c r="L30" s="14">
        <v>164</v>
      </c>
      <c r="M30" s="14">
        <v>12</v>
      </c>
      <c r="N30" s="14">
        <v>25</v>
      </c>
      <c r="P30" s="14">
        <v>135</v>
      </c>
      <c r="Q30" s="14">
        <v>572</v>
      </c>
      <c r="R30" s="14">
        <v>277</v>
      </c>
      <c r="S30" s="14">
        <v>219</v>
      </c>
      <c r="T30" s="14">
        <v>132</v>
      </c>
      <c r="U30" s="14">
        <v>448</v>
      </c>
      <c r="V30" s="14">
        <v>47</v>
      </c>
      <c r="W30" s="14">
        <v>238</v>
      </c>
      <c r="X30" s="14">
        <v>5</v>
      </c>
      <c r="Y30" s="14">
        <v>51</v>
      </c>
      <c r="AA30" s="14">
        <v>186</v>
      </c>
      <c r="AB30" s="14">
        <v>262</v>
      </c>
      <c r="AC30" s="14">
        <v>5</v>
      </c>
      <c r="AD30" s="14">
        <v>126</v>
      </c>
      <c r="AE30" s="14">
        <v>27</v>
      </c>
      <c r="AF30" s="14">
        <v>221</v>
      </c>
      <c r="AG30" s="14">
        <v>86</v>
      </c>
      <c r="AH30" s="14">
        <v>124</v>
      </c>
      <c r="AI30" s="14">
        <v>62</v>
      </c>
      <c r="AJ30" s="14">
        <v>145</v>
      </c>
      <c r="AK30" s="14">
        <v>909</v>
      </c>
      <c r="AL30" s="14">
        <v>8</v>
      </c>
      <c r="AM30" s="14">
        <v>1</v>
      </c>
      <c r="AN30" s="14">
        <v>411</v>
      </c>
      <c r="AO30" s="14">
        <v>186</v>
      </c>
      <c r="AP30" s="14">
        <v>355</v>
      </c>
      <c r="AQ30" s="14">
        <v>70</v>
      </c>
      <c r="AR30" s="14">
        <v>222</v>
      </c>
      <c r="AS30" s="14">
        <v>953</v>
      </c>
      <c r="AT30" s="14">
        <v>206</v>
      </c>
    </row>
    <row r="31" spans="1:46" x14ac:dyDescent="0.25">
      <c r="A31" s="14">
        <v>55</v>
      </c>
      <c r="B31" s="14">
        <v>778</v>
      </c>
      <c r="D31" s="14">
        <v>53</v>
      </c>
      <c r="E31" s="14">
        <v>21</v>
      </c>
      <c r="F31" s="14">
        <v>146</v>
      </c>
      <c r="G31" s="14">
        <v>263</v>
      </c>
      <c r="H31" s="14">
        <v>177</v>
      </c>
      <c r="J31" s="14">
        <v>150</v>
      </c>
      <c r="K31" s="14">
        <v>34</v>
      </c>
      <c r="L31" s="14">
        <v>231</v>
      </c>
      <c r="M31" s="14">
        <v>12</v>
      </c>
      <c r="N31" s="14">
        <v>6</v>
      </c>
      <c r="P31" s="14">
        <v>225</v>
      </c>
      <c r="Q31" s="14">
        <v>124</v>
      </c>
      <c r="R31" s="14">
        <v>54</v>
      </c>
      <c r="S31" s="14">
        <v>168</v>
      </c>
      <c r="T31" s="14">
        <v>102</v>
      </c>
      <c r="U31" s="14">
        <v>183</v>
      </c>
      <c r="V31" s="14">
        <v>83</v>
      </c>
      <c r="W31" s="14">
        <v>123</v>
      </c>
      <c r="X31" s="14">
        <v>17</v>
      </c>
      <c r="Y31" s="14">
        <v>194</v>
      </c>
      <c r="AA31" s="14">
        <v>102</v>
      </c>
      <c r="AB31" s="14">
        <v>140</v>
      </c>
      <c r="AC31" s="14">
        <v>9</v>
      </c>
      <c r="AD31" s="14">
        <v>7</v>
      </c>
      <c r="AE31" s="14">
        <v>34</v>
      </c>
      <c r="AF31" s="14">
        <v>692</v>
      </c>
      <c r="AG31" s="14">
        <v>280</v>
      </c>
      <c r="AH31" s="14">
        <v>886</v>
      </c>
      <c r="AI31" s="14">
        <v>116</v>
      </c>
      <c r="AJ31" s="14">
        <v>379</v>
      </c>
      <c r="AK31" s="14">
        <v>71</v>
      </c>
      <c r="AL31" s="14">
        <v>21</v>
      </c>
      <c r="AM31" s="14">
        <v>1</v>
      </c>
      <c r="AN31" s="14">
        <v>303</v>
      </c>
      <c r="AO31" s="14">
        <v>197</v>
      </c>
      <c r="AP31" s="14">
        <v>317</v>
      </c>
      <c r="AQ31" s="14">
        <v>131</v>
      </c>
      <c r="AR31" s="14">
        <v>6304</v>
      </c>
      <c r="AS31" s="14">
        <v>1028</v>
      </c>
      <c r="AT31" s="14">
        <v>244</v>
      </c>
    </row>
    <row r="32" spans="1:46" x14ac:dyDescent="0.25">
      <c r="A32" s="14">
        <v>24</v>
      </c>
      <c r="B32" s="14">
        <v>7681</v>
      </c>
      <c r="D32" s="14">
        <v>131</v>
      </c>
      <c r="E32" s="14">
        <v>21</v>
      </c>
      <c r="F32" s="14">
        <v>219</v>
      </c>
      <c r="G32" s="14">
        <v>267</v>
      </c>
      <c r="H32" s="14">
        <v>35</v>
      </c>
      <c r="J32" s="14">
        <v>115</v>
      </c>
      <c r="K32" s="14">
        <v>5</v>
      </c>
      <c r="L32" s="14">
        <v>206</v>
      </c>
      <c r="M32" s="14">
        <v>131</v>
      </c>
      <c r="N32" s="14">
        <v>2</v>
      </c>
      <c r="P32" s="14">
        <v>185</v>
      </c>
      <c r="Q32" s="14">
        <v>107</v>
      </c>
      <c r="R32" s="14">
        <v>66</v>
      </c>
      <c r="S32" s="14">
        <v>415</v>
      </c>
      <c r="T32" s="14">
        <v>254</v>
      </c>
      <c r="U32" s="14">
        <v>491</v>
      </c>
      <c r="V32" s="14">
        <v>107</v>
      </c>
      <c r="W32" s="14">
        <v>266</v>
      </c>
      <c r="X32" s="14">
        <v>5</v>
      </c>
      <c r="Y32" s="14">
        <v>223</v>
      </c>
      <c r="AA32" s="14">
        <v>181</v>
      </c>
      <c r="AB32" s="14">
        <v>371</v>
      </c>
      <c r="AC32" s="14">
        <v>2</v>
      </c>
      <c r="AD32" s="14">
        <v>106</v>
      </c>
      <c r="AE32" s="14">
        <v>44</v>
      </c>
      <c r="AF32" s="14">
        <v>362</v>
      </c>
      <c r="AG32" s="14">
        <v>35</v>
      </c>
      <c r="AH32" s="14">
        <v>197</v>
      </c>
      <c r="AI32" s="14">
        <v>75</v>
      </c>
      <c r="AJ32" s="14">
        <v>121</v>
      </c>
      <c r="AK32" s="14">
        <v>10</v>
      </c>
      <c r="AL32" s="14">
        <v>155</v>
      </c>
      <c r="AM32" s="14">
        <v>725</v>
      </c>
      <c r="AN32" s="14">
        <v>196</v>
      </c>
      <c r="AO32" s="14">
        <v>238</v>
      </c>
      <c r="AP32" s="14">
        <v>48</v>
      </c>
      <c r="AQ32" s="14">
        <v>210</v>
      </c>
      <c r="AR32" s="14">
        <v>4</v>
      </c>
      <c r="AS32" s="14">
        <v>1072</v>
      </c>
      <c r="AT32" s="14">
        <v>354</v>
      </c>
    </row>
    <row r="33" spans="1:46" x14ac:dyDescent="0.25">
      <c r="A33" s="14">
        <v>20</v>
      </c>
      <c r="B33" s="14">
        <v>8014</v>
      </c>
      <c r="D33" s="14">
        <v>75</v>
      </c>
      <c r="E33" s="14">
        <v>18</v>
      </c>
      <c r="F33" s="14">
        <v>149</v>
      </c>
      <c r="G33" s="14">
        <v>421</v>
      </c>
      <c r="H33" s="14">
        <v>35</v>
      </c>
      <c r="J33" s="14">
        <v>166</v>
      </c>
      <c r="K33" s="14">
        <v>9</v>
      </c>
      <c r="L33" s="14">
        <v>240</v>
      </c>
      <c r="M33" s="14">
        <v>134</v>
      </c>
      <c r="N33" s="14">
        <v>1</v>
      </c>
      <c r="P33" s="14">
        <v>187</v>
      </c>
      <c r="Q33" s="14">
        <v>55</v>
      </c>
      <c r="R33" s="14">
        <v>5</v>
      </c>
      <c r="S33" s="14">
        <v>194</v>
      </c>
      <c r="T33" s="14">
        <v>201</v>
      </c>
      <c r="U33" s="14">
        <v>510</v>
      </c>
      <c r="V33" s="14">
        <v>148</v>
      </c>
      <c r="W33" s="14">
        <v>299</v>
      </c>
      <c r="X33" s="14">
        <v>1</v>
      </c>
      <c r="Y33" s="14">
        <v>744</v>
      </c>
      <c r="AA33" s="14">
        <v>223</v>
      </c>
      <c r="AB33" s="14">
        <v>485</v>
      </c>
      <c r="AC33" s="14">
        <v>13</v>
      </c>
      <c r="AD33" s="14">
        <v>119</v>
      </c>
      <c r="AE33" s="14">
        <v>20</v>
      </c>
      <c r="AF33" s="14">
        <v>84</v>
      </c>
      <c r="AG33" s="14">
        <v>640</v>
      </c>
      <c r="AH33" s="14">
        <v>650</v>
      </c>
      <c r="AI33" s="14">
        <v>42</v>
      </c>
      <c r="AJ33" s="14">
        <v>140</v>
      </c>
      <c r="AK33" s="14">
        <v>259</v>
      </c>
      <c r="AL33" s="14">
        <v>162</v>
      </c>
      <c r="AM33" s="14">
        <v>713</v>
      </c>
      <c r="AN33" s="14">
        <v>342</v>
      </c>
      <c r="AO33" s="14">
        <v>635</v>
      </c>
      <c r="AP33" s="14">
        <v>164</v>
      </c>
      <c r="AQ33" s="14">
        <v>194</v>
      </c>
      <c r="AR33" s="14">
        <v>2</v>
      </c>
      <c r="AS33" s="14">
        <v>86</v>
      </c>
      <c r="AT33" s="14">
        <v>921</v>
      </c>
    </row>
    <row r="34" spans="1:46" x14ac:dyDescent="0.25">
      <c r="A34" s="14">
        <v>26</v>
      </c>
      <c r="B34" s="14">
        <v>7363</v>
      </c>
      <c r="D34" s="14">
        <v>56</v>
      </c>
      <c r="E34" s="14">
        <v>18</v>
      </c>
      <c r="F34" s="14">
        <v>334</v>
      </c>
      <c r="G34" s="14">
        <v>369</v>
      </c>
      <c r="H34" s="14">
        <v>803</v>
      </c>
      <c r="J34" s="14">
        <v>876</v>
      </c>
      <c r="K34" s="14">
        <v>8</v>
      </c>
      <c r="L34" s="14">
        <v>181</v>
      </c>
      <c r="M34" s="14">
        <v>106</v>
      </c>
      <c r="N34" s="14">
        <v>20</v>
      </c>
      <c r="P34" s="14">
        <v>92</v>
      </c>
      <c r="Q34" s="14">
        <v>49</v>
      </c>
      <c r="R34" s="14">
        <v>104</v>
      </c>
      <c r="S34" s="14">
        <v>241</v>
      </c>
      <c r="T34" s="14">
        <v>425</v>
      </c>
      <c r="U34" s="14">
        <v>727</v>
      </c>
      <c r="V34" s="14">
        <v>47</v>
      </c>
      <c r="W34" s="14">
        <v>83</v>
      </c>
      <c r="X34" s="14">
        <v>2</v>
      </c>
      <c r="Y34" s="14">
        <v>98</v>
      </c>
      <c r="AA34" s="14">
        <v>212</v>
      </c>
      <c r="AB34" s="14">
        <v>134</v>
      </c>
      <c r="AC34" s="14">
        <v>8</v>
      </c>
      <c r="AD34" s="14">
        <v>7</v>
      </c>
      <c r="AE34" s="14">
        <v>5</v>
      </c>
      <c r="AF34" s="14">
        <v>156</v>
      </c>
      <c r="AG34" s="14">
        <v>690</v>
      </c>
      <c r="AH34" s="14">
        <v>26</v>
      </c>
      <c r="AI34" s="14">
        <v>320</v>
      </c>
      <c r="AJ34" s="14">
        <v>289</v>
      </c>
      <c r="AK34" s="14">
        <v>140</v>
      </c>
      <c r="AL34" s="14">
        <v>193</v>
      </c>
      <c r="AM34" s="14">
        <v>663</v>
      </c>
      <c r="AN34" s="14">
        <v>190</v>
      </c>
      <c r="AO34" s="14">
        <v>304</v>
      </c>
      <c r="AP34" s="14">
        <v>88</v>
      </c>
      <c r="AQ34" s="14">
        <v>225</v>
      </c>
      <c r="AR34" s="14">
        <v>1</v>
      </c>
      <c r="AS34" s="14">
        <v>703</v>
      </c>
      <c r="AT34" s="14">
        <v>107</v>
      </c>
    </row>
    <row r="35" spans="1:46" x14ac:dyDescent="0.25">
      <c r="A35" s="14">
        <v>97</v>
      </c>
      <c r="B35" s="14">
        <v>7416</v>
      </c>
      <c r="D35" s="14">
        <v>48</v>
      </c>
      <c r="E35" s="14">
        <v>1068</v>
      </c>
      <c r="F35" s="14">
        <v>192</v>
      </c>
      <c r="G35" s="14">
        <v>30</v>
      </c>
      <c r="H35" s="14">
        <v>119</v>
      </c>
      <c r="J35" s="14">
        <v>869</v>
      </c>
      <c r="K35" s="14">
        <v>27</v>
      </c>
      <c r="L35" s="14">
        <v>243</v>
      </c>
      <c r="M35" s="14">
        <v>148</v>
      </c>
      <c r="P35" s="14">
        <v>365</v>
      </c>
      <c r="Q35" s="14">
        <v>47</v>
      </c>
      <c r="R35" s="14">
        <v>28</v>
      </c>
      <c r="S35" s="14">
        <v>979</v>
      </c>
      <c r="T35" s="14">
        <v>327</v>
      </c>
      <c r="U35" s="14">
        <v>812</v>
      </c>
      <c r="V35" s="14">
        <v>59</v>
      </c>
      <c r="W35" s="14">
        <v>499</v>
      </c>
      <c r="X35" s="14">
        <v>1</v>
      </c>
      <c r="Y35" s="14">
        <v>42</v>
      </c>
      <c r="AA35" s="14">
        <v>187</v>
      </c>
      <c r="AB35" s="14">
        <v>849</v>
      </c>
      <c r="AC35" s="14">
        <v>15</v>
      </c>
      <c r="AD35" s="14">
        <v>33</v>
      </c>
      <c r="AE35" s="14">
        <v>7</v>
      </c>
      <c r="AF35" s="14">
        <v>212</v>
      </c>
      <c r="AG35" s="14">
        <v>241</v>
      </c>
      <c r="AH35" s="14">
        <v>36</v>
      </c>
      <c r="AI35" s="14">
        <v>287</v>
      </c>
      <c r="AJ35" s="14">
        <v>217</v>
      </c>
      <c r="AK35" s="14">
        <v>138</v>
      </c>
      <c r="AL35" s="14">
        <v>152</v>
      </c>
      <c r="AM35" s="14">
        <v>702</v>
      </c>
      <c r="AN35" s="14">
        <v>264</v>
      </c>
      <c r="AO35" s="14">
        <v>284</v>
      </c>
      <c r="AP35" s="14">
        <v>945</v>
      </c>
      <c r="AQ35" s="14">
        <v>157</v>
      </c>
      <c r="AR35" s="14">
        <v>6</v>
      </c>
      <c r="AS35" s="14">
        <v>733</v>
      </c>
      <c r="AT35" s="14">
        <v>224</v>
      </c>
    </row>
    <row r="36" spans="1:46" x14ac:dyDescent="0.25">
      <c r="A36" s="14">
        <v>72</v>
      </c>
      <c r="B36" s="14">
        <v>6790</v>
      </c>
      <c r="D36" s="14">
        <v>120</v>
      </c>
      <c r="E36" s="14">
        <v>45</v>
      </c>
      <c r="F36" s="14">
        <v>916</v>
      </c>
      <c r="G36" s="14">
        <v>58</v>
      </c>
      <c r="H36" s="14">
        <v>169</v>
      </c>
      <c r="J36" s="14">
        <v>803</v>
      </c>
      <c r="K36" s="14">
        <v>126</v>
      </c>
      <c r="L36" s="14">
        <v>24</v>
      </c>
      <c r="M36" s="14">
        <v>22</v>
      </c>
      <c r="P36" s="14">
        <v>123</v>
      </c>
      <c r="Q36" s="14">
        <v>39</v>
      </c>
      <c r="R36" s="14">
        <v>3</v>
      </c>
      <c r="S36" s="14">
        <v>21</v>
      </c>
      <c r="T36" s="14">
        <v>820</v>
      </c>
      <c r="U36" s="14">
        <v>894</v>
      </c>
      <c r="V36" s="14">
        <v>104</v>
      </c>
      <c r="W36" s="14">
        <v>130</v>
      </c>
      <c r="X36" s="14">
        <v>5</v>
      </c>
      <c r="Y36" s="14">
        <v>56</v>
      </c>
      <c r="AA36" s="14">
        <v>298</v>
      </c>
      <c r="AB36" s="14">
        <v>269</v>
      </c>
      <c r="AC36" s="14">
        <v>2</v>
      </c>
      <c r="AD36" s="14">
        <v>34</v>
      </c>
      <c r="AE36" s="14">
        <v>13</v>
      </c>
      <c r="AF36" s="14">
        <v>220</v>
      </c>
      <c r="AG36" s="14">
        <v>572</v>
      </c>
      <c r="AH36" s="14">
        <v>12</v>
      </c>
      <c r="AI36" s="14">
        <v>63</v>
      </c>
      <c r="AJ36" s="14">
        <v>787</v>
      </c>
      <c r="AK36" s="14">
        <v>939</v>
      </c>
      <c r="AL36" s="14">
        <v>363</v>
      </c>
      <c r="AM36" s="14">
        <v>113</v>
      </c>
      <c r="AN36" s="14">
        <v>291</v>
      </c>
      <c r="AO36" s="14">
        <v>12</v>
      </c>
      <c r="AP36" s="14">
        <v>388</v>
      </c>
      <c r="AQ36" s="14">
        <v>109</v>
      </c>
      <c r="AR36" s="14">
        <v>131</v>
      </c>
      <c r="AS36" s="14">
        <v>695</v>
      </c>
      <c r="AT36" s="14">
        <v>330</v>
      </c>
    </row>
    <row r="37" spans="1:46" x14ac:dyDescent="0.25">
      <c r="A37" s="14">
        <v>88</v>
      </c>
      <c r="B37" s="14">
        <v>7469</v>
      </c>
      <c r="D37" s="14">
        <v>53</v>
      </c>
      <c r="E37" s="14">
        <v>932</v>
      </c>
      <c r="F37" s="14">
        <v>442</v>
      </c>
      <c r="G37" s="14">
        <v>42</v>
      </c>
      <c r="H37" s="14">
        <v>169</v>
      </c>
      <c r="J37" s="14">
        <v>937</v>
      </c>
      <c r="K37" s="14">
        <v>101</v>
      </c>
      <c r="L37" s="14">
        <v>19</v>
      </c>
      <c r="M37" s="14">
        <v>218</v>
      </c>
      <c r="P37" s="14">
        <v>205</v>
      </c>
      <c r="Q37" s="14">
        <v>6</v>
      </c>
      <c r="R37" s="14">
        <v>6</v>
      </c>
      <c r="S37" s="14">
        <v>53</v>
      </c>
      <c r="T37" s="14">
        <v>663</v>
      </c>
      <c r="U37" s="14">
        <v>102</v>
      </c>
      <c r="V37" s="14">
        <v>91</v>
      </c>
      <c r="W37" s="14">
        <v>525</v>
      </c>
      <c r="X37" s="14">
        <v>1</v>
      </c>
      <c r="Y37" s="14">
        <v>61</v>
      </c>
      <c r="AA37" s="14">
        <v>215</v>
      </c>
      <c r="AB37" s="14">
        <v>129</v>
      </c>
      <c r="AC37" s="14">
        <v>14</v>
      </c>
      <c r="AD37" s="14">
        <v>53</v>
      </c>
      <c r="AE37" s="14">
        <v>19</v>
      </c>
      <c r="AF37" s="14">
        <v>134</v>
      </c>
      <c r="AG37" s="14">
        <v>709</v>
      </c>
      <c r="AH37" s="14">
        <v>5</v>
      </c>
      <c r="AI37" s="14">
        <v>76</v>
      </c>
      <c r="AJ37" s="14">
        <v>162</v>
      </c>
      <c r="AK37" s="14">
        <v>706</v>
      </c>
      <c r="AL37" s="14">
        <v>207</v>
      </c>
      <c r="AM37" s="14">
        <v>345</v>
      </c>
      <c r="AN37" s="14">
        <v>300</v>
      </c>
      <c r="AO37" s="14">
        <v>219</v>
      </c>
      <c r="AP37" s="14">
        <v>357</v>
      </c>
      <c r="AQ37" s="14">
        <v>27</v>
      </c>
      <c r="AR37" s="14">
        <v>3</v>
      </c>
      <c r="AS37" s="14">
        <v>541</v>
      </c>
      <c r="AT37" s="14">
        <v>874</v>
      </c>
    </row>
    <row r="38" spans="1:46" x14ac:dyDescent="0.25">
      <c r="A38" s="14">
        <v>81</v>
      </c>
      <c r="B38" s="14">
        <v>7019</v>
      </c>
      <c r="D38" s="14">
        <v>37</v>
      </c>
      <c r="E38" s="14">
        <v>52</v>
      </c>
      <c r="F38" s="14">
        <v>832</v>
      </c>
      <c r="G38" s="14">
        <v>47</v>
      </c>
      <c r="H38" s="14">
        <v>163</v>
      </c>
      <c r="J38" s="14">
        <v>857</v>
      </c>
      <c r="K38" s="14">
        <v>4</v>
      </c>
      <c r="L38" s="14">
        <v>24</v>
      </c>
      <c r="M38" s="14">
        <v>699</v>
      </c>
      <c r="P38" s="14">
        <v>88</v>
      </c>
      <c r="Q38" s="14">
        <v>100</v>
      </c>
      <c r="R38" s="14">
        <v>49</v>
      </c>
      <c r="S38" s="14">
        <v>75</v>
      </c>
      <c r="T38" s="14">
        <v>482</v>
      </c>
      <c r="U38" s="14">
        <v>133</v>
      </c>
      <c r="V38" s="14">
        <v>44</v>
      </c>
      <c r="W38" s="14">
        <v>191</v>
      </c>
      <c r="X38" s="14">
        <v>2</v>
      </c>
      <c r="Y38" s="14">
        <v>311</v>
      </c>
      <c r="AA38" s="14">
        <v>189</v>
      </c>
      <c r="AB38" s="14">
        <v>100</v>
      </c>
      <c r="AC38" s="14">
        <v>9</v>
      </c>
      <c r="AD38" s="14">
        <v>56</v>
      </c>
      <c r="AE38" s="14">
        <v>23</v>
      </c>
      <c r="AF38" s="14">
        <v>629</v>
      </c>
      <c r="AG38" s="14">
        <v>222</v>
      </c>
      <c r="AH38" s="14">
        <v>92</v>
      </c>
      <c r="AI38" s="14">
        <v>95</v>
      </c>
      <c r="AJ38" s="14">
        <v>345</v>
      </c>
      <c r="AK38" s="14">
        <v>14</v>
      </c>
      <c r="AL38" s="14">
        <v>205</v>
      </c>
      <c r="AM38" s="14">
        <v>338</v>
      </c>
      <c r="AN38" s="14">
        <v>406</v>
      </c>
      <c r="AO38" s="14">
        <v>201</v>
      </c>
      <c r="AP38" s="14">
        <v>691</v>
      </c>
      <c r="AQ38" s="14">
        <v>77</v>
      </c>
      <c r="AR38" s="14">
        <v>11</v>
      </c>
      <c r="AS38" s="14">
        <v>564</v>
      </c>
      <c r="AT38" s="14">
        <v>102</v>
      </c>
    </row>
    <row r="39" spans="1:46" x14ac:dyDescent="0.25">
      <c r="A39" s="14">
        <v>47</v>
      </c>
      <c r="B39" s="14">
        <v>22261</v>
      </c>
      <c r="D39" s="14">
        <v>55</v>
      </c>
      <c r="E39" s="14">
        <v>1523</v>
      </c>
      <c r="F39" s="14">
        <v>54</v>
      </c>
      <c r="G39" s="14">
        <v>40</v>
      </c>
      <c r="H39" s="14">
        <v>728</v>
      </c>
      <c r="J39" s="14">
        <v>859</v>
      </c>
      <c r="K39" s="14">
        <v>9</v>
      </c>
      <c r="L39" s="14">
        <v>22</v>
      </c>
      <c r="M39" s="14">
        <v>852</v>
      </c>
      <c r="P39" s="14">
        <v>71</v>
      </c>
      <c r="Q39" s="14">
        <v>187</v>
      </c>
      <c r="R39" s="14">
        <v>105</v>
      </c>
      <c r="S39" s="14">
        <v>718</v>
      </c>
      <c r="T39" s="14">
        <v>113</v>
      </c>
      <c r="U39" s="14">
        <v>209</v>
      </c>
      <c r="V39" s="14">
        <v>72</v>
      </c>
      <c r="W39" s="14">
        <v>140</v>
      </c>
      <c r="X39" s="14">
        <v>1</v>
      </c>
      <c r="AA39" s="14">
        <v>159</v>
      </c>
      <c r="AB39" s="14">
        <v>639</v>
      </c>
      <c r="AC39" s="14">
        <v>15</v>
      </c>
      <c r="AD39" s="14">
        <v>60</v>
      </c>
      <c r="AE39" s="14">
        <v>45</v>
      </c>
      <c r="AF39" s="14">
        <v>295</v>
      </c>
      <c r="AG39" s="14">
        <v>28</v>
      </c>
      <c r="AH39" s="14">
        <v>11</v>
      </c>
      <c r="AI39" s="14">
        <v>89</v>
      </c>
      <c r="AJ39" s="14">
        <v>222</v>
      </c>
      <c r="AK39" s="14">
        <v>155</v>
      </c>
      <c r="AL39" s="14">
        <v>250</v>
      </c>
      <c r="AM39" s="14">
        <v>603</v>
      </c>
      <c r="AN39" s="14">
        <v>290</v>
      </c>
      <c r="AO39" s="14">
        <v>331</v>
      </c>
      <c r="AP39" s="14">
        <v>916</v>
      </c>
      <c r="AQ39" s="14">
        <v>31</v>
      </c>
      <c r="AR39" s="14">
        <v>26</v>
      </c>
      <c r="AS39" s="14">
        <v>505</v>
      </c>
      <c r="AT39" s="14">
        <v>136</v>
      </c>
    </row>
    <row r="40" spans="1:46" x14ac:dyDescent="0.25">
      <c r="A40" s="14">
        <v>40</v>
      </c>
      <c r="B40" s="14">
        <v>21294</v>
      </c>
      <c r="D40" s="14">
        <v>118</v>
      </c>
      <c r="E40" s="14">
        <v>51</v>
      </c>
      <c r="F40" s="14">
        <v>231</v>
      </c>
      <c r="G40" s="14">
        <v>35</v>
      </c>
      <c r="H40" s="14">
        <v>162</v>
      </c>
      <c r="J40" s="14">
        <v>731</v>
      </c>
      <c r="K40" s="14">
        <v>8</v>
      </c>
      <c r="L40" s="14">
        <v>21</v>
      </c>
      <c r="M40" s="14">
        <v>686</v>
      </c>
      <c r="P40" s="14">
        <v>110</v>
      </c>
      <c r="Q40" s="14">
        <v>186</v>
      </c>
      <c r="R40" s="14">
        <v>127</v>
      </c>
      <c r="S40" s="14">
        <v>311</v>
      </c>
      <c r="T40" s="14">
        <v>47</v>
      </c>
      <c r="U40" s="14">
        <v>315</v>
      </c>
      <c r="V40" s="14">
        <v>104</v>
      </c>
      <c r="W40" s="14">
        <v>180</v>
      </c>
      <c r="X40" s="14">
        <v>20</v>
      </c>
      <c r="AA40" s="14">
        <v>186</v>
      </c>
      <c r="AB40" s="14">
        <v>398</v>
      </c>
      <c r="AC40" s="14">
        <v>1</v>
      </c>
      <c r="AD40" s="14">
        <v>92</v>
      </c>
      <c r="AE40" s="14">
        <v>32</v>
      </c>
      <c r="AF40" s="14">
        <v>83</v>
      </c>
      <c r="AG40" s="14">
        <v>764</v>
      </c>
      <c r="AH40" s="14">
        <v>37</v>
      </c>
      <c r="AI40" s="14">
        <v>35</v>
      </c>
      <c r="AJ40" s="14">
        <v>889</v>
      </c>
      <c r="AK40" s="14">
        <v>795</v>
      </c>
      <c r="AL40" s="14">
        <v>255</v>
      </c>
      <c r="AM40" s="14">
        <v>138</v>
      </c>
      <c r="AN40" s="14">
        <v>204</v>
      </c>
      <c r="AO40" s="14">
        <v>943</v>
      </c>
      <c r="AP40" s="14">
        <v>26</v>
      </c>
      <c r="AQ40" s="14">
        <v>130</v>
      </c>
      <c r="AR40" s="14">
        <v>4</v>
      </c>
      <c r="AS40" s="14">
        <v>565</v>
      </c>
      <c r="AT40" s="14">
        <v>192</v>
      </c>
    </row>
    <row r="41" spans="1:46" x14ac:dyDescent="0.25">
      <c r="A41" s="14">
        <v>60</v>
      </c>
      <c r="B41" s="14">
        <v>21460</v>
      </c>
      <c r="D41" s="14">
        <v>194</v>
      </c>
      <c r="E41" s="14">
        <v>1231</v>
      </c>
      <c r="F41" s="14">
        <v>158</v>
      </c>
      <c r="G41" s="14">
        <v>31</v>
      </c>
      <c r="H41" s="14">
        <v>164</v>
      </c>
      <c r="J41" s="14">
        <v>496</v>
      </c>
      <c r="K41" s="14">
        <v>21</v>
      </c>
      <c r="L41" s="14">
        <v>15</v>
      </c>
      <c r="M41" s="14">
        <v>816</v>
      </c>
      <c r="P41" s="14">
        <v>102</v>
      </c>
      <c r="Q41" s="14">
        <v>7</v>
      </c>
      <c r="R41" s="14">
        <v>150</v>
      </c>
      <c r="S41" s="14">
        <v>34</v>
      </c>
      <c r="T41" s="14">
        <v>54</v>
      </c>
      <c r="U41" s="14">
        <v>101</v>
      </c>
      <c r="V41" s="14">
        <v>144</v>
      </c>
      <c r="W41" s="14">
        <v>196</v>
      </c>
      <c r="X41" s="14">
        <v>25</v>
      </c>
      <c r="AA41" s="14">
        <v>245</v>
      </c>
      <c r="AB41" s="14">
        <v>149</v>
      </c>
      <c r="AC41" s="14">
        <v>9</v>
      </c>
      <c r="AD41" s="14">
        <v>7</v>
      </c>
      <c r="AE41" s="14">
        <v>16</v>
      </c>
      <c r="AF41" s="14">
        <v>153</v>
      </c>
      <c r="AG41" s="14">
        <v>194</v>
      </c>
      <c r="AH41" s="14">
        <v>53</v>
      </c>
      <c r="AI41" s="14">
        <v>68</v>
      </c>
      <c r="AJ41" s="14">
        <v>199</v>
      </c>
      <c r="AK41" s="14">
        <v>762</v>
      </c>
      <c r="AL41" s="14">
        <v>106</v>
      </c>
      <c r="AM41" s="14">
        <v>719</v>
      </c>
      <c r="AN41" s="14">
        <v>340</v>
      </c>
      <c r="AO41" s="14">
        <v>539</v>
      </c>
      <c r="AP41" s="14">
        <v>69</v>
      </c>
      <c r="AQ41" s="14">
        <v>187</v>
      </c>
      <c r="AR41" s="14">
        <v>1559</v>
      </c>
      <c r="AS41" s="14">
        <v>589</v>
      </c>
      <c r="AT41" s="14">
        <v>197</v>
      </c>
    </row>
    <row r="42" spans="1:46" x14ac:dyDescent="0.25">
      <c r="A42" s="14">
        <v>53</v>
      </c>
      <c r="B42" s="14">
        <v>17906</v>
      </c>
      <c r="D42" s="14">
        <v>102</v>
      </c>
      <c r="E42" s="14">
        <v>56</v>
      </c>
      <c r="F42" s="14">
        <v>242</v>
      </c>
      <c r="G42" s="14">
        <v>36</v>
      </c>
      <c r="H42" s="14">
        <v>250</v>
      </c>
      <c r="J42" s="14">
        <v>500</v>
      </c>
      <c r="K42" s="14">
        <v>113</v>
      </c>
      <c r="L42" s="14">
        <v>18</v>
      </c>
      <c r="M42" s="14">
        <v>3</v>
      </c>
      <c r="P42" s="14">
        <v>82</v>
      </c>
      <c r="Q42" s="14">
        <v>117</v>
      </c>
      <c r="R42" s="14">
        <v>59</v>
      </c>
      <c r="S42" s="14">
        <v>245</v>
      </c>
      <c r="T42" s="14">
        <v>107</v>
      </c>
      <c r="U42" s="14">
        <v>77</v>
      </c>
      <c r="V42" s="14">
        <v>100</v>
      </c>
      <c r="W42" s="14">
        <v>183</v>
      </c>
      <c r="X42" s="14">
        <v>19</v>
      </c>
      <c r="AA42" s="14">
        <v>194</v>
      </c>
      <c r="AB42" s="14">
        <v>397</v>
      </c>
      <c r="AC42" s="14">
        <v>6</v>
      </c>
      <c r="AD42" s="14">
        <v>21</v>
      </c>
      <c r="AE42" s="14">
        <v>25</v>
      </c>
      <c r="AF42" s="14">
        <v>182</v>
      </c>
      <c r="AG42" s="14">
        <v>827</v>
      </c>
      <c r="AH42" s="14">
        <v>13</v>
      </c>
      <c r="AI42" s="14">
        <v>30</v>
      </c>
      <c r="AJ42" s="14">
        <v>12</v>
      </c>
      <c r="AK42" s="14">
        <v>727</v>
      </c>
      <c r="AL42" s="14">
        <v>114</v>
      </c>
      <c r="AM42" s="14">
        <v>134</v>
      </c>
      <c r="AN42" s="14">
        <v>250</v>
      </c>
      <c r="AO42" s="14">
        <v>256</v>
      </c>
      <c r="AP42" s="14">
        <v>719</v>
      </c>
      <c r="AQ42" s="14">
        <v>218</v>
      </c>
      <c r="AR42" s="14">
        <v>203</v>
      </c>
      <c r="AS42" s="14">
        <v>53</v>
      </c>
      <c r="AT42" s="14">
        <v>250</v>
      </c>
    </row>
    <row r="43" spans="1:46" x14ac:dyDescent="0.25">
      <c r="A43" s="14">
        <v>38</v>
      </c>
      <c r="B43" s="14">
        <v>17265</v>
      </c>
      <c r="D43" s="14">
        <v>81</v>
      </c>
      <c r="E43" s="14">
        <v>1329</v>
      </c>
      <c r="F43" s="14">
        <v>225</v>
      </c>
      <c r="G43" s="14">
        <v>38</v>
      </c>
      <c r="H43" s="14">
        <v>22</v>
      </c>
      <c r="J43" s="14">
        <v>593</v>
      </c>
      <c r="K43" s="14">
        <v>108</v>
      </c>
      <c r="L43" s="14">
        <v>15</v>
      </c>
      <c r="M43" s="14">
        <v>23</v>
      </c>
      <c r="P43" s="14">
        <v>127</v>
      </c>
      <c r="Q43" s="14">
        <v>68</v>
      </c>
      <c r="R43" s="14">
        <v>75</v>
      </c>
      <c r="S43" s="14">
        <v>184</v>
      </c>
      <c r="T43" s="14">
        <v>115</v>
      </c>
      <c r="U43" s="14">
        <v>83</v>
      </c>
      <c r="V43" s="14">
        <v>244</v>
      </c>
      <c r="W43" s="14">
        <v>131</v>
      </c>
      <c r="X43" s="14">
        <v>72</v>
      </c>
      <c r="AA43" s="14">
        <v>243</v>
      </c>
      <c r="AB43" s="14">
        <v>329</v>
      </c>
      <c r="AC43" s="14">
        <v>12</v>
      </c>
      <c r="AD43" s="14">
        <v>22</v>
      </c>
      <c r="AE43" s="14">
        <v>25</v>
      </c>
      <c r="AF43" s="14">
        <v>213</v>
      </c>
      <c r="AG43" s="14">
        <v>200</v>
      </c>
      <c r="AH43" s="14">
        <v>39</v>
      </c>
      <c r="AI43" s="14">
        <v>98</v>
      </c>
      <c r="AJ43" s="14">
        <v>12</v>
      </c>
      <c r="AK43" s="14">
        <v>74</v>
      </c>
      <c r="AL43" s="14">
        <v>117</v>
      </c>
      <c r="AM43" s="14">
        <v>441</v>
      </c>
      <c r="AN43" s="14">
        <v>326</v>
      </c>
      <c r="AO43" s="14">
        <v>307</v>
      </c>
      <c r="AP43" s="14">
        <v>864</v>
      </c>
      <c r="AQ43" s="14">
        <v>140</v>
      </c>
      <c r="AR43" s="14">
        <v>6267</v>
      </c>
      <c r="AS43" s="14">
        <v>853</v>
      </c>
      <c r="AT43" s="14">
        <v>254</v>
      </c>
    </row>
    <row r="44" spans="1:46" x14ac:dyDescent="0.25">
      <c r="A44" s="14">
        <v>33</v>
      </c>
      <c r="B44" s="14">
        <v>20265</v>
      </c>
      <c r="D44" s="14">
        <v>73</v>
      </c>
      <c r="E44" s="14">
        <v>1311</v>
      </c>
      <c r="F44" s="14">
        <v>140</v>
      </c>
      <c r="G44" s="14">
        <v>48</v>
      </c>
      <c r="H44" s="14">
        <v>22</v>
      </c>
      <c r="J44" s="14">
        <v>581</v>
      </c>
      <c r="K44" s="14">
        <v>10</v>
      </c>
      <c r="L44" s="14">
        <v>23</v>
      </c>
      <c r="M44" s="14">
        <v>22</v>
      </c>
      <c r="P44" s="14">
        <v>85</v>
      </c>
      <c r="Q44" s="14">
        <v>127</v>
      </c>
      <c r="R44" s="14">
        <v>64</v>
      </c>
      <c r="S44" s="14">
        <v>604</v>
      </c>
      <c r="T44" s="14">
        <v>63</v>
      </c>
      <c r="U44" s="14">
        <v>79</v>
      </c>
      <c r="V44" s="14">
        <v>109</v>
      </c>
      <c r="W44" s="14">
        <v>243</v>
      </c>
      <c r="X44" s="14">
        <v>8</v>
      </c>
      <c r="AA44" s="14">
        <v>134</v>
      </c>
      <c r="AB44" s="14">
        <v>265</v>
      </c>
      <c r="AC44" s="14">
        <v>2</v>
      </c>
      <c r="AD44" s="14">
        <v>70</v>
      </c>
      <c r="AE44" s="14">
        <v>166</v>
      </c>
      <c r="AF44" s="14">
        <v>124</v>
      </c>
      <c r="AG44" s="14">
        <v>155</v>
      </c>
      <c r="AH44" s="14">
        <v>47</v>
      </c>
      <c r="AI44" s="14">
        <v>32</v>
      </c>
      <c r="AJ44" s="14">
        <v>14</v>
      </c>
      <c r="AK44" s="14">
        <v>17</v>
      </c>
      <c r="AL44" s="14">
        <v>184</v>
      </c>
      <c r="AM44" s="14">
        <v>573</v>
      </c>
      <c r="AN44" s="14">
        <v>253</v>
      </c>
      <c r="AO44" s="14">
        <v>29</v>
      </c>
      <c r="AP44" s="14">
        <v>107</v>
      </c>
      <c r="AQ44" s="14">
        <v>186</v>
      </c>
      <c r="AR44" s="14">
        <v>5</v>
      </c>
      <c r="AS44" s="14">
        <v>890</v>
      </c>
      <c r="AT44" s="14">
        <v>255</v>
      </c>
    </row>
    <row r="45" spans="1:46" x14ac:dyDescent="0.25">
      <c r="A45" s="14">
        <v>25</v>
      </c>
      <c r="B45" s="14">
        <v>18953</v>
      </c>
      <c r="D45" s="14">
        <v>96</v>
      </c>
      <c r="E45" s="14">
        <v>1167</v>
      </c>
      <c r="F45" s="14">
        <v>146</v>
      </c>
      <c r="G45" s="14">
        <v>44</v>
      </c>
      <c r="H45" s="14">
        <v>157</v>
      </c>
      <c r="J45" s="14">
        <v>475</v>
      </c>
      <c r="K45" s="14">
        <v>11</v>
      </c>
      <c r="L45" s="14">
        <v>23</v>
      </c>
      <c r="M45" s="14">
        <v>98</v>
      </c>
      <c r="P45" s="14">
        <v>76</v>
      </c>
      <c r="Q45" s="14">
        <v>226</v>
      </c>
      <c r="R45" s="14">
        <v>80</v>
      </c>
      <c r="S45" s="14">
        <v>291</v>
      </c>
      <c r="T45" s="14">
        <v>96</v>
      </c>
      <c r="U45" s="14">
        <v>79</v>
      </c>
      <c r="V45" s="14">
        <v>307</v>
      </c>
      <c r="W45" s="14">
        <v>321</v>
      </c>
      <c r="X45" s="14">
        <v>30</v>
      </c>
      <c r="AA45" s="14">
        <v>256</v>
      </c>
      <c r="AB45" s="14">
        <v>112</v>
      </c>
      <c r="AC45" s="14">
        <v>9</v>
      </c>
      <c r="AD45" s="14">
        <v>7</v>
      </c>
      <c r="AE45" s="14">
        <v>17</v>
      </c>
      <c r="AF45" s="14">
        <v>680</v>
      </c>
      <c r="AG45" s="14">
        <v>653</v>
      </c>
      <c r="AH45" s="14">
        <v>40</v>
      </c>
      <c r="AI45" s="14">
        <v>59</v>
      </c>
      <c r="AJ45" s="14">
        <v>10</v>
      </c>
      <c r="AK45" s="14">
        <v>229</v>
      </c>
      <c r="AL45" s="14">
        <v>241</v>
      </c>
      <c r="AM45" s="14">
        <v>956</v>
      </c>
      <c r="AN45" s="14">
        <v>705</v>
      </c>
      <c r="AO45" s="14">
        <v>24</v>
      </c>
      <c r="AP45" s="14">
        <v>8</v>
      </c>
      <c r="AQ45" s="14">
        <v>25</v>
      </c>
      <c r="AR45" s="14">
        <v>2</v>
      </c>
      <c r="AS45" s="14">
        <v>81</v>
      </c>
      <c r="AT45" s="14">
        <v>145</v>
      </c>
    </row>
    <row r="46" spans="1:46" x14ac:dyDescent="0.25">
      <c r="A46" s="14">
        <v>59</v>
      </c>
      <c r="B46" s="14">
        <v>33331</v>
      </c>
      <c r="D46" s="14">
        <v>71</v>
      </c>
      <c r="E46" s="14">
        <v>1163</v>
      </c>
      <c r="F46" s="14">
        <v>665</v>
      </c>
      <c r="G46" s="14">
        <v>47</v>
      </c>
      <c r="H46" s="14">
        <v>588</v>
      </c>
      <c r="J46" s="14">
        <v>763</v>
      </c>
      <c r="K46" s="14">
        <v>2</v>
      </c>
      <c r="L46" s="14">
        <v>36</v>
      </c>
      <c r="M46" s="14">
        <v>100</v>
      </c>
      <c r="P46" s="14">
        <v>112</v>
      </c>
      <c r="Q46" s="14">
        <v>207</v>
      </c>
      <c r="R46" s="14">
        <v>27</v>
      </c>
      <c r="S46" s="14">
        <v>360</v>
      </c>
      <c r="T46" s="14">
        <v>59</v>
      </c>
      <c r="U46" s="14">
        <v>79</v>
      </c>
      <c r="V46" s="14">
        <v>73</v>
      </c>
      <c r="W46" s="14">
        <v>216</v>
      </c>
      <c r="X46" s="14">
        <v>9</v>
      </c>
      <c r="AA46" s="14">
        <v>84</v>
      </c>
      <c r="AB46" s="14">
        <v>668</v>
      </c>
      <c r="AC46" s="14">
        <v>11</v>
      </c>
      <c r="AD46" s="14">
        <v>46</v>
      </c>
      <c r="AE46" s="14">
        <v>5</v>
      </c>
      <c r="AF46" s="14">
        <v>235</v>
      </c>
      <c r="AG46" s="14">
        <v>158</v>
      </c>
      <c r="AH46" s="14">
        <v>212</v>
      </c>
      <c r="AI46" s="14">
        <v>67</v>
      </c>
      <c r="AJ46" s="14">
        <v>7</v>
      </c>
      <c r="AK46" s="14">
        <v>120</v>
      </c>
      <c r="AL46" s="14">
        <v>293</v>
      </c>
      <c r="AM46" s="14">
        <v>170</v>
      </c>
      <c r="AN46" s="14">
        <v>857</v>
      </c>
      <c r="AO46" s="14">
        <v>11</v>
      </c>
      <c r="AP46" s="14">
        <v>771</v>
      </c>
      <c r="AQ46" s="14">
        <v>209</v>
      </c>
      <c r="AR46" s="14">
        <v>1</v>
      </c>
      <c r="AS46" s="14">
        <v>874</v>
      </c>
      <c r="AT46" s="14">
        <v>145</v>
      </c>
    </row>
    <row r="47" spans="1:46" x14ac:dyDescent="0.25">
      <c r="A47" s="14">
        <v>55</v>
      </c>
      <c r="B47" s="14">
        <v>33752</v>
      </c>
      <c r="D47" s="14">
        <v>38</v>
      </c>
      <c r="E47" s="14">
        <v>45</v>
      </c>
      <c r="F47" s="14">
        <v>320</v>
      </c>
      <c r="G47" s="14">
        <v>43</v>
      </c>
      <c r="H47" s="14">
        <v>131</v>
      </c>
      <c r="J47" s="14">
        <v>603</v>
      </c>
      <c r="K47" s="14">
        <v>4</v>
      </c>
      <c r="L47" s="14">
        <v>29</v>
      </c>
      <c r="M47" s="14">
        <v>97</v>
      </c>
      <c r="P47" s="14">
        <v>159</v>
      </c>
      <c r="Q47" s="14">
        <v>129</v>
      </c>
      <c r="R47" s="14">
        <v>29</v>
      </c>
      <c r="S47" s="14">
        <v>175</v>
      </c>
      <c r="T47" s="14">
        <v>134</v>
      </c>
      <c r="U47" s="14">
        <v>94</v>
      </c>
      <c r="V47" s="14">
        <v>84</v>
      </c>
      <c r="W47" s="14">
        <v>197</v>
      </c>
      <c r="X47" s="14">
        <v>11</v>
      </c>
      <c r="AA47" s="14">
        <v>77</v>
      </c>
      <c r="AB47" s="14">
        <v>738</v>
      </c>
      <c r="AC47" s="14">
        <v>12</v>
      </c>
      <c r="AD47" s="14">
        <v>47</v>
      </c>
      <c r="AE47" s="14">
        <v>7</v>
      </c>
      <c r="AF47" s="14">
        <v>98</v>
      </c>
      <c r="AG47" s="14">
        <v>245</v>
      </c>
      <c r="AH47" s="14">
        <v>211</v>
      </c>
      <c r="AI47" s="14">
        <v>172</v>
      </c>
      <c r="AJ47" s="14">
        <v>12</v>
      </c>
      <c r="AK47" s="14">
        <v>106</v>
      </c>
      <c r="AL47" s="14">
        <v>510</v>
      </c>
      <c r="AM47" s="14">
        <v>436</v>
      </c>
      <c r="AN47" s="14">
        <v>142</v>
      </c>
      <c r="AO47" s="14">
        <v>8</v>
      </c>
      <c r="AP47" s="14">
        <v>58</v>
      </c>
      <c r="AQ47" s="14">
        <v>356</v>
      </c>
      <c r="AR47" s="14">
        <v>6</v>
      </c>
      <c r="AS47" s="14">
        <v>911</v>
      </c>
      <c r="AT47" s="14">
        <v>129</v>
      </c>
    </row>
    <row r="48" spans="1:46" x14ac:dyDescent="0.25">
      <c r="A48" s="14">
        <v>45</v>
      </c>
      <c r="B48" s="14">
        <v>462</v>
      </c>
      <c r="D48" s="14">
        <v>97</v>
      </c>
      <c r="E48" s="14">
        <v>52</v>
      </c>
      <c r="F48" s="14">
        <v>604</v>
      </c>
      <c r="G48" s="14">
        <v>38</v>
      </c>
      <c r="H48" s="14">
        <v>294</v>
      </c>
      <c r="J48" s="14">
        <v>786</v>
      </c>
      <c r="K48" s="14">
        <v>4</v>
      </c>
      <c r="L48" s="14">
        <v>40</v>
      </c>
      <c r="M48" s="14">
        <v>17</v>
      </c>
      <c r="P48" s="14">
        <v>204</v>
      </c>
      <c r="Q48" s="14">
        <v>88</v>
      </c>
      <c r="R48" s="14">
        <v>17</v>
      </c>
      <c r="S48" s="14">
        <v>25</v>
      </c>
      <c r="T48" s="14">
        <v>41</v>
      </c>
      <c r="U48" s="14">
        <v>75</v>
      </c>
      <c r="V48" s="14">
        <v>171</v>
      </c>
      <c r="W48" s="14">
        <v>262</v>
      </c>
      <c r="X48" s="14">
        <v>9</v>
      </c>
      <c r="AA48" s="14">
        <v>183</v>
      </c>
      <c r="AB48" s="14">
        <v>200</v>
      </c>
      <c r="AC48" s="14">
        <v>2</v>
      </c>
      <c r="AD48" s="14">
        <v>51</v>
      </c>
      <c r="AE48" s="14">
        <v>14</v>
      </c>
      <c r="AF48" s="14">
        <v>153</v>
      </c>
      <c r="AG48" s="14">
        <v>853</v>
      </c>
      <c r="AH48" s="14">
        <v>81</v>
      </c>
      <c r="AI48" s="14">
        <v>69</v>
      </c>
      <c r="AJ48" s="14">
        <v>9</v>
      </c>
      <c r="AK48" s="14">
        <v>164</v>
      </c>
      <c r="AL48" s="14">
        <v>169</v>
      </c>
      <c r="AM48" s="14">
        <v>220</v>
      </c>
      <c r="AN48" s="14">
        <v>490</v>
      </c>
      <c r="AO48" s="14">
        <v>247</v>
      </c>
      <c r="AP48" s="14">
        <v>585</v>
      </c>
      <c r="AQ48" s="14">
        <v>10</v>
      </c>
      <c r="AR48" s="14">
        <v>130</v>
      </c>
      <c r="AS48" s="14">
        <v>86</v>
      </c>
      <c r="AT48" s="14">
        <v>129</v>
      </c>
    </row>
    <row r="49" spans="1:46" x14ac:dyDescent="0.25">
      <c r="A49" s="14">
        <v>38</v>
      </c>
      <c r="B49" s="14">
        <v>1257</v>
      </c>
      <c r="D49" s="14">
        <v>164</v>
      </c>
      <c r="E49" s="14">
        <v>1308</v>
      </c>
      <c r="F49" s="14">
        <v>167</v>
      </c>
      <c r="G49" s="14">
        <v>53</v>
      </c>
      <c r="H49" s="14">
        <v>803</v>
      </c>
      <c r="J49" s="14">
        <v>644</v>
      </c>
      <c r="K49" s="14">
        <v>3</v>
      </c>
      <c r="L49" s="14">
        <v>38</v>
      </c>
      <c r="M49" s="14">
        <v>33</v>
      </c>
      <c r="P49" s="14">
        <v>145</v>
      </c>
      <c r="Q49" s="14">
        <v>88</v>
      </c>
      <c r="R49" s="14">
        <v>17</v>
      </c>
      <c r="S49" s="14">
        <v>93</v>
      </c>
      <c r="T49" s="14">
        <v>202</v>
      </c>
      <c r="U49" s="14">
        <v>203</v>
      </c>
      <c r="V49" s="14">
        <v>152</v>
      </c>
      <c r="W49" s="14">
        <v>324</v>
      </c>
      <c r="X49" s="14">
        <v>33</v>
      </c>
      <c r="AA49" s="14">
        <v>239</v>
      </c>
      <c r="AB49" s="14">
        <v>417</v>
      </c>
      <c r="AC49" s="14">
        <v>13</v>
      </c>
      <c r="AD49" s="14">
        <v>57</v>
      </c>
      <c r="AE49" s="14">
        <v>23</v>
      </c>
      <c r="AF49" s="14">
        <v>269</v>
      </c>
      <c r="AG49" s="14">
        <v>202</v>
      </c>
      <c r="AH49" s="14">
        <v>134</v>
      </c>
      <c r="AI49" s="14">
        <v>97</v>
      </c>
      <c r="AJ49" s="14">
        <v>13</v>
      </c>
      <c r="AK49" s="14">
        <v>93</v>
      </c>
      <c r="AL49" s="14">
        <v>208</v>
      </c>
      <c r="AM49" s="14">
        <v>451</v>
      </c>
      <c r="AN49" s="14">
        <v>136</v>
      </c>
      <c r="AO49" s="14">
        <v>256</v>
      </c>
      <c r="AP49" s="14">
        <v>281</v>
      </c>
      <c r="AQ49" s="14">
        <v>88</v>
      </c>
      <c r="AR49" s="14">
        <v>3</v>
      </c>
      <c r="AS49" s="14">
        <v>707</v>
      </c>
      <c r="AT49" s="14">
        <v>127</v>
      </c>
    </row>
    <row r="50" spans="1:46" x14ac:dyDescent="0.25">
      <c r="A50" s="14">
        <v>76</v>
      </c>
      <c r="B50" s="14">
        <v>774</v>
      </c>
      <c r="D50" s="14">
        <v>194</v>
      </c>
      <c r="E50" s="14">
        <v>50</v>
      </c>
      <c r="F50" s="14">
        <v>117</v>
      </c>
      <c r="G50" s="14">
        <v>36</v>
      </c>
      <c r="H50" s="14">
        <v>119</v>
      </c>
      <c r="J50" s="14">
        <v>522</v>
      </c>
      <c r="K50" s="14">
        <v>2</v>
      </c>
      <c r="L50" s="14">
        <v>49</v>
      </c>
      <c r="M50" s="14">
        <v>120</v>
      </c>
      <c r="P50" s="14">
        <v>187</v>
      </c>
      <c r="Q50" s="14">
        <v>72</v>
      </c>
      <c r="R50" s="14">
        <v>17</v>
      </c>
      <c r="T50" s="14">
        <v>68</v>
      </c>
      <c r="U50" s="14">
        <v>228</v>
      </c>
      <c r="V50" s="14">
        <v>380</v>
      </c>
      <c r="W50" s="14">
        <v>575</v>
      </c>
      <c r="X50" s="14">
        <v>4</v>
      </c>
      <c r="AA50" s="14">
        <v>190</v>
      </c>
      <c r="AB50" s="14">
        <v>130</v>
      </c>
      <c r="AC50" s="14">
        <v>7</v>
      </c>
      <c r="AD50" s="14">
        <v>63</v>
      </c>
      <c r="AE50" s="14">
        <v>25</v>
      </c>
      <c r="AF50" s="14">
        <v>216</v>
      </c>
      <c r="AG50" s="14">
        <v>243</v>
      </c>
      <c r="AH50" s="14">
        <v>110</v>
      </c>
      <c r="AI50" s="14">
        <v>67</v>
      </c>
      <c r="AJ50" s="14">
        <v>11</v>
      </c>
      <c r="AK50" s="14">
        <v>14</v>
      </c>
      <c r="AL50" s="14">
        <v>180</v>
      </c>
      <c r="AM50" s="14">
        <v>549</v>
      </c>
      <c r="AN50" s="14">
        <v>8</v>
      </c>
      <c r="AO50" s="14">
        <v>314</v>
      </c>
      <c r="AP50" s="14">
        <v>157</v>
      </c>
      <c r="AQ50" s="14">
        <v>40</v>
      </c>
      <c r="AR50" s="14">
        <v>11</v>
      </c>
      <c r="AS50" s="14">
        <v>737</v>
      </c>
      <c r="AT50" s="14">
        <v>127</v>
      </c>
    </row>
    <row r="51" spans="1:46" x14ac:dyDescent="0.25">
      <c r="A51" s="14">
        <v>42</v>
      </c>
      <c r="B51" s="14">
        <v>606</v>
      </c>
      <c r="D51" s="14">
        <v>118</v>
      </c>
      <c r="E51" s="14">
        <v>210</v>
      </c>
      <c r="F51" s="14">
        <v>36</v>
      </c>
      <c r="G51" s="14">
        <v>16</v>
      </c>
      <c r="H51" s="14">
        <v>225</v>
      </c>
      <c r="J51" s="14">
        <v>515</v>
      </c>
      <c r="K51" s="14">
        <v>2</v>
      </c>
      <c r="L51" s="14">
        <v>32</v>
      </c>
      <c r="M51" s="14">
        <v>335</v>
      </c>
      <c r="P51" s="14">
        <v>84</v>
      </c>
      <c r="Q51" s="14">
        <v>10</v>
      </c>
      <c r="R51" s="14">
        <v>14</v>
      </c>
      <c r="T51" s="14">
        <v>68</v>
      </c>
      <c r="U51" s="14">
        <v>312</v>
      </c>
      <c r="V51" s="14">
        <v>584</v>
      </c>
      <c r="W51" s="14">
        <v>603</v>
      </c>
      <c r="X51" s="14">
        <v>14</v>
      </c>
      <c r="AA51" s="14">
        <v>239</v>
      </c>
      <c r="AB51" s="14">
        <v>191</v>
      </c>
      <c r="AC51" s="14">
        <v>2</v>
      </c>
      <c r="AD51" s="14">
        <v>49</v>
      </c>
      <c r="AE51" s="14">
        <v>27</v>
      </c>
      <c r="AF51" s="14">
        <v>147</v>
      </c>
      <c r="AG51" s="14">
        <v>792</v>
      </c>
      <c r="AH51" s="14">
        <v>90</v>
      </c>
      <c r="AI51" s="14">
        <v>40</v>
      </c>
      <c r="AJ51" s="14">
        <v>9</v>
      </c>
      <c r="AK51" s="14">
        <v>414</v>
      </c>
      <c r="AL51" s="14">
        <v>209</v>
      </c>
      <c r="AM51" s="14">
        <v>6</v>
      </c>
      <c r="AN51" s="14">
        <v>60</v>
      </c>
      <c r="AO51" s="14">
        <v>757</v>
      </c>
      <c r="AP51" s="14">
        <v>467</v>
      </c>
      <c r="AQ51" s="14">
        <v>210</v>
      </c>
      <c r="AR51" s="14">
        <v>26</v>
      </c>
      <c r="AS51" s="14">
        <v>67</v>
      </c>
      <c r="AT51" s="14">
        <v>388</v>
      </c>
    </row>
    <row r="52" spans="1:46" x14ac:dyDescent="0.25">
      <c r="A52" s="14">
        <v>35</v>
      </c>
      <c r="B52" s="14">
        <v>104</v>
      </c>
      <c r="D52" s="14">
        <v>105</v>
      </c>
      <c r="E52" s="14">
        <v>56</v>
      </c>
      <c r="F52" s="14">
        <v>88</v>
      </c>
      <c r="G52" s="14">
        <v>16</v>
      </c>
      <c r="H52" s="14">
        <v>731</v>
      </c>
      <c r="J52" s="14">
        <v>614</v>
      </c>
      <c r="K52" s="14">
        <v>3</v>
      </c>
      <c r="L52" s="14">
        <v>41</v>
      </c>
      <c r="M52" s="14">
        <v>18</v>
      </c>
      <c r="P52" s="14">
        <v>75</v>
      </c>
      <c r="Q52" s="14">
        <v>200</v>
      </c>
      <c r="R52" s="14">
        <v>12</v>
      </c>
      <c r="T52" s="14">
        <v>91</v>
      </c>
      <c r="U52" s="14">
        <v>350</v>
      </c>
      <c r="V52" s="14">
        <v>849</v>
      </c>
      <c r="W52" s="14">
        <v>199</v>
      </c>
      <c r="X52" s="14">
        <v>4</v>
      </c>
      <c r="AA52" s="14">
        <v>132</v>
      </c>
      <c r="AB52" s="14">
        <v>120</v>
      </c>
      <c r="AC52" s="14">
        <v>14</v>
      </c>
      <c r="AD52" s="14">
        <v>74</v>
      </c>
      <c r="AE52" s="14">
        <v>34</v>
      </c>
      <c r="AF52" s="14">
        <v>239</v>
      </c>
      <c r="AG52" s="14">
        <v>99</v>
      </c>
      <c r="AH52" s="14">
        <v>2</v>
      </c>
      <c r="AI52" s="14">
        <v>241</v>
      </c>
      <c r="AJ52" s="14">
        <v>231</v>
      </c>
      <c r="AK52" s="14">
        <v>192</v>
      </c>
      <c r="AL52" s="14">
        <v>194</v>
      </c>
      <c r="AM52" s="14">
        <v>6</v>
      </c>
      <c r="AN52" s="14">
        <v>52</v>
      </c>
      <c r="AO52" s="14">
        <v>434</v>
      </c>
      <c r="AP52" s="14">
        <v>8</v>
      </c>
      <c r="AQ52" s="14">
        <v>369</v>
      </c>
      <c r="AR52" s="14">
        <v>4</v>
      </c>
      <c r="AS52" s="14">
        <v>696</v>
      </c>
      <c r="AT52" s="14">
        <v>379</v>
      </c>
    </row>
    <row r="53" spans="1:46" x14ac:dyDescent="0.25">
      <c r="A53" s="14">
        <v>37</v>
      </c>
      <c r="B53" s="14">
        <v>89</v>
      </c>
      <c r="D53" s="14">
        <v>13</v>
      </c>
      <c r="E53" s="14">
        <v>1964</v>
      </c>
      <c r="F53" s="14">
        <v>14</v>
      </c>
      <c r="G53" s="14">
        <v>19</v>
      </c>
      <c r="H53" s="14">
        <v>170</v>
      </c>
      <c r="J53" s="14">
        <v>588</v>
      </c>
      <c r="K53" s="14">
        <v>2</v>
      </c>
      <c r="L53" s="14">
        <v>98</v>
      </c>
      <c r="M53" s="14">
        <v>517</v>
      </c>
      <c r="P53" s="14">
        <v>111</v>
      </c>
      <c r="Q53" s="14">
        <v>449</v>
      </c>
      <c r="R53" s="14">
        <v>11</v>
      </c>
      <c r="T53" s="14">
        <v>55</v>
      </c>
      <c r="U53" s="14">
        <v>380</v>
      </c>
      <c r="V53" s="14">
        <v>804</v>
      </c>
      <c r="W53" s="14">
        <v>603</v>
      </c>
      <c r="X53" s="14">
        <v>13</v>
      </c>
      <c r="AA53" s="14">
        <v>543</v>
      </c>
      <c r="AB53" s="14">
        <v>932</v>
      </c>
      <c r="AC53" s="14">
        <v>9</v>
      </c>
      <c r="AD53" s="14">
        <v>91</v>
      </c>
      <c r="AE53" s="14">
        <v>15</v>
      </c>
      <c r="AF53" s="14">
        <v>176</v>
      </c>
      <c r="AG53" s="14">
        <v>181</v>
      </c>
      <c r="AH53" s="14">
        <v>8</v>
      </c>
      <c r="AI53" s="14">
        <v>40</v>
      </c>
      <c r="AJ53" s="14">
        <v>179</v>
      </c>
      <c r="AK53" s="14">
        <v>209</v>
      </c>
      <c r="AL53" s="14">
        <v>155</v>
      </c>
      <c r="AM53" s="14">
        <v>142</v>
      </c>
      <c r="AN53" s="14">
        <v>45</v>
      </c>
      <c r="AO53" s="14">
        <v>289</v>
      </c>
      <c r="AP53" s="14">
        <v>8</v>
      </c>
      <c r="AQ53" s="14">
        <v>353</v>
      </c>
      <c r="AR53" s="14">
        <v>1506</v>
      </c>
      <c r="AS53" s="14">
        <v>726</v>
      </c>
      <c r="AT53" s="14">
        <v>248</v>
      </c>
    </row>
    <row r="54" spans="1:46" x14ac:dyDescent="0.25">
      <c r="A54" s="14">
        <v>115</v>
      </c>
      <c r="B54" s="14">
        <v>88</v>
      </c>
      <c r="D54" s="14">
        <v>129</v>
      </c>
      <c r="F54" s="14">
        <v>143</v>
      </c>
      <c r="G54" s="14">
        <v>19</v>
      </c>
      <c r="H54" s="14">
        <v>246</v>
      </c>
      <c r="J54" s="14">
        <v>456</v>
      </c>
      <c r="K54" s="14">
        <v>4</v>
      </c>
      <c r="L54" s="14">
        <v>75</v>
      </c>
      <c r="M54" s="14">
        <v>641</v>
      </c>
      <c r="P54" s="14">
        <v>158</v>
      </c>
      <c r="Q54" s="14">
        <v>492</v>
      </c>
      <c r="R54" s="14">
        <v>12</v>
      </c>
      <c r="T54" s="14">
        <v>70</v>
      </c>
      <c r="U54" s="14">
        <v>430</v>
      </c>
      <c r="V54" s="14">
        <v>374</v>
      </c>
      <c r="W54" s="14">
        <v>605</v>
      </c>
      <c r="X54" s="14">
        <v>16</v>
      </c>
      <c r="AA54" s="14">
        <v>384</v>
      </c>
      <c r="AB54" s="14">
        <v>117</v>
      </c>
      <c r="AC54" s="14">
        <v>14</v>
      </c>
      <c r="AD54" s="14">
        <v>106</v>
      </c>
      <c r="AE54" s="14">
        <v>20</v>
      </c>
      <c r="AF54" s="14">
        <v>719</v>
      </c>
      <c r="AG54" s="14">
        <v>191</v>
      </c>
      <c r="AH54" s="14">
        <v>6</v>
      </c>
      <c r="AI54" s="14">
        <v>64</v>
      </c>
      <c r="AJ54" s="14">
        <v>281</v>
      </c>
      <c r="AK54" s="14">
        <v>793</v>
      </c>
      <c r="AL54" s="14">
        <v>163</v>
      </c>
      <c r="AM54" s="14">
        <v>121</v>
      </c>
      <c r="AN54" s="14">
        <v>50</v>
      </c>
      <c r="AO54" s="14">
        <v>39</v>
      </c>
      <c r="AP54" s="14">
        <v>557</v>
      </c>
      <c r="AQ54" s="14">
        <v>191</v>
      </c>
      <c r="AR54" s="14">
        <v>192</v>
      </c>
      <c r="AS54" s="14">
        <v>67</v>
      </c>
      <c r="AT54" s="14">
        <v>251</v>
      </c>
    </row>
    <row r="55" spans="1:46" x14ac:dyDescent="0.25">
      <c r="A55" s="14">
        <v>36</v>
      </c>
      <c r="B55" s="14">
        <v>88</v>
      </c>
      <c r="D55" s="14">
        <v>179</v>
      </c>
      <c r="F55" s="14">
        <v>34</v>
      </c>
      <c r="G55" s="14">
        <v>16</v>
      </c>
      <c r="H55" s="14">
        <v>960</v>
      </c>
      <c r="J55" s="14">
        <v>709</v>
      </c>
      <c r="K55" s="14">
        <v>12</v>
      </c>
      <c r="L55" s="14">
        <v>111</v>
      </c>
      <c r="M55" s="14">
        <v>232</v>
      </c>
      <c r="P55" s="14">
        <v>203</v>
      </c>
      <c r="Q55" s="14">
        <v>11</v>
      </c>
      <c r="R55" s="14">
        <v>13</v>
      </c>
      <c r="T55" s="14">
        <v>106</v>
      </c>
      <c r="U55" s="14">
        <v>596</v>
      </c>
      <c r="V55" s="14">
        <v>578</v>
      </c>
      <c r="W55" s="14">
        <v>654</v>
      </c>
      <c r="X55" s="14">
        <v>12</v>
      </c>
      <c r="AA55" s="14">
        <v>65</v>
      </c>
      <c r="AB55" s="14">
        <v>287</v>
      </c>
      <c r="AC55" s="14">
        <v>3</v>
      </c>
      <c r="AD55" s="14">
        <v>55</v>
      </c>
      <c r="AE55" s="14">
        <v>32</v>
      </c>
      <c r="AF55" s="14">
        <v>244</v>
      </c>
      <c r="AG55" s="14">
        <v>668</v>
      </c>
      <c r="AH55" s="14">
        <v>8</v>
      </c>
      <c r="AI55" s="14">
        <v>96</v>
      </c>
      <c r="AJ55" s="14">
        <v>272</v>
      </c>
      <c r="AK55" s="14">
        <v>239</v>
      </c>
      <c r="AL55" s="14">
        <v>188</v>
      </c>
      <c r="AM55" s="14">
        <v>928</v>
      </c>
      <c r="AN55" s="14">
        <v>42</v>
      </c>
      <c r="AO55" s="14">
        <v>27</v>
      </c>
      <c r="AP55" s="14">
        <v>467</v>
      </c>
      <c r="AQ55" s="14">
        <v>74</v>
      </c>
      <c r="AR55" s="14">
        <v>6327</v>
      </c>
      <c r="AS55" s="14">
        <v>2471</v>
      </c>
      <c r="AT55" s="14">
        <v>302</v>
      </c>
    </row>
    <row r="56" spans="1:46" x14ac:dyDescent="0.25">
      <c r="A56" s="14">
        <v>63</v>
      </c>
      <c r="B56" s="14">
        <v>85</v>
      </c>
      <c r="D56" s="14">
        <v>104</v>
      </c>
      <c r="F56" s="14">
        <v>145</v>
      </c>
      <c r="G56" s="14">
        <v>32</v>
      </c>
      <c r="H56" s="14">
        <v>155</v>
      </c>
      <c r="J56" s="14">
        <v>608</v>
      </c>
      <c r="K56" s="14">
        <v>2</v>
      </c>
      <c r="L56" s="14">
        <v>96</v>
      </c>
      <c r="M56" s="14">
        <v>298</v>
      </c>
      <c r="P56" s="14">
        <v>144</v>
      </c>
      <c r="Q56" s="14">
        <v>240</v>
      </c>
      <c r="R56" s="14">
        <v>11</v>
      </c>
      <c r="T56" s="14">
        <v>80</v>
      </c>
      <c r="U56" s="14">
        <v>968</v>
      </c>
      <c r="V56" s="14">
        <v>811</v>
      </c>
      <c r="W56" s="14">
        <v>662</v>
      </c>
      <c r="X56" s="14">
        <v>47</v>
      </c>
      <c r="AA56" s="14">
        <v>76</v>
      </c>
      <c r="AB56" s="14">
        <v>202</v>
      </c>
      <c r="AC56" s="14">
        <v>23</v>
      </c>
      <c r="AD56" s="14">
        <v>51</v>
      </c>
      <c r="AE56" s="14">
        <v>40</v>
      </c>
      <c r="AF56" s="14">
        <v>5</v>
      </c>
      <c r="AG56" s="14">
        <v>158</v>
      </c>
      <c r="AH56" s="14">
        <v>7</v>
      </c>
      <c r="AI56" s="14">
        <v>212</v>
      </c>
      <c r="AJ56" s="14">
        <v>152</v>
      </c>
      <c r="AK56" s="14">
        <v>9</v>
      </c>
      <c r="AL56" s="14">
        <v>102</v>
      </c>
      <c r="AM56" s="14">
        <v>754</v>
      </c>
      <c r="AN56" s="14">
        <v>36</v>
      </c>
      <c r="AO56" s="14">
        <v>14</v>
      </c>
      <c r="AP56" s="14">
        <v>583</v>
      </c>
      <c r="AQ56" s="14">
        <v>114</v>
      </c>
      <c r="AR56" s="14">
        <v>5</v>
      </c>
      <c r="AS56" s="14">
        <v>1807</v>
      </c>
      <c r="AT56" s="14">
        <v>258</v>
      </c>
    </row>
    <row r="57" spans="1:46" x14ac:dyDescent="0.25">
      <c r="A57" s="14">
        <v>62</v>
      </c>
      <c r="B57" s="14">
        <v>83</v>
      </c>
      <c r="D57" s="14">
        <v>9</v>
      </c>
      <c r="F57" s="14">
        <v>70</v>
      </c>
      <c r="G57" s="14">
        <v>42</v>
      </c>
      <c r="H57" s="14">
        <v>39</v>
      </c>
      <c r="J57" s="14">
        <v>644</v>
      </c>
      <c r="K57" s="14">
        <v>1</v>
      </c>
      <c r="L57" s="14">
        <v>21</v>
      </c>
      <c r="M57" s="14">
        <v>288</v>
      </c>
      <c r="P57" s="14">
        <v>186</v>
      </c>
      <c r="Q57" s="14">
        <v>72</v>
      </c>
      <c r="R57" s="14">
        <v>11</v>
      </c>
      <c r="T57" s="14">
        <v>68</v>
      </c>
      <c r="U57" s="14">
        <v>149</v>
      </c>
      <c r="V57" s="14">
        <v>137</v>
      </c>
      <c r="W57" s="14">
        <v>80</v>
      </c>
      <c r="X57" s="14">
        <v>5</v>
      </c>
      <c r="AA57" s="14">
        <v>898</v>
      </c>
      <c r="AB57" s="14">
        <v>120</v>
      </c>
      <c r="AC57" s="14">
        <v>10</v>
      </c>
      <c r="AD57" s="14">
        <v>57</v>
      </c>
      <c r="AE57" s="14">
        <v>19</v>
      </c>
      <c r="AF57" s="14">
        <v>2</v>
      </c>
      <c r="AG57" s="14">
        <v>196</v>
      </c>
      <c r="AH57" s="14">
        <v>6</v>
      </c>
      <c r="AI57" s="14">
        <v>90</v>
      </c>
      <c r="AJ57" s="14">
        <v>235</v>
      </c>
      <c r="AK57" s="14">
        <v>865</v>
      </c>
      <c r="AL57" s="14">
        <v>196</v>
      </c>
      <c r="AM57" s="14">
        <v>124</v>
      </c>
      <c r="AN57" s="14">
        <v>57</v>
      </c>
      <c r="AO57" s="14">
        <v>9</v>
      </c>
      <c r="AP57" s="14">
        <v>47</v>
      </c>
      <c r="AQ57" s="14">
        <v>36</v>
      </c>
      <c r="AR57" s="14">
        <v>2</v>
      </c>
      <c r="AS57" s="14">
        <v>1756</v>
      </c>
      <c r="AT57" s="14">
        <v>215</v>
      </c>
    </row>
    <row r="58" spans="1:46" x14ac:dyDescent="0.25">
      <c r="A58" s="14">
        <v>66</v>
      </c>
      <c r="B58" s="14">
        <v>86</v>
      </c>
      <c r="D58" s="14">
        <v>40</v>
      </c>
      <c r="F58" s="14">
        <v>150</v>
      </c>
      <c r="G58" s="14">
        <v>125</v>
      </c>
      <c r="H58" s="14">
        <v>152</v>
      </c>
      <c r="J58" s="14">
        <v>789</v>
      </c>
      <c r="K58" s="14">
        <v>10</v>
      </c>
      <c r="L58" s="14">
        <v>95</v>
      </c>
      <c r="M58" s="14">
        <v>133</v>
      </c>
      <c r="P58" s="14">
        <v>749</v>
      </c>
      <c r="Q58" s="14">
        <v>164</v>
      </c>
      <c r="R58" s="14">
        <v>13</v>
      </c>
      <c r="T58" s="14">
        <v>69</v>
      </c>
      <c r="U58" s="14">
        <v>134</v>
      </c>
      <c r="V58" s="14">
        <v>394</v>
      </c>
      <c r="W58" s="14">
        <v>823</v>
      </c>
      <c r="X58" s="14">
        <v>20</v>
      </c>
      <c r="AA58" s="14">
        <v>294</v>
      </c>
      <c r="AB58" s="14">
        <v>81</v>
      </c>
      <c r="AC58" s="14">
        <v>20</v>
      </c>
      <c r="AD58" s="14">
        <v>42</v>
      </c>
      <c r="AE58" s="14">
        <v>105</v>
      </c>
      <c r="AF58" s="14">
        <v>7</v>
      </c>
      <c r="AG58" s="14">
        <v>615</v>
      </c>
      <c r="AH58" s="14">
        <v>130</v>
      </c>
      <c r="AI58" s="14">
        <v>16</v>
      </c>
      <c r="AJ58" s="14">
        <v>179</v>
      </c>
      <c r="AK58" s="14">
        <v>433</v>
      </c>
      <c r="AL58" s="14">
        <v>194</v>
      </c>
      <c r="AM58" s="14">
        <v>392</v>
      </c>
      <c r="AN58" s="14">
        <v>49</v>
      </c>
      <c r="AO58" s="14">
        <v>248</v>
      </c>
      <c r="AP58" s="14">
        <v>757</v>
      </c>
      <c r="AQ58" s="14">
        <v>160</v>
      </c>
      <c r="AR58" s="14">
        <v>1</v>
      </c>
      <c r="AS58" s="14">
        <v>1496</v>
      </c>
      <c r="AT58" s="14">
        <v>215</v>
      </c>
    </row>
    <row r="59" spans="1:46" x14ac:dyDescent="0.25">
      <c r="A59" s="14">
        <v>48</v>
      </c>
      <c r="B59" s="14">
        <v>125</v>
      </c>
      <c r="D59" s="14">
        <v>99</v>
      </c>
      <c r="F59" s="14">
        <v>23</v>
      </c>
      <c r="G59" s="14">
        <v>9</v>
      </c>
      <c r="H59" s="14">
        <v>217</v>
      </c>
      <c r="J59" s="14">
        <v>908</v>
      </c>
      <c r="K59" s="14">
        <v>1</v>
      </c>
      <c r="L59" s="14">
        <v>94</v>
      </c>
      <c r="M59" s="14">
        <v>107</v>
      </c>
      <c r="P59" s="14">
        <v>321</v>
      </c>
      <c r="Q59" s="14">
        <v>352</v>
      </c>
      <c r="R59" s="14">
        <v>14</v>
      </c>
      <c r="T59" s="14">
        <v>54</v>
      </c>
      <c r="U59" s="14">
        <v>137</v>
      </c>
      <c r="V59" s="14">
        <v>755</v>
      </c>
      <c r="W59" s="14">
        <v>841</v>
      </c>
      <c r="X59" s="14">
        <v>6</v>
      </c>
      <c r="AA59" s="14">
        <v>23</v>
      </c>
      <c r="AB59" s="14">
        <v>583</v>
      </c>
      <c r="AC59" s="14">
        <v>4</v>
      </c>
      <c r="AD59" s="14">
        <v>28</v>
      </c>
      <c r="AE59" s="14">
        <v>105</v>
      </c>
      <c r="AF59" s="14">
        <v>109</v>
      </c>
      <c r="AG59" s="14">
        <v>77</v>
      </c>
      <c r="AH59" s="14">
        <v>19</v>
      </c>
      <c r="AI59" s="14">
        <v>32</v>
      </c>
      <c r="AJ59" s="14">
        <v>189</v>
      </c>
      <c r="AK59" s="14">
        <v>421</v>
      </c>
      <c r="AL59" s="14">
        <v>128</v>
      </c>
      <c r="AM59" s="14">
        <v>208</v>
      </c>
      <c r="AN59" s="14">
        <v>37</v>
      </c>
      <c r="AO59" s="14">
        <v>222</v>
      </c>
      <c r="AP59" s="14">
        <v>66</v>
      </c>
      <c r="AQ59" s="14">
        <v>228</v>
      </c>
      <c r="AR59" s="14">
        <v>6</v>
      </c>
      <c r="AS59" s="14">
        <v>53</v>
      </c>
      <c r="AT59" s="14">
        <v>539</v>
      </c>
    </row>
    <row r="60" spans="1:46" x14ac:dyDescent="0.25">
      <c r="A60" s="14">
        <v>43</v>
      </c>
      <c r="B60" s="14">
        <v>16</v>
      </c>
      <c r="D60" s="14">
        <v>8</v>
      </c>
      <c r="F60" s="14">
        <v>139</v>
      </c>
      <c r="G60" s="14">
        <v>9</v>
      </c>
      <c r="H60" s="14">
        <v>50</v>
      </c>
      <c r="J60" s="14">
        <v>740</v>
      </c>
      <c r="K60" s="14">
        <v>2</v>
      </c>
      <c r="L60" s="14">
        <v>77</v>
      </c>
      <c r="M60" s="14">
        <v>296</v>
      </c>
      <c r="P60" s="14">
        <v>833</v>
      </c>
      <c r="Q60" s="14">
        <v>327</v>
      </c>
      <c r="R60" s="14">
        <v>14</v>
      </c>
      <c r="T60" s="14">
        <v>67</v>
      </c>
      <c r="U60" s="14">
        <v>147</v>
      </c>
      <c r="V60" s="14">
        <v>564</v>
      </c>
      <c r="W60" s="14">
        <v>280</v>
      </c>
      <c r="AA60" s="14">
        <v>588</v>
      </c>
      <c r="AB60" s="14">
        <v>208</v>
      </c>
      <c r="AC60" s="14">
        <v>24</v>
      </c>
      <c r="AD60" s="14">
        <v>46</v>
      </c>
      <c r="AE60" s="14">
        <v>100</v>
      </c>
      <c r="AF60" s="14">
        <v>13</v>
      </c>
      <c r="AG60" s="14">
        <v>212</v>
      </c>
      <c r="AH60" s="14">
        <v>172</v>
      </c>
      <c r="AI60" s="14">
        <v>27</v>
      </c>
      <c r="AJ60" s="14">
        <v>201</v>
      </c>
      <c r="AK60" s="14">
        <v>482</v>
      </c>
      <c r="AL60" s="14">
        <v>107</v>
      </c>
      <c r="AM60" s="14">
        <v>590</v>
      </c>
      <c r="AN60" s="14">
        <v>50</v>
      </c>
      <c r="AO60" s="14">
        <v>401</v>
      </c>
      <c r="AP60" s="14">
        <v>467</v>
      </c>
      <c r="AQ60" s="14">
        <v>246</v>
      </c>
      <c r="AR60" s="14">
        <v>130</v>
      </c>
      <c r="AS60" s="14">
        <v>1547</v>
      </c>
      <c r="AT60" s="14">
        <v>245</v>
      </c>
    </row>
    <row r="61" spans="1:46" x14ac:dyDescent="0.25">
      <c r="A61" s="14">
        <v>48</v>
      </c>
      <c r="B61" s="14">
        <v>18</v>
      </c>
      <c r="D61" s="14">
        <v>39</v>
      </c>
      <c r="F61" s="14">
        <v>213</v>
      </c>
      <c r="G61" s="14">
        <v>9</v>
      </c>
      <c r="H61" s="14">
        <v>22</v>
      </c>
      <c r="J61" s="14">
        <v>115</v>
      </c>
      <c r="K61" s="14">
        <v>71</v>
      </c>
      <c r="L61" s="14">
        <v>123</v>
      </c>
      <c r="M61" s="14">
        <v>16</v>
      </c>
      <c r="P61" s="14">
        <v>134</v>
      </c>
      <c r="Q61" s="14">
        <v>175</v>
      </c>
      <c r="R61" s="14">
        <v>19</v>
      </c>
      <c r="T61" s="14">
        <v>58</v>
      </c>
      <c r="U61" s="14">
        <v>174</v>
      </c>
      <c r="V61" s="14">
        <v>343</v>
      </c>
      <c r="W61" s="14">
        <v>901</v>
      </c>
      <c r="AA61" s="14">
        <v>486</v>
      </c>
      <c r="AB61" s="14">
        <v>326</v>
      </c>
      <c r="AC61" s="14">
        <v>13</v>
      </c>
      <c r="AD61" s="14">
        <v>36</v>
      </c>
      <c r="AE61" s="14">
        <v>102</v>
      </c>
      <c r="AF61" s="14">
        <v>66</v>
      </c>
      <c r="AG61" s="14">
        <v>471</v>
      </c>
      <c r="AH61" s="14">
        <v>43</v>
      </c>
      <c r="AI61" s="14">
        <v>24</v>
      </c>
      <c r="AJ61" s="14">
        <v>197</v>
      </c>
      <c r="AK61" s="14">
        <v>497</v>
      </c>
      <c r="AL61" s="14">
        <v>118</v>
      </c>
      <c r="AM61" s="14">
        <v>588</v>
      </c>
      <c r="AN61" s="14">
        <v>42</v>
      </c>
      <c r="AO61" s="14">
        <v>142</v>
      </c>
      <c r="AP61" s="14">
        <v>333</v>
      </c>
      <c r="AQ61" s="14">
        <v>153</v>
      </c>
      <c r="AR61" s="14">
        <v>3</v>
      </c>
      <c r="AS61" s="14">
        <v>1931</v>
      </c>
      <c r="AT61" s="14">
        <v>217</v>
      </c>
    </row>
    <row r="62" spans="1:46" x14ac:dyDescent="0.25">
      <c r="A62" s="14">
        <v>48</v>
      </c>
      <c r="B62" s="14">
        <v>324</v>
      </c>
      <c r="D62" s="14">
        <v>8</v>
      </c>
      <c r="F62" s="14">
        <v>75</v>
      </c>
      <c r="G62" s="14">
        <v>8</v>
      </c>
      <c r="H62" s="14">
        <v>11</v>
      </c>
      <c r="J62" s="14">
        <v>108</v>
      </c>
      <c r="K62" s="14">
        <v>41</v>
      </c>
      <c r="L62" s="14">
        <v>143</v>
      </c>
      <c r="M62" s="14">
        <v>423</v>
      </c>
      <c r="P62" s="14">
        <v>176</v>
      </c>
      <c r="Q62" s="14">
        <v>139</v>
      </c>
      <c r="R62" s="14">
        <v>16</v>
      </c>
      <c r="T62" s="14">
        <v>61</v>
      </c>
      <c r="U62" s="14">
        <v>203</v>
      </c>
      <c r="V62" s="14">
        <v>196</v>
      </c>
      <c r="W62" s="14">
        <v>114</v>
      </c>
      <c r="AA62" s="14">
        <v>341</v>
      </c>
      <c r="AB62" s="14">
        <v>169</v>
      </c>
      <c r="AC62" s="14">
        <v>22</v>
      </c>
      <c r="AD62" s="14">
        <v>7</v>
      </c>
      <c r="AE62" s="14">
        <v>110</v>
      </c>
      <c r="AF62" s="14">
        <v>2</v>
      </c>
      <c r="AG62" s="14">
        <v>5</v>
      </c>
      <c r="AH62" s="14">
        <v>2</v>
      </c>
      <c r="AI62" s="14">
        <v>19</v>
      </c>
      <c r="AJ62" s="14">
        <v>124</v>
      </c>
      <c r="AK62" s="14">
        <v>13</v>
      </c>
      <c r="AL62" s="14">
        <v>734</v>
      </c>
      <c r="AM62" s="14">
        <v>823</v>
      </c>
      <c r="AN62" s="14">
        <v>32</v>
      </c>
      <c r="AO62" s="14">
        <v>75</v>
      </c>
      <c r="AP62" s="14">
        <v>284</v>
      </c>
      <c r="AQ62" s="14">
        <v>186</v>
      </c>
      <c r="AR62" s="14">
        <v>1</v>
      </c>
      <c r="AS62" s="14">
        <v>1366</v>
      </c>
      <c r="AT62" s="14">
        <v>212</v>
      </c>
    </row>
    <row r="63" spans="1:46" x14ac:dyDescent="0.25">
      <c r="A63" s="14">
        <v>43</v>
      </c>
      <c r="B63" s="14">
        <v>5</v>
      </c>
      <c r="D63" s="14">
        <v>25</v>
      </c>
      <c r="F63" s="14">
        <v>163</v>
      </c>
      <c r="G63" s="14">
        <v>9</v>
      </c>
      <c r="H63" s="14">
        <v>17</v>
      </c>
      <c r="J63" s="14">
        <v>100</v>
      </c>
      <c r="K63" s="14">
        <v>55</v>
      </c>
      <c r="L63" s="14">
        <v>194</v>
      </c>
      <c r="M63" s="14">
        <v>576</v>
      </c>
      <c r="P63" s="14">
        <v>142</v>
      </c>
      <c r="Q63" s="14">
        <v>134</v>
      </c>
      <c r="R63" s="14">
        <v>21</v>
      </c>
      <c r="T63" s="14">
        <v>56</v>
      </c>
      <c r="U63" s="14">
        <v>248</v>
      </c>
      <c r="V63" s="14">
        <v>137</v>
      </c>
      <c r="W63" s="14">
        <v>957</v>
      </c>
      <c r="AA63" s="14">
        <v>508</v>
      </c>
      <c r="AB63" s="14">
        <v>167</v>
      </c>
      <c r="AC63" s="14">
        <v>2</v>
      </c>
      <c r="AD63" s="14">
        <v>9</v>
      </c>
      <c r="AE63" s="14">
        <v>375</v>
      </c>
      <c r="AF63" s="14">
        <v>106</v>
      </c>
      <c r="AG63" s="14">
        <v>235</v>
      </c>
      <c r="AH63" s="14">
        <v>8</v>
      </c>
      <c r="AI63" s="14">
        <v>11</v>
      </c>
      <c r="AJ63" s="14">
        <v>117</v>
      </c>
      <c r="AK63" s="14">
        <v>221</v>
      </c>
      <c r="AL63" s="14">
        <v>109</v>
      </c>
      <c r="AM63" s="14">
        <v>870</v>
      </c>
      <c r="AN63" s="14">
        <v>580</v>
      </c>
      <c r="AO63" s="14">
        <v>351</v>
      </c>
      <c r="AP63" s="14">
        <v>193</v>
      </c>
      <c r="AQ63" s="14">
        <v>70</v>
      </c>
      <c r="AR63" s="14">
        <v>29</v>
      </c>
      <c r="AS63" s="14">
        <v>1869</v>
      </c>
      <c r="AT63" s="14">
        <v>212</v>
      </c>
    </row>
    <row r="64" spans="1:46" x14ac:dyDescent="0.25">
      <c r="A64" s="14">
        <v>29</v>
      </c>
      <c r="B64" s="14">
        <v>5</v>
      </c>
      <c r="D64" s="14">
        <v>519</v>
      </c>
      <c r="F64" s="14">
        <v>143</v>
      </c>
      <c r="G64" s="14">
        <v>8</v>
      </c>
      <c r="H64" s="14">
        <v>661</v>
      </c>
      <c r="J64" s="14">
        <v>201</v>
      </c>
      <c r="K64" s="14">
        <v>78</v>
      </c>
      <c r="L64" s="14">
        <v>162</v>
      </c>
      <c r="M64" s="14">
        <v>120</v>
      </c>
      <c r="P64" s="14">
        <v>190</v>
      </c>
      <c r="Q64" s="14">
        <v>111</v>
      </c>
      <c r="R64" s="14">
        <v>25</v>
      </c>
      <c r="T64" s="14">
        <v>103</v>
      </c>
      <c r="U64" s="14">
        <v>424</v>
      </c>
      <c r="V64" s="14">
        <v>58</v>
      </c>
      <c r="W64" s="14">
        <v>195</v>
      </c>
      <c r="AA64" s="14">
        <v>649</v>
      </c>
      <c r="AB64" s="14">
        <v>161</v>
      </c>
      <c r="AC64" s="14">
        <v>9</v>
      </c>
      <c r="AD64" s="14">
        <v>7</v>
      </c>
      <c r="AE64" s="14">
        <v>350</v>
      </c>
      <c r="AF64" s="14">
        <v>11</v>
      </c>
      <c r="AG64" s="14">
        <v>106</v>
      </c>
      <c r="AH64" s="14">
        <v>6</v>
      </c>
      <c r="AI64" s="14">
        <v>21</v>
      </c>
      <c r="AJ64" s="14">
        <v>152</v>
      </c>
      <c r="AK64" s="14">
        <v>112</v>
      </c>
      <c r="AL64" s="14">
        <v>954</v>
      </c>
      <c r="AM64" s="14">
        <v>428</v>
      </c>
      <c r="AN64" s="14">
        <v>19</v>
      </c>
      <c r="AO64" s="14">
        <v>165</v>
      </c>
      <c r="AP64" s="14">
        <v>81</v>
      </c>
      <c r="AQ64" s="14">
        <v>37</v>
      </c>
      <c r="AR64" s="14">
        <v>4</v>
      </c>
      <c r="AS64" s="14">
        <v>1918</v>
      </c>
      <c r="AT64" s="14">
        <v>214</v>
      </c>
    </row>
    <row r="65" spans="1:46" x14ac:dyDescent="0.25">
      <c r="A65" s="14">
        <v>24</v>
      </c>
      <c r="B65" s="14">
        <v>177</v>
      </c>
      <c r="D65" s="14">
        <v>3</v>
      </c>
      <c r="F65" s="14">
        <v>246</v>
      </c>
      <c r="G65" s="14">
        <v>8</v>
      </c>
      <c r="H65" s="14">
        <v>117</v>
      </c>
      <c r="J65" s="14">
        <v>181</v>
      </c>
      <c r="K65" s="14">
        <v>38</v>
      </c>
      <c r="L65" s="14">
        <v>245</v>
      </c>
      <c r="M65" s="14">
        <v>234</v>
      </c>
      <c r="P65" s="14">
        <v>127</v>
      </c>
      <c r="Q65" s="14">
        <v>16</v>
      </c>
      <c r="R65" s="14">
        <v>42</v>
      </c>
      <c r="T65" s="14">
        <v>50</v>
      </c>
      <c r="U65" s="14">
        <v>122</v>
      </c>
      <c r="V65" s="14">
        <v>309</v>
      </c>
      <c r="W65" s="14">
        <v>764</v>
      </c>
      <c r="AA65" s="14">
        <v>217</v>
      </c>
      <c r="AB65" s="14">
        <v>312</v>
      </c>
      <c r="AC65" s="14">
        <v>9</v>
      </c>
      <c r="AD65" s="14">
        <v>50</v>
      </c>
      <c r="AE65" s="14">
        <v>368</v>
      </c>
      <c r="AF65" s="14">
        <v>67</v>
      </c>
      <c r="AG65" s="14">
        <v>372</v>
      </c>
      <c r="AH65" s="14">
        <v>10</v>
      </c>
      <c r="AI65" s="14">
        <v>49</v>
      </c>
      <c r="AJ65" s="14">
        <v>121</v>
      </c>
      <c r="AK65" s="14">
        <v>113</v>
      </c>
      <c r="AL65" s="14">
        <v>101</v>
      </c>
      <c r="AM65" s="14">
        <v>548</v>
      </c>
      <c r="AN65" s="14">
        <v>221</v>
      </c>
      <c r="AO65" s="14">
        <v>31</v>
      </c>
      <c r="AP65" s="14">
        <v>7</v>
      </c>
      <c r="AQ65" s="14">
        <v>29</v>
      </c>
      <c r="AR65" s="14">
        <v>1824</v>
      </c>
      <c r="AS65" s="14">
        <v>1931</v>
      </c>
      <c r="AT65" s="14">
        <v>341</v>
      </c>
    </row>
    <row r="66" spans="1:46" x14ac:dyDescent="0.25">
      <c r="A66" s="14">
        <v>23</v>
      </c>
      <c r="B66" s="14">
        <v>12</v>
      </c>
      <c r="D66" s="14">
        <v>43</v>
      </c>
      <c r="F66" s="14">
        <v>187</v>
      </c>
      <c r="G66" s="14">
        <v>8</v>
      </c>
      <c r="H66" s="14">
        <v>152</v>
      </c>
      <c r="J66" s="14">
        <v>241</v>
      </c>
      <c r="K66" s="14">
        <v>69</v>
      </c>
      <c r="L66" s="14">
        <v>249</v>
      </c>
      <c r="M66" s="14">
        <v>278</v>
      </c>
      <c r="P66" s="14">
        <v>122</v>
      </c>
      <c r="Q66" s="14">
        <v>317</v>
      </c>
      <c r="R66" s="14">
        <v>33</v>
      </c>
      <c r="T66" s="14">
        <v>69</v>
      </c>
      <c r="U66" s="14">
        <v>269</v>
      </c>
      <c r="V66" s="14">
        <v>435</v>
      </c>
      <c r="W66" s="14">
        <v>611</v>
      </c>
      <c r="AA66" s="14">
        <v>15</v>
      </c>
      <c r="AB66" s="14">
        <v>533</v>
      </c>
      <c r="AC66" s="14">
        <v>17</v>
      </c>
      <c r="AD66" s="14">
        <v>53</v>
      </c>
      <c r="AE66" s="14">
        <v>685</v>
      </c>
      <c r="AF66" s="14">
        <v>63</v>
      </c>
      <c r="AG66" s="14">
        <v>403</v>
      </c>
      <c r="AH66" s="14">
        <v>7</v>
      </c>
      <c r="AI66" s="14">
        <v>37</v>
      </c>
      <c r="AJ66" s="14">
        <v>81</v>
      </c>
      <c r="AK66" s="14">
        <v>253</v>
      </c>
      <c r="AL66" s="14">
        <v>734</v>
      </c>
      <c r="AM66" s="14">
        <v>712</v>
      </c>
      <c r="AN66" s="14">
        <v>215</v>
      </c>
      <c r="AO66" s="14">
        <v>192</v>
      </c>
      <c r="AP66" s="14">
        <v>365</v>
      </c>
      <c r="AQ66" s="14">
        <v>1229</v>
      </c>
      <c r="AR66" s="14">
        <v>227</v>
      </c>
      <c r="AS66" s="14">
        <v>1983</v>
      </c>
      <c r="AT66" s="14">
        <v>157</v>
      </c>
    </row>
    <row r="67" spans="1:46" x14ac:dyDescent="0.25">
      <c r="A67" s="14">
        <v>27</v>
      </c>
      <c r="B67" s="14">
        <v>14</v>
      </c>
      <c r="D67" s="14">
        <v>508</v>
      </c>
      <c r="F67" s="14">
        <v>203</v>
      </c>
      <c r="G67" s="14">
        <v>9</v>
      </c>
      <c r="H67" s="14">
        <v>211</v>
      </c>
      <c r="J67" s="14">
        <v>196</v>
      </c>
      <c r="K67" s="14">
        <v>10</v>
      </c>
      <c r="L67" s="14">
        <v>271</v>
      </c>
      <c r="M67" s="14">
        <v>20</v>
      </c>
      <c r="P67" s="14">
        <v>190</v>
      </c>
      <c r="Q67" s="14">
        <v>615</v>
      </c>
      <c r="R67" s="14">
        <v>25</v>
      </c>
      <c r="T67" s="14">
        <v>54</v>
      </c>
      <c r="U67" s="14">
        <v>316</v>
      </c>
      <c r="V67" s="14">
        <v>799</v>
      </c>
      <c r="W67" s="14">
        <v>242</v>
      </c>
      <c r="AA67" s="14">
        <v>349</v>
      </c>
      <c r="AB67" s="14">
        <v>336</v>
      </c>
      <c r="AC67" s="14">
        <v>3</v>
      </c>
      <c r="AD67" s="14">
        <v>67</v>
      </c>
      <c r="AE67" s="14">
        <v>650</v>
      </c>
      <c r="AF67" s="14">
        <v>1</v>
      </c>
      <c r="AG67" s="14">
        <v>121</v>
      </c>
      <c r="AH67" s="14">
        <v>6</v>
      </c>
      <c r="AI67" s="14">
        <v>33</v>
      </c>
      <c r="AJ67" s="14">
        <v>147</v>
      </c>
      <c r="AK67" s="14">
        <v>192</v>
      </c>
      <c r="AL67" s="14">
        <v>758</v>
      </c>
      <c r="AM67" s="14">
        <v>833</v>
      </c>
      <c r="AN67" s="14">
        <v>302</v>
      </c>
      <c r="AO67" s="14">
        <v>109</v>
      </c>
      <c r="AP67" s="14">
        <v>489</v>
      </c>
      <c r="AQ67" s="14">
        <v>944</v>
      </c>
      <c r="AR67" s="14">
        <v>6539</v>
      </c>
      <c r="AS67" s="14">
        <v>1953</v>
      </c>
      <c r="AT67" s="14">
        <v>184</v>
      </c>
    </row>
    <row r="68" spans="1:46" x14ac:dyDescent="0.25">
      <c r="A68" s="14">
        <v>82</v>
      </c>
      <c r="B68" s="14">
        <v>289</v>
      </c>
      <c r="D68" s="14">
        <v>12</v>
      </c>
      <c r="F68" s="14">
        <v>279</v>
      </c>
      <c r="G68" s="14">
        <v>9</v>
      </c>
      <c r="H68" s="14">
        <v>217</v>
      </c>
      <c r="J68" s="14">
        <v>183</v>
      </c>
      <c r="K68" s="14">
        <v>13</v>
      </c>
      <c r="L68" s="14">
        <v>206</v>
      </c>
      <c r="M68" s="14">
        <v>661</v>
      </c>
      <c r="P68" s="14">
        <v>102</v>
      </c>
      <c r="Q68" s="14">
        <v>668</v>
      </c>
      <c r="R68" s="14">
        <v>19</v>
      </c>
      <c r="T68" s="14">
        <v>158</v>
      </c>
      <c r="U68" s="14">
        <v>440</v>
      </c>
      <c r="V68" s="14">
        <v>650</v>
      </c>
      <c r="W68" s="14">
        <v>628</v>
      </c>
      <c r="AA68" s="14">
        <v>401</v>
      </c>
      <c r="AB68" s="14">
        <v>120</v>
      </c>
      <c r="AC68" s="14">
        <v>20</v>
      </c>
      <c r="AD68" s="14">
        <v>47</v>
      </c>
      <c r="AE68" s="14">
        <v>675</v>
      </c>
      <c r="AF68" s="14">
        <v>64</v>
      </c>
      <c r="AG68" s="14">
        <v>436</v>
      </c>
      <c r="AH68" s="14">
        <v>128</v>
      </c>
      <c r="AI68" s="14">
        <v>29</v>
      </c>
      <c r="AJ68" s="14">
        <v>116</v>
      </c>
      <c r="AK68" s="14">
        <v>259</v>
      </c>
      <c r="AL68" s="14">
        <v>466</v>
      </c>
      <c r="AM68" s="14">
        <v>494</v>
      </c>
      <c r="AN68" s="14">
        <v>301</v>
      </c>
      <c r="AO68" s="14">
        <v>531</v>
      </c>
      <c r="AP68" s="14">
        <v>796</v>
      </c>
      <c r="AQ68" s="14">
        <v>414</v>
      </c>
      <c r="AR68" s="14">
        <v>4</v>
      </c>
      <c r="AS68" s="14">
        <v>1999</v>
      </c>
      <c r="AT68" s="14">
        <v>155</v>
      </c>
    </row>
    <row r="69" spans="1:46" x14ac:dyDescent="0.25">
      <c r="A69" s="14">
        <v>49</v>
      </c>
      <c r="B69" s="14">
        <v>16</v>
      </c>
      <c r="D69" s="14">
        <v>86</v>
      </c>
      <c r="F69" s="14">
        <v>96</v>
      </c>
      <c r="G69" s="14">
        <v>981</v>
      </c>
      <c r="H69" s="14">
        <v>243</v>
      </c>
      <c r="J69" s="14">
        <v>191</v>
      </c>
      <c r="K69" s="14">
        <v>16</v>
      </c>
      <c r="L69" s="14">
        <v>301</v>
      </c>
      <c r="M69" s="14">
        <v>972</v>
      </c>
      <c r="P69" s="14">
        <v>545</v>
      </c>
      <c r="Q69" s="14">
        <v>368</v>
      </c>
      <c r="R69" s="14">
        <v>27</v>
      </c>
      <c r="T69" s="14">
        <v>94</v>
      </c>
      <c r="U69" s="14">
        <v>525</v>
      </c>
      <c r="V69" s="14">
        <v>378</v>
      </c>
      <c r="W69" s="14">
        <v>644</v>
      </c>
      <c r="AA69" s="14">
        <v>327</v>
      </c>
      <c r="AB69" s="14">
        <v>506</v>
      </c>
      <c r="AC69" s="14">
        <v>21</v>
      </c>
      <c r="AD69" s="14">
        <v>75</v>
      </c>
      <c r="AF69" s="14">
        <v>9</v>
      </c>
      <c r="AG69" s="14">
        <v>470</v>
      </c>
      <c r="AH69" s="14">
        <v>18</v>
      </c>
      <c r="AI69" s="14">
        <v>14</v>
      </c>
      <c r="AJ69" s="14">
        <v>145</v>
      </c>
      <c r="AK69" s="14">
        <v>139</v>
      </c>
      <c r="AL69" s="14">
        <v>761</v>
      </c>
      <c r="AM69" s="14">
        <v>246</v>
      </c>
      <c r="AN69" s="14">
        <v>260</v>
      </c>
      <c r="AO69" s="14">
        <v>76</v>
      </c>
      <c r="AP69" s="14">
        <v>113</v>
      </c>
      <c r="AQ69" s="14">
        <v>373</v>
      </c>
      <c r="AR69" s="14">
        <v>2</v>
      </c>
      <c r="AS69" s="14">
        <v>1997</v>
      </c>
      <c r="AT69" s="14">
        <v>264</v>
      </c>
    </row>
    <row r="70" spans="1:46" x14ac:dyDescent="0.25">
      <c r="A70" s="14">
        <v>37</v>
      </c>
      <c r="B70" s="14">
        <v>18</v>
      </c>
      <c r="D70" s="14">
        <v>75</v>
      </c>
      <c r="F70" s="14">
        <v>343</v>
      </c>
      <c r="G70" s="14">
        <v>102</v>
      </c>
      <c r="H70" s="14">
        <v>486</v>
      </c>
      <c r="J70" s="14">
        <v>256</v>
      </c>
      <c r="K70" s="14">
        <v>21</v>
      </c>
      <c r="L70" s="14">
        <v>38</v>
      </c>
      <c r="M70" s="14">
        <v>249</v>
      </c>
      <c r="P70" s="14">
        <v>146</v>
      </c>
      <c r="Q70" s="14">
        <v>93</v>
      </c>
      <c r="R70" s="14">
        <v>18</v>
      </c>
      <c r="T70" s="14">
        <v>117</v>
      </c>
      <c r="U70" s="14">
        <v>592</v>
      </c>
      <c r="V70" s="14">
        <v>235</v>
      </c>
      <c r="W70" s="14">
        <v>643</v>
      </c>
      <c r="AA70" s="14">
        <v>386</v>
      </c>
      <c r="AB70" s="14">
        <v>635</v>
      </c>
      <c r="AC70" s="14">
        <v>21</v>
      </c>
      <c r="AD70" s="14">
        <v>96</v>
      </c>
      <c r="AF70" s="14">
        <v>30</v>
      </c>
      <c r="AG70" s="14">
        <v>878</v>
      </c>
      <c r="AH70" s="14">
        <v>193</v>
      </c>
      <c r="AI70" s="14">
        <v>26</v>
      </c>
      <c r="AJ70" s="14">
        <v>114</v>
      </c>
      <c r="AK70" s="14">
        <v>120</v>
      </c>
      <c r="AL70" s="14">
        <v>638</v>
      </c>
      <c r="AM70" s="14">
        <v>487</v>
      </c>
      <c r="AN70" s="14">
        <v>376</v>
      </c>
      <c r="AO70" s="14">
        <v>160</v>
      </c>
      <c r="AP70" s="14">
        <v>148</v>
      </c>
      <c r="AQ70" s="14">
        <v>389</v>
      </c>
      <c r="AR70" s="14">
        <v>1</v>
      </c>
      <c r="AS70" s="14">
        <v>2075</v>
      </c>
      <c r="AT70" s="14">
        <v>301</v>
      </c>
    </row>
    <row r="71" spans="1:46" x14ac:dyDescent="0.25">
      <c r="A71" s="14">
        <v>25</v>
      </c>
      <c r="B71" s="14">
        <v>261</v>
      </c>
      <c r="D71" s="14">
        <v>3</v>
      </c>
      <c r="F71" s="14">
        <v>221</v>
      </c>
      <c r="G71" s="14">
        <v>105</v>
      </c>
      <c r="H71" s="14">
        <v>806</v>
      </c>
      <c r="J71" s="14">
        <v>211</v>
      </c>
      <c r="K71" s="14">
        <v>12</v>
      </c>
      <c r="L71" s="14">
        <v>31</v>
      </c>
      <c r="M71" s="14">
        <v>37</v>
      </c>
      <c r="P71" s="14">
        <v>211</v>
      </c>
      <c r="Q71" s="14">
        <v>176</v>
      </c>
      <c r="R71" s="14">
        <v>16</v>
      </c>
      <c r="T71" s="14">
        <v>44</v>
      </c>
      <c r="U71" s="14">
        <v>698</v>
      </c>
      <c r="V71" s="14">
        <v>154</v>
      </c>
      <c r="W71" s="14">
        <v>708</v>
      </c>
      <c r="AA71" s="14">
        <v>513</v>
      </c>
      <c r="AB71" s="14">
        <v>820</v>
      </c>
      <c r="AC71" s="14">
        <v>46</v>
      </c>
      <c r="AD71" s="14">
        <v>44</v>
      </c>
      <c r="AF71" s="14">
        <v>88</v>
      </c>
      <c r="AG71" s="14">
        <v>618</v>
      </c>
      <c r="AH71" s="14">
        <v>40</v>
      </c>
      <c r="AI71" s="14">
        <v>51</v>
      </c>
      <c r="AJ71" s="14">
        <v>117</v>
      </c>
      <c r="AK71" s="14">
        <v>185</v>
      </c>
      <c r="AL71" s="14">
        <v>5</v>
      </c>
      <c r="AM71" s="14">
        <v>715</v>
      </c>
      <c r="AN71" s="14">
        <v>678</v>
      </c>
      <c r="AO71" s="14">
        <v>73</v>
      </c>
      <c r="AP71" s="14">
        <v>313</v>
      </c>
      <c r="AQ71" s="14">
        <v>111</v>
      </c>
      <c r="AR71" s="14">
        <v>6</v>
      </c>
      <c r="AS71" s="14">
        <v>2320</v>
      </c>
      <c r="AT71" s="14">
        <v>212</v>
      </c>
    </row>
    <row r="72" spans="1:46" x14ac:dyDescent="0.25">
      <c r="A72" s="14">
        <v>154</v>
      </c>
      <c r="B72" s="14">
        <v>2</v>
      </c>
      <c r="D72" s="14">
        <v>13</v>
      </c>
      <c r="F72" s="14">
        <v>246</v>
      </c>
      <c r="G72" s="14">
        <v>955</v>
      </c>
      <c r="H72" s="14">
        <v>256</v>
      </c>
      <c r="J72" s="14">
        <v>143</v>
      </c>
      <c r="K72" s="14">
        <v>136</v>
      </c>
      <c r="L72" s="14">
        <v>39</v>
      </c>
      <c r="M72" s="14">
        <v>32</v>
      </c>
      <c r="P72" s="14">
        <v>738</v>
      </c>
      <c r="Q72" s="14">
        <v>352</v>
      </c>
      <c r="R72" s="14">
        <v>16</v>
      </c>
      <c r="T72" s="14">
        <v>113</v>
      </c>
      <c r="U72" s="14">
        <v>102</v>
      </c>
      <c r="V72" s="14">
        <v>64</v>
      </c>
      <c r="W72" s="14">
        <v>709</v>
      </c>
      <c r="AA72" s="14">
        <v>120</v>
      </c>
      <c r="AB72" s="14">
        <v>677</v>
      </c>
      <c r="AC72" s="14">
        <v>292</v>
      </c>
      <c r="AD72" s="14">
        <v>55</v>
      </c>
      <c r="AF72" s="14">
        <v>2</v>
      </c>
      <c r="AG72" s="14">
        <v>819</v>
      </c>
      <c r="AH72" s="14">
        <v>2</v>
      </c>
      <c r="AI72" s="14">
        <v>44</v>
      </c>
      <c r="AJ72" s="14">
        <v>176</v>
      </c>
      <c r="AK72" s="14">
        <v>123</v>
      </c>
      <c r="AL72" s="14">
        <v>2</v>
      </c>
      <c r="AM72" s="14">
        <v>1</v>
      </c>
      <c r="AN72" s="14">
        <v>351</v>
      </c>
      <c r="AO72" s="14">
        <v>531</v>
      </c>
      <c r="AP72" s="14">
        <v>370</v>
      </c>
      <c r="AQ72" s="14">
        <v>381</v>
      </c>
      <c r="AR72" s="14">
        <v>132</v>
      </c>
      <c r="AS72" s="14">
        <v>3885</v>
      </c>
      <c r="AT72" s="14">
        <v>219</v>
      </c>
    </row>
    <row r="73" spans="1:46" x14ac:dyDescent="0.25">
      <c r="A73" s="14">
        <v>17</v>
      </c>
      <c r="B73" s="14">
        <v>14</v>
      </c>
      <c r="D73" s="14">
        <v>238</v>
      </c>
      <c r="F73" s="14">
        <v>214</v>
      </c>
      <c r="G73" s="14">
        <v>109</v>
      </c>
      <c r="H73" s="14">
        <v>35</v>
      </c>
      <c r="J73" s="14">
        <v>128</v>
      </c>
      <c r="K73" s="14">
        <v>6</v>
      </c>
      <c r="L73" s="14">
        <v>55</v>
      </c>
      <c r="M73" s="14">
        <v>245</v>
      </c>
      <c r="P73" s="14">
        <v>698</v>
      </c>
      <c r="Q73" s="14">
        <v>327</v>
      </c>
      <c r="R73" s="14">
        <v>14</v>
      </c>
      <c r="T73" s="14">
        <v>62</v>
      </c>
      <c r="U73" s="14">
        <v>170</v>
      </c>
      <c r="V73" s="14">
        <v>393</v>
      </c>
      <c r="W73" s="14">
        <v>613</v>
      </c>
      <c r="AA73" s="14">
        <v>17</v>
      </c>
      <c r="AB73" s="14">
        <v>936</v>
      </c>
      <c r="AC73" s="14">
        <v>210</v>
      </c>
      <c r="AD73" s="14">
        <v>57</v>
      </c>
      <c r="AF73" s="14">
        <v>77</v>
      </c>
      <c r="AG73" s="14">
        <v>502</v>
      </c>
      <c r="AH73" s="14">
        <v>10</v>
      </c>
      <c r="AI73" s="14">
        <v>42</v>
      </c>
      <c r="AJ73" s="14">
        <v>102</v>
      </c>
      <c r="AK73" s="14">
        <v>331</v>
      </c>
      <c r="AL73" s="14">
        <v>4</v>
      </c>
      <c r="AM73" s="14">
        <v>1</v>
      </c>
      <c r="AN73" s="14">
        <v>480</v>
      </c>
      <c r="AO73" s="14">
        <v>242</v>
      </c>
      <c r="AP73" s="14">
        <v>125</v>
      </c>
      <c r="AQ73" s="14">
        <v>1139</v>
      </c>
      <c r="AR73" s="14">
        <v>3</v>
      </c>
      <c r="AS73" s="14">
        <v>1736</v>
      </c>
      <c r="AT73" s="14">
        <v>214</v>
      </c>
    </row>
    <row r="74" spans="1:46" x14ac:dyDescent="0.25">
      <c r="A74" s="14">
        <v>39</v>
      </c>
      <c r="B74" s="14">
        <v>4</v>
      </c>
      <c r="D74" s="14">
        <v>240</v>
      </c>
      <c r="F74" s="14">
        <v>138</v>
      </c>
      <c r="G74" s="14">
        <v>949</v>
      </c>
      <c r="H74" s="14">
        <v>36</v>
      </c>
      <c r="J74" s="14">
        <v>151</v>
      </c>
      <c r="K74" s="14">
        <v>6</v>
      </c>
      <c r="L74" s="14">
        <v>50</v>
      </c>
      <c r="M74" s="14">
        <v>283</v>
      </c>
      <c r="P74" s="14">
        <v>592</v>
      </c>
      <c r="Q74" s="14">
        <v>175</v>
      </c>
      <c r="R74" s="14">
        <v>13</v>
      </c>
      <c r="T74" s="14">
        <v>76</v>
      </c>
      <c r="U74" s="14">
        <v>264</v>
      </c>
      <c r="V74" s="14">
        <v>948</v>
      </c>
      <c r="W74" s="14">
        <v>949</v>
      </c>
      <c r="AA74" s="14">
        <v>301</v>
      </c>
      <c r="AB74" s="14">
        <v>253</v>
      </c>
      <c r="AC74" s="14">
        <v>299</v>
      </c>
      <c r="AD74" s="14">
        <v>55</v>
      </c>
      <c r="AF74" s="14">
        <v>9</v>
      </c>
      <c r="AG74" s="14">
        <v>128</v>
      </c>
      <c r="AH74" s="14">
        <v>7</v>
      </c>
      <c r="AI74" s="14">
        <v>38</v>
      </c>
      <c r="AJ74" s="14">
        <v>191</v>
      </c>
      <c r="AK74" s="14">
        <v>131</v>
      </c>
      <c r="AL74" s="14">
        <v>17</v>
      </c>
      <c r="AM74" s="14">
        <v>475</v>
      </c>
      <c r="AN74" s="14">
        <v>164</v>
      </c>
      <c r="AO74" s="14">
        <v>145</v>
      </c>
      <c r="AP74" s="14">
        <v>658</v>
      </c>
      <c r="AQ74" s="14">
        <v>239</v>
      </c>
      <c r="AR74" s="14">
        <v>11</v>
      </c>
      <c r="AS74" s="14">
        <v>2</v>
      </c>
      <c r="AT74" s="14">
        <v>221</v>
      </c>
    </row>
    <row r="75" spans="1:46" x14ac:dyDescent="0.25">
      <c r="A75" s="14">
        <v>40</v>
      </c>
      <c r="B75" s="14">
        <v>23</v>
      </c>
      <c r="D75" s="14">
        <v>18</v>
      </c>
      <c r="F75" s="14">
        <v>18</v>
      </c>
      <c r="G75" s="14">
        <v>970</v>
      </c>
      <c r="H75" s="14">
        <v>109</v>
      </c>
      <c r="J75" s="14">
        <v>718</v>
      </c>
      <c r="K75" s="14">
        <v>30</v>
      </c>
      <c r="L75" s="14">
        <v>35</v>
      </c>
      <c r="M75" s="14">
        <v>64</v>
      </c>
      <c r="P75" s="14">
        <v>524</v>
      </c>
      <c r="Q75" s="14">
        <v>139</v>
      </c>
      <c r="R75" s="14">
        <v>11</v>
      </c>
      <c r="T75" s="14">
        <v>90</v>
      </c>
      <c r="U75" s="14">
        <v>101</v>
      </c>
      <c r="V75" s="14">
        <v>968</v>
      </c>
      <c r="W75" s="14">
        <v>264</v>
      </c>
      <c r="AA75" s="14">
        <v>339</v>
      </c>
      <c r="AB75" s="14">
        <v>483</v>
      </c>
      <c r="AC75" s="14">
        <v>74</v>
      </c>
      <c r="AD75" s="14">
        <v>109</v>
      </c>
      <c r="AF75" s="14">
        <v>46</v>
      </c>
      <c r="AG75" s="14">
        <v>69</v>
      </c>
      <c r="AH75" s="14">
        <v>12</v>
      </c>
      <c r="AI75" s="14">
        <v>2</v>
      </c>
      <c r="AJ75" s="14">
        <v>103</v>
      </c>
      <c r="AK75" s="14">
        <v>166</v>
      </c>
      <c r="AL75" s="14">
        <v>81</v>
      </c>
      <c r="AM75" s="14">
        <v>506</v>
      </c>
      <c r="AN75" s="14">
        <v>200</v>
      </c>
      <c r="AO75" s="14">
        <v>593</v>
      </c>
      <c r="AP75" s="14">
        <v>100</v>
      </c>
      <c r="AQ75" s="14">
        <v>1064</v>
      </c>
      <c r="AR75" s="14">
        <v>27</v>
      </c>
      <c r="AS75" s="14">
        <v>2</v>
      </c>
      <c r="AT75" s="14">
        <v>341</v>
      </c>
    </row>
    <row r="76" spans="1:46" x14ac:dyDescent="0.25">
      <c r="A76" s="14">
        <v>55</v>
      </c>
      <c r="B76" s="14">
        <v>5</v>
      </c>
      <c r="D76" s="14">
        <v>308</v>
      </c>
      <c r="F76" s="14">
        <v>359</v>
      </c>
      <c r="G76" s="14">
        <v>102</v>
      </c>
      <c r="H76" s="14">
        <v>204</v>
      </c>
      <c r="J76" s="14">
        <v>722</v>
      </c>
      <c r="K76" s="14">
        <v>113</v>
      </c>
      <c r="L76" s="14">
        <v>40</v>
      </c>
      <c r="M76" s="14">
        <v>114</v>
      </c>
      <c r="P76" s="14">
        <v>759</v>
      </c>
      <c r="Q76" s="14">
        <v>134</v>
      </c>
      <c r="R76" s="14">
        <v>14</v>
      </c>
      <c r="T76" s="14">
        <v>68</v>
      </c>
      <c r="U76" s="14">
        <v>83</v>
      </c>
      <c r="V76" s="14">
        <v>860</v>
      </c>
      <c r="W76" s="14">
        <v>893</v>
      </c>
      <c r="AA76" s="14">
        <v>157</v>
      </c>
      <c r="AB76" s="14">
        <v>343</v>
      </c>
      <c r="AC76" s="14">
        <v>410</v>
      </c>
      <c r="AD76" s="14">
        <v>36</v>
      </c>
      <c r="AF76" s="14">
        <v>38</v>
      </c>
      <c r="AG76" s="14">
        <v>572</v>
      </c>
      <c r="AH76" s="14">
        <v>8</v>
      </c>
      <c r="AI76" s="14">
        <v>30</v>
      </c>
      <c r="AJ76" s="14">
        <v>709</v>
      </c>
      <c r="AK76" s="14">
        <v>620</v>
      </c>
      <c r="AL76" s="14">
        <v>2</v>
      </c>
      <c r="AM76" s="14">
        <v>467</v>
      </c>
      <c r="AN76" s="14">
        <v>411</v>
      </c>
      <c r="AO76" s="14">
        <v>73</v>
      </c>
      <c r="AP76" s="14">
        <v>121</v>
      </c>
      <c r="AQ76" s="14">
        <v>559</v>
      </c>
      <c r="AR76" s="14">
        <v>4</v>
      </c>
      <c r="AS76" s="14">
        <v>6</v>
      </c>
      <c r="AT76" s="14">
        <v>363</v>
      </c>
    </row>
    <row r="77" spans="1:46" x14ac:dyDescent="0.25">
      <c r="A77" s="14">
        <v>21</v>
      </c>
      <c r="B77" s="14">
        <v>44</v>
      </c>
      <c r="D77" s="14">
        <v>5</v>
      </c>
      <c r="F77" s="14">
        <v>82</v>
      </c>
      <c r="G77" s="14">
        <v>976</v>
      </c>
      <c r="H77" s="14">
        <v>209</v>
      </c>
      <c r="J77" s="14">
        <v>648</v>
      </c>
      <c r="K77" s="14">
        <v>106</v>
      </c>
      <c r="L77" s="14">
        <v>33</v>
      </c>
      <c r="M77" s="14">
        <v>907</v>
      </c>
      <c r="P77" s="14">
        <v>181</v>
      </c>
      <c r="Q77" s="14">
        <v>111</v>
      </c>
      <c r="R77" s="14">
        <v>12</v>
      </c>
      <c r="T77" s="14">
        <v>258</v>
      </c>
      <c r="U77" s="14">
        <v>79</v>
      </c>
      <c r="V77" s="14">
        <v>873</v>
      </c>
      <c r="W77" s="14">
        <v>108</v>
      </c>
      <c r="AA77" s="14">
        <v>307</v>
      </c>
      <c r="AB77" s="14">
        <v>238</v>
      </c>
      <c r="AC77" s="14">
        <v>381</v>
      </c>
      <c r="AD77" s="14">
        <v>46</v>
      </c>
      <c r="AF77" s="14">
        <v>639</v>
      </c>
      <c r="AG77" s="14">
        <v>255</v>
      </c>
      <c r="AH77" s="14">
        <v>8</v>
      </c>
      <c r="AI77" s="14">
        <v>55</v>
      </c>
      <c r="AJ77" s="14">
        <v>157</v>
      </c>
      <c r="AK77" s="14">
        <v>329</v>
      </c>
      <c r="AL77" s="14">
        <v>2</v>
      </c>
      <c r="AM77" s="14">
        <v>381</v>
      </c>
      <c r="AN77" s="14">
        <v>167</v>
      </c>
      <c r="AO77" s="14">
        <v>7</v>
      </c>
      <c r="AP77" s="14">
        <v>229</v>
      </c>
      <c r="AQ77" s="14">
        <v>94</v>
      </c>
      <c r="AR77" s="14">
        <v>1673</v>
      </c>
      <c r="AS77" s="14">
        <v>6</v>
      </c>
      <c r="AT77" s="14">
        <v>157</v>
      </c>
    </row>
    <row r="78" spans="1:46" x14ac:dyDescent="0.25">
      <c r="A78" s="14">
        <v>32</v>
      </c>
      <c r="B78" s="14">
        <v>5</v>
      </c>
      <c r="D78" s="14">
        <v>5</v>
      </c>
      <c r="F78" s="14">
        <v>204</v>
      </c>
      <c r="G78" s="14">
        <v>989</v>
      </c>
      <c r="H78" s="14">
        <v>177</v>
      </c>
      <c r="J78" s="14">
        <v>655</v>
      </c>
      <c r="L78" s="14">
        <v>49</v>
      </c>
      <c r="M78" s="14">
        <v>425</v>
      </c>
      <c r="P78" s="14">
        <v>563</v>
      </c>
      <c r="Q78" s="14">
        <v>16</v>
      </c>
      <c r="R78" s="14">
        <v>13</v>
      </c>
      <c r="T78" s="14">
        <v>50</v>
      </c>
      <c r="U78" s="14">
        <v>79</v>
      </c>
      <c r="V78" s="14">
        <v>724</v>
      </c>
      <c r="W78" s="14">
        <v>121</v>
      </c>
      <c r="AA78" s="14">
        <v>367</v>
      </c>
      <c r="AB78" s="14">
        <v>293</v>
      </c>
      <c r="AC78" s="14">
        <v>509</v>
      </c>
      <c r="AD78" s="14">
        <v>8</v>
      </c>
      <c r="AF78" s="14">
        <v>47</v>
      </c>
      <c r="AG78" s="14">
        <v>329</v>
      </c>
      <c r="AH78" s="14">
        <v>7</v>
      </c>
      <c r="AI78" s="14">
        <v>58</v>
      </c>
      <c r="AJ78" s="14">
        <v>908</v>
      </c>
      <c r="AK78" s="14">
        <v>158</v>
      </c>
      <c r="AL78" s="14">
        <v>4</v>
      </c>
      <c r="AM78" s="14">
        <v>977</v>
      </c>
      <c r="AN78" s="14">
        <v>203</v>
      </c>
      <c r="AO78" s="14">
        <v>7</v>
      </c>
      <c r="AP78" s="14">
        <v>346</v>
      </c>
      <c r="AQ78" s="14">
        <v>127</v>
      </c>
      <c r="AR78" s="14">
        <v>209</v>
      </c>
      <c r="AS78" s="14">
        <v>2</v>
      </c>
      <c r="AT78" s="14">
        <v>183</v>
      </c>
    </row>
    <row r="79" spans="1:46" x14ac:dyDescent="0.25">
      <c r="A79" s="14">
        <v>24</v>
      </c>
      <c r="B79" s="14">
        <v>160</v>
      </c>
      <c r="F79" s="14">
        <v>79</v>
      </c>
      <c r="G79" s="14">
        <v>477</v>
      </c>
      <c r="H79" s="14">
        <v>298</v>
      </c>
      <c r="J79" s="14">
        <v>839</v>
      </c>
      <c r="L79" s="14">
        <v>45</v>
      </c>
      <c r="M79" s="14">
        <v>476</v>
      </c>
      <c r="P79" s="14">
        <v>972</v>
      </c>
      <c r="Q79" s="14">
        <v>317</v>
      </c>
      <c r="R79" s="14">
        <v>12</v>
      </c>
      <c r="T79" s="14">
        <v>235</v>
      </c>
      <c r="U79" s="14">
        <v>79</v>
      </c>
      <c r="V79" s="14">
        <v>918</v>
      </c>
      <c r="W79" s="14">
        <v>110</v>
      </c>
      <c r="AA79" s="14">
        <v>10</v>
      </c>
      <c r="AB79" s="14">
        <v>688</v>
      </c>
      <c r="AC79" s="14">
        <v>5</v>
      </c>
      <c r="AD79" s="14">
        <v>10</v>
      </c>
      <c r="AF79" s="14">
        <v>58</v>
      </c>
      <c r="AG79" s="14">
        <v>374</v>
      </c>
      <c r="AH79" s="14">
        <v>149</v>
      </c>
      <c r="AI79" s="14">
        <v>61</v>
      </c>
      <c r="AJ79" s="14">
        <v>115</v>
      </c>
      <c r="AK79" s="14">
        <v>348</v>
      </c>
      <c r="AL79" s="14">
        <v>15</v>
      </c>
      <c r="AM79" s="14">
        <v>115</v>
      </c>
      <c r="AN79" s="14">
        <v>276</v>
      </c>
      <c r="AO79" s="14">
        <v>164</v>
      </c>
      <c r="AP79" s="14">
        <v>696</v>
      </c>
      <c r="AQ79" s="14">
        <v>216</v>
      </c>
      <c r="AR79" s="14">
        <v>6503</v>
      </c>
      <c r="AS79" s="14">
        <v>2</v>
      </c>
      <c r="AT79" s="14">
        <v>184</v>
      </c>
    </row>
    <row r="80" spans="1:46" x14ac:dyDescent="0.25">
      <c r="A80" s="14">
        <v>176</v>
      </c>
      <c r="B80" s="14">
        <v>10</v>
      </c>
      <c r="F80" s="14">
        <v>145</v>
      </c>
      <c r="G80" s="14">
        <v>139</v>
      </c>
      <c r="H80" s="14">
        <v>37</v>
      </c>
      <c r="J80" s="14">
        <v>773</v>
      </c>
      <c r="L80" s="14">
        <v>51</v>
      </c>
      <c r="M80" s="14">
        <v>262</v>
      </c>
      <c r="P80" s="14">
        <v>745</v>
      </c>
      <c r="Q80" s="14">
        <v>615</v>
      </c>
      <c r="R80" s="14">
        <v>14</v>
      </c>
      <c r="T80" s="14">
        <v>120</v>
      </c>
      <c r="U80" s="14">
        <v>94</v>
      </c>
      <c r="V80" s="14">
        <v>131</v>
      </c>
      <c r="W80" s="14">
        <v>203</v>
      </c>
      <c r="AA80" s="14">
        <v>10</v>
      </c>
      <c r="AB80" s="14">
        <v>248</v>
      </c>
      <c r="AC80" s="14">
        <v>38</v>
      </c>
      <c r="AD80" s="14">
        <v>53</v>
      </c>
      <c r="AF80" s="14">
        <v>53</v>
      </c>
      <c r="AG80" s="14">
        <v>428</v>
      </c>
      <c r="AH80" s="14">
        <v>25</v>
      </c>
      <c r="AI80" s="14">
        <v>49</v>
      </c>
      <c r="AJ80" s="14">
        <v>107</v>
      </c>
      <c r="AK80" s="14">
        <v>479</v>
      </c>
      <c r="AL80" s="14">
        <v>60</v>
      </c>
      <c r="AM80" s="14">
        <v>348</v>
      </c>
      <c r="AN80" s="14">
        <v>413</v>
      </c>
      <c r="AO80" s="14">
        <v>89</v>
      </c>
      <c r="AP80" s="14">
        <v>6</v>
      </c>
      <c r="AQ80" s="14">
        <v>1310</v>
      </c>
      <c r="AR80" s="14">
        <v>5</v>
      </c>
      <c r="AS80" s="14">
        <v>4</v>
      </c>
      <c r="AT80" s="14">
        <v>209</v>
      </c>
    </row>
    <row r="81" spans="1:46" x14ac:dyDescent="0.25">
      <c r="A81" s="14">
        <v>8</v>
      </c>
      <c r="B81" s="14">
        <v>239</v>
      </c>
      <c r="F81" s="14">
        <v>264</v>
      </c>
      <c r="G81" s="14">
        <v>137</v>
      </c>
      <c r="H81" s="14">
        <v>38</v>
      </c>
      <c r="J81" s="14">
        <v>439</v>
      </c>
      <c r="L81" s="14">
        <v>39</v>
      </c>
      <c r="M81" s="14">
        <v>252</v>
      </c>
      <c r="P81" s="14">
        <v>683</v>
      </c>
      <c r="Q81" s="14">
        <v>668</v>
      </c>
      <c r="R81" s="14">
        <v>15</v>
      </c>
      <c r="T81" s="14">
        <v>51</v>
      </c>
      <c r="U81" s="14">
        <v>75</v>
      </c>
      <c r="V81" s="14">
        <v>265</v>
      </c>
      <c r="W81" s="14">
        <v>854</v>
      </c>
      <c r="AA81" s="14">
        <v>314</v>
      </c>
      <c r="AB81" s="14">
        <v>319</v>
      </c>
      <c r="AC81" s="14">
        <v>32</v>
      </c>
      <c r="AD81" s="14">
        <v>119</v>
      </c>
      <c r="AF81" s="14">
        <v>67</v>
      </c>
      <c r="AG81" s="14">
        <v>872</v>
      </c>
      <c r="AH81" s="14">
        <v>185</v>
      </c>
      <c r="AI81" s="14">
        <v>26</v>
      </c>
      <c r="AJ81" s="14">
        <v>102</v>
      </c>
      <c r="AK81" s="14">
        <v>203</v>
      </c>
      <c r="AL81" s="14">
        <v>3</v>
      </c>
      <c r="AM81" s="14">
        <v>548</v>
      </c>
      <c r="AN81" s="14">
        <v>828</v>
      </c>
      <c r="AO81" s="14">
        <v>8</v>
      </c>
      <c r="AP81" s="14">
        <v>6</v>
      </c>
      <c r="AQ81" s="14">
        <v>24</v>
      </c>
      <c r="AR81" s="14">
        <v>2</v>
      </c>
      <c r="AS81" s="14">
        <v>4</v>
      </c>
      <c r="AT81" s="14">
        <v>155</v>
      </c>
    </row>
    <row r="82" spans="1:46" x14ac:dyDescent="0.25">
      <c r="A82" s="14">
        <v>32</v>
      </c>
      <c r="B82" s="14">
        <v>2</v>
      </c>
      <c r="F82" s="14">
        <v>33</v>
      </c>
      <c r="G82" s="14">
        <v>22</v>
      </c>
      <c r="H82" s="14">
        <v>108</v>
      </c>
      <c r="J82" s="14">
        <v>431</v>
      </c>
      <c r="L82" s="14">
        <v>57</v>
      </c>
      <c r="M82" s="14">
        <v>154</v>
      </c>
      <c r="P82" s="14">
        <v>292</v>
      </c>
      <c r="Q82" s="14">
        <v>368</v>
      </c>
      <c r="R82" s="14">
        <v>15</v>
      </c>
      <c r="T82" s="14">
        <v>79</v>
      </c>
      <c r="U82" s="14">
        <v>133</v>
      </c>
      <c r="V82" s="14">
        <v>213</v>
      </c>
      <c r="W82" s="14">
        <v>3</v>
      </c>
      <c r="AA82" s="14">
        <v>272</v>
      </c>
      <c r="AB82" s="14">
        <v>135</v>
      </c>
      <c r="AC82" s="14">
        <v>12</v>
      </c>
      <c r="AD82" s="14">
        <v>63</v>
      </c>
      <c r="AF82" s="14">
        <v>83</v>
      </c>
      <c r="AG82" s="14">
        <v>710</v>
      </c>
      <c r="AH82" s="14">
        <v>69</v>
      </c>
      <c r="AI82" s="14">
        <v>29</v>
      </c>
      <c r="AJ82" s="14">
        <v>199</v>
      </c>
      <c r="AK82" s="14">
        <v>197</v>
      </c>
      <c r="AL82" s="14">
        <v>2</v>
      </c>
      <c r="AM82" s="14">
        <v>938</v>
      </c>
      <c r="AN82" s="14">
        <v>550</v>
      </c>
      <c r="AO82" s="14">
        <v>6</v>
      </c>
      <c r="AP82" s="14">
        <v>7</v>
      </c>
      <c r="AQ82" s="14">
        <v>24</v>
      </c>
      <c r="AR82" s="14">
        <v>1</v>
      </c>
      <c r="AS82" s="14">
        <v>1</v>
      </c>
      <c r="AT82" s="14">
        <v>181</v>
      </c>
    </row>
    <row r="83" spans="1:46" x14ac:dyDescent="0.25">
      <c r="A83" s="14">
        <v>20</v>
      </c>
      <c r="B83" s="14">
        <v>73</v>
      </c>
      <c r="F83" s="14">
        <v>496</v>
      </c>
      <c r="G83" s="14">
        <v>21</v>
      </c>
      <c r="H83" s="14">
        <v>128</v>
      </c>
      <c r="J83" s="14">
        <v>510</v>
      </c>
      <c r="L83" s="14">
        <v>50</v>
      </c>
      <c r="M83" s="14">
        <v>626</v>
      </c>
      <c r="P83" s="14">
        <v>759</v>
      </c>
      <c r="Q83" s="14">
        <v>93</v>
      </c>
      <c r="R83" s="14">
        <v>21</v>
      </c>
      <c r="T83" s="14">
        <v>43</v>
      </c>
      <c r="U83" s="14">
        <v>107</v>
      </c>
      <c r="V83" s="14">
        <v>93</v>
      </c>
      <c r="W83" s="14">
        <v>7</v>
      </c>
      <c r="AA83" s="14">
        <v>147</v>
      </c>
      <c r="AB83" s="14">
        <v>630</v>
      </c>
      <c r="AC83" s="14">
        <v>6</v>
      </c>
      <c r="AD83" s="14">
        <v>61</v>
      </c>
      <c r="AF83" s="14">
        <v>33</v>
      </c>
      <c r="AG83" s="14">
        <v>110</v>
      </c>
      <c r="AH83" s="14">
        <v>48</v>
      </c>
      <c r="AI83" s="14">
        <v>49</v>
      </c>
      <c r="AJ83" s="14">
        <v>192</v>
      </c>
      <c r="AK83" s="14">
        <v>912</v>
      </c>
      <c r="AL83" s="14">
        <v>4</v>
      </c>
      <c r="AM83" s="14">
        <v>861</v>
      </c>
      <c r="AN83" s="14">
        <v>510</v>
      </c>
      <c r="AO83" s="14">
        <v>179</v>
      </c>
      <c r="AP83" s="14">
        <v>13</v>
      </c>
      <c r="AQ83" s="14">
        <v>27</v>
      </c>
      <c r="AR83" s="14">
        <v>6</v>
      </c>
      <c r="AS83" s="14">
        <v>1</v>
      </c>
      <c r="AT83" s="14">
        <v>27</v>
      </c>
    </row>
    <row r="84" spans="1:46" x14ac:dyDescent="0.25">
      <c r="A84" s="14">
        <v>274</v>
      </c>
      <c r="B84" s="14">
        <v>31</v>
      </c>
      <c r="F84" s="14">
        <v>366</v>
      </c>
      <c r="G84" s="14">
        <v>22</v>
      </c>
      <c r="H84" s="14">
        <v>124</v>
      </c>
      <c r="J84" s="14">
        <v>512</v>
      </c>
      <c r="L84" s="14">
        <v>57</v>
      </c>
      <c r="M84" s="14">
        <v>68</v>
      </c>
      <c r="P84" s="14">
        <v>122</v>
      </c>
      <c r="Q84" s="14">
        <v>165</v>
      </c>
      <c r="R84" s="14">
        <v>17</v>
      </c>
      <c r="T84" s="14">
        <v>61</v>
      </c>
      <c r="U84" s="14">
        <v>89</v>
      </c>
      <c r="V84" s="14">
        <v>72</v>
      </c>
      <c r="W84" s="14">
        <v>27</v>
      </c>
      <c r="AA84" s="14">
        <v>316</v>
      </c>
      <c r="AB84" s="14">
        <v>553</v>
      </c>
      <c r="AC84" s="14">
        <v>38</v>
      </c>
      <c r="AD84" s="14">
        <v>59</v>
      </c>
      <c r="AF84" s="14">
        <v>44</v>
      </c>
      <c r="AG84" s="14">
        <v>673</v>
      </c>
      <c r="AH84" s="14">
        <v>2</v>
      </c>
      <c r="AI84" s="14">
        <v>50</v>
      </c>
      <c r="AJ84" s="14">
        <v>223</v>
      </c>
      <c r="AK84" s="14">
        <v>233</v>
      </c>
      <c r="AL84" s="14">
        <v>8</v>
      </c>
      <c r="AM84" s="14">
        <v>139</v>
      </c>
      <c r="AN84" s="14">
        <v>450</v>
      </c>
      <c r="AO84" s="14">
        <v>107</v>
      </c>
      <c r="AP84" s="14">
        <v>8</v>
      </c>
      <c r="AQ84" s="14">
        <v>666</v>
      </c>
      <c r="AR84" s="14">
        <v>130</v>
      </c>
      <c r="AS84" s="14">
        <v>4</v>
      </c>
      <c r="AT84" s="14">
        <v>12</v>
      </c>
    </row>
    <row r="85" spans="1:46" x14ac:dyDescent="0.25">
      <c r="A85" s="14">
        <v>15</v>
      </c>
      <c r="B85" s="14">
        <v>166</v>
      </c>
      <c r="F85" s="14">
        <v>331</v>
      </c>
      <c r="G85" s="14">
        <v>40</v>
      </c>
      <c r="H85" s="14">
        <v>155</v>
      </c>
      <c r="J85" s="14">
        <v>611</v>
      </c>
      <c r="L85" s="14">
        <v>40</v>
      </c>
      <c r="M85" s="14">
        <v>128</v>
      </c>
      <c r="P85" s="14">
        <v>161</v>
      </c>
      <c r="Q85" s="14">
        <v>410</v>
      </c>
      <c r="R85" s="14">
        <v>22</v>
      </c>
      <c r="T85" s="14">
        <v>85</v>
      </c>
      <c r="U85" s="14">
        <v>102</v>
      </c>
      <c r="V85" s="14">
        <v>50</v>
      </c>
      <c r="W85" s="14">
        <v>25</v>
      </c>
      <c r="AA85" s="14">
        <v>104</v>
      </c>
      <c r="AB85" s="14">
        <v>126</v>
      </c>
      <c r="AC85" s="14">
        <v>44</v>
      </c>
      <c r="AD85" s="14">
        <v>56</v>
      </c>
      <c r="AF85" s="14">
        <v>163</v>
      </c>
      <c r="AG85" s="14">
        <v>662</v>
      </c>
      <c r="AH85" s="14">
        <v>11</v>
      </c>
      <c r="AI85" s="14">
        <v>41</v>
      </c>
      <c r="AJ85" s="14">
        <v>244</v>
      </c>
      <c r="AK85" s="14">
        <v>524</v>
      </c>
      <c r="AL85" s="14">
        <v>86</v>
      </c>
      <c r="AM85" s="14">
        <v>748</v>
      </c>
      <c r="AN85" s="14">
        <v>410</v>
      </c>
      <c r="AO85" s="14">
        <v>639</v>
      </c>
      <c r="AP85" s="14">
        <v>8</v>
      </c>
      <c r="AQ85" s="14">
        <v>373</v>
      </c>
      <c r="AR85" s="14">
        <v>3</v>
      </c>
      <c r="AS85" s="14">
        <v>4</v>
      </c>
      <c r="AT85" s="14">
        <v>23</v>
      </c>
    </row>
    <row r="86" spans="1:46" x14ac:dyDescent="0.25">
      <c r="A86" s="14">
        <v>26</v>
      </c>
      <c r="B86" s="14">
        <v>6</v>
      </c>
      <c r="F86" s="14">
        <v>371</v>
      </c>
      <c r="G86" s="14">
        <v>40</v>
      </c>
      <c r="H86" s="14">
        <v>187</v>
      </c>
      <c r="J86" s="14">
        <v>376</v>
      </c>
      <c r="L86" s="14">
        <v>54</v>
      </c>
      <c r="M86" s="14">
        <v>101</v>
      </c>
      <c r="P86" s="14">
        <v>130</v>
      </c>
      <c r="Q86" s="14">
        <v>354</v>
      </c>
      <c r="R86" s="14">
        <v>27</v>
      </c>
      <c r="T86" s="14">
        <v>85</v>
      </c>
      <c r="U86" s="14">
        <v>68</v>
      </c>
      <c r="V86" s="14">
        <v>24</v>
      </c>
      <c r="W86" s="14">
        <v>35</v>
      </c>
      <c r="AA86" s="14">
        <v>646</v>
      </c>
      <c r="AB86" s="14">
        <v>220</v>
      </c>
      <c r="AC86" s="14">
        <v>11</v>
      </c>
      <c r="AD86" s="14">
        <v>54</v>
      </c>
      <c r="AF86" s="14">
        <v>35</v>
      </c>
      <c r="AG86" s="14">
        <v>126</v>
      </c>
      <c r="AH86" s="14">
        <v>8</v>
      </c>
      <c r="AI86" s="14">
        <v>27</v>
      </c>
      <c r="AJ86" s="14">
        <v>122</v>
      </c>
      <c r="AK86" s="14">
        <v>167</v>
      </c>
      <c r="AL86" s="14">
        <v>3</v>
      </c>
      <c r="AM86" s="14">
        <v>510</v>
      </c>
      <c r="AN86" s="14">
        <v>426</v>
      </c>
      <c r="AO86" s="14">
        <v>79</v>
      </c>
      <c r="AP86" s="14">
        <v>8</v>
      </c>
      <c r="AQ86" s="14">
        <v>268</v>
      </c>
      <c r="AR86" s="14">
        <v>11</v>
      </c>
      <c r="AS86" s="14">
        <v>1</v>
      </c>
      <c r="AT86" s="14">
        <v>15</v>
      </c>
    </row>
    <row r="87" spans="1:46" x14ac:dyDescent="0.25">
      <c r="A87" s="14">
        <v>17</v>
      </c>
      <c r="B87" s="14">
        <v>34</v>
      </c>
      <c r="F87" s="14">
        <v>229</v>
      </c>
      <c r="G87" s="14">
        <v>30</v>
      </c>
      <c r="H87" s="14">
        <v>32</v>
      </c>
      <c r="J87" s="14">
        <v>363</v>
      </c>
      <c r="L87" s="14">
        <v>308</v>
      </c>
      <c r="M87" s="14">
        <v>50</v>
      </c>
      <c r="P87" s="14">
        <v>173</v>
      </c>
      <c r="Q87" s="14">
        <v>183</v>
      </c>
      <c r="R87" s="14">
        <v>50</v>
      </c>
      <c r="T87" s="14">
        <v>220</v>
      </c>
      <c r="U87" s="14">
        <v>153</v>
      </c>
      <c r="V87" s="14">
        <v>108</v>
      </c>
      <c r="W87" s="14">
        <v>48</v>
      </c>
      <c r="AA87" s="14">
        <v>641</v>
      </c>
      <c r="AB87" s="14">
        <v>125</v>
      </c>
      <c r="AC87" s="14">
        <v>83</v>
      </c>
      <c r="AD87" s="14">
        <v>58</v>
      </c>
      <c r="AF87" s="14">
        <v>406</v>
      </c>
      <c r="AG87" s="14">
        <v>106</v>
      </c>
      <c r="AH87" s="14">
        <v>12</v>
      </c>
      <c r="AI87" s="14">
        <v>23</v>
      </c>
      <c r="AJ87" s="14">
        <v>332</v>
      </c>
      <c r="AK87" s="14">
        <v>136</v>
      </c>
      <c r="AL87" s="14">
        <v>2</v>
      </c>
      <c r="AM87" s="14">
        <v>461</v>
      </c>
      <c r="AN87" s="14">
        <v>409</v>
      </c>
      <c r="AO87" s="14">
        <v>6</v>
      </c>
      <c r="AP87" s="14">
        <v>8</v>
      </c>
      <c r="AQ87" s="14">
        <v>159</v>
      </c>
      <c r="AR87" s="14">
        <v>29</v>
      </c>
      <c r="AS87" s="14">
        <v>1</v>
      </c>
      <c r="AT87" s="14">
        <v>16</v>
      </c>
    </row>
    <row r="88" spans="1:46" x14ac:dyDescent="0.25">
      <c r="A88" s="14">
        <v>104</v>
      </c>
      <c r="B88" s="14">
        <v>17</v>
      </c>
      <c r="F88" s="14">
        <v>215</v>
      </c>
      <c r="G88" s="14">
        <v>23</v>
      </c>
      <c r="H88" s="14">
        <v>38</v>
      </c>
      <c r="J88" s="14">
        <v>323</v>
      </c>
      <c r="L88" s="14">
        <v>137</v>
      </c>
      <c r="M88" s="14">
        <v>935</v>
      </c>
      <c r="P88" s="14">
        <v>115</v>
      </c>
      <c r="Q88" s="14">
        <v>163</v>
      </c>
      <c r="R88" s="14">
        <v>38</v>
      </c>
      <c r="T88" s="14">
        <v>40</v>
      </c>
      <c r="U88" s="14">
        <v>96</v>
      </c>
      <c r="V88" s="14">
        <v>329</v>
      </c>
      <c r="W88" s="14">
        <v>28</v>
      </c>
      <c r="AA88" s="14">
        <v>648</v>
      </c>
      <c r="AB88" s="14">
        <v>137</v>
      </c>
      <c r="AC88" s="14">
        <v>466</v>
      </c>
      <c r="AD88" s="14">
        <v>22</v>
      </c>
      <c r="AF88" s="14">
        <v>32</v>
      </c>
      <c r="AG88" s="14">
        <v>347</v>
      </c>
      <c r="AH88" s="14">
        <v>9</v>
      </c>
      <c r="AI88" s="14">
        <v>35</v>
      </c>
      <c r="AJ88" s="14">
        <v>152</v>
      </c>
      <c r="AK88" s="14">
        <v>202</v>
      </c>
      <c r="AL88" s="14">
        <v>4</v>
      </c>
      <c r="AM88" s="14">
        <v>132</v>
      </c>
      <c r="AN88" s="14">
        <v>418</v>
      </c>
      <c r="AO88" s="14">
        <v>45</v>
      </c>
      <c r="AP88" s="14">
        <v>7</v>
      </c>
      <c r="AQ88" s="14">
        <v>160</v>
      </c>
      <c r="AR88" s="14">
        <v>4</v>
      </c>
      <c r="AS88" s="14">
        <v>3</v>
      </c>
      <c r="AT88" s="14">
        <v>16</v>
      </c>
    </row>
    <row r="89" spans="1:46" x14ac:dyDescent="0.25">
      <c r="A89" s="14">
        <v>22</v>
      </c>
      <c r="B89" s="14">
        <v>22</v>
      </c>
      <c r="F89" s="14">
        <v>230</v>
      </c>
      <c r="G89" s="14">
        <v>22</v>
      </c>
      <c r="H89" s="14">
        <v>733</v>
      </c>
      <c r="J89" s="14">
        <v>340</v>
      </c>
      <c r="L89" s="14">
        <v>205</v>
      </c>
      <c r="M89" s="14">
        <v>445</v>
      </c>
      <c r="P89" s="14">
        <v>112</v>
      </c>
      <c r="Q89" s="14">
        <v>156</v>
      </c>
      <c r="R89" s="14">
        <v>26</v>
      </c>
      <c r="T89" s="14">
        <v>44</v>
      </c>
      <c r="U89" s="14">
        <v>61</v>
      </c>
      <c r="V89" s="14">
        <v>328</v>
      </c>
      <c r="W89" s="14">
        <v>33</v>
      </c>
      <c r="AA89" s="14">
        <v>575</v>
      </c>
      <c r="AB89" s="14">
        <v>219</v>
      </c>
      <c r="AC89" s="14">
        <v>580</v>
      </c>
      <c r="AD89" s="14">
        <v>24</v>
      </c>
      <c r="AF89" s="14">
        <v>137</v>
      </c>
      <c r="AG89" s="14">
        <v>110</v>
      </c>
      <c r="AH89" s="14">
        <v>8</v>
      </c>
      <c r="AI89" s="14">
        <v>57</v>
      </c>
      <c r="AJ89" s="14">
        <v>211</v>
      </c>
      <c r="AK89" s="14">
        <v>139</v>
      </c>
      <c r="AL89" s="14">
        <v>14</v>
      </c>
      <c r="AM89" s="14">
        <v>504</v>
      </c>
      <c r="AN89" s="14">
        <v>376</v>
      </c>
      <c r="AO89" s="14">
        <v>49</v>
      </c>
      <c r="AP89" s="14">
        <v>9</v>
      </c>
      <c r="AQ89" s="14">
        <v>111</v>
      </c>
      <c r="AR89" s="14">
        <v>1869</v>
      </c>
      <c r="AS89" s="14">
        <v>3</v>
      </c>
      <c r="AT89" s="14">
        <v>24</v>
      </c>
    </row>
    <row r="90" spans="1:46" x14ac:dyDescent="0.25">
      <c r="A90" s="14">
        <v>20</v>
      </c>
      <c r="B90" s="14">
        <v>19</v>
      </c>
      <c r="F90" s="14">
        <v>476</v>
      </c>
      <c r="G90" s="14">
        <v>26</v>
      </c>
      <c r="H90" s="14">
        <v>109</v>
      </c>
      <c r="J90" s="14">
        <v>216</v>
      </c>
      <c r="L90" s="14">
        <v>210</v>
      </c>
      <c r="M90" s="14">
        <v>155</v>
      </c>
      <c r="P90" s="14">
        <v>173</v>
      </c>
      <c r="Q90" s="14">
        <v>130</v>
      </c>
      <c r="R90" s="14">
        <v>19</v>
      </c>
      <c r="T90" s="14">
        <v>64</v>
      </c>
      <c r="U90" s="14">
        <v>71</v>
      </c>
      <c r="V90" s="14">
        <v>291</v>
      </c>
      <c r="W90" s="14">
        <v>39</v>
      </c>
      <c r="AA90" s="14">
        <v>554</v>
      </c>
      <c r="AB90" s="14">
        <v>569</v>
      </c>
      <c r="AC90" s="14">
        <v>524</v>
      </c>
      <c r="AD90" s="14">
        <v>5</v>
      </c>
      <c r="AF90" s="14">
        <v>49</v>
      </c>
      <c r="AG90" s="14">
        <v>151</v>
      </c>
      <c r="AH90" s="14">
        <v>7</v>
      </c>
      <c r="AI90" s="14">
        <v>55</v>
      </c>
      <c r="AJ90" s="14">
        <v>183</v>
      </c>
      <c r="AK90" s="14">
        <v>161</v>
      </c>
      <c r="AL90" s="14">
        <v>73</v>
      </c>
      <c r="AM90" s="14">
        <v>138</v>
      </c>
      <c r="AN90" s="14">
        <v>354</v>
      </c>
      <c r="AO90" s="14">
        <v>54</v>
      </c>
      <c r="AP90" s="14">
        <v>9</v>
      </c>
      <c r="AQ90" s="14">
        <v>179</v>
      </c>
      <c r="AR90" s="14">
        <v>236</v>
      </c>
      <c r="AS90" s="14">
        <v>1</v>
      </c>
      <c r="AT90" s="14">
        <v>14</v>
      </c>
    </row>
    <row r="91" spans="1:46" x14ac:dyDescent="0.25">
      <c r="A91" s="14">
        <v>13</v>
      </c>
      <c r="B91" s="14">
        <v>38</v>
      </c>
      <c r="F91" s="14">
        <v>745</v>
      </c>
      <c r="G91" s="14">
        <v>35</v>
      </c>
      <c r="H91" s="14">
        <v>164</v>
      </c>
      <c r="J91" s="14">
        <v>294</v>
      </c>
      <c r="L91" s="14">
        <v>183</v>
      </c>
      <c r="M91" s="14">
        <v>183</v>
      </c>
      <c r="P91" s="14">
        <v>935</v>
      </c>
      <c r="Q91" s="14">
        <v>19</v>
      </c>
      <c r="R91" s="14">
        <v>18</v>
      </c>
      <c r="T91" s="14">
        <v>97</v>
      </c>
      <c r="U91" s="14">
        <v>92</v>
      </c>
      <c r="V91" s="14">
        <v>323</v>
      </c>
      <c r="W91" s="14">
        <v>3</v>
      </c>
      <c r="AA91" s="14">
        <v>557</v>
      </c>
      <c r="AB91" s="14">
        <v>387</v>
      </c>
      <c r="AC91" s="14">
        <v>125</v>
      </c>
      <c r="AD91" s="14">
        <v>11</v>
      </c>
      <c r="AF91" s="14">
        <v>75</v>
      </c>
      <c r="AG91" s="14">
        <v>117</v>
      </c>
      <c r="AH91" s="14">
        <v>187</v>
      </c>
      <c r="AI91" s="14">
        <v>45</v>
      </c>
      <c r="AJ91" s="14">
        <v>196</v>
      </c>
      <c r="AK91" s="14">
        <v>122</v>
      </c>
      <c r="AL91" s="14">
        <v>5</v>
      </c>
      <c r="AM91" s="14">
        <v>378</v>
      </c>
      <c r="AN91" s="14">
        <v>641</v>
      </c>
      <c r="AO91" s="14">
        <v>177</v>
      </c>
      <c r="AP91" s="14">
        <v>8</v>
      </c>
      <c r="AQ91" s="14">
        <v>307</v>
      </c>
      <c r="AR91" s="14">
        <v>6481</v>
      </c>
      <c r="AS91" s="14">
        <v>1</v>
      </c>
      <c r="AT91" s="14">
        <v>22</v>
      </c>
    </row>
    <row r="92" spans="1:46" x14ac:dyDescent="0.25">
      <c r="A92" s="14">
        <v>166</v>
      </c>
      <c r="B92" s="14">
        <v>38</v>
      </c>
      <c r="F92" s="14">
        <v>214</v>
      </c>
      <c r="G92" s="14">
        <v>26</v>
      </c>
      <c r="H92" s="14">
        <v>126</v>
      </c>
      <c r="J92" s="14">
        <v>207</v>
      </c>
      <c r="L92" s="14">
        <v>148</v>
      </c>
      <c r="M92" s="14">
        <v>264</v>
      </c>
      <c r="P92" s="14">
        <v>497</v>
      </c>
      <c r="Q92" s="14">
        <v>331</v>
      </c>
      <c r="R92" s="14">
        <v>13</v>
      </c>
      <c r="T92" s="14">
        <v>44</v>
      </c>
      <c r="U92" s="14">
        <v>69</v>
      </c>
      <c r="V92" s="14">
        <v>247</v>
      </c>
      <c r="W92" s="14">
        <v>7</v>
      </c>
      <c r="AA92" s="14">
        <v>693</v>
      </c>
      <c r="AB92" s="14">
        <v>134</v>
      </c>
      <c r="AC92" s="14">
        <v>697</v>
      </c>
      <c r="AD92" s="14">
        <v>46</v>
      </c>
      <c r="AF92" s="14">
        <v>167</v>
      </c>
      <c r="AG92" s="14">
        <v>121</v>
      </c>
      <c r="AH92" s="14">
        <v>30</v>
      </c>
      <c r="AI92" s="14">
        <v>39</v>
      </c>
      <c r="AJ92" s="14">
        <v>398</v>
      </c>
      <c r="AK92" s="14">
        <v>275</v>
      </c>
      <c r="AL92" s="14">
        <v>6</v>
      </c>
      <c r="AM92" s="14">
        <v>461</v>
      </c>
      <c r="AN92" s="14">
        <v>552</v>
      </c>
      <c r="AO92" s="14">
        <v>81</v>
      </c>
      <c r="AP92" s="14">
        <v>8</v>
      </c>
      <c r="AQ92" s="14">
        <v>273</v>
      </c>
      <c r="AR92" s="14">
        <v>5</v>
      </c>
      <c r="AS92" s="14">
        <v>3</v>
      </c>
      <c r="AT92" s="14">
        <v>14</v>
      </c>
    </row>
    <row r="93" spans="1:46" x14ac:dyDescent="0.25">
      <c r="A93" s="14">
        <v>81</v>
      </c>
      <c r="B93" s="14">
        <v>23</v>
      </c>
      <c r="F93" s="14">
        <v>139</v>
      </c>
      <c r="G93" s="14">
        <v>20</v>
      </c>
      <c r="H93" s="14">
        <v>116</v>
      </c>
      <c r="J93" s="14">
        <v>282</v>
      </c>
      <c r="L93" s="14">
        <v>171</v>
      </c>
      <c r="M93" s="14">
        <v>482</v>
      </c>
      <c r="P93" s="14">
        <v>133</v>
      </c>
      <c r="Q93" s="14">
        <v>621</v>
      </c>
      <c r="R93" s="14">
        <v>14</v>
      </c>
      <c r="T93" s="14">
        <v>60</v>
      </c>
      <c r="U93" s="14">
        <v>229</v>
      </c>
      <c r="V93" s="14">
        <v>322</v>
      </c>
      <c r="W93" s="14">
        <v>24</v>
      </c>
      <c r="AA93" s="14">
        <v>758</v>
      </c>
      <c r="AB93" s="14">
        <v>333</v>
      </c>
      <c r="AC93" s="14">
        <v>670</v>
      </c>
      <c r="AD93" s="14">
        <v>45</v>
      </c>
      <c r="AF93" s="14">
        <v>25</v>
      </c>
      <c r="AG93" s="14">
        <v>121</v>
      </c>
      <c r="AH93" s="14">
        <v>213</v>
      </c>
      <c r="AI93" s="14">
        <v>25</v>
      </c>
      <c r="AJ93" s="14">
        <v>305</v>
      </c>
      <c r="AK93" s="14">
        <v>78</v>
      </c>
      <c r="AL93" s="14">
        <v>3</v>
      </c>
      <c r="AM93" s="14">
        <v>779</v>
      </c>
      <c r="AN93" s="14">
        <v>329</v>
      </c>
      <c r="AO93" s="14">
        <v>676</v>
      </c>
      <c r="AP93" s="14">
        <v>9</v>
      </c>
      <c r="AQ93" s="14">
        <v>398</v>
      </c>
      <c r="AR93" s="14">
        <v>2</v>
      </c>
      <c r="AS93" s="14">
        <v>1</v>
      </c>
      <c r="AT93" s="14">
        <v>12</v>
      </c>
    </row>
    <row r="94" spans="1:46" x14ac:dyDescent="0.25">
      <c r="A94" s="14">
        <v>48</v>
      </c>
      <c r="B94" s="14">
        <v>5</v>
      </c>
      <c r="F94" s="14">
        <v>381</v>
      </c>
      <c r="G94" s="14">
        <v>12</v>
      </c>
      <c r="H94" s="14">
        <v>762</v>
      </c>
      <c r="J94" s="14">
        <v>292</v>
      </c>
      <c r="L94" s="14">
        <v>144</v>
      </c>
      <c r="M94" s="14">
        <v>485</v>
      </c>
      <c r="P94" s="14">
        <v>193</v>
      </c>
      <c r="Q94" s="14">
        <v>618</v>
      </c>
      <c r="R94" s="14">
        <v>10</v>
      </c>
      <c r="T94" s="14">
        <v>56</v>
      </c>
      <c r="U94" s="14">
        <v>236</v>
      </c>
      <c r="V94" s="14">
        <v>348</v>
      </c>
      <c r="W94" s="14">
        <v>28</v>
      </c>
      <c r="AA94" s="14">
        <v>661</v>
      </c>
      <c r="AB94" s="14">
        <v>744</v>
      </c>
      <c r="AC94" s="14">
        <v>783</v>
      </c>
      <c r="AD94" s="14">
        <v>98</v>
      </c>
      <c r="AF94" s="14">
        <v>46</v>
      </c>
      <c r="AG94" s="14">
        <v>236</v>
      </c>
      <c r="AH94" s="14">
        <v>82</v>
      </c>
      <c r="AI94" s="14">
        <v>35</v>
      </c>
      <c r="AJ94" s="14">
        <v>395</v>
      </c>
      <c r="AK94" s="14">
        <v>293</v>
      </c>
      <c r="AL94" s="14">
        <v>2</v>
      </c>
      <c r="AM94" s="14">
        <v>141</v>
      </c>
      <c r="AN94" s="14">
        <v>645</v>
      </c>
      <c r="AO94" s="14">
        <v>6</v>
      </c>
      <c r="AP94" s="14">
        <v>12</v>
      </c>
      <c r="AQ94" s="14">
        <v>107</v>
      </c>
      <c r="AR94" s="14">
        <v>1</v>
      </c>
      <c r="AS94" s="14">
        <v>2</v>
      </c>
      <c r="AT94" s="14">
        <v>12</v>
      </c>
    </row>
    <row r="95" spans="1:46" x14ac:dyDescent="0.25">
      <c r="A95" s="14">
        <v>97</v>
      </c>
      <c r="B95" s="14">
        <v>14</v>
      </c>
      <c r="F95" s="14">
        <v>196</v>
      </c>
      <c r="G95" s="14">
        <v>12</v>
      </c>
      <c r="H95" s="14">
        <v>179</v>
      </c>
      <c r="J95" s="14">
        <v>266</v>
      </c>
      <c r="L95" s="14">
        <v>286</v>
      </c>
      <c r="M95" s="14">
        <v>274</v>
      </c>
      <c r="P95" s="14">
        <v>673</v>
      </c>
      <c r="Q95" s="14">
        <v>281</v>
      </c>
      <c r="R95" s="14">
        <v>11</v>
      </c>
      <c r="T95" s="14">
        <v>77</v>
      </c>
      <c r="U95" s="14">
        <v>10</v>
      </c>
      <c r="W95" s="14">
        <v>36</v>
      </c>
      <c r="AA95" s="14">
        <v>752</v>
      </c>
      <c r="AB95" s="14">
        <v>499</v>
      </c>
      <c r="AC95" s="14">
        <v>9</v>
      </c>
      <c r="AD95" s="14">
        <v>73</v>
      </c>
      <c r="AF95" s="14">
        <v>142</v>
      </c>
      <c r="AG95" s="14">
        <v>322</v>
      </c>
      <c r="AH95" s="14">
        <v>48</v>
      </c>
      <c r="AI95" s="14">
        <v>63</v>
      </c>
      <c r="AJ95" s="14">
        <v>291</v>
      </c>
      <c r="AK95" s="14">
        <v>126</v>
      </c>
      <c r="AL95" s="14">
        <v>4</v>
      </c>
      <c r="AM95" s="14">
        <v>422</v>
      </c>
      <c r="AN95" s="14">
        <v>346</v>
      </c>
      <c r="AO95" s="14">
        <v>45</v>
      </c>
      <c r="AP95" s="14">
        <v>13</v>
      </c>
      <c r="AQ95" s="14">
        <v>1233</v>
      </c>
      <c r="AR95" s="14">
        <v>1</v>
      </c>
      <c r="AS95" s="14">
        <v>2</v>
      </c>
      <c r="AT95" s="14">
        <v>14</v>
      </c>
    </row>
    <row r="96" spans="1:46" x14ac:dyDescent="0.25">
      <c r="A96" s="14">
        <v>17</v>
      </c>
      <c r="B96" s="14">
        <v>18</v>
      </c>
      <c r="F96" s="14">
        <v>144</v>
      </c>
      <c r="G96" s="14">
        <v>11</v>
      </c>
      <c r="H96" s="14">
        <v>142</v>
      </c>
      <c r="J96" s="14">
        <v>241</v>
      </c>
      <c r="L96" s="14">
        <v>217</v>
      </c>
      <c r="M96" s="14">
        <v>868</v>
      </c>
      <c r="P96" s="14">
        <v>637</v>
      </c>
      <c r="Q96" s="14">
        <v>227</v>
      </c>
      <c r="R96" s="14">
        <v>9</v>
      </c>
      <c r="T96" s="14">
        <v>79</v>
      </c>
      <c r="U96" s="14">
        <v>82</v>
      </c>
      <c r="W96" s="14">
        <v>46</v>
      </c>
      <c r="AA96" s="14">
        <v>491</v>
      </c>
      <c r="AB96" s="14">
        <v>727</v>
      </c>
      <c r="AC96" s="14">
        <v>57</v>
      </c>
      <c r="AD96" s="14">
        <v>6</v>
      </c>
      <c r="AF96" s="14">
        <v>64</v>
      </c>
      <c r="AG96" s="14">
        <v>753</v>
      </c>
      <c r="AH96" s="14">
        <v>177</v>
      </c>
      <c r="AI96" s="14">
        <v>52</v>
      </c>
      <c r="AJ96" s="14">
        <v>259</v>
      </c>
      <c r="AK96" s="14">
        <v>484</v>
      </c>
      <c r="AL96" s="14">
        <v>12</v>
      </c>
      <c r="AM96" s="14">
        <v>395</v>
      </c>
      <c r="AN96" s="14">
        <v>474</v>
      </c>
      <c r="AO96" s="14">
        <v>43</v>
      </c>
      <c r="AP96" s="14">
        <v>12</v>
      </c>
      <c r="AQ96" s="14">
        <v>154</v>
      </c>
      <c r="AR96" s="14">
        <v>1</v>
      </c>
      <c r="AS96" s="14">
        <v>28</v>
      </c>
      <c r="AT96" s="14">
        <v>17</v>
      </c>
    </row>
    <row r="97" spans="1:46" x14ac:dyDescent="0.25">
      <c r="A97" s="14">
        <v>40</v>
      </c>
      <c r="B97" s="14">
        <v>39</v>
      </c>
      <c r="F97" s="14">
        <v>18</v>
      </c>
      <c r="G97" s="14">
        <v>11</v>
      </c>
      <c r="H97" s="14">
        <v>217</v>
      </c>
      <c r="J97" s="14">
        <v>249</v>
      </c>
      <c r="L97" s="14">
        <v>270</v>
      </c>
      <c r="M97" s="14">
        <v>592</v>
      </c>
      <c r="P97" s="14">
        <v>539</v>
      </c>
      <c r="Q97" s="14">
        <v>223</v>
      </c>
      <c r="R97" s="14">
        <v>6</v>
      </c>
      <c r="T97" s="14">
        <v>89</v>
      </c>
      <c r="U97" s="14">
        <v>239</v>
      </c>
      <c r="W97" s="14">
        <v>35</v>
      </c>
      <c r="AA97" s="14">
        <v>148</v>
      </c>
      <c r="AB97" s="14">
        <v>900</v>
      </c>
      <c r="AC97" s="14">
        <v>31</v>
      </c>
      <c r="AD97" s="14">
        <v>22</v>
      </c>
      <c r="AF97" s="14">
        <v>70</v>
      </c>
      <c r="AG97" s="14">
        <v>398</v>
      </c>
      <c r="AH97" s="14">
        <v>25</v>
      </c>
      <c r="AI97" s="14">
        <v>53</v>
      </c>
      <c r="AJ97" s="14">
        <v>433</v>
      </c>
      <c r="AK97" s="14">
        <v>301</v>
      </c>
      <c r="AL97" s="14">
        <v>107</v>
      </c>
      <c r="AM97" s="14">
        <v>220</v>
      </c>
      <c r="AN97" s="14">
        <v>376</v>
      </c>
      <c r="AO97" s="14">
        <v>68</v>
      </c>
      <c r="AP97" s="14">
        <v>14</v>
      </c>
      <c r="AQ97" s="14">
        <v>163</v>
      </c>
      <c r="AR97" s="14">
        <v>1</v>
      </c>
      <c r="AS97" s="14">
        <v>21</v>
      </c>
      <c r="AT97" s="14">
        <v>16</v>
      </c>
    </row>
    <row r="98" spans="1:46" x14ac:dyDescent="0.25">
      <c r="A98" s="14">
        <v>27</v>
      </c>
      <c r="B98" s="14">
        <v>40</v>
      </c>
      <c r="F98" s="14">
        <v>335</v>
      </c>
      <c r="G98" s="14">
        <v>14</v>
      </c>
      <c r="H98" s="14">
        <v>21</v>
      </c>
      <c r="J98" s="14">
        <v>174</v>
      </c>
      <c r="L98" s="14">
        <v>250</v>
      </c>
      <c r="M98" s="14">
        <v>541</v>
      </c>
      <c r="P98" s="14">
        <v>478</v>
      </c>
      <c r="Q98" s="14">
        <v>444</v>
      </c>
      <c r="R98" s="14">
        <v>6</v>
      </c>
      <c r="T98" s="14">
        <v>82</v>
      </c>
      <c r="U98" s="14">
        <v>120</v>
      </c>
      <c r="W98" s="14">
        <v>29</v>
      </c>
      <c r="AA98" s="14">
        <v>105</v>
      </c>
      <c r="AB98" s="14">
        <v>266</v>
      </c>
      <c r="AC98" s="14">
        <v>15</v>
      </c>
      <c r="AD98" s="14">
        <v>48</v>
      </c>
      <c r="AF98" s="14">
        <v>243</v>
      </c>
      <c r="AG98" s="14">
        <v>101</v>
      </c>
      <c r="AH98" s="14">
        <v>39</v>
      </c>
      <c r="AI98" s="14">
        <v>47</v>
      </c>
      <c r="AJ98" s="14">
        <v>304</v>
      </c>
      <c r="AK98" s="14">
        <v>505</v>
      </c>
      <c r="AL98" s="14">
        <v>2</v>
      </c>
      <c r="AM98" s="14">
        <v>691</v>
      </c>
      <c r="AN98" s="14">
        <v>432</v>
      </c>
      <c r="AO98" s="14">
        <v>229</v>
      </c>
      <c r="AP98" s="14">
        <v>10</v>
      </c>
      <c r="AQ98" s="14">
        <v>26</v>
      </c>
      <c r="AR98" s="14">
        <v>1</v>
      </c>
      <c r="AS98" s="14">
        <v>42</v>
      </c>
      <c r="AT98" s="14">
        <v>19</v>
      </c>
    </row>
    <row r="99" spans="1:46" x14ac:dyDescent="0.25">
      <c r="A99" s="14">
        <v>369</v>
      </c>
      <c r="B99" s="14">
        <v>65</v>
      </c>
      <c r="F99" s="14">
        <v>421</v>
      </c>
      <c r="G99" s="14">
        <v>13</v>
      </c>
      <c r="H99" s="14">
        <v>21</v>
      </c>
      <c r="J99" s="14">
        <v>170</v>
      </c>
      <c r="L99" s="14">
        <v>490</v>
      </c>
      <c r="M99" s="14">
        <v>158</v>
      </c>
      <c r="P99" s="14">
        <v>692</v>
      </c>
      <c r="Q99" s="14">
        <v>413</v>
      </c>
      <c r="R99" s="14">
        <v>7</v>
      </c>
      <c r="T99" s="14">
        <v>217</v>
      </c>
      <c r="U99" s="14">
        <v>77</v>
      </c>
      <c r="W99" s="14">
        <v>40</v>
      </c>
      <c r="AA99" s="14">
        <v>194</v>
      </c>
      <c r="AB99" s="14">
        <v>411</v>
      </c>
      <c r="AC99" s="14">
        <v>8</v>
      </c>
      <c r="AD99" s="14">
        <v>83</v>
      </c>
      <c r="AF99" s="14">
        <v>25</v>
      </c>
      <c r="AG99" s="14">
        <v>103</v>
      </c>
      <c r="AH99" s="14">
        <v>129</v>
      </c>
      <c r="AI99" s="14">
        <v>29</v>
      </c>
      <c r="AJ99" s="14">
        <v>359</v>
      </c>
      <c r="AK99" s="14">
        <v>212</v>
      </c>
      <c r="AL99" s="14">
        <v>4</v>
      </c>
      <c r="AM99" s="14">
        <v>1</v>
      </c>
      <c r="AN99" s="14">
        <v>567</v>
      </c>
      <c r="AO99" s="14">
        <v>100</v>
      </c>
      <c r="AP99" s="14">
        <v>12</v>
      </c>
      <c r="AQ99" s="14">
        <v>27</v>
      </c>
      <c r="AR99" s="14">
        <v>1</v>
      </c>
      <c r="AS99" s="14">
        <v>57</v>
      </c>
      <c r="AT99" s="14">
        <v>19</v>
      </c>
    </row>
    <row r="100" spans="1:46" x14ac:dyDescent="0.25">
      <c r="A100" s="14">
        <v>20</v>
      </c>
      <c r="B100" s="14">
        <v>7</v>
      </c>
      <c r="F100" s="14">
        <v>250</v>
      </c>
      <c r="G100" s="14">
        <v>14</v>
      </c>
      <c r="H100" s="14">
        <v>154</v>
      </c>
      <c r="J100" s="14">
        <v>170</v>
      </c>
      <c r="L100" s="14">
        <v>549</v>
      </c>
      <c r="M100" s="14">
        <v>261</v>
      </c>
      <c r="P100" s="14">
        <v>165</v>
      </c>
      <c r="Q100" s="14">
        <v>221</v>
      </c>
      <c r="R100" s="14">
        <v>7</v>
      </c>
      <c r="T100" s="14">
        <v>448</v>
      </c>
      <c r="U100" s="14">
        <v>177</v>
      </c>
      <c r="W100" s="14">
        <v>5</v>
      </c>
      <c r="AA100" s="14">
        <v>313</v>
      </c>
      <c r="AB100" s="14">
        <v>235</v>
      </c>
      <c r="AC100" s="14">
        <v>60</v>
      </c>
      <c r="AD100" s="14">
        <v>22</v>
      </c>
      <c r="AF100" s="14">
        <v>32</v>
      </c>
      <c r="AG100" s="14">
        <v>479</v>
      </c>
      <c r="AH100" s="14">
        <v>26</v>
      </c>
      <c r="AI100" s="14">
        <v>36</v>
      </c>
      <c r="AJ100" s="14">
        <v>292</v>
      </c>
      <c r="AK100" s="14">
        <v>257</v>
      </c>
      <c r="AL100" s="14">
        <v>2</v>
      </c>
      <c r="AM100" s="14">
        <v>1</v>
      </c>
      <c r="AN100" s="14">
        <v>532</v>
      </c>
      <c r="AO100" s="14">
        <v>770</v>
      </c>
      <c r="AP100" s="14">
        <v>9</v>
      </c>
      <c r="AQ100" s="14">
        <v>718</v>
      </c>
      <c r="AR100" s="14">
        <v>1</v>
      </c>
      <c r="AS100" s="14">
        <v>130</v>
      </c>
      <c r="AT100" s="14">
        <v>13</v>
      </c>
    </row>
    <row r="101" spans="1:46" x14ac:dyDescent="0.25">
      <c r="A101" s="14">
        <v>32</v>
      </c>
      <c r="B101" s="14">
        <v>84</v>
      </c>
      <c r="F101" s="14">
        <v>280</v>
      </c>
      <c r="G101" s="14">
        <v>11</v>
      </c>
      <c r="H101" s="14">
        <v>573</v>
      </c>
      <c r="J101" s="14">
        <v>165</v>
      </c>
      <c r="L101" s="14">
        <v>943</v>
      </c>
      <c r="M101" s="14">
        <v>449</v>
      </c>
      <c r="P101" s="14">
        <v>514</v>
      </c>
      <c r="Q101" s="14">
        <v>176</v>
      </c>
      <c r="R101" s="14">
        <v>5</v>
      </c>
      <c r="T101" s="14">
        <v>418</v>
      </c>
      <c r="U101" s="14">
        <v>203</v>
      </c>
      <c r="W101" s="14">
        <v>18</v>
      </c>
      <c r="AA101" s="14">
        <v>730</v>
      </c>
      <c r="AB101" s="14">
        <v>205</v>
      </c>
      <c r="AC101" s="14">
        <v>39</v>
      </c>
      <c r="AD101" s="14">
        <v>41</v>
      </c>
      <c r="AF101" s="14">
        <v>209</v>
      </c>
      <c r="AG101" s="14">
        <v>638</v>
      </c>
      <c r="AH101" s="14">
        <v>41</v>
      </c>
      <c r="AI101" s="14">
        <v>61</v>
      </c>
      <c r="AJ101" s="14">
        <v>279</v>
      </c>
      <c r="AK101" s="14">
        <v>167</v>
      </c>
      <c r="AL101" s="14">
        <v>2</v>
      </c>
      <c r="AM101" s="14">
        <v>725</v>
      </c>
      <c r="AN101" s="14">
        <v>351</v>
      </c>
      <c r="AO101" s="14">
        <v>82</v>
      </c>
      <c r="AP101" s="14">
        <v>11</v>
      </c>
      <c r="AQ101" s="14">
        <v>498</v>
      </c>
      <c r="AR101" s="14">
        <v>4</v>
      </c>
      <c r="AS101" s="14">
        <v>32</v>
      </c>
      <c r="AT101" s="14">
        <v>39</v>
      </c>
    </row>
    <row r="102" spans="1:46" x14ac:dyDescent="0.25">
      <c r="A102" s="14">
        <v>22</v>
      </c>
      <c r="B102" s="14">
        <v>144</v>
      </c>
      <c r="F102" s="14">
        <v>140</v>
      </c>
      <c r="G102" s="14">
        <v>11</v>
      </c>
      <c r="H102" s="14">
        <v>124</v>
      </c>
      <c r="J102" s="14">
        <v>171</v>
      </c>
      <c r="L102" s="14">
        <v>733</v>
      </c>
      <c r="M102" s="14">
        <v>481</v>
      </c>
      <c r="P102" s="14">
        <v>887</v>
      </c>
      <c r="Q102" s="14">
        <v>169</v>
      </c>
      <c r="R102" s="14">
        <v>7</v>
      </c>
      <c r="T102" s="14">
        <v>409</v>
      </c>
      <c r="U102" s="14">
        <v>228</v>
      </c>
      <c r="W102" s="14">
        <v>22</v>
      </c>
      <c r="AA102" s="14">
        <v>524</v>
      </c>
      <c r="AB102" s="14">
        <v>263</v>
      </c>
      <c r="AC102" s="14">
        <v>17</v>
      </c>
      <c r="AD102" s="14">
        <v>8</v>
      </c>
      <c r="AF102" s="14">
        <v>278</v>
      </c>
      <c r="AG102" s="14">
        <v>114</v>
      </c>
      <c r="AH102" s="14">
        <v>145</v>
      </c>
      <c r="AI102" s="14">
        <v>60</v>
      </c>
      <c r="AJ102" s="14">
        <v>104</v>
      </c>
      <c r="AK102" s="14">
        <v>289</v>
      </c>
      <c r="AL102" s="14">
        <v>4</v>
      </c>
      <c r="AM102" s="14">
        <v>713</v>
      </c>
      <c r="AN102" s="14">
        <v>514</v>
      </c>
      <c r="AO102" s="14">
        <v>9</v>
      </c>
      <c r="AP102" s="14">
        <v>11</v>
      </c>
      <c r="AQ102" s="14">
        <v>264</v>
      </c>
      <c r="AR102" s="14">
        <v>3</v>
      </c>
      <c r="AS102" s="14">
        <v>24</v>
      </c>
      <c r="AT102" s="14">
        <v>13</v>
      </c>
    </row>
    <row r="103" spans="1:46" x14ac:dyDescent="0.25">
      <c r="A103" s="14">
        <v>79</v>
      </c>
      <c r="B103" s="14">
        <v>191</v>
      </c>
      <c r="F103" s="14">
        <v>134</v>
      </c>
      <c r="G103" s="14">
        <v>24</v>
      </c>
      <c r="H103" s="14">
        <v>295</v>
      </c>
      <c r="J103" s="14">
        <v>124</v>
      </c>
      <c r="L103" s="14">
        <v>809</v>
      </c>
      <c r="M103" s="14">
        <v>28</v>
      </c>
      <c r="P103" s="14">
        <v>679</v>
      </c>
      <c r="Q103" s="14">
        <v>140</v>
      </c>
      <c r="R103" s="14">
        <v>5</v>
      </c>
      <c r="T103" s="14">
        <v>393</v>
      </c>
      <c r="U103" s="14">
        <v>312</v>
      </c>
      <c r="W103" s="14">
        <v>26</v>
      </c>
      <c r="AA103" s="14">
        <v>524</v>
      </c>
      <c r="AB103" s="14">
        <v>602</v>
      </c>
      <c r="AC103" s="14">
        <v>59</v>
      </c>
      <c r="AD103" s="14">
        <v>47</v>
      </c>
      <c r="AF103" s="14">
        <v>309</v>
      </c>
      <c r="AG103" s="14">
        <v>422</v>
      </c>
      <c r="AH103" s="14">
        <v>21</v>
      </c>
      <c r="AI103" s="14">
        <v>59</v>
      </c>
      <c r="AJ103" s="14">
        <v>110</v>
      </c>
      <c r="AK103" s="14">
        <v>55</v>
      </c>
      <c r="AL103" s="14">
        <v>11</v>
      </c>
      <c r="AM103" s="14">
        <v>663</v>
      </c>
      <c r="AN103" s="14">
        <v>434</v>
      </c>
      <c r="AO103" s="14">
        <v>7</v>
      </c>
      <c r="AP103" s="14">
        <v>17</v>
      </c>
      <c r="AQ103" s="14">
        <v>155</v>
      </c>
      <c r="AR103" s="14">
        <v>5</v>
      </c>
      <c r="AS103" s="14">
        <v>45</v>
      </c>
      <c r="AT103" s="14">
        <v>14</v>
      </c>
    </row>
    <row r="104" spans="1:46" x14ac:dyDescent="0.25">
      <c r="A104" s="14">
        <v>19</v>
      </c>
      <c r="B104" s="14">
        <v>12014</v>
      </c>
      <c r="F104" s="14">
        <v>69</v>
      </c>
      <c r="G104" s="14">
        <v>449</v>
      </c>
      <c r="H104" s="14">
        <v>733</v>
      </c>
      <c r="J104" s="14">
        <v>113</v>
      </c>
      <c r="L104" s="14">
        <v>766</v>
      </c>
      <c r="M104" s="14">
        <v>825</v>
      </c>
      <c r="P104" s="14">
        <v>152</v>
      </c>
      <c r="Q104" s="14">
        <v>20</v>
      </c>
      <c r="R104" s="14">
        <v>6</v>
      </c>
      <c r="T104" s="14">
        <v>418</v>
      </c>
      <c r="U104" s="14">
        <v>350</v>
      </c>
      <c r="W104" s="14">
        <v>33</v>
      </c>
      <c r="AA104" s="14">
        <v>410</v>
      </c>
      <c r="AB104" s="14">
        <v>280</v>
      </c>
      <c r="AC104" s="14">
        <v>316</v>
      </c>
      <c r="AF104" s="14">
        <v>463</v>
      </c>
      <c r="AG104" s="14">
        <v>700</v>
      </c>
      <c r="AH104" s="14">
        <v>57</v>
      </c>
      <c r="AI104" s="14">
        <v>56</v>
      </c>
      <c r="AJ104" s="14">
        <v>152</v>
      </c>
      <c r="AK104" s="14">
        <v>27</v>
      </c>
      <c r="AL104" s="14">
        <v>90</v>
      </c>
      <c r="AM104" s="14">
        <v>702</v>
      </c>
      <c r="AN104" s="14">
        <v>607</v>
      </c>
      <c r="AO104" s="14">
        <v>71</v>
      </c>
      <c r="AP104" s="14">
        <v>9</v>
      </c>
      <c r="AQ104" s="14">
        <v>181</v>
      </c>
      <c r="AR104" s="14">
        <v>1</v>
      </c>
      <c r="AS104" s="14">
        <v>63</v>
      </c>
      <c r="AT104" s="14">
        <v>13</v>
      </c>
    </row>
    <row r="105" spans="1:46" x14ac:dyDescent="0.25">
      <c r="A105" s="14">
        <v>46</v>
      </c>
      <c r="B105" s="14">
        <v>790</v>
      </c>
      <c r="F105" s="14">
        <v>128</v>
      </c>
      <c r="G105" s="14">
        <v>8</v>
      </c>
      <c r="H105" s="14">
        <v>225</v>
      </c>
      <c r="J105" s="14">
        <v>895</v>
      </c>
      <c r="L105" s="14">
        <v>419</v>
      </c>
      <c r="M105" s="14">
        <v>521</v>
      </c>
      <c r="P105" s="14">
        <v>112</v>
      </c>
      <c r="Q105" s="14">
        <v>400</v>
      </c>
      <c r="R105" s="14">
        <v>10</v>
      </c>
      <c r="T105" s="14">
        <v>444</v>
      </c>
      <c r="U105" s="14">
        <v>380</v>
      </c>
      <c r="W105" s="14">
        <v>44</v>
      </c>
      <c r="AA105" s="14">
        <v>505</v>
      </c>
      <c r="AB105" s="14">
        <v>701</v>
      </c>
      <c r="AC105" s="14">
        <v>393</v>
      </c>
      <c r="AF105" s="14">
        <v>104</v>
      </c>
      <c r="AG105" s="14">
        <v>207</v>
      </c>
      <c r="AH105" s="14">
        <v>216</v>
      </c>
      <c r="AI105" s="14">
        <v>33</v>
      </c>
      <c r="AJ105" s="14">
        <v>111</v>
      </c>
      <c r="AK105" s="14">
        <v>27</v>
      </c>
      <c r="AL105" s="14">
        <v>3</v>
      </c>
      <c r="AM105" s="14">
        <v>113</v>
      </c>
      <c r="AN105" s="14">
        <v>444</v>
      </c>
      <c r="AO105" s="14">
        <v>84</v>
      </c>
      <c r="AP105" s="14">
        <v>12</v>
      </c>
      <c r="AQ105" s="14">
        <v>109</v>
      </c>
      <c r="AR105" s="14">
        <v>3</v>
      </c>
      <c r="AS105" s="14">
        <v>120</v>
      </c>
      <c r="AT105" s="14">
        <v>11</v>
      </c>
    </row>
    <row r="106" spans="1:46" x14ac:dyDescent="0.25">
      <c r="A106" s="14">
        <v>30</v>
      </c>
      <c r="B106" s="14">
        <v>718</v>
      </c>
      <c r="F106" s="14">
        <v>76</v>
      </c>
      <c r="G106" s="14">
        <v>6</v>
      </c>
      <c r="H106" s="14">
        <v>704</v>
      </c>
      <c r="J106" s="14">
        <v>881</v>
      </c>
      <c r="L106" s="14">
        <v>665</v>
      </c>
      <c r="M106" s="14">
        <v>453</v>
      </c>
      <c r="P106" s="14">
        <v>990</v>
      </c>
      <c r="Q106" s="14">
        <v>782</v>
      </c>
      <c r="R106" s="14">
        <v>8</v>
      </c>
      <c r="T106" s="14">
        <v>464</v>
      </c>
      <c r="U106" s="14">
        <v>430</v>
      </c>
      <c r="W106" s="14">
        <v>34</v>
      </c>
      <c r="AA106" s="14">
        <v>421</v>
      </c>
      <c r="AB106" s="14">
        <v>331</v>
      </c>
      <c r="AC106" s="14">
        <v>407</v>
      </c>
      <c r="AF106" s="14">
        <v>60</v>
      </c>
      <c r="AG106" s="14">
        <v>107</v>
      </c>
      <c r="AH106" s="14">
        <v>205</v>
      </c>
      <c r="AI106" s="14">
        <v>12</v>
      </c>
      <c r="AJ106" s="14">
        <v>72</v>
      </c>
      <c r="AK106" s="14">
        <v>112</v>
      </c>
      <c r="AL106" s="14">
        <v>4</v>
      </c>
      <c r="AM106" s="14">
        <v>346</v>
      </c>
      <c r="AN106" s="14">
        <v>735</v>
      </c>
      <c r="AO106" s="14">
        <v>68</v>
      </c>
      <c r="AP106" s="14">
        <v>11</v>
      </c>
      <c r="AQ106" s="14">
        <v>179</v>
      </c>
      <c r="AR106" s="14">
        <v>3</v>
      </c>
      <c r="AS106" s="14">
        <v>18</v>
      </c>
      <c r="AT106" s="14">
        <v>15</v>
      </c>
    </row>
    <row r="107" spans="1:46" x14ac:dyDescent="0.25">
      <c r="A107" s="14">
        <v>23</v>
      </c>
      <c r="B107" s="14">
        <v>10120</v>
      </c>
      <c r="F107" s="14">
        <v>266</v>
      </c>
      <c r="G107" s="14">
        <v>6</v>
      </c>
      <c r="H107" s="14">
        <v>158</v>
      </c>
      <c r="J107" s="14">
        <v>857</v>
      </c>
      <c r="L107" s="14">
        <v>626</v>
      </c>
      <c r="M107" s="14">
        <v>45</v>
      </c>
      <c r="P107" s="14">
        <v>192</v>
      </c>
      <c r="Q107" s="14">
        <v>850</v>
      </c>
      <c r="R107" s="14">
        <v>8</v>
      </c>
      <c r="T107" s="14">
        <v>483</v>
      </c>
      <c r="U107" s="14">
        <v>596</v>
      </c>
      <c r="W107" s="14">
        <v>29</v>
      </c>
      <c r="AA107" s="14">
        <v>406</v>
      </c>
      <c r="AB107" s="14">
        <v>667</v>
      </c>
      <c r="AC107" s="14">
        <v>92</v>
      </c>
      <c r="AF107" s="14">
        <v>59</v>
      </c>
      <c r="AG107" s="14">
        <v>746</v>
      </c>
      <c r="AH107" s="14">
        <v>18</v>
      </c>
      <c r="AI107" s="14">
        <v>18</v>
      </c>
      <c r="AJ107" s="14">
        <v>166</v>
      </c>
      <c r="AK107" s="14">
        <v>106</v>
      </c>
      <c r="AL107" s="14">
        <v>4</v>
      </c>
      <c r="AM107" s="14">
        <v>338</v>
      </c>
      <c r="AN107" s="14">
        <v>167</v>
      </c>
      <c r="AO107" s="14">
        <v>200</v>
      </c>
      <c r="AP107" s="14">
        <v>10</v>
      </c>
      <c r="AQ107" s="14">
        <v>301</v>
      </c>
      <c r="AR107" s="14">
        <v>1</v>
      </c>
      <c r="AS107" s="14">
        <v>14</v>
      </c>
      <c r="AT107" s="14">
        <v>10</v>
      </c>
    </row>
    <row r="108" spans="1:46" x14ac:dyDescent="0.25">
      <c r="A108" s="14">
        <v>15</v>
      </c>
      <c r="B108" s="14">
        <v>1674</v>
      </c>
      <c r="F108" s="14">
        <v>227</v>
      </c>
      <c r="G108" s="14">
        <v>6</v>
      </c>
      <c r="H108" s="14">
        <v>224</v>
      </c>
      <c r="J108" s="14">
        <v>855</v>
      </c>
      <c r="L108" s="14">
        <v>520</v>
      </c>
      <c r="M108" s="14">
        <v>149</v>
      </c>
      <c r="P108" s="14">
        <v>127</v>
      </c>
      <c r="Q108" s="14">
        <v>472</v>
      </c>
      <c r="R108" s="14">
        <v>10</v>
      </c>
      <c r="T108" s="14">
        <v>511</v>
      </c>
      <c r="U108" s="14">
        <v>968</v>
      </c>
      <c r="W108" s="14">
        <v>41</v>
      </c>
      <c r="AA108" s="14">
        <v>585</v>
      </c>
      <c r="AB108" s="14">
        <v>938</v>
      </c>
      <c r="AC108" s="14">
        <v>614</v>
      </c>
      <c r="AF108" s="14">
        <v>639</v>
      </c>
      <c r="AG108" s="14">
        <v>107</v>
      </c>
      <c r="AH108" s="14">
        <v>40</v>
      </c>
      <c r="AI108" s="14">
        <v>21</v>
      </c>
      <c r="AJ108" s="14">
        <v>108</v>
      </c>
      <c r="AK108" s="14">
        <v>32</v>
      </c>
      <c r="AL108" s="14">
        <v>2</v>
      </c>
      <c r="AM108" s="14">
        <v>603</v>
      </c>
      <c r="AN108" s="14">
        <v>224</v>
      </c>
      <c r="AO108" s="14">
        <v>140</v>
      </c>
      <c r="AP108" s="14">
        <v>15</v>
      </c>
      <c r="AQ108" s="14">
        <v>309</v>
      </c>
      <c r="AR108" s="14">
        <v>1</v>
      </c>
      <c r="AS108" s="14">
        <v>26</v>
      </c>
      <c r="AT108" s="14">
        <v>10</v>
      </c>
    </row>
    <row r="109" spans="1:46" x14ac:dyDescent="0.25">
      <c r="A109" s="14">
        <v>35</v>
      </c>
      <c r="B109" s="14">
        <v>1718</v>
      </c>
      <c r="F109" s="14">
        <v>28</v>
      </c>
      <c r="G109" s="14">
        <v>6</v>
      </c>
      <c r="H109" s="14">
        <v>981</v>
      </c>
      <c r="J109" s="14">
        <v>904</v>
      </c>
      <c r="L109" s="14">
        <v>406</v>
      </c>
      <c r="M109" s="14">
        <v>25</v>
      </c>
      <c r="P109" s="14">
        <v>691</v>
      </c>
      <c r="Q109" s="14">
        <v>118</v>
      </c>
      <c r="R109" s="14">
        <v>23</v>
      </c>
      <c r="T109" s="14">
        <v>590</v>
      </c>
      <c r="U109" s="14">
        <v>149</v>
      </c>
      <c r="W109" s="14">
        <v>5</v>
      </c>
      <c r="AA109" s="14">
        <v>491</v>
      </c>
      <c r="AB109" s="14">
        <v>186</v>
      </c>
      <c r="AC109" s="14">
        <v>827</v>
      </c>
      <c r="AF109" s="14">
        <v>151</v>
      </c>
      <c r="AG109" s="14">
        <v>716</v>
      </c>
      <c r="AH109" s="14">
        <v>155</v>
      </c>
      <c r="AI109" s="14">
        <v>24</v>
      </c>
      <c r="AJ109" s="14">
        <v>140</v>
      </c>
      <c r="AK109" s="14">
        <v>35</v>
      </c>
      <c r="AL109" s="14">
        <v>4</v>
      </c>
      <c r="AM109" s="14">
        <v>138</v>
      </c>
      <c r="AN109" s="14">
        <v>713</v>
      </c>
      <c r="AO109" s="14">
        <v>733</v>
      </c>
      <c r="AP109" s="14">
        <v>11</v>
      </c>
      <c r="AQ109" s="14">
        <v>526</v>
      </c>
      <c r="AR109" s="14">
        <v>1</v>
      </c>
      <c r="AS109" s="14">
        <v>34</v>
      </c>
      <c r="AT109" s="14">
        <v>7</v>
      </c>
    </row>
    <row r="110" spans="1:46" x14ac:dyDescent="0.25">
      <c r="A110" s="14">
        <v>24</v>
      </c>
      <c r="B110" s="14">
        <v>7609</v>
      </c>
      <c r="F110" s="14">
        <v>127</v>
      </c>
      <c r="G110" s="14">
        <v>8</v>
      </c>
      <c r="H110" s="14">
        <v>149</v>
      </c>
      <c r="J110" s="14">
        <v>701</v>
      </c>
      <c r="L110" s="14">
        <v>459</v>
      </c>
      <c r="M110" s="14">
        <v>12</v>
      </c>
      <c r="P110" s="14">
        <v>139</v>
      </c>
      <c r="R110" s="14">
        <v>24</v>
      </c>
      <c r="T110" s="14">
        <v>638</v>
      </c>
      <c r="U110" s="14">
        <v>267</v>
      </c>
      <c r="W110" s="14">
        <v>18</v>
      </c>
      <c r="AA110" s="14">
        <v>789</v>
      </c>
      <c r="AB110" s="14">
        <v>373</v>
      </c>
      <c r="AC110" s="14">
        <v>638</v>
      </c>
      <c r="AF110" s="14">
        <v>80</v>
      </c>
      <c r="AG110" s="14">
        <v>351</v>
      </c>
      <c r="AH110" s="14">
        <v>20</v>
      </c>
      <c r="AI110" s="14">
        <v>42</v>
      </c>
      <c r="AJ110" s="14">
        <v>106</v>
      </c>
      <c r="AK110" s="14">
        <v>54</v>
      </c>
      <c r="AL110" s="14">
        <v>8</v>
      </c>
      <c r="AM110" s="14">
        <v>719</v>
      </c>
      <c r="AN110" s="14">
        <v>257</v>
      </c>
      <c r="AO110" s="14">
        <v>12</v>
      </c>
      <c r="AP110" s="14">
        <v>11</v>
      </c>
      <c r="AQ110" s="14">
        <v>106</v>
      </c>
      <c r="AR110" s="14">
        <v>1</v>
      </c>
      <c r="AS110" s="14">
        <v>67</v>
      </c>
      <c r="AT110" s="14">
        <v>15</v>
      </c>
    </row>
    <row r="111" spans="1:46" x14ac:dyDescent="0.25">
      <c r="A111" s="14">
        <v>123</v>
      </c>
      <c r="B111" s="14">
        <v>55</v>
      </c>
      <c r="F111" s="14">
        <v>104</v>
      </c>
      <c r="G111" s="14">
        <v>6</v>
      </c>
      <c r="H111" s="14">
        <v>355</v>
      </c>
      <c r="J111" s="14">
        <v>437</v>
      </c>
      <c r="L111" s="14">
        <v>392</v>
      </c>
      <c r="M111" s="14">
        <v>73</v>
      </c>
      <c r="P111" s="14">
        <v>102</v>
      </c>
      <c r="R111" s="14">
        <v>19</v>
      </c>
      <c r="U111" s="14">
        <v>326</v>
      </c>
      <c r="W111" s="14">
        <v>22</v>
      </c>
      <c r="AA111" s="14">
        <v>511</v>
      </c>
      <c r="AB111" s="14">
        <v>187</v>
      </c>
      <c r="AC111" s="14">
        <v>7</v>
      </c>
      <c r="AF111" s="14">
        <v>243</v>
      </c>
      <c r="AH111" s="14">
        <v>203</v>
      </c>
      <c r="AI111" s="14">
        <v>40</v>
      </c>
      <c r="AJ111" s="14">
        <v>127</v>
      </c>
      <c r="AK111" s="14">
        <v>48</v>
      </c>
      <c r="AL111" s="14">
        <v>109</v>
      </c>
      <c r="AM111" s="14">
        <v>134</v>
      </c>
      <c r="AN111" s="14">
        <v>13</v>
      </c>
      <c r="AO111" s="14">
        <v>6</v>
      </c>
      <c r="AP111" s="14">
        <v>8</v>
      </c>
      <c r="AQ111" s="14">
        <v>1216</v>
      </c>
      <c r="AR111" s="14">
        <v>1</v>
      </c>
      <c r="AS111" s="14">
        <v>29</v>
      </c>
      <c r="AT111" s="14">
        <v>14</v>
      </c>
    </row>
    <row r="112" spans="1:46" x14ac:dyDescent="0.25">
      <c r="A112" s="14">
        <v>41</v>
      </c>
      <c r="B112" s="14">
        <v>55</v>
      </c>
      <c r="F112" s="14">
        <v>229</v>
      </c>
      <c r="G112" s="14">
        <v>7</v>
      </c>
      <c r="H112" s="14">
        <v>114</v>
      </c>
      <c r="J112" s="14">
        <v>585</v>
      </c>
      <c r="L112" s="14">
        <v>756</v>
      </c>
      <c r="M112" s="14">
        <v>73</v>
      </c>
      <c r="P112" s="14">
        <v>903</v>
      </c>
      <c r="R112" s="14">
        <v>21</v>
      </c>
      <c r="U112" s="14">
        <v>318</v>
      </c>
      <c r="W112" s="14">
        <v>25</v>
      </c>
      <c r="AA112" s="14">
        <v>447</v>
      </c>
      <c r="AB112" s="14">
        <v>411</v>
      </c>
      <c r="AC112" s="14">
        <v>42</v>
      </c>
      <c r="AF112" s="14">
        <v>242</v>
      </c>
      <c r="AH112" s="14">
        <v>32</v>
      </c>
      <c r="AI112" s="14">
        <v>27</v>
      </c>
      <c r="AJ112" s="14">
        <v>27</v>
      </c>
      <c r="AK112" s="14">
        <v>102</v>
      </c>
      <c r="AL112" s="14">
        <v>5</v>
      </c>
      <c r="AM112" s="14">
        <v>441</v>
      </c>
      <c r="AN112" s="14">
        <v>83</v>
      </c>
      <c r="AO112" s="14">
        <v>6</v>
      </c>
      <c r="AP112" s="14">
        <v>11</v>
      </c>
      <c r="AQ112" s="14">
        <v>127</v>
      </c>
      <c r="AR112" s="14">
        <v>1</v>
      </c>
      <c r="AS112" s="14">
        <v>22</v>
      </c>
      <c r="AT112" s="14">
        <v>17</v>
      </c>
    </row>
    <row r="113" spans="1:46" x14ac:dyDescent="0.25">
      <c r="A113" s="14">
        <v>20</v>
      </c>
      <c r="B113" s="14">
        <v>204</v>
      </c>
      <c r="F113" s="14">
        <v>179</v>
      </c>
      <c r="G113" s="14">
        <v>6</v>
      </c>
      <c r="H113" s="14">
        <v>192</v>
      </c>
      <c r="J113" s="14">
        <v>505</v>
      </c>
      <c r="L113" s="14">
        <v>591</v>
      </c>
      <c r="M113" s="14">
        <v>10</v>
      </c>
      <c r="P113" s="14">
        <v>175</v>
      </c>
      <c r="R113" s="14">
        <v>28</v>
      </c>
      <c r="U113" s="14">
        <v>432</v>
      </c>
      <c r="W113" s="14">
        <v>33</v>
      </c>
      <c r="AA113" s="14">
        <v>138</v>
      </c>
      <c r="AB113" s="14">
        <v>677</v>
      </c>
      <c r="AC113" s="14">
        <v>81</v>
      </c>
      <c r="AF113" s="14">
        <v>80</v>
      </c>
      <c r="AH113" s="14">
        <v>44</v>
      </c>
      <c r="AI113" s="14">
        <v>28</v>
      </c>
      <c r="AJ113" s="14">
        <v>23</v>
      </c>
      <c r="AK113" s="14">
        <v>78</v>
      </c>
      <c r="AL113" s="14">
        <v>6</v>
      </c>
      <c r="AM113" s="14">
        <v>573</v>
      </c>
      <c r="AN113" s="14">
        <v>82</v>
      </c>
      <c r="AO113" s="14">
        <v>48</v>
      </c>
      <c r="AP113" s="14">
        <v>14</v>
      </c>
      <c r="AQ113" s="14">
        <v>67</v>
      </c>
      <c r="AR113" s="14">
        <v>4</v>
      </c>
      <c r="AS113" s="14">
        <v>38</v>
      </c>
      <c r="AT113" s="14">
        <v>9</v>
      </c>
    </row>
    <row r="114" spans="1:46" x14ac:dyDescent="0.25">
      <c r="A114" s="14">
        <v>42</v>
      </c>
      <c r="F114" s="14">
        <v>152</v>
      </c>
      <c r="G114" s="14">
        <v>6</v>
      </c>
      <c r="H114" s="14">
        <v>54</v>
      </c>
      <c r="J114" s="14">
        <v>399</v>
      </c>
      <c r="L114" s="14">
        <v>756</v>
      </c>
      <c r="M114" s="14">
        <v>79</v>
      </c>
      <c r="P114" s="14">
        <v>116</v>
      </c>
      <c r="R114" s="14">
        <v>20</v>
      </c>
      <c r="U114" s="14">
        <v>170</v>
      </c>
      <c r="W114" s="14">
        <v>44</v>
      </c>
      <c r="AA114" s="14">
        <v>138</v>
      </c>
      <c r="AB114" s="14">
        <v>6</v>
      </c>
      <c r="AC114" s="14">
        <v>51</v>
      </c>
      <c r="AF114" s="14">
        <v>281</v>
      </c>
      <c r="AH114" s="14">
        <v>165</v>
      </c>
      <c r="AI114" s="14">
        <v>14</v>
      </c>
      <c r="AJ114" s="14">
        <v>37</v>
      </c>
      <c r="AK114" s="14">
        <v>60</v>
      </c>
      <c r="AL114" s="14">
        <v>3</v>
      </c>
      <c r="AM114" s="14">
        <v>956</v>
      </c>
      <c r="AN114" s="14">
        <v>82</v>
      </c>
      <c r="AO114" s="14">
        <v>58</v>
      </c>
      <c r="AP114" s="14">
        <v>10</v>
      </c>
      <c r="AQ114" s="14">
        <v>72</v>
      </c>
      <c r="AR114" s="14">
        <v>1</v>
      </c>
      <c r="AS114" s="14">
        <v>57</v>
      </c>
      <c r="AT114" s="14">
        <v>9</v>
      </c>
    </row>
    <row r="115" spans="1:46" x14ac:dyDescent="0.25">
      <c r="A115" s="14">
        <v>235</v>
      </c>
      <c r="F115" s="14">
        <v>956</v>
      </c>
      <c r="G115" s="14">
        <v>8</v>
      </c>
      <c r="H115" s="14">
        <v>21</v>
      </c>
      <c r="J115" s="14">
        <v>620</v>
      </c>
      <c r="L115" s="14">
        <v>728</v>
      </c>
      <c r="M115" s="14">
        <v>68</v>
      </c>
      <c r="P115" s="14">
        <v>630</v>
      </c>
      <c r="R115" s="14">
        <v>20</v>
      </c>
      <c r="U115" s="14">
        <v>107</v>
      </c>
      <c r="W115" s="14">
        <v>35</v>
      </c>
      <c r="AA115" s="14">
        <v>350</v>
      </c>
      <c r="AB115" s="14">
        <v>294</v>
      </c>
      <c r="AC115" s="14">
        <v>7</v>
      </c>
      <c r="AF115" s="14">
        <v>703</v>
      </c>
      <c r="AH115" s="14">
        <v>274</v>
      </c>
      <c r="AI115" s="14">
        <v>34</v>
      </c>
      <c r="AJ115" s="14">
        <v>22</v>
      </c>
      <c r="AK115" s="14">
        <v>59</v>
      </c>
      <c r="AL115" s="14">
        <v>2</v>
      </c>
      <c r="AM115" s="14">
        <v>170</v>
      </c>
      <c r="AN115" s="14">
        <v>66</v>
      </c>
      <c r="AO115" s="14">
        <v>85</v>
      </c>
      <c r="AP115" s="14">
        <v>12</v>
      </c>
      <c r="AQ115" s="14">
        <v>1965</v>
      </c>
      <c r="AR115" s="14">
        <v>5</v>
      </c>
      <c r="AS115" s="14">
        <v>128</v>
      </c>
      <c r="AT115" s="14">
        <v>19</v>
      </c>
    </row>
    <row r="116" spans="1:46" x14ac:dyDescent="0.25">
      <c r="A116" s="14">
        <v>55</v>
      </c>
      <c r="F116" s="14">
        <v>145</v>
      </c>
      <c r="G116" s="14">
        <v>6</v>
      </c>
      <c r="H116" s="14">
        <v>9</v>
      </c>
      <c r="J116" s="14">
        <v>349</v>
      </c>
      <c r="L116" s="14">
        <v>152</v>
      </c>
      <c r="M116" s="14">
        <v>46</v>
      </c>
      <c r="P116" s="14">
        <v>139</v>
      </c>
      <c r="R116" s="14">
        <v>18</v>
      </c>
      <c r="U116" s="14">
        <v>305</v>
      </c>
      <c r="W116" s="14">
        <v>29</v>
      </c>
      <c r="AA116" s="14">
        <v>250</v>
      </c>
      <c r="AB116" s="14">
        <v>695</v>
      </c>
      <c r="AC116" s="14">
        <v>53</v>
      </c>
      <c r="AF116" s="14">
        <v>141</v>
      </c>
      <c r="AH116" s="14">
        <v>26</v>
      </c>
      <c r="AI116" s="14">
        <v>58</v>
      </c>
      <c r="AJ116" s="14">
        <v>21</v>
      </c>
      <c r="AK116" s="14">
        <v>5</v>
      </c>
      <c r="AL116" s="14">
        <v>4</v>
      </c>
      <c r="AM116" s="14">
        <v>436</v>
      </c>
      <c r="AN116" s="14">
        <v>65</v>
      </c>
      <c r="AO116" s="14">
        <v>346</v>
      </c>
      <c r="AP116" s="14">
        <v>26</v>
      </c>
      <c r="AQ116" s="14">
        <v>1597</v>
      </c>
      <c r="AR116" s="14">
        <v>3</v>
      </c>
      <c r="AS116" s="14">
        <v>32</v>
      </c>
      <c r="AT116" s="14">
        <v>10</v>
      </c>
    </row>
    <row r="117" spans="1:46" x14ac:dyDescent="0.25">
      <c r="A117" s="14">
        <v>32</v>
      </c>
      <c r="F117" s="14">
        <v>212</v>
      </c>
      <c r="G117" s="14">
        <v>6</v>
      </c>
      <c r="H117" s="14">
        <v>13</v>
      </c>
      <c r="J117" s="14">
        <v>318</v>
      </c>
      <c r="L117" s="14">
        <v>167</v>
      </c>
      <c r="M117" s="14">
        <v>15</v>
      </c>
      <c r="P117" s="14">
        <v>141</v>
      </c>
      <c r="R117" s="14">
        <v>17</v>
      </c>
      <c r="U117" s="14">
        <v>273</v>
      </c>
      <c r="W117" s="14">
        <v>40</v>
      </c>
      <c r="AA117" s="14">
        <v>315</v>
      </c>
      <c r="AB117" s="14">
        <v>206</v>
      </c>
      <c r="AC117" s="14">
        <v>60</v>
      </c>
      <c r="AF117" s="14">
        <v>74</v>
      </c>
      <c r="AH117" s="14">
        <v>58</v>
      </c>
      <c r="AI117" s="14">
        <v>43</v>
      </c>
      <c r="AJ117" s="14">
        <v>43</v>
      </c>
      <c r="AK117" s="14">
        <v>11</v>
      </c>
      <c r="AL117" s="14">
        <v>13</v>
      </c>
      <c r="AM117" s="14">
        <v>219</v>
      </c>
      <c r="AN117" s="14">
        <v>68</v>
      </c>
      <c r="AO117" s="14">
        <v>168</v>
      </c>
      <c r="AP117" s="14">
        <v>13</v>
      </c>
      <c r="AQ117" s="14">
        <v>963</v>
      </c>
      <c r="AR117" s="14">
        <v>1</v>
      </c>
      <c r="AS117" s="14">
        <v>24</v>
      </c>
      <c r="AT117" s="14">
        <v>12</v>
      </c>
    </row>
    <row r="118" spans="1:46" x14ac:dyDescent="0.25">
      <c r="A118" s="14">
        <v>298</v>
      </c>
      <c r="F118" s="14">
        <v>128</v>
      </c>
      <c r="G118" s="14">
        <v>6</v>
      </c>
      <c r="H118" s="14">
        <v>549</v>
      </c>
      <c r="J118" s="14">
        <v>316</v>
      </c>
      <c r="L118" s="14">
        <v>284</v>
      </c>
      <c r="M118" s="14">
        <v>26</v>
      </c>
      <c r="P118" s="14">
        <v>129</v>
      </c>
      <c r="R118" s="14">
        <v>14</v>
      </c>
      <c r="U118" s="14">
        <v>376</v>
      </c>
      <c r="W118" s="14">
        <v>2</v>
      </c>
      <c r="AA118" s="14">
        <v>400</v>
      </c>
      <c r="AB118" s="14">
        <v>16</v>
      </c>
      <c r="AC118" s="14">
        <v>55</v>
      </c>
      <c r="AF118" s="14">
        <v>80</v>
      </c>
      <c r="AH118" s="14">
        <v>397</v>
      </c>
      <c r="AI118" s="14">
        <v>44</v>
      </c>
      <c r="AJ118" s="14">
        <v>23</v>
      </c>
      <c r="AK118" s="14">
        <v>5</v>
      </c>
      <c r="AL118" s="14">
        <v>83</v>
      </c>
      <c r="AM118" s="14">
        <v>451</v>
      </c>
      <c r="AN118" s="14">
        <v>62</v>
      </c>
      <c r="AO118" s="14">
        <v>327</v>
      </c>
      <c r="AP118" s="14">
        <v>18</v>
      </c>
      <c r="AQ118" s="14">
        <v>423</v>
      </c>
      <c r="AR118" s="14">
        <v>1</v>
      </c>
      <c r="AS118" s="14">
        <v>44</v>
      </c>
      <c r="AT118" s="14">
        <v>12</v>
      </c>
    </row>
    <row r="119" spans="1:46" x14ac:dyDescent="0.25">
      <c r="A119" s="14">
        <v>25</v>
      </c>
      <c r="F119" s="14">
        <v>267</v>
      </c>
      <c r="G119" s="14">
        <v>101</v>
      </c>
      <c r="H119" s="14">
        <v>933</v>
      </c>
      <c r="J119" s="14">
        <v>416</v>
      </c>
      <c r="L119" s="14">
        <v>234</v>
      </c>
      <c r="M119" s="14">
        <v>12</v>
      </c>
      <c r="P119" s="14">
        <v>86</v>
      </c>
      <c r="R119" s="14">
        <v>12</v>
      </c>
      <c r="U119" s="14">
        <v>609</v>
      </c>
      <c r="W119" s="14">
        <v>4</v>
      </c>
      <c r="AA119" s="14">
        <v>394</v>
      </c>
      <c r="AB119" s="14">
        <v>109</v>
      </c>
      <c r="AC119" s="14">
        <v>104</v>
      </c>
      <c r="AF119" s="14">
        <v>282</v>
      </c>
      <c r="AH119" s="14">
        <v>206</v>
      </c>
      <c r="AI119" s="14">
        <v>23</v>
      </c>
      <c r="AJ119" s="14">
        <v>28</v>
      </c>
      <c r="AK119" s="14">
        <v>10</v>
      </c>
      <c r="AL119" s="14">
        <v>9</v>
      </c>
      <c r="AM119" s="14">
        <v>645</v>
      </c>
      <c r="AN119" s="14">
        <v>69</v>
      </c>
      <c r="AO119" s="14">
        <v>154</v>
      </c>
      <c r="AP119" s="14">
        <v>17</v>
      </c>
      <c r="AQ119" s="14">
        <v>663</v>
      </c>
      <c r="AR119" s="14">
        <v>3</v>
      </c>
      <c r="AS119" s="14">
        <v>63</v>
      </c>
      <c r="AT119" s="14">
        <v>11</v>
      </c>
    </row>
    <row r="120" spans="1:46" x14ac:dyDescent="0.25">
      <c r="A120" s="14">
        <v>82</v>
      </c>
      <c r="F120" s="14">
        <v>110</v>
      </c>
      <c r="G120" s="14">
        <v>123</v>
      </c>
      <c r="H120" s="14">
        <v>123</v>
      </c>
      <c r="J120" s="14">
        <v>334</v>
      </c>
      <c r="L120" s="14">
        <v>321</v>
      </c>
      <c r="M120" s="14">
        <v>72</v>
      </c>
      <c r="P120" s="14">
        <v>137</v>
      </c>
      <c r="R120" s="14">
        <v>14</v>
      </c>
      <c r="U120" s="14">
        <v>945</v>
      </c>
      <c r="W120" s="14">
        <v>16</v>
      </c>
      <c r="AA120" s="14">
        <v>725</v>
      </c>
      <c r="AB120" s="14">
        <v>833</v>
      </c>
      <c r="AC120" s="14">
        <v>667</v>
      </c>
      <c r="AF120" s="14">
        <v>783</v>
      </c>
      <c r="AH120" s="14">
        <v>19</v>
      </c>
      <c r="AI120" s="14">
        <v>11</v>
      </c>
      <c r="AJ120" s="14">
        <v>22</v>
      </c>
      <c r="AK120" s="14">
        <v>1</v>
      </c>
      <c r="AL120" s="14">
        <v>7</v>
      </c>
      <c r="AM120" s="14">
        <v>6</v>
      </c>
      <c r="AN120" s="14">
        <v>63</v>
      </c>
      <c r="AO120" s="14">
        <v>728</v>
      </c>
      <c r="AP120" s="14">
        <v>18</v>
      </c>
      <c r="AQ120" s="14">
        <v>291</v>
      </c>
      <c r="AR120" s="14">
        <v>1</v>
      </c>
      <c r="AS120" s="14">
        <v>120</v>
      </c>
      <c r="AT120" s="14">
        <v>7</v>
      </c>
    </row>
    <row r="121" spans="1:46" x14ac:dyDescent="0.25">
      <c r="A121" s="14">
        <v>35</v>
      </c>
      <c r="F121" s="14">
        <v>314</v>
      </c>
      <c r="G121" s="14">
        <v>992</v>
      </c>
      <c r="H121" s="14">
        <v>180</v>
      </c>
      <c r="J121" s="14">
        <v>355</v>
      </c>
      <c r="L121" s="14">
        <v>85</v>
      </c>
      <c r="M121" s="14">
        <v>89</v>
      </c>
      <c r="P121" s="14">
        <v>144</v>
      </c>
      <c r="R121" s="14">
        <v>13</v>
      </c>
      <c r="U121" s="14">
        <v>361</v>
      </c>
      <c r="W121" s="14">
        <v>12</v>
      </c>
      <c r="AA121" s="14">
        <v>355</v>
      </c>
      <c r="AB121" s="14">
        <v>663</v>
      </c>
      <c r="AC121" s="14">
        <v>467</v>
      </c>
      <c r="AF121" s="14">
        <v>141</v>
      </c>
      <c r="AH121" s="14">
        <v>26</v>
      </c>
      <c r="AI121" s="14">
        <v>31</v>
      </c>
      <c r="AJ121" s="14">
        <v>27</v>
      </c>
      <c r="AK121" s="14">
        <v>60</v>
      </c>
      <c r="AL121" s="14">
        <v>7</v>
      </c>
      <c r="AM121" s="14">
        <v>6</v>
      </c>
      <c r="AN121" s="14">
        <v>56</v>
      </c>
      <c r="AO121" s="14">
        <v>422</v>
      </c>
      <c r="AP121" s="14">
        <v>16</v>
      </c>
      <c r="AQ121" s="14">
        <v>625</v>
      </c>
      <c r="AR121" s="14">
        <v>1</v>
      </c>
      <c r="AS121" s="14">
        <v>19</v>
      </c>
      <c r="AT121" s="14">
        <v>11</v>
      </c>
    </row>
    <row r="122" spans="1:46" x14ac:dyDescent="0.25">
      <c r="A122" s="14">
        <v>32</v>
      </c>
      <c r="F122" s="14">
        <v>205</v>
      </c>
      <c r="G122" s="14">
        <v>110</v>
      </c>
      <c r="H122" s="14">
        <v>192</v>
      </c>
      <c r="J122" s="14">
        <v>552</v>
      </c>
      <c r="L122" s="14">
        <v>41</v>
      </c>
      <c r="M122" s="14">
        <v>98</v>
      </c>
      <c r="P122" s="14">
        <v>195</v>
      </c>
      <c r="R122" s="14">
        <v>13</v>
      </c>
      <c r="U122" s="14">
        <v>641</v>
      </c>
      <c r="W122" s="14">
        <v>25</v>
      </c>
      <c r="AA122" s="14">
        <v>372</v>
      </c>
      <c r="AB122" s="14">
        <v>687</v>
      </c>
      <c r="AC122" s="14">
        <v>711</v>
      </c>
      <c r="AF122" s="14">
        <v>74</v>
      </c>
      <c r="AH122" s="14">
        <v>171</v>
      </c>
      <c r="AI122" s="14">
        <v>65</v>
      </c>
      <c r="AJ122" s="14">
        <v>312</v>
      </c>
      <c r="AK122" s="14">
        <v>57</v>
      </c>
      <c r="AL122" s="14">
        <v>5</v>
      </c>
      <c r="AM122" s="14">
        <v>142</v>
      </c>
      <c r="AN122" s="14">
        <v>61</v>
      </c>
      <c r="AO122" s="14">
        <v>194</v>
      </c>
      <c r="AP122" s="14">
        <v>16</v>
      </c>
      <c r="AQ122" s="14">
        <v>1465</v>
      </c>
      <c r="AR122" s="14">
        <v>1</v>
      </c>
      <c r="AS122" s="14">
        <v>15</v>
      </c>
      <c r="AT122" s="14">
        <v>9</v>
      </c>
    </row>
    <row r="123" spans="1:46" x14ac:dyDescent="0.25">
      <c r="A123" s="14">
        <v>43</v>
      </c>
      <c r="F123" s="14">
        <v>334</v>
      </c>
      <c r="G123" s="14">
        <v>101</v>
      </c>
      <c r="H123" s="14">
        <v>734</v>
      </c>
      <c r="J123" s="14">
        <v>563</v>
      </c>
      <c r="L123" s="14">
        <v>65</v>
      </c>
      <c r="M123" s="14">
        <v>81</v>
      </c>
      <c r="P123" s="14">
        <v>102</v>
      </c>
      <c r="R123" s="14">
        <v>13</v>
      </c>
      <c r="U123" s="14">
        <v>934</v>
      </c>
      <c r="W123" s="14">
        <v>29</v>
      </c>
      <c r="AA123" s="14">
        <v>291</v>
      </c>
      <c r="AB123" s="14">
        <v>677</v>
      </c>
      <c r="AC123" s="14">
        <v>125</v>
      </c>
      <c r="AF123" s="14">
        <v>56</v>
      </c>
      <c r="AH123" s="14">
        <v>16</v>
      </c>
      <c r="AI123" s="14">
        <v>58</v>
      </c>
      <c r="AJ123" s="14">
        <v>209</v>
      </c>
      <c r="AK123" s="14">
        <v>53</v>
      </c>
      <c r="AL123" s="14">
        <v>6</v>
      </c>
      <c r="AM123" s="14">
        <v>121</v>
      </c>
      <c r="AN123" s="14">
        <v>57</v>
      </c>
      <c r="AO123" s="14">
        <v>648</v>
      </c>
      <c r="AP123" s="14">
        <v>18</v>
      </c>
      <c r="AQ123" s="14">
        <v>905</v>
      </c>
      <c r="AR123" s="14">
        <v>1</v>
      </c>
      <c r="AS123" s="14">
        <v>26</v>
      </c>
      <c r="AT123" s="14">
        <v>11</v>
      </c>
    </row>
    <row r="124" spans="1:46" x14ac:dyDescent="0.25">
      <c r="A124" s="14">
        <v>39</v>
      </c>
      <c r="F124" s="14">
        <v>412</v>
      </c>
      <c r="G124" s="14">
        <v>971</v>
      </c>
      <c r="H124" s="14">
        <v>134</v>
      </c>
      <c r="L124" s="14">
        <v>59</v>
      </c>
      <c r="M124" s="14">
        <v>68</v>
      </c>
      <c r="P124" s="14">
        <v>96</v>
      </c>
      <c r="R124" s="14">
        <v>13</v>
      </c>
      <c r="U124" s="14">
        <v>587</v>
      </c>
      <c r="W124" s="14">
        <v>15</v>
      </c>
      <c r="AA124" s="14">
        <v>355</v>
      </c>
      <c r="AB124" s="14">
        <v>458</v>
      </c>
      <c r="AC124" s="14">
        <v>735</v>
      </c>
      <c r="AF124" s="14">
        <v>98</v>
      </c>
      <c r="AH124" s="14">
        <v>47</v>
      </c>
      <c r="AI124" s="14">
        <v>45</v>
      </c>
      <c r="AJ124" s="14">
        <v>392</v>
      </c>
      <c r="AK124" s="14">
        <v>34</v>
      </c>
      <c r="AL124" s="14">
        <v>5</v>
      </c>
      <c r="AM124" s="14">
        <v>930</v>
      </c>
      <c r="AN124" s="14">
        <v>56</v>
      </c>
      <c r="AO124" s="14">
        <v>139</v>
      </c>
      <c r="AP124" s="14">
        <v>15</v>
      </c>
      <c r="AQ124" s="14">
        <v>1427</v>
      </c>
      <c r="AR124" s="14">
        <v>1</v>
      </c>
      <c r="AS124" s="14">
        <v>34</v>
      </c>
      <c r="AT124" s="14">
        <v>11</v>
      </c>
    </row>
    <row r="125" spans="1:46" x14ac:dyDescent="0.25">
      <c r="A125" s="14">
        <v>32</v>
      </c>
      <c r="F125" s="14">
        <v>210</v>
      </c>
      <c r="G125" s="14">
        <v>969</v>
      </c>
      <c r="H125" s="14">
        <v>281</v>
      </c>
      <c r="L125" s="14">
        <v>46</v>
      </c>
      <c r="P125" s="14">
        <v>125</v>
      </c>
      <c r="R125" s="14">
        <v>15</v>
      </c>
      <c r="U125" s="14">
        <v>858</v>
      </c>
      <c r="W125" s="14">
        <v>27</v>
      </c>
      <c r="AA125" s="14">
        <v>444</v>
      </c>
      <c r="AB125" s="14">
        <v>412</v>
      </c>
      <c r="AC125" s="14">
        <v>529</v>
      </c>
      <c r="AF125" s="14">
        <v>11</v>
      </c>
      <c r="AH125" s="14">
        <v>150</v>
      </c>
      <c r="AI125" s="14">
        <v>47</v>
      </c>
      <c r="AJ125" s="14">
        <v>297</v>
      </c>
      <c r="AK125" s="14">
        <v>54</v>
      </c>
      <c r="AL125" s="14">
        <v>3</v>
      </c>
      <c r="AM125" s="14">
        <v>754</v>
      </c>
      <c r="AN125" s="14">
        <v>1</v>
      </c>
      <c r="AO125" s="14">
        <v>343</v>
      </c>
      <c r="AP125" s="14">
        <v>29</v>
      </c>
      <c r="AQ125" s="14">
        <v>526</v>
      </c>
      <c r="AR125" s="14">
        <v>2</v>
      </c>
      <c r="AS125" s="14">
        <v>67</v>
      </c>
      <c r="AT125" s="14">
        <v>11</v>
      </c>
    </row>
    <row r="126" spans="1:46" x14ac:dyDescent="0.25">
      <c r="A126" s="14">
        <v>29</v>
      </c>
      <c r="F126" s="14">
        <v>388</v>
      </c>
      <c r="G126" s="14">
        <v>996</v>
      </c>
      <c r="H126" s="14">
        <v>470</v>
      </c>
      <c r="L126" s="14">
        <v>43</v>
      </c>
      <c r="P126" s="14">
        <v>115</v>
      </c>
      <c r="R126" s="14">
        <v>15</v>
      </c>
      <c r="U126" s="14">
        <v>198</v>
      </c>
      <c r="W126" s="14">
        <v>34</v>
      </c>
      <c r="AA126" s="14">
        <v>322</v>
      </c>
      <c r="AB126" s="14">
        <v>442</v>
      </c>
      <c r="AC126" s="14">
        <v>100</v>
      </c>
      <c r="AF126" s="14">
        <v>11</v>
      </c>
      <c r="AH126" s="14">
        <v>105</v>
      </c>
      <c r="AI126" s="14">
        <v>19</v>
      </c>
      <c r="AJ126" s="14">
        <v>226</v>
      </c>
      <c r="AK126" s="14">
        <v>46</v>
      </c>
      <c r="AL126" s="14">
        <v>8</v>
      </c>
      <c r="AM126" s="14">
        <v>123</v>
      </c>
      <c r="AN126" s="14">
        <v>326</v>
      </c>
      <c r="AO126" s="14">
        <v>142</v>
      </c>
      <c r="AP126" s="14">
        <v>20</v>
      </c>
      <c r="AQ126" s="14">
        <v>3201</v>
      </c>
      <c r="AR126" s="14">
        <v>145</v>
      </c>
      <c r="AS126" s="14">
        <v>23</v>
      </c>
      <c r="AT126" s="14">
        <v>10</v>
      </c>
    </row>
    <row r="127" spans="1:46" x14ac:dyDescent="0.25">
      <c r="A127" s="14">
        <v>181</v>
      </c>
      <c r="F127" s="14">
        <v>150</v>
      </c>
      <c r="G127" s="14">
        <v>988</v>
      </c>
      <c r="H127" s="14">
        <v>48</v>
      </c>
      <c r="L127" s="14">
        <v>48</v>
      </c>
      <c r="P127" s="14">
        <v>64</v>
      </c>
      <c r="R127" s="14">
        <v>22</v>
      </c>
      <c r="U127" s="14">
        <v>291</v>
      </c>
      <c r="W127" s="14">
        <v>31</v>
      </c>
      <c r="AA127" s="14">
        <v>440</v>
      </c>
      <c r="AB127" s="14">
        <v>43</v>
      </c>
      <c r="AC127" s="14">
        <v>10</v>
      </c>
      <c r="AF127" s="14">
        <v>9</v>
      </c>
      <c r="AH127" s="14">
        <v>473</v>
      </c>
      <c r="AI127" s="14">
        <v>34</v>
      </c>
      <c r="AJ127" s="14">
        <v>351</v>
      </c>
      <c r="AK127" s="14">
        <v>61</v>
      </c>
      <c r="AL127" s="14">
        <v>4</v>
      </c>
      <c r="AM127" s="14">
        <v>398</v>
      </c>
      <c r="AN127" s="14">
        <v>7</v>
      </c>
      <c r="AO127" s="14">
        <v>793</v>
      </c>
      <c r="AP127" s="14">
        <v>11</v>
      </c>
      <c r="AQ127" s="14">
        <v>667</v>
      </c>
      <c r="AR127" s="14">
        <v>484</v>
      </c>
      <c r="AS127" s="14">
        <v>17</v>
      </c>
      <c r="AT127" s="14">
        <v>11</v>
      </c>
    </row>
    <row r="128" spans="1:46" x14ac:dyDescent="0.25">
      <c r="A128" s="14">
        <v>30</v>
      </c>
      <c r="F128" s="14">
        <v>91</v>
      </c>
      <c r="G128" s="14">
        <v>115</v>
      </c>
      <c r="H128" s="14">
        <v>43</v>
      </c>
      <c r="L128" s="14">
        <v>44</v>
      </c>
      <c r="P128" s="14">
        <v>211</v>
      </c>
      <c r="R128" s="14">
        <v>16</v>
      </c>
      <c r="U128" s="14">
        <v>543</v>
      </c>
      <c r="W128" s="14">
        <v>49</v>
      </c>
      <c r="AA128" s="14">
        <v>268</v>
      </c>
      <c r="AB128" s="14">
        <v>38</v>
      </c>
      <c r="AC128" s="14">
        <v>71</v>
      </c>
      <c r="AF128" s="14">
        <v>12</v>
      </c>
      <c r="AH128" s="14">
        <v>788</v>
      </c>
      <c r="AI128" s="14">
        <v>58</v>
      </c>
      <c r="AJ128" s="14">
        <v>222</v>
      </c>
      <c r="AK128" s="14">
        <v>59</v>
      </c>
      <c r="AL128" s="14">
        <v>5</v>
      </c>
      <c r="AM128" s="14">
        <v>208</v>
      </c>
      <c r="AN128" s="14">
        <v>667</v>
      </c>
      <c r="AO128" s="14">
        <v>623</v>
      </c>
      <c r="AP128" s="14">
        <v>20</v>
      </c>
      <c r="AQ128" s="14">
        <v>675</v>
      </c>
      <c r="AR128" s="14">
        <v>436</v>
      </c>
      <c r="AS128" s="14">
        <v>30</v>
      </c>
      <c r="AT128" s="14">
        <v>7</v>
      </c>
    </row>
    <row r="129" spans="1:46" x14ac:dyDescent="0.25">
      <c r="A129" s="14">
        <v>24</v>
      </c>
      <c r="F129" s="14">
        <v>93</v>
      </c>
      <c r="G129" s="14">
        <v>11</v>
      </c>
      <c r="H129" s="14">
        <v>876</v>
      </c>
      <c r="L129" s="14">
        <v>78</v>
      </c>
      <c r="P129" s="14">
        <v>150</v>
      </c>
      <c r="R129" s="14">
        <v>23</v>
      </c>
      <c r="U129" s="14">
        <v>797</v>
      </c>
      <c r="W129" s="14">
        <v>2</v>
      </c>
      <c r="AA129" s="14">
        <v>863</v>
      </c>
      <c r="AB129" s="14">
        <v>30</v>
      </c>
      <c r="AC129" s="14">
        <v>44</v>
      </c>
      <c r="AF129" s="14">
        <v>14</v>
      </c>
      <c r="AH129" s="14">
        <v>109</v>
      </c>
      <c r="AI129" s="14">
        <v>51</v>
      </c>
      <c r="AJ129" s="14">
        <v>323</v>
      </c>
      <c r="AK129" s="14">
        <v>62</v>
      </c>
      <c r="AL129" s="14">
        <v>6</v>
      </c>
      <c r="AM129" s="14">
        <v>590</v>
      </c>
      <c r="AN129" s="14">
        <v>70</v>
      </c>
      <c r="AO129" s="14">
        <v>336</v>
      </c>
      <c r="AP129" s="14">
        <v>17</v>
      </c>
      <c r="AQ129" s="14">
        <v>89</v>
      </c>
      <c r="AR129" s="14">
        <v>493</v>
      </c>
      <c r="AS129" s="14">
        <v>57</v>
      </c>
      <c r="AT129" s="14">
        <v>14</v>
      </c>
    </row>
    <row r="130" spans="1:46" x14ac:dyDescent="0.25">
      <c r="A130" s="14">
        <v>22</v>
      </c>
      <c r="F130" s="14">
        <v>408</v>
      </c>
      <c r="G130" s="14">
        <v>11</v>
      </c>
      <c r="H130" s="14">
        <v>210</v>
      </c>
      <c r="L130" s="14">
        <v>84</v>
      </c>
      <c r="P130" s="14">
        <v>253</v>
      </c>
      <c r="R130" s="14">
        <v>26</v>
      </c>
      <c r="U130" s="14">
        <v>240</v>
      </c>
      <c r="W130" s="14">
        <v>4</v>
      </c>
      <c r="AA130" s="14">
        <v>656</v>
      </c>
      <c r="AB130" s="14">
        <v>30</v>
      </c>
      <c r="AC130" s="14">
        <v>75</v>
      </c>
      <c r="AF130" s="14">
        <v>15</v>
      </c>
      <c r="AH130" s="14">
        <v>274</v>
      </c>
      <c r="AI130" s="14">
        <v>53</v>
      </c>
      <c r="AJ130" s="14">
        <v>244</v>
      </c>
      <c r="AK130" s="14">
        <v>58</v>
      </c>
      <c r="AL130" s="14">
        <v>6</v>
      </c>
      <c r="AM130" s="14">
        <v>586</v>
      </c>
      <c r="AN130" s="14">
        <v>1</v>
      </c>
      <c r="AO130" s="14">
        <v>768</v>
      </c>
      <c r="AP130" s="14">
        <v>25</v>
      </c>
      <c r="AQ130" s="14">
        <v>76</v>
      </c>
      <c r="AR130" s="14">
        <v>560</v>
      </c>
      <c r="AS130" s="14">
        <v>128</v>
      </c>
      <c r="AT130" s="14">
        <v>9</v>
      </c>
    </row>
    <row r="131" spans="1:46" x14ac:dyDescent="0.25">
      <c r="A131" s="14">
        <v>130</v>
      </c>
      <c r="F131" s="14">
        <v>236</v>
      </c>
      <c r="G131" s="14">
        <v>19</v>
      </c>
      <c r="H131" s="14">
        <v>222</v>
      </c>
      <c r="L131" s="14">
        <v>141</v>
      </c>
      <c r="P131" s="14">
        <v>112</v>
      </c>
      <c r="R131" s="14">
        <v>49</v>
      </c>
      <c r="U131" s="14">
        <v>366</v>
      </c>
      <c r="W131" s="14">
        <v>12</v>
      </c>
      <c r="AA131" s="14">
        <v>116</v>
      </c>
      <c r="AB131" s="14">
        <v>28</v>
      </c>
      <c r="AC131" s="14">
        <v>10</v>
      </c>
      <c r="AF131" s="14">
        <v>15</v>
      </c>
      <c r="AH131" s="14">
        <v>752</v>
      </c>
      <c r="AI131" s="14">
        <v>41</v>
      </c>
      <c r="AJ131" s="14">
        <v>298</v>
      </c>
      <c r="AK131" s="14">
        <v>10</v>
      </c>
      <c r="AL131" s="14">
        <v>9</v>
      </c>
      <c r="AM131" s="14">
        <v>821</v>
      </c>
      <c r="AN131" s="14">
        <v>351</v>
      </c>
      <c r="AO131" s="14">
        <v>9</v>
      </c>
      <c r="AP131" s="14">
        <v>22</v>
      </c>
      <c r="AQ131" s="14">
        <v>1986</v>
      </c>
      <c r="AR131" s="14">
        <v>731</v>
      </c>
      <c r="AS131" s="14">
        <v>35</v>
      </c>
      <c r="AT131" s="14">
        <v>6</v>
      </c>
    </row>
    <row r="132" spans="1:46" x14ac:dyDescent="0.25">
      <c r="A132" s="14">
        <v>63</v>
      </c>
      <c r="F132" s="14">
        <v>348</v>
      </c>
      <c r="G132" s="14">
        <v>9</v>
      </c>
      <c r="H132" s="14">
        <v>125</v>
      </c>
      <c r="L132" s="14">
        <v>128</v>
      </c>
      <c r="P132" s="14">
        <v>114</v>
      </c>
      <c r="R132" s="14">
        <v>46</v>
      </c>
      <c r="U132" s="14">
        <v>617</v>
      </c>
      <c r="W132" s="14">
        <v>13</v>
      </c>
      <c r="AA132" s="14">
        <v>123</v>
      </c>
      <c r="AB132" s="14">
        <v>24</v>
      </c>
      <c r="AC132" s="14">
        <v>61</v>
      </c>
      <c r="AF132" s="14">
        <v>9</v>
      </c>
      <c r="AH132" s="14">
        <v>771</v>
      </c>
      <c r="AI132" s="14">
        <v>13</v>
      </c>
      <c r="AJ132" s="14">
        <v>61</v>
      </c>
      <c r="AK132" s="14">
        <v>5</v>
      </c>
      <c r="AL132" s="14">
        <v>6</v>
      </c>
      <c r="AM132" s="14">
        <v>904</v>
      </c>
      <c r="AN132" s="14">
        <v>7</v>
      </c>
      <c r="AO132" s="14">
        <v>13</v>
      </c>
      <c r="AP132" s="14">
        <v>22</v>
      </c>
      <c r="AQ132" s="14">
        <v>2053</v>
      </c>
      <c r="AR132" s="14">
        <v>720</v>
      </c>
      <c r="AS132" s="14">
        <v>26</v>
      </c>
      <c r="AT132" s="14">
        <v>7</v>
      </c>
    </row>
    <row r="133" spans="1:46" x14ac:dyDescent="0.25">
      <c r="A133" s="14">
        <v>53</v>
      </c>
      <c r="F133" s="14">
        <v>167</v>
      </c>
      <c r="G133" s="14">
        <v>6</v>
      </c>
      <c r="H133" s="14">
        <v>257</v>
      </c>
      <c r="L133" s="14">
        <v>262</v>
      </c>
      <c r="P133" s="14">
        <v>111</v>
      </c>
      <c r="R133" s="14">
        <v>34</v>
      </c>
      <c r="U133" s="14">
        <v>253</v>
      </c>
      <c r="W133" s="14">
        <v>20</v>
      </c>
      <c r="AA133" s="14">
        <v>379</v>
      </c>
      <c r="AB133" s="14">
        <v>20</v>
      </c>
      <c r="AC133" s="14">
        <v>50</v>
      </c>
      <c r="AF133" s="14">
        <v>12</v>
      </c>
      <c r="AH133" s="14">
        <v>149</v>
      </c>
      <c r="AI133" s="14">
        <v>37</v>
      </c>
      <c r="AJ133" s="14">
        <v>53</v>
      </c>
      <c r="AK133" s="14">
        <v>8</v>
      </c>
      <c r="AL133" s="14">
        <v>3</v>
      </c>
      <c r="AM133" s="14">
        <v>430</v>
      </c>
      <c r="AN133" s="14">
        <v>751</v>
      </c>
      <c r="AO133" s="14">
        <v>415</v>
      </c>
      <c r="AP133" s="14">
        <v>32</v>
      </c>
      <c r="AQ133" s="14">
        <v>1014</v>
      </c>
      <c r="AR133" s="14">
        <v>137</v>
      </c>
      <c r="AS133" s="14">
        <v>48</v>
      </c>
      <c r="AT133" s="14">
        <v>10</v>
      </c>
    </row>
    <row r="134" spans="1:46" x14ac:dyDescent="0.25">
      <c r="A134" s="14">
        <v>44</v>
      </c>
      <c r="F134" s="14">
        <v>452</v>
      </c>
      <c r="G134" s="14">
        <v>8</v>
      </c>
      <c r="H134" s="14">
        <v>56</v>
      </c>
      <c r="L134" s="14">
        <v>310</v>
      </c>
      <c r="P134" s="14">
        <v>153</v>
      </c>
      <c r="R134" s="14">
        <v>21</v>
      </c>
      <c r="U134" s="14">
        <v>328</v>
      </c>
      <c r="W134" s="14">
        <v>31</v>
      </c>
      <c r="AA134" s="14">
        <v>309</v>
      </c>
      <c r="AB134" s="14">
        <v>20</v>
      </c>
      <c r="AC134" s="14">
        <v>71</v>
      </c>
      <c r="AF134" s="14">
        <v>17</v>
      </c>
      <c r="AH134" s="14">
        <v>133</v>
      </c>
      <c r="AI134" s="14">
        <v>72</v>
      </c>
      <c r="AJ134" s="14">
        <v>56</v>
      </c>
      <c r="AK134" s="14">
        <v>22</v>
      </c>
      <c r="AL134" s="14">
        <v>3</v>
      </c>
      <c r="AM134" s="14">
        <v>549</v>
      </c>
      <c r="AN134" s="14">
        <v>70</v>
      </c>
      <c r="AO134" s="14">
        <v>217</v>
      </c>
      <c r="AP134" s="14">
        <v>28</v>
      </c>
      <c r="AQ134" s="14">
        <v>432</v>
      </c>
      <c r="AR134" s="14">
        <v>476</v>
      </c>
      <c r="AS134" s="14">
        <v>33</v>
      </c>
      <c r="AT134" s="14">
        <v>11</v>
      </c>
    </row>
    <row r="135" spans="1:46" x14ac:dyDescent="0.25">
      <c r="A135" s="14">
        <v>29</v>
      </c>
      <c r="F135" s="14">
        <v>497</v>
      </c>
      <c r="G135" s="14">
        <v>6</v>
      </c>
      <c r="H135" s="14">
        <v>50</v>
      </c>
      <c r="L135" s="14">
        <v>580</v>
      </c>
      <c r="P135" s="14">
        <v>84</v>
      </c>
      <c r="R135" s="14">
        <v>24</v>
      </c>
      <c r="U135" s="14">
        <v>408</v>
      </c>
      <c r="W135" s="14">
        <v>15</v>
      </c>
      <c r="AA135" s="14">
        <v>250</v>
      </c>
      <c r="AB135" s="14">
        <v>51</v>
      </c>
      <c r="AC135" s="14">
        <v>137</v>
      </c>
      <c r="AF135" s="14">
        <v>16</v>
      </c>
      <c r="AH135" s="14">
        <v>114</v>
      </c>
      <c r="AI135" s="14">
        <v>70</v>
      </c>
      <c r="AJ135" s="14">
        <v>54</v>
      </c>
      <c r="AK135" s="14">
        <v>20</v>
      </c>
      <c r="AL135" s="14">
        <v>4</v>
      </c>
      <c r="AM135" s="14">
        <v>710</v>
      </c>
      <c r="AN135" s="14">
        <v>1</v>
      </c>
      <c r="AO135" s="14">
        <v>787</v>
      </c>
      <c r="AP135" s="14">
        <v>21</v>
      </c>
      <c r="AQ135" s="14">
        <v>648</v>
      </c>
      <c r="AR135" s="14">
        <v>434</v>
      </c>
      <c r="AS135" s="14">
        <v>65</v>
      </c>
      <c r="AT135" s="14">
        <v>12</v>
      </c>
    </row>
    <row r="136" spans="1:46" x14ac:dyDescent="0.25">
      <c r="A136" s="14">
        <v>21</v>
      </c>
      <c r="F136" s="14">
        <v>477</v>
      </c>
      <c r="G136" s="14">
        <v>6</v>
      </c>
      <c r="H136" s="14">
        <v>876</v>
      </c>
      <c r="L136" s="14">
        <v>421</v>
      </c>
      <c r="P136" s="14">
        <v>113</v>
      </c>
      <c r="R136" s="14">
        <v>31</v>
      </c>
      <c r="U136" s="14">
        <v>347</v>
      </c>
      <c r="W136" s="14">
        <v>38</v>
      </c>
      <c r="AA136" s="14">
        <v>702</v>
      </c>
      <c r="AB136" s="14">
        <v>46</v>
      </c>
      <c r="AC136" s="14">
        <v>962</v>
      </c>
      <c r="AF136" s="14">
        <v>65</v>
      </c>
      <c r="AH136" s="14">
        <v>135</v>
      </c>
      <c r="AI136" s="14">
        <v>59</v>
      </c>
      <c r="AJ136" s="14">
        <v>31</v>
      </c>
      <c r="AK136" s="14">
        <v>33</v>
      </c>
      <c r="AL136" s="14">
        <v>4</v>
      </c>
      <c r="AM136" s="14">
        <v>832</v>
      </c>
      <c r="AN136" s="14">
        <v>351</v>
      </c>
      <c r="AO136" s="14">
        <v>97</v>
      </c>
      <c r="AP136" s="14">
        <v>29</v>
      </c>
      <c r="AQ136" s="14">
        <v>297</v>
      </c>
      <c r="AR136" s="14">
        <v>490</v>
      </c>
      <c r="AS136" s="14">
        <v>42</v>
      </c>
      <c r="AT136" s="14">
        <v>10</v>
      </c>
    </row>
    <row r="137" spans="1:46" x14ac:dyDescent="0.25">
      <c r="A137" s="14">
        <v>137</v>
      </c>
      <c r="F137" s="14">
        <v>99</v>
      </c>
      <c r="G137" s="14">
        <v>7</v>
      </c>
      <c r="H137" s="14">
        <v>148</v>
      </c>
      <c r="L137" s="14">
        <v>541</v>
      </c>
      <c r="P137" s="14">
        <v>162</v>
      </c>
      <c r="R137" s="14">
        <v>26</v>
      </c>
      <c r="U137" s="14">
        <v>582</v>
      </c>
      <c r="W137" s="14">
        <v>34</v>
      </c>
      <c r="AA137" s="14">
        <v>400</v>
      </c>
      <c r="AB137" s="14">
        <v>34</v>
      </c>
      <c r="AC137" s="14">
        <v>564</v>
      </c>
      <c r="AF137" s="14">
        <v>167</v>
      </c>
      <c r="AH137" s="14">
        <v>143</v>
      </c>
      <c r="AI137" s="14">
        <v>54</v>
      </c>
      <c r="AJ137" s="14">
        <v>51</v>
      </c>
      <c r="AK137" s="14">
        <v>53</v>
      </c>
      <c r="AL137" s="14">
        <v>5</v>
      </c>
      <c r="AM137" s="14">
        <v>492</v>
      </c>
      <c r="AN137" s="14">
        <v>7</v>
      </c>
      <c r="AO137" s="14">
        <v>11</v>
      </c>
      <c r="AP137" s="14">
        <v>28</v>
      </c>
      <c r="AQ137" s="14">
        <v>617</v>
      </c>
      <c r="AR137" s="14">
        <v>574</v>
      </c>
      <c r="AS137" s="14">
        <v>35</v>
      </c>
      <c r="AT137" s="14">
        <v>15</v>
      </c>
    </row>
    <row r="138" spans="1:46" x14ac:dyDescent="0.25">
      <c r="A138" s="14">
        <v>33</v>
      </c>
      <c r="F138" s="14">
        <v>133</v>
      </c>
      <c r="G138" s="14">
        <v>12</v>
      </c>
      <c r="H138" s="14">
        <v>153</v>
      </c>
      <c r="L138" s="14">
        <v>355</v>
      </c>
      <c r="P138" s="14">
        <v>217</v>
      </c>
      <c r="R138" s="14">
        <v>20</v>
      </c>
      <c r="U138" s="14">
        <v>327</v>
      </c>
      <c r="W138" s="14">
        <v>43</v>
      </c>
      <c r="AA138" s="14">
        <v>283</v>
      </c>
      <c r="AB138" s="14">
        <v>35</v>
      </c>
      <c r="AC138" s="14">
        <v>955</v>
      </c>
      <c r="AF138" s="14">
        <v>16</v>
      </c>
      <c r="AH138" s="14">
        <v>117</v>
      </c>
      <c r="AI138" s="14">
        <v>29</v>
      </c>
      <c r="AJ138" s="14">
        <v>47</v>
      </c>
      <c r="AK138" s="14">
        <v>1</v>
      </c>
      <c r="AL138" s="14">
        <v>6</v>
      </c>
      <c r="AM138" s="14">
        <v>247</v>
      </c>
      <c r="AN138" s="14">
        <v>751</v>
      </c>
      <c r="AO138" s="14">
        <v>359</v>
      </c>
      <c r="AP138" s="14">
        <v>19</v>
      </c>
      <c r="AQ138" s="14">
        <v>1576</v>
      </c>
      <c r="AR138" s="14">
        <v>684</v>
      </c>
      <c r="AS138" s="14">
        <v>44</v>
      </c>
      <c r="AT138" s="14">
        <v>11</v>
      </c>
    </row>
    <row r="139" spans="1:46" x14ac:dyDescent="0.25">
      <c r="A139" s="14">
        <v>21</v>
      </c>
      <c r="F139" s="14">
        <v>38</v>
      </c>
      <c r="G139" s="14">
        <v>14</v>
      </c>
      <c r="H139" s="14">
        <v>115</v>
      </c>
      <c r="L139" s="14">
        <v>163</v>
      </c>
      <c r="P139" s="14">
        <v>151</v>
      </c>
      <c r="R139" s="14">
        <v>25</v>
      </c>
      <c r="U139" s="14">
        <v>473</v>
      </c>
      <c r="W139" s="14">
        <v>47</v>
      </c>
      <c r="AA139" s="14">
        <v>230</v>
      </c>
      <c r="AB139" s="14">
        <v>32</v>
      </c>
      <c r="AC139" s="14">
        <v>213</v>
      </c>
      <c r="AF139" s="14">
        <v>14</v>
      </c>
      <c r="AH139" s="14">
        <v>110</v>
      </c>
      <c r="AI139" s="14">
        <v>56</v>
      </c>
      <c r="AJ139" s="14">
        <v>40</v>
      </c>
      <c r="AK139" s="14">
        <v>64</v>
      </c>
      <c r="AL139" s="14">
        <v>4</v>
      </c>
      <c r="AM139" s="14">
        <v>486</v>
      </c>
      <c r="AN139" s="14">
        <v>237</v>
      </c>
      <c r="AO139" s="14">
        <v>184</v>
      </c>
      <c r="AP139" s="14">
        <v>6</v>
      </c>
      <c r="AQ139" s="14">
        <v>891</v>
      </c>
      <c r="AR139" s="14">
        <v>888</v>
      </c>
      <c r="AS139" s="14">
        <v>49</v>
      </c>
      <c r="AT139" s="14">
        <v>9</v>
      </c>
    </row>
    <row r="140" spans="1:46" x14ac:dyDescent="0.25">
      <c r="A140" s="14">
        <v>103</v>
      </c>
      <c r="F140" s="14">
        <v>299</v>
      </c>
      <c r="G140" s="14">
        <v>10</v>
      </c>
      <c r="H140" s="14">
        <v>173</v>
      </c>
      <c r="L140" s="14">
        <v>298</v>
      </c>
      <c r="P140" s="14">
        <v>199</v>
      </c>
      <c r="R140" s="14">
        <v>28</v>
      </c>
      <c r="U140" s="14">
        <v>578</v>
      </c>
      <c r="W140" s="14">
        <v>2</v>
      </c>
      <c r="AA140" s="14">
        <v>244</v>
      </c>
      <c r="AB140" s="14">
        <v>31</v>
      </c>
      <c r="AC140" s="14">
        <v>166</v>
      </c>
      <c r="AF140" s="14">
        <v>34</v>
      </c>
      <c r="AH140" s="14">
        <v>606</v>
      </c>
      <c r="AI140" s="14">
        <v>78</v>
      </c>
      <c r="AJ140" s="14">
        <v>52</v>
      </c>
      <c r="AK140" s="14">
        <v>61</v>
      </c>
      <c r="AL140" s="14">
        <v>5</v>
      </c>
      <c r="AM140" s="14">
        <v>117</v>
      </c>
      <c r="AN140" s="14">
        <v>309</v>
      </c>
      <c r="AO140" s="14">
        <v>818</v>
      </c>
      <c r="AP140" s="14">
        <v>6</v>
      </c>
      <c r="AQ140" s="14">
        <v>2303</v>
      </c>
      <c r="AR140" s="14">
        <v>143</v>
      </c>
      <c r="AS140" s="14">
        <v>130</v>
      </c>
      <c r="AT140" s="14">
        <v>9</v>
      </c>
    </row>
    <row r="141" spans="1:46" x14ac:dyDescent="0.25">
      <c r="A141" s="14">
        <v>66</v>
      </c>
      <c r="F141" s="14">
        <v>178</v>
      </c>
      <c r="G141" s="14">
        <v>10</v>
      </c>
      <c r="H141" s="14">
        <v>54</v>
      </c>
      <c r="L141" s="14">
        <v>255</v>
      </c>
      <c r="P141" s="14">
        <v>108</v>
      </c>
      <c r="R141" s="14">
        <v>20</v>
      </c>
      <c r="U141" s="14">
        <v>239</v>
      </c>
      <c r="W141" s="14">
        <v>8</v>
      </c>
      <c r="AA141" s="14">
        <v>299</v>
      </c>
      <c r="AB141" s="14">
        <v>23</v>
      </c>
      <c r="AC141" s="14">
        <v>128</v>
      </c>
      <c r="AF141" s="14">
        <v>23</v>
      </c>
      <c r="AH141" s="14">
        <v>861</v>
      </c>
      <c r="AI141" s="14">
        <v>72</v>
      </c>
      <c r="AJ141" s="14">
        <v>43</v>
      </c>
      <c r="AK141" s="14">
        <v>53</v>
      </c>
      <c r="AL141" s="14">
        <v>4</v>
      </c>
      <c r="AM141" s="14">
        <v>17</v>
      </c>
      <c r="AN141" s="14">
        <v>218</v>
      </c>
      <c r="AO141" s="14">
        <v>196</v>
      </c>
      <c r="AP141" s="14">
        <v>6</v>
      </c>
      <c r="AQ141" s="14">
        <v>537</v>
      </c>
      <c r="AR141" s="14">
        <v>491</v>
      </c>
      <c r="AS141" s="14">
        <v>107</v>
      </c>
      <c r="AT141" s="14">
        <v>11</v>
      </c>
    </row>
    <row r="142" spans="1:46" x14ac:dyDescent="0.25">
      <c r="A142" s="14">
        <v>25</v>
      </c>
      <c r="F142" s="14">
        <v>255</v>
      </c>
      <c r="G142" s="14">
        <v>10</v>
      </c>
      <c r="H142" s="14">
        <v>47</v>
      </c>
      <c r="L142" s="14">
        <v>239</v>
      </c>
      <c r="P142" s="14">
        <v>110</v>
      </c>
      <c r="R142" s="14">
        <v>14</v>
      </c>
      <c r="U142" s="14">
        <v>334</v>
      </c>
      <c r="W142" s="14">
        <v>12</v>
      </c>
      <c r="AA142" s="14">
        <v>263</v>
      </c>
      <c r="AB142" s="14">
        <v>27</v>
      </c>
      <c r="AC142" s="14">
        <v>172</v>
      </c>
      <c r="AF142" s="14">
        <v>36</v>
      </c>
      <c r="AH142" s="14">
        <v>741</v>
      </c>
      <c r="AI142" s="14">
        <v>74</v>
      </c>
      <c r="AJ142" s="14">
        <v>127</v>
      </c>
      <c r="AK142" s="14">
        <v>37</v>
      </c>
      <c r="AL142" s="14">
        <v>4</v>
      </c>
      <c r="AM142" s="14">
        <v>10</v>
      </c>
      <c r="AN142" s="14">
        <v>359</v>
      </c>
      <c r="AO142" s="14">
        <v>6</v>
      </c>
      <c r="AP142" s="14">
        <v>10</v>
      </c>
      <c r="AQ142" s="14">
        <v>3261</v>
      </c>
      <c r="AR142" s="14">
        <v>442</v>
      </c>
      <c r="AS142" s="14">
        <v>120</v>
      </c>
      <c r="AT142" s="14">
        <v>12</v>
      </c>
    </row>
    <row r="143" spans="1:46" x14ac:dyDescent="0.25">
      <c r="A143" s="14">
        <v>16</v>
      </c>
      <c r="F143" s="14">
        <v>601</v>
      </c>
      <c r="G143" s="14">
        <v>10</v>
      </c>
      <c r="H143" s="14">
        <v>655</v>
      </c>
      <c r="L143" s="14">
        <v>266</v>
      </c>
      <c r="P143" s="14">
        <v>106</v>
      </c>
      <c r="R143" s="14">
        <v>21</v>
      </c>
      <c r="U143" s="14">
        <v>227</v>
      </c>
      <c r="W143" s="14">
        <v>13</v>
      </c>
      <c r="AA143" s="14">
        <v>313</v>
      </c>
      <c r="AB143" s="14">
        <v>9</v>
      </c>
      <c r="AC143" s="14">
        <v>8</v>
      </c>
      <c r="AF143" s="14">
        <v>64</v>
      </c>
      <c r="AH143" s="14">
        <v>105</v>
      </c>
      <c r="AI143" s="14">
        <v>53</v>
      </c>
      <c r="AJ143" s="14">
        <v>100</v>
      </c>
      <c r="AK143" s="14">
        <v>58</v>
      </c>
      <c r="AL143" s="14">
        <v>6</v>
      </c>
      <c r="AM143" s="14">
        <v>16</v>
      </c>
      <c r="AN143" s="14">
        <v>175</v>
      </c>
      <c r="AO143" s="14">
        <v>84</v>
      </c>
      <c r="AP143" s="14">
        <v>8</v>
      </c>
      <c r="AQ143" s="14">
        <v>155</v>
      </c>
      <c r="AR143" s="14">
        <v>111</v>
      </c>
      <c r="AS143" s="14">
        <v>113</v>
      </c>
      <c r="AT143" s="14">
        <v>10</v>
      </c>
    </row>
    <row r="144" spans="1:46" x14ac:dyDescent="0.25">
      <c r="A144" s="14">
        <v>149</v>
      </c>
      <c r="F144" s="14">
        <v>401</v>
      </c>
      <c r="G144" s="14">
        <v>10</v>
      </c>
      <c r="H144" s="14">
        <v>875</v>
      </c>
      <c r="L144" s="14">
        <v>256</v>
      </c>
      <c r="P144" s="14">
        <v>85</v>
      </c>
      <c r="R144" s="14">
        <v>15</v>
      </c>
      <c r="U144" s="14">
        <v>333</v>
      </c>
      <c r="W144" s="14">
        <v>19</v>
      </c>
      <c r="AA144" s="14">
        <v>171</v>
      </c>
      <c r="AB144" s="14">
        <v>29</v>
      </c>
      <c r="AC144" s="14">
        <v>66</v>
      </c>
      <c r="AF144" s="14">
        <v>10</v>
      </c>
      <c r="AH144" s="14">
        <v>743</v>
      </c>
      <c r="AI144" s="14">
        <v>19</v>
      </c>
      <c r="AJ144" s="14">
        <v>134</v>
      </c>
      <c r="AK144" s="14">
        <v>51</v>
      </c>
      <c r="AL144" s="14">
        <v>7</v>
      </c>
      <c r="AM144" s="14">
        <v>12</v>
      </c>
      <c r="AN144" s="14">
        <v>78</v>
      </c>
      <c r="AO144" s="14">
        <v>123</v>
      </c>
      <c r="AP144" s="14">
        <v>8</v>
      </c>
      <c r="AQ144" s="14">
        <v>70</v>
      </c>
      <c r="AR144" s="14">
        <v>503</v>
      </c>
      <c r="AS144" s="14">
        <v>30</v>
      </c>
      <c r="AT144" s="14">
        <v>7</v>
      </c>
    </row>
    <row r="145" spans="1:46" x14ac:dyDescent="0.25">
      <c r="A145" s="14">
        <v>207</v>
      </c>
      <c r="F145" s="14">
        <v>224</v>
      </c>
      <c r="G145" s="14">
        <v>12</v>
      </c>
      <c r="H145" s="14">
        <v>140</v>
      </c>
      <c r="L145" s="14">
        <v>221</v>
      </c>
      <c r="P145" s="14">
        <v>78</v>
      </c>
      <c r="R145" s="14">
        <v>15</v>
      </c>
      <c r="U145" s="14">
        <v>463</v>
      </c>
      <c r="W145" s="14">
        <v>30</v>
      </c>
      <c r="AA145" s="14">
        <v>105</v>
      </c>
      <c r="AB145" s="14">
        <v>8</v>
      </c>
      <c r="AC145" s="14">
        <v>36</v>
      </c>
      <c r="AF145" s="14">
        <v>11</v>
      </c>
      <c r="AH145" s="14">
        <v>711</v>
      </c>
      <c r="AI145" s="14">
        <v>42</v>
      </c>
      <c r="AJ145" s="14">
        <v>109</v>
      </c>
      <c r="AK145" s="14">
        <v>63</v>
      </c>
      <c r="AL145" s="14">
        <v>4</v>
      </c>
      <c r="AM145" s="14">
        <v>19</v>
      </c>
      <c r="AN145" s="14">
        <v>1</v>
      </c>
      <c r="AO145" s="14">
        <v>319</v>
      </c>
      <c r="AP145" s="14">
        <v>8</v>
      </c>
      <c r="AQ145" s="14">
        <v>73</v>
      </c>
      <c r="AR145" s="14">
        <v>567</v>
      </c>
      <c r="AS145" s="14">
        <v>19</v>
      </c>
      <c r="AT145" s="14">
        <v>9</v>
      </c>
    </row>
    <row r="146" spans="1:46" x14ac:dyDescent="0.25">
      <c r="A146" s="14">
        <v>53</v>
      </c>
      <c r="F146" s="14">
        <v>323</v>
      </c>
      <c r="G146" s="14">
        <v>10</v>
      </c>
      <c r="H146" s="14">
        <v>111</v>
      </c>
      <c r="L146" s="14">
        <v>424</v>
      </c>
      <c r="P146" s="14">
        <v>118</v>
      </c>
      <c r="R146" s="14">
        <v>26</v>
      </c>
      <c r="U146" s="14">
        <v>476</v>
      </c>
      <c r="W146" s="14">
        <v>15</v>
      </c>
      <c r="AA146" s="14">
        <v>697</v>
      </c>
      <c r="AB146" s="14">
        <v>7</v>
      </c>
      <c r="AC146" s="14">
        <v>65</v>
      </c>
      <c r="AF146" s="14">
        <v>88</v>
      </c>
      <c r="AH146" s="14">
        <v>100</v>
      </c>
      <c r="AI146" s="14">
        <v>84</v>
      </c>
      <c r="AJ146" s="14">
        <v>93</v>
      </c>
      <c r="AK146" s="14">
        <v>64</v>
      </c>
      <c r="AL146" s="14">
        <v>2</v>
      </c>
      <c r="AM146" s="14">
        <v>10</v>
      </c>
      <c r="AN146" s="14">
        <v>521</v>
      </c>
      <c r="AO146" s="14">
        <v>143</v>
      </c>
      <c r="AP146" s="14">
        <v>7</v>
      </c>
      <c r="AQ146" s="14">
        <v>2011</v>
      </c>
      <c r="AR146" s="14">
        <v>723</v>
      </c>
      <c r="AS146" s="14">
        <v>128</v>
      </c>
      <c r="AT146" s="14">
        <v>17</v>
      </c>
    </row>
    <row r="147" spans="1:46" x14ac:dyDescent="0.25">
      <c r="A147" s="14">
        <v>36</v>
      </c>
      <c r="F147" s="14">
        <v>74</v>
      </c>
      <c r="G147" s="14">
        <v>12</v>
      </c>
      <c r="H147" s="14">
        <v>11</v>
      </c>
      <c r="L147" s="14">
        <v>530</v>
      </c>
      <c r="P147" s="14">
        <v>160</v>
      </c>
      <c r="R147" s="14">
        <v>35</v>
      </c>
      <c r="U147" s="14">
        <v>473</v>
      </c>
      <c r="W147" s="14">
        <v>39</v>
      </c>
      <c r="AA147" s="14">
        <v>111</v>
      </c>
      <c r="AB147" s="14">
        <v>6</v>
      </c>
      <c r="AC147" s="14">
        <v>11</v>
      </c>
      <c r="AF147" s="14">
        <v>27</v>
      </c>
      <c r="AH147" s="14">
        <v>182</v>
      </c>
      <c r="AI147" s="14">
        <v>72</v>
      </c>
      <c r="AJ147" s="14">
        <v>101</v>
      </c>
      <c r="AK147" s="14">
        <v>66</v>
      </c>
      <c r="AL147" s="14">
        <v>10</v>
      </c>
      <c r="AM147" s="14">
        <v>154</v>
      </c>
      <c r="AN147" s="14">
        <v>8</v>
      </c>
      <c r="AO147" s="14">
        <v>842</v>
      </c>
      <c r="AP147" s="14">
        <v>6</v>
      </c>
      <c r="AQ147" s="14">
        <v>1921</v>
      </c>
      <c r="AR147" s="14">
        <v>759</v>
      </c>
      <c r="AS147" s="14">
        <v>79</v>
      </c>
      <c r="AT147" s="14">
        <v>9</v>
      </c>
    </row>
    <row r="148" spans="1:46" x14ac:dyDescent="0.25">
      <c r="A148" s="14">
        <v>238</v>
      </c>
      <c r="F148" s="14">
        <v>97</v>
      </c>
      <c r="G148" s="14">
        <v>29</v>
      </c>
      <c r="H148" s="14">
        <v>625</v>
      </c>
      <c r="L148" s="14">
        <v>754</v>
      </c>
      <c r="P148" s="14">
        <v>217</v>
      </c>
      <c r="R148" s="14">
        <v>34</v>
      </c>
      <c r="U148" s="14">
        <v>312</v>
      </c>
      <c r="W148" s="14">
        <v>33</v>
      </c>
      <c r="AA148" s="14">
        <v>108</v>
      </c>
      <c r="AB148" s="14">
        <v>5</v>
      </c>
      <c r="AC148" s="14">
        <v>74</v>
      </c>
      <c r="AF148" s="14">
        <v>48</v>
      </c>
      <c r="AH148" s="14">
        <v>213</v>
      </c>
      <c r="AI148" s="14">
        <v>87</v>
      </c>
      <c r="AJ148" s="14">
        <v>100</v>
      </c>
      <c r="AK148" s="14">
        <v>67</v>
      </c>
      <c r="AL148" s="14">
        <v>6</v>
      </c>
      <c r="AM148" s="14">
        <v>9</v>
      </c>
      <c r="AN148" s="14">
        <v>876</v>
      </c>
      <c r="AO148" s="14">
        <v>6</v>
      </c>
      <c r="AP148" s="14">
        <v>9</v>
      </c>
      <c r="AQ148" s="14">
        <v>1030</v>
      </c>
      <c r="AR148" s="14">
        <v>147</v>
      </c>
      <c r="AS148" s="14">
        <v>65</v>
      </c>
      <c r="AT148" s="14">
        <v>9</v>
      </c>
    </row>
    <row r="149" spans="1:46" x14ac:dyDescent="0.25">
      <c r="A149" s="14">
        <v>3344</v>
      </c>
      <c r="F149" s="14">
        <v>830</v>
      </c>
      <c r="G149" s="14">
        <v>12</v>
      </c>
      <c r="H149" s="14">
        <v>128</v>
      </c>
      <c r="L149" s="14">
        <v>719</v>
      </c>
      <c r="P149" s="14">
        <v>148</v>
      </c>
      <c r="R149" s="14">
        <v>25</v>
      </c>
      <c r="U149" s="14">
        <v>793</v>
      </c>
      <c r="W149" s="14">
        <v>43</v>
      </c>
      <c r="AA149" s="14">
        <v>58</v>
      </c>
      <c r="AB149" s="14">
        <v>4</v>
      </c>
      <c r="AC149" s="14">
        <v>96</v>
      </c>
      <c r="AF149" s="14">
        <v>89</v>
      </c>
      <c r="AH149" s="14">
        <v>298</v>
      </c>
      <c r="AI149" s="14">
        <v>65</v>
      </c>
      <c r="AJ149" s="14">
        <v>123</v>
      </c>
      <c r="AK149" s="14">
        <v>10</v>
      </c>
      <c r="AL149" s="14">
        <v>5</v>
      </c>
      <c r="AM149" s="14">
        <v>15</v>
      </c>
      <c r="AN149" s="14">
        <v>181</v>
      </c>
      <c r="AO149" s="14">
        <v>86</v>
      </c>
      <c r="AP149" s="14">
        <v>8</v>
      </c>
      <c r="AQ149" s="14">
        <v>457</v>
      </c>
      <c r="AR149" s="14">
        <v>510</v>
      </c>
      <c r="AS149" s="14">
        <v>52</v>
      </c>
      <c r="AT149" s="14">
        <v>13</v>
      </c>
    </row>
    <row r="150" spans="1:46" x14ac:dyDescent="0.25">
      <c r="A150" s="14">
        <v>3353</v>
      </c>
      <c r="F150" s="14">
        <v>480</v>
      </c>
      <c r="G150" s="14">
        <v>13</v>
      </c>
      <c r="H150" s="14">
        <v>146</v>
      </c>
      <c r="L150" s="14">
        <v>161</v>
      </c>
      <c r="P150" s="14">
        <v>205</v>
      </c>
      <c r="R150" s="14">
        <v>24</v>
      </c>
      <c r="U150" s="14">
        <v>290</v>
      </c>
      <c r="W150" s="14">
        <v>46</v>
      </c>
      <c r="AA150" s="14">
        <v>157</v>
      </c>
      <c r="AB150" s="14">
        <v>5</v>
      </c>
      <c r="AC150" s="14">
        <v>76</v>
      </c>
      <c r="AF150" s="14">
        <v>46</v>
      </c>
      <c r="AH150" s="14">
        <v>100</v>
      </c>
      <c r="AI150" s="14">
        <v>42</v>
      </c>
      <c r="AJ150" s="14">
        <v>90</v>
      </c>
      <c r="AK150" s="14">
        <v>6</v>
      </c>
      <c r="AL150" s="14">
        <v>11</v>
      </c>
      <c r="AM150" s="14">
        <v>11</v>
      </c>
      <c r="AN150" s="14">
        <v>4</v>
      </c>
      <c r="AO150" s="14">
        <v>124</v>
      </c>
      <c r="AP150" s="14">
        <v>8</v>
      </c>
      <c r="AQ150" s="14">
        <v>719</v>
      </c>
      <c r="AR150" s="14">
        <v>446</v>
      </c>
      <c r="AS150" s="14">
        <v>54</v>
      </c>
      <c r="AT150" s="14">
        <v>7</v>
      </c>
    </row>
    <row r="151" spans="1:46" x14ac:dyDescent="0.25">
      <c r="A151" s="14">
        <v>4957</v>
      </c>
      <c r="F151" s="14">
        <v>94</v>
      </c>
      <c r="G151" s="14">
        <v>11</v>
      </c>
      <c r="H151" s="14">
        <v>440</v>
      </c>
      <c r="L151" s="14">
        <v>202</v>
      </c>
      <c r="P151" s="14">
        <v>97</v>
      </c>
      <c r="R151" s="14">
        <v>19</v>
      </c>
      <c r="U151" s="14">
        <v>329</v>
      </c>
      <c r="W151" s="14">
        <v>2</v>
      </c>
      <c r="AA151" s="14">
        <v>129</v>
      </c>
      <c r="AB151" s="14">
        <v>24</v>
      </c>
      <c r="AC151" s="14">
        <v>2</v>
      </c>
      <c r="AF151" s="14">
        <v>23</v>
      </c>
      <c r="AH151" s="14">
        <v>420</v>
      </c>
      <c r="AI151" s="14">
        <v>67</v>
      </c>
      <c r="AJ151" s="14">
        <v>110</v>
      </c>
      <c r="AK151" s="14">
        <v>8</v>
      </c>
      <c r="AL151" s="14">
        <v>4</v>
      </c>
      <c r="AM151" s="14">
        <v>18</v>
      </c>
      <c r="AN151" s="14">
        <v>930</v>
      </c>
      <c r="AO151" s="14">
        <v>496</v>
      </c>
      <c r="AP151" s="14">
        <v>8</v>
      </c>
      <c r="AQ151" s="14">
        <v>315</v>
      </c>
      <c r="AR151" s="14">
        <v>116</v>
      </c>
      <c r="AS151" s="14">
        <v>67</v>
      </c>
      <c r="AT151" s="14">
        <v>8</v>
      </c>
    </row>
    <row r="152" spans="1:46" x14ac:dyDescent="0.25">
      <c r="A152" s="14">
        <v>4706</v>
      </c>
      <c r="F152" s="14">
        <v>37</v>
      </c>
      <c r="G152" s="14">
        <v>10</v>
      </c>
      <c r="H152" s="14">
        <v>38</v>
      </c>
      <c r="L152" s="14">
        <v>321</v>
      </c>
      <c r="P152" s="14">
        <v>92</v>
      </c>
      <c r="R152" s="14">
        <v>21</v>
      </c>
      <c r="U152" s="14">
        <v>315</v>
      </c>
      <c r="W152" s="14">
        <v>9</v>
      </c>
      <c r="AA152" s="14">
        <v>95</v>
      </c>
      <c r="AB152" s="14">
        <v>28</v>
      </c>
      <c r="AC152" s="14">
        <v>22</v>
      </c>
      <c r="AF152" s="14">
        <v>30</v>
      </c>
      <c r="AH152" s="14">
        <v>679</v>
      </c>
      <c r="AI152" s="14">
        <v>99</v>
      </c>
      <c r="AJ152" s="14">
        <v>204</v>
      </c>
      <c r="AK152" s="14">
        <v>24</v>
      </c>
      <c r="AL152" s="14">
        <v>10</v>
      </c>
      <c r="AM152" s="14">
        <v>10</v>
      </c>
      <c r="AN152" s="14">
        <v>16</v>
      </c>
      <c r="AO152" s="14">
        <v>325</v>
      </c>
      <c r="AP152" s="14">
        <v>9</v>
      </c>
      <c r="AQ152" s="14">
        <v>576</v>
      </c>
      <c r="AR152" s="14">
        <v>503</v>
      </c>
      <c r="AS152" s="14">
        <v>37</v>
      </c>
      <c r="AT152" s="14">
        <v>8</v>
      </c>
    </row>
    <row r="153" spans="1:46" x14ac:dyDescent="0.25">
      <c r="A153" s="14">
        <v>4788</v>
      </c>
      <c r="F153" s="14">
        <v>104</v>
      </c>
      <c r="G153" s="14">
        <v>11</v>
      </c>
      <c r="H153" s="14">
        <v>33</v>
      </c>
      <c r="L153" s="14">
        <v>267</v>
      </c>
      <c r="P153" s="14">
        <v>88</v>
      </c>
      <c r="R153" s="14">
        <v>20</v>
      </c>
      <c r="U153" s="14">
        <v>267</v>
      </c>
      <c r="W153" s="14">
        <v>12</v>
      </c>
      <c r="AA153" s="14">
        <v>275</v>
      </c>
      <c r="AB153" s="14">
        <v>19</v>
      </c>
      <c r="AC153" s="14">
        <v>13</v>
      </c>
      <c r="AF153" s="14">
        <v>56</v>
      </c>
      <c r="AH153" s="14">
        <v>171</v>
      </c>
      <c r="AI153" s="14">
        <v>94</v>
      </c>
      <c r="AJ153" s="14">
        <v>139</v>
      </c>
      <c r="AK153" s="14">
        <v>19</v>
      </c>
      <c r="AL153" s="14">
        <v>7</v>
      </c>
      <c r="AM153" s="14">
        <v>9</v>
      </c>
      <c r="AN153" s="14">
        <v>206</v>
      </c>
      <c r="AO153" s="14">
        <v>947</v>
      </c>
      <c r="AP153" s="14">
        <v>11</v>
      </c>
      <c r="AQ153" s="14">
        <v>1645</v>
      </c>
      <c r="AR153" s="14">
        <v>592</v>
      </c>
      <c r="AS153" s="14">
        <v>54</v>
      </c>
      <c r="AT153" s="14">
        <v>7</v>
      </c>
    </row>
    <row r="154" spans="1:46" x14ac:dyDescent="0.25">
      <c r="A154" s="14">
        <v>4</v>
      </c>
      <c r="F154" s="14">
        <v>27</v>
      </c>
      <c r="G154" s="14">
        <v>12</v>
      </c>
      <c r="H154" s="14">
        <v>145</v>
      </c>
      <c r="L154" s="14">
        <v>398</v>
      </c>
      <c r="P154" s="14">
        <v>93</v>
      </c>
      <c r="R154" s="14">
        <v>15</v>
      </c>
      <c r="U154" s="14">
        <v>494</v>
      </c>
      <c r="W154" s="14">
        <v>13</v>
      </c>
      <c r="AA154" s="14">
        <v>155</v>
      </c>
      <c r="AB154" s="14">
        <v>23</v>
      </c>
      <c r="AC154" s="14">
        <v>22</v>
      </c>
      <c r="AF154" s="14">
        <v>1</v>
      </c>
      <c r="AH154" s="14">
        <v>212</v>
      </c>
      <c r="AI154" s="14">
        <v>102</v>
      </c>
      <c r="AJ154" s="14">
        <v>231</v>
      </c>
      <c r="AK154" s="14">
        <v>32</v>
      </c>
      <c r="AL154" s="14">
        <v>4</v>
      </c>
      <c r="AM154" s="14">
        <v>7</v>
      </c>
      <c r="AN154" s="14">
        <v>82</v>
      </c>
      <c r="AO154" s="14">
        <v>111</v>
      </c>
      <c r="AP154" s="14">
        <v>12</v>
      </c>
      <c r="AQ154" s="14">
        <v>1012</v>
      </c>
      <c r="AR154" s="14">
        <v>701</v>
      </c>
      <c r="AS154" s="14">
        <v>67</v>
      </c>
      <c r="AT154" s="14">
        <v>11</v>
      </c>
    </row>
    <row r="155" spans="1:46" x14ac:dyDescent="0.25">
      <c r="A155" s="14">
        <v>4812</v>
      </c>
      <c r="F155" s="14">
        <v>95</v>
      </c>
      <c r="G155" s="14">
        <v>12</v>
      </c>
      <c r="H155" s="14">
        <v>540</v>
      </c>
      <c r="L155" s="14">
        <v>138</v>
      </c>
      <c r="P155" s="14">
        <v>315</v>
      </c>
      <c r="R155" s="14">
        <v>18</v>
      </c>
      <c r="U155" s="14">
        <v>363</v>
      </c>
      <c r="W155" s="14">
        <v>19</v>
      </c>
      <c r="AA155" s="14">
        <v>138</v>
      </c>
      <c r="AB155" s="14">
        <v>22</v>
      </c>
      <c r="AC155" s="14">
        <v>6</v>
      </c>
      <c r="AF155" s="14">
        <v>2</v>
      </c>
      <c r="AH155" s="14">
        <v>944</v>
      </c>
      <c r="AI155" s="14">
        <v>71</v>
      </c>
      <c r="AJ155" s="14">
        <v>211</v>
      </c>
      <c r="AK155" s="14">
        <v>46</v>
      </c>
      <c r="AL155" s="14">
        <v>15</v>
      </c>
      <c r="AM155" s="14">
        <v>1</v>
      </c>
      <c r="AN155" s="14">
        <v>1</v>
      </c>
      <c r="AO155" s="14">
        <v>108</v>
      </c>
      <c r="AP155" s="14">
        <v>9</v>
      </c>
      <c r="AQ155" s="14">
        <v>1626</v>
      </c>
      <c r="AR155" s="14">
        <v>558</v>
      </c>
      <c r="AS155" s="14">
        <v>38</v>
      </c>
      <c r="AT155" s="14">
        <v>13</v>
      </c>
    </row>
    <row r="156" spans="1:46" x14ac:dyDescent="0.25">
      <c r="A156" s="14">
        <v>31</v>
      </c>
      <c r="F156" s="14">
        <v>15</v>
      </c>
      <c r="G156" s="14">
        <v>11</v>
      </c>
      <c r="H156" s="14">
        <v>128</v>
      </c>
      <c r="L156" s="14">
        <v>68</v>
      </c>
      <c r="P156" s="14">
        <v>184</v>
      </c>
      <c r="R156" s="14">
        <v>15</v>
      </c>
      <c r="U156" s="14">
        <v>136</v>
      </c>
      <c r="W156" s="14">
        <v>30</v>
      </c>
      <c r="AA156" s="14">
        <v>84</v>
      </c>
      <c r="AB156" s="14">
        <v>27</v>
      </c>
      <c r="AC156" s="14">
        <v>14</v>
      </c>
      <c r="AF156" s="14">
        <v>9</v>
      </c>
      <c r="AH156" s="14">
        <v>525</v>
      </c>
      <c r="AI156" s="14">
        <v>30</v>
      </c>
      <c r="AJ156" s="14">
        <v>123</v>
      </c>
      <c r="AK156" s="14">
        <v>15</v>
      </c>
      <c r="AL156" s="14">
        <v>21</v>
      </c>
      <c r="AM156" s="14">
        <v>9</v>
      </c>
      <c r="AN156" s="14">
        <v>479</v>
      </c>
      <c r="AO156" s="14">
        <v>13</v>
      </c>
      <c r="AP156" s="14">
        <v>14</v>
      </c>
      <c r="AQ156" s="14">
        <v>586</v>
      </c>
      <c r="AR156" s="14">
        <v>471</v>
      </c>
      <c r="AS156" s="14">
        <v>26</v>
      </c>
      <c r="AT156" s="14">
        <v>15</v>
      </c>
    </row>
    <row r="157" spans="1:46" x14ac:dyDescent="0.25">
      <c r="A157" s="14">
        <v>241</v>
      </c>
      <c r="G157" s="14">
        <v>12</v>
      </c>
      <c r="H157" s="14">
        <v>333</v>
      </c>
      <c r="L157" s="14">
        <v>105</v>
      </c>
      <c r="P157" s="14">
        <v>151</v>
      </c>
      <c r="R157" s="14">
        <v>17</v>
      </c>
      <c r="U157" s="14">
        <v>188</v>
      </c>
      <c r="W157" s="14">
        <v>15</v>
      </c>
      <c r="AA157" s="14">
        <v>75</v>
      </c>
      <c r="AB157" s="14">
        <v>19</v>
      </c>
      <c r="AC157" s="14">
        <v>21</v>
      </c>
      <c r="AF157" s="14">
        <v>1</v>
      </c>
      <c r="AH157" s="14">
        <v>149</v>
      </c>
      <c r="AI157" s="14">
        <v>23</v>
      </c>
      <c r="AJ157" s="14">
        <v>182</v>
      </c>
      <c r="AK157" s="14">
        <v>4</v>
      </c>
      <c r="AL157" s="14">
        <v>3</v>
      </c>
      <c r="AM157" s="14">
        <v>8</v>
      </c>
      <c r="AN157" s="14">
        <v>10</v>
      </c>
      <c r="AO157" s="14">
        <v>159</v>
      </c>
      <c r="AP157" s="14">
        <v>9</v>
      </c>
      <c r="AQ157" s="14">
        <v>3439</v>
      </c>
      <c r="AR157" s="14">
        <v>625</v>
      </c>
      <c r="AS157" s="14">
        <v>26</v>
      </c>
      <c r="AT157" s="14">
        <v>12</v>
      </c>
    </row>
    <row r="158" spans="1:46" x14ac:dyDescent="0.25">
      <c r="A158" s="14">
        <v>5494</v>
      </c>
      <c r="G158" s="14">
        <v>133</v>
      </c>
      <c r="H158" s="14">
        <v>655</v>
      </c>
      <c r="L158" s="14">
        <v>146</v>
      </c>
      <c r="P158" s="14">
        <v>184</v>
      </c>
      <c r="R158" s="14">
        <v>17</v>
      </c>
      <c r="U158" s="14">
        <v>116</v>
      </c>
      <c r="W158" s="14">
        <v>39</v>
      </c>
      <c r="AA158" s="14">
        <v>8</v>
      </c>
      <c r="AB158" s="14">
        <v>23</v>
      </c>
      <c r="AC158" s="14">
        <v>27</v>
      </c>
      <c r="AF158" s="14">
        <v>6</v>
      </c>
      <c r="AH158" s="14">
        <v>192</v>
      </c>
      <c r="AI158" s="14">
        <v>58</v>
      </c>
      <c r="AJ158" s="14">
        <v>169</v>
      </c>
      <c r="AK158" s="14">
        <v>74</v>
      </c>
      <c r="AL158" s="14">
        <v>394</v>
      </c>
      <c r="AM158" s="14">
        <v>15</v>
      </c>
      <c r="AN158" s="14">
        <v>109</v>
      </c>
      <c r="AO158" s="14">
        <v>197</v>
      </c>
      <c r="AP158" s="14">
        <v>11</v>
      </c>
      <c r="AQ158" s="14">
        <v>665</v>
      </c>
      <c r="AR158" s="14">
        <v>824</v>
      </c>
      <c r="AS158" s="14">
        <v>61</v>
      </c>
      <c r="AT158" s="14">
        <v>11</v>
      </c>
    </row>
    <row r="159" spans="1:46" x14ac:dyDescent="0.25">
      <c r="A159" s="14">
        <v>35</v>
      </c>
      <c r="G159" s="14">
        <v>136</v>
      </c>
      <c r="H159" s="14">
        <v>874</v>
      </c>
      <c r="L159" s="14">
        <v>110</v>
      </c>
      <c r="P159" s="14">
        <v>105</v>
      </c>
      <c r="R159" s="14">
        <v>19</v>
      </c>
      <c r="U159" s="14">
        <v>272</v>
      </c>
      <c r="W159" s="14">
        <v>35</v>
      </c>
      <c r="AA159" s="14">
        <v>188</v>
      </c>
      <c r="AB159" s="14">
        <v>11</v>
      </c>
      <c r="AC159" s="14">
        <v>27</v>
      </c>
      <c r="AF159" s="14">
        <v>1</v>
      </c>
      <c r="AH159" s="14">
        <v>125</v>
      </c>
      <c r="AI159" s="14">
        <v>35</v>
      </c>
      <c r="AJ159" s="14">
        <v>187</v>
      </c>
      <c r="AK159" s="14">
        <v>73</v>
      </c>
      <c r="AL159" s="14">
        <v>139</v>
      </c>
      <c r="AM159" s="14">
        <v>16</v>
      </c>
      <c r="AN159" s="14">
        <v>300</v>
      </c>
      <c r="AO159" s="14">
        <v>349</v>
      </c>
      <c r="AP159" s="14">
        <v>8</v>
      </c>
      <c r="AQ159" s="14">
        <v>658</v>
      </c>
      <c r="AR159" s="14">
        <v>801</v>
      </c>
      <c r="AS159" s="14">
        <v>63</v>
      </c>
      <c r="AT159" s="14">
        <v>10</v>
      </c>
    </row>
    <row r="160" spans="1:46" x14ac:dyDescent="0.25">
      <c r="A160" s="14">
        <v>274</v>
      </c>
      <c r="G160" s="14">
        <v>130</v>
      </c>
      <c r="H160" s="14">
        <v>209</v>
      </c>
      <c r="L160" s="14">
        <v>98</v>
      </c>
      <c r="P160" s="14">
        <v>97</v>
      </c>
      <c r="R160" s="14">
        <v>15</v>
      </c>
      <c r="U160" s="14">
        <v>178</v>
      </c>
      <c r="W160" s="14">
        <v>44</v>
      </c>
      <c r="AA160" s="14">
        <v>191</v>
      </c>
      <c r="AB160" s="14">
        <v>10</v>
      </c>
      <c r="AC160" s="14">
        <v>160</v>
      </c>
      <c r="AF160" s="14">
        <v>1</v>
      </c>
      <c r="AH160" s="14">
        <v>132</v>
      </c>
      <c r="AI160" s="14">
        <v>41</v>
      </c>
      <c r="AJ160" s="14">
        <v>179</v>
      </c>
      <c r="AK160" s="14">
        <v>61</v>
      </c>
      <c r="AL160" s="14">
        <v>216</v>
      </c>
      <c r="AM160" s="14">
        <v>17</v>
      </c>
      <c r="AN160" s="14">
        <v>301</v>
      </c>
      <c r="AO160" s="14">
        <v>211</v>
      </c>
      <c r="AP160" s="14">
        <v>10</v>
      </c>
      <c r="AQ160" s="14">
        <v>91</v>
      </c>
      <c r="AR160" s="14">
        <v>107</v>
      </c>
      <c r="AS160" s="14">
        <v>56</v>
      </c>
      <c r="AT160" s="14">
        <v>9</v>
      </c>
    </row>
    <row r="161" spans="1:46" x14ac:dyDescent="0.25">
      <c r="A161" s="14">
        <v>25</v>
      </c>
      <c r="G161" s="14">
        <v>127</v>
      </c>
      <c r="H161" s="14">
        <v>685</v>
      </c>
      <c r="L161" s="14">
        <v>108</v>
      </c>
      <c r="P161" s="14">
        <v>105</v>
      </c>
      <c r="R161" s="14">
        <v>13</v>
      </c>
      <c r="U161" s="14">
        <v>245</v>
      </c>
      <c r="W161" s="14">
        <v>46</v>
      </c>
      <c r="AA161" s="14">
        <v>105</v>
      </c>
      <c r="AB161" s="14">
        <v>8</v>
      </c>
      <c r="AC161" s="14">
        <v>9</v>
      </c>
      <c r="AF161" s="14">
        <v>1</v>
      </c>
      <c r="AH161" s="14">
        <v>188</v>
      </c>
      <c r="AI161" s="14">
        <v>26</v>
      </c>
      <c r="AJ161" s="14">
        <v>183</v>
      </c>
      <c r="AK161" s="14">
        <v>45</v>
      </c>
      <c r="AL161" s="14">
        <v>731</v>
      </c>
      <c r="AM161" s="14">
        <v>10</v>
      </c>
      <c r="AN161" s="14">
        <v>152</v>
      </c>
      <c r="AO161" s="14">
        <v>927</v>
      </c>
      <c r="AP161" s="14">
        <v>10</v>
      </c>
      <c r="AQ161" s="14">
        <v>78</v>
      </c>
      <c r="AR161" s="14">
        <v>625</v>
      </c>
      <c r="AS161" s="14">
        <v>61</v>
      </c>
      <c r="AT161" s="14">
        <v>9</v>
      </c>
    </row>
    <row r="162" spans="1:46" x14ac:dyDescent="0.25">
      <c r="A162" s="14">
        <v>26</v>
      </c>
      <c r="G162" s="14">
        <v>137</v>
      </c>
      <c r="H162" s="14">
        <v>164</v>
      </c>
      <c r="L162" s="14">
        <v>96</v>
      </c>
      <c r="P162" s="14">
        <v>89</v>
      </c>
      <c r="R162" s="14">
        <v>11</v>
      </c>
      <c r="U162" s="14">
        <v>27</v>
      </c>
      <c r="W162" s="14">
        <v>8</v>
      </c>
      <c r="AA162" s="14">
        <v>64</v>
      </c>
      <c r="AB162" s="14">
        <v>8</v>
      </c>
      <c r="AC162" s="14">
        <v>26</v>
      </c>
      <c r="AF162" s="14">
        <v>1</v>
      </c>
      <c r="AH162" s="14">
        <v>154</v>
      </c>
      <c r="AI162" s="14">
        <v>12</v>
      </c>
      <c r="AJ162" s="14">
        <v>27</v>
      </c>
      <c r="AK162" s="14">
        <v>75</v>
      </c>
      <c r="AL162" s="14">
        <v>511</v>
      </c>
      <c r="AM162" s="14">
        <v>14</v>
      </c>
      <c r="AN162" s="14">
        <v>299</v>
      </c>
      <c r="AO162" s="14">
        <v>17</v>
      </c>
      <c r="AP162" s="14">
        <v>16</v>
      </c>
      <c r="AQ162" s="14">
        <v>1939</v>
      </c>
      <c r="AR162" s="14">
        <v>630</v>
      </c>
      <c r="AS162" s="14">
        <v>63</v>
      </c>
      <c r="AT162" s="14">
        <v>7</v>
      </c>
    </row>
    <row r="163" spans="1:46" x14ac:dyDescent="0.25">
      <c r="A163" s="14">
        <v>27</v>
      </c>
      <c r="G163" s="14">
        <v>141</v>
      </c>
      <c r="H163" s="14">
        <v>299</v>
      </c>
      <c r="L163" s="14">
        <v>170</v>
      </c>
      <c r="P163" s="14">
        <v>197</v>
      </c>
      <c r="R163" s="14">
        <v>21</v>
      </c>
      <c r="U163" s="14">
        <v>37</v>
      </c>
      <c r="W163" s="14">
        <v>30</v>
      </c>
      <c r="AA163" s="14">
        <v>196</v>
      </c>
      <c r="AB163" s="14">
        <v>6</v>
      </c>
      <c r="AC163" s="14">
        <v>28</v>
      </c>
      <c r="AF163" s="14">
        <v>4</v>
      </c>
      <c r="AH163" s="14">
        <v>133</v>
      </c>
      <c r="AI163" s="14">
        <v>20</v>
      </c>
      <c r="AJ163" s="14">
        <v>22</v>
      </c>
      <c r="AK163" s="14">
        <v>59</v>
      </c>
      <c r="AL163" s="14">
        <v>156</v>
      </c>
      <c r="AM163" s="14">
        <v>17</v>
      </c>
      <c r="AN163" s="14">
        <v>148</v>
      </c>
      <c r="AO163" s="14">
        <v>10</v>
      </c>
      <c r="AP163" s="14">
        <v>8</v>
      </c>
      <c r="AQ163" s="14">
        <v>2420</v>
      </c>
      <c r="AR163" s="14">
        <v>929</v>
      </c>
      <c r="AS163" s="14">
        <v>129</v>
      </c>
      <c r="AT163" s="14">
        <v>9</v>
      </c>
    </row>
    <row r="164" spans="1:46" x14ac:dyDescent="0.25">
      <c r="A164" s="14">
        <v>49</v>
      </c>
      <c r="G164" s="14">
        <v>139</v>
      </c>
      <c r="H164" s="14">
        <v>866</v>
      </c>
      <c r="L164" s="14">
        <v>166</v>
      </c>
      <c r="P164" s="14">
        <v>250</v>
      </c>
      <c r="R164" s="14">
        <v>21</v>
      </c>
      <c r="U164" s="14">
        <v>22</v>
      </c>
      <c r="W164" s="14">
        <v>1</v>
      </c>
      <c r="AA164" s="14">
        <v>159</v>
      </c>
      <c r="AB164" s="14">
        <v>6</v>
      </c>
      <c r="AC164" s="14">
        <v>30</v>
      </c>
      <c r="AF164" s="14">
        <v>54</v>
      </c>
      <c r="AH164" s="14">
        <v>497</v>
      </c>
      <c r="AI164" s="14">
        <v>47</v>
      </c>
      <c r="AJ164" s="14">
        <v>29</v>
      </c>
      <c r="AK164" s="14">
        <v>73</v>
      </c>
      <c r="AL164" s="14">
        <v>346</v>
      </c>
      <c r="AM164" s="14">
        <v>11</v>
      </c>
      <c r="AN164" s="14">
        <v>216</v>
      </c>
      <c r="AO164" s="14">
        <v>6</v>
      </c>
      <c r="AP164" s="14">
        <v>12</v>
      </c>
      <c r="AQ164" s="14">
        <v>1083</v>
      </c>
      <c r="AR164" s="14">
        <v>127</v>
      </c>
      <c r="AS164" s="14">
        <v>76</v>
      </c>
      <c r="AT164" s="14">
        <v>8</v>
      </c>
    </row>
    <row r="165" spans="1:46" x14ac:dyDescent="0.25">
      <c r="A165" s="14">
        <v>78</v>
      </c>
      <c r="G165" s="14">
        <v>132</v>
      </c>
      <c r="H165" s="14">
        <v>153</v>
      </c>
      <c r="L165" s="14">
        <v>199</v>
      </c>
      <c r="P165" s="14">
        <v>205</v>
      </c>
      <c r="R165" s="14">
        <v>20</v>
      </c>
      <c r="U165" s="14">
        <v>53</v>
      </c>
      <c r="W165" s="14">
        <v>86</v>
      </c>
      <c r="AA165" s="14">
        <v>104</v>
      </c>
      <c r="AB165" s="14">
        <v>5</v>
      </c>
      <c r="AC165" s="14">
        <v>29</v>
      </c>
      <c r="AF165" s="14">
        <v>21</v>
      </c>
      <c r="AH165" s="14">
        <v>727</v>
      </c>
      <c r="AI165" s="14">
        <v>29</v>
      </c>
      <c r="AJ165" s="14">
        <v>24</v>
      </c>
      <c r="AK165" s="14">
        <v>66</v>
      </c>
      <c r="AL165" s="14">
        <v>101</v>
      </c>
      <c r="AM165" s="14">
        <v>12</v>
      </c>
      <c r="AN165" s="14">
        <v>304</v>
      </c>
      <c r="AO165" s="14">
        <v>115</v>
      </c>
      <c r="AP165" s="14">
        <v>11</v>
      </c>
      <c r="AQ165" s="14">
        <v>477</v>
      </c>
      <c r="AR165" s="14">
        <v>983</v>
      </c>
      <c r="AS165" s="14">
        <v>79</v>
      </c>
      <c r="AT165" s="14">
        <v>9</v>
      </c>
    </row>
    <row r="166" spans="1:46" x14ac:dyDescent="0.25">
      <c r="A166" s="14">
        <v>85</v>
      </c>
      <c r="G166" s="14">
        <v>142</v>
      </c>
      <c r="H166" s="14">
        <v>374</v>
      </c>
      <c r="L166" s="14">
        <v>175</v>
      </c>
      <c r="P166" s="14">
        <v>256</v>
      </c>
      <c r="R166" s="14">
        <v>23</v>
      </c>
      <c r="U166" s="14">
        <v>36</v>
      </c>
      <c r="W166" s="14">
        <v>227</v>
      </c>
      <c r="AA166" s="14">
        <v>308</v>
      </c>
      <c r="AB166" s="14">
        <v>5</v>
      </c>
      <c r="AC166" s="14">
        <v>32</v>
      </c>
      <c r="AF166" s="14">
        <v>7</v>
      </c>
      <c r="AH166" s="14">
        <v>724</v>
      </c>
      <c r="AI166" s="14">
        <v>28</v>
      </c>
      <c r="AJ166" s="14">
        <v>19</v>
      </c>
      <c r="AK166" s="14">
        <v>73</v>
      </c>
      <c r="AL166" s="14">
        <v>158</v>
      </c>
      <c r="AM166" s="14">
        <v>12</v>
      </c>
      <c r="AN166" s="14">
        <v>180</v>
      </c>
      <c r="AO166" s="14">
        <v>175</v>
      </c>
      <c r="AP166" s="14">
        <v>9</v>
      </c>
      <c r="AQ166" s="14">
        <v>638</v>
      </c>
      <c r="AR166" s="14">
        <v>580</v>
      </c>
      <c r="AS166" s="14">
        <v>66</v>
      </c>
      <c r="AT166" s="14">
        <v>7</v>
      </c>
    </row>
    <row r="167" spans="1:46" x14ac:dyDescent="0.25">
      <c r="A167" s="14">
        <v>1427</v>
      </c>
      <c r="G167" s="14">
        <v>57</v>
      </c>
      <c r="H167" s="14">
        <v>124</v>
      </c>
      <c r="L167" s="14">
        <v>374</v>
      </c>
      <c r="R167" s="14">
        <v>25</v>
      </c>
      <c r="U167" s="14">
        <v>47</v>
      </c>
      <c r="W167" s="14">
        <v>934</v>
      </c>
      <c r="AA167" s="14">
        <v>188</v>
      </c>
      <c r="AB167" s="14">
        <v>395</v>
      </c>
      <c r="AC167" s="14">
        <v>30</v>
      </c>
      <c r="AF167" s="14">
        <v>5</v>
      </c>
      <c r="AH167" s="14">
        <v>954</v>
      </c>
      <c r="AI167" s="14">
        <v>24</v>
      </c>
      <c r="AJ167" s="14">
        <v>22</v>
      </c>
      <c r="AK167" s="14">
        <v>65</v>
      </c>
      <c r="AL167" s="14">
        <v>736</v>
      </c>
      <c r="AM167" s="14">
        <v>43</v>
      </c>
      <c r="AN167" s="14">
        <v>249</v>
      </c>
      <c r="AO167" s="14">
        <v>222</v>
      </c>
      <c r="AP167" s="14">
        <v>14</v>
      </c>
      <c r="AQ167" s="14">
        <v>323</v>
      </c>
      <c r="AR167" s="14">
        <v>114</v>
      </c>
      <c r="AS167" s="14">
        <v>75</v>
      </c>
      <c r="AT167" s="14">
        <v>17</v>
      </c>
    </row>
    <row r="168" spans="1:46" x14ac:dyDescent="0.25">
      <c r="A168" s="14">
        <v>69</v>
      </c>
      <c r="G168" s="14">
        <v>6</v>
      </c>
      <c r="H168" s="14">
        <v>455</v>
      </c>
      <c r="L168" s="14">
        <v>402</v>
      </c>
      <c r="R168" s="14">
        <v>17</v>
      </c>
      <c r="U168" s="14">
        <v>188</v>
      </c>
      <c r="W168" s="14">
        <v>1</v>
      </c>
      <c r="AA168" s="14">
        <v>174</v>
      </c>
      <c r="AB168" s="14">
        <v>286</v>
      </c>
      <c r="AC168" s="14">
        <v>27</v>
      </c>
      <c r="AF168" s="14">
        <v>1</v>
      </c>
      <c r="AH168" s="14">
        <v>472</v>
      </c>
      <c r="AI168" s="14">
        <v>18</v>
      </c>
      <c r="AJ168" s="14">
        <v>21</v>
      </c>
      <c r="AK168" s="14">
        <v>16</v>
      </c>
      <c r="AL168" s="14">
        <v>428</v>
      </c>
      <c r="AM168" s="14">
        <v>16</v>
      </c>
      <c r="AN168" s="14">
        <v>293</v>
      </c>
      <c r="AO168" s="14">
        <v>157</v>
      </c>
      <c r="AP168" s="14">
        <v>9</v>
      </c>
      <c r="AQ168" s="14">
        <v>567</v>
      </c>
      <c r="AR168" s="14">
        <v>723</v>
      </c>
      <c r="AS168" s="14">
        <v>79</v>
      </c>
      <c r="AT168" s="14">
        <v>10</v>
      </c>
    </row>
    <row r="169" spans="1:46" x14ac:dyDescent="0.25">
      <c r="A169" s="14">
        <v>40</v>
      </c>
      <c r="G169" s="14">
        <v>8</v>
      </c>
      <c r="H169" s="14">
        <v>166</v>
      </c>
      <c r="L169" s="14">
        <v>673</v>
      </c>
      <c r="R169" s="14">
        <v>17</v>
      </c>
      <c r="U169" s="14">
        <v>756</v>
      </c>
      <c r="W169" s="14">
        <v>20</v>
      </c>
      <c r="AA169" s="14">
        <v>96</v>
      </c>
      <c r="AB169" s="14">
        <v>251</v>
      </c>
      <c r="AC169" s="14">
        <v>30</v>
      </c>
      <c r="AF169" s="14">
        <v>1</v>
      </c>
      <c r="AH169" s="14">
        <v>612</v>
      </c>
      <c r="AI169" s="14">
        <v>30</v>
      </c>
      <c r="AJ169" s="14">
        <v>27</v>
      </c>
      <c r="AK169" s="14">
        <v>8</v>
      </c>
      <c r="AL169" s="14">
        <v>126</v>
      </c>
      <c r="AM169" s="14">
        <v>15</v>
      </c>
      <c r="AN169" s="14">
        <v>238</v>
      </c>
      <c r="AO169" s="14">
        <v>190</v>
      </c>
      <c r="AP169" s="14">
        <v>10</v>
      </c>
      <c r="AQ169" s="14">
        <v>1781</v>
      </c>
      <c r="AR169" s="14">
        <v>679</v>
      </c>
      <c r="AS169" s="14">
        <v>126</v>
      </c>
      <c r="AT169" s="14">
        <v>11</v>
      </c>
    </row>
    <row r="170" spans="1:46" x14ac:dyDescent="0.25">
      <c r="A170" s="14">
        <v>19</v>
      </c>
      <c r="G170" s="14">
        <v>363</v>
      </c>
      <c r="H170" s="14">
        <v>33</v>
      </c>
      <c r="L170" s="14">
        <v>516</v>
      </c>
      <c r="R170" s="14">
        <v>19</v>
      </c>
      <c r="U170" s="14">
        <v>707</v>
      </c>
      <c r="W170" s="14">
        <v>8</v>
      </c>
      <c r="AA170" s="14">
        <v>86</v>
      </c>
      <c r="AB170" s="14">
        <v>242</v>
      </c>
      <c r="AC170" s="14">
        <v>27</v>
      </c>
      <c r="AF170" s="14">
        <v>3</v>
      </c>
      <c r="AH170" s="14">
        <v>108</v>
      </c>
      <c r="AI170" s="14">
        <v>67</v>
      </c>
      <c r="AJ170" s="14">
        <v>19</v>
      </c>
      <c r="AK170" s="14">
        <v>14</v>
      </c>
      <c r="AL170" s="14">
        <v>120</v>
      </c>
      <c r="AM170" s="14">
        <v>13</v>
      </c>
      <c r="AN170" s="14">
        <v>242</v>
      </c>
      <c r="AO170" s="14">
        <v>517</v>
      </c>
      <c r="AP170" s="14">
        <v>8</v>
      </c>
      <c r="AQ170" s="14">
        <v>938</v>
      </c>
      <c r="AR170" s="14">
        <v>110</v>
      </c>
      <c r="AS170" s="14">
        <v>43</v>
      </c>
      <c r="AT170" s="14">
        <v>11</v>
      </c>
    </row>
    <row r="171" spans="1:46" x14ac:dyDescent="0.25">
      <c r="A171" s="14">
        <v>27</v>
      </c>
      <c r="G171" s="14">
        <v>143</v>
      </c>
      <c r="H171" s="14">
        <v>88</v>
      </c>
      <c r="L171" s="14">
        <v>714</v>
      </c>
      <c r="R171" s="14">
        <v>16</v>
      </c>
      <c r="U171" s="14">
        <v>627</v>
      </c>
      <c r="W171" s="14">
        <v>3</v>
      </c>
      <c r="AA171" s="14">
        <v>8</v>
      </c>
      <c r="AB171" s="14">
        <v>208</v>
      </c>
      <c r="AC171" s="14">
        <v>31</v>
      </c>
      <c r="AF171" s="14">
        <v>4</v>
      </c>
      <c r="AH171" s="14">
        <v>190</v>
      </c>
      <c r="AI171" s="14">
        <v>51</v>
      </c>
      <c r="AJ171" s="14">
        <v>24</v>
      </c>
      <c r="AK171" s="14">
        <v>32</v>
      </c>
      <c r="AL171" s="14">
        <v>360</v>
      </c>
      <c r="AM171" s="14">
        <v>3</v>
      </c>
      <c r="AN171" s="14">
        <v>33</v>
      </c>
      <c r="AO171" s="14">
        <v>282</v>
      </c>
      <c r="AP171" s="14">
        <v>11</v>
      </c>
      <c r="AQ171" s="14">
        <v>2451</v>
      </c>
      <c r="AR171" s="14">
        <v>253</v>
      </c>
      <c r="AS171" s="14">
        <v>41</v>
      </c>
      <c r="AT171" s="14">
        <v>8</v>
      </c>
    </row>
    <row r="172" spans="1:46" x14ac:dyDescent="0.25">
      <c r="A172" s="14">
        <v>98</v>
      </c>
      <c r="G172" s="14">
        <v>140</v>
      </c>
      <c r="H172" s="14">
        <v>33</v>
      </c>
      <c r="L172" s="14">
        <v>177</v>
      </c>
      <c r="R172" s="14">
        <v>16</v>
      </c>
      <c r="U172" s="14">
        <v>217</v>
      </c>
      <c r="W172" s="14">
        <v>3</v>
      </c>
      <c r="AA172" s="14">
        <v>242</v>
      </c>
      <c r="AB172" s="14">
        <v>164</v>
      </c>
      <c r="AC172" s="14">
        <v>33</v>
      </c>
      <c r="AF172" s="14">
        <v>5</v>
      </c>
      <c r="AH172" s="14">
        <v>213</v>
      </c>
      <c r="AI172" s="14">
        <v>42</v>
      </c>
      <c r="AJ172" s="14">
        <v>619</v>
      </c>
      <c r="AK172" s="14">
        <v>44</v>
      </c>
      <c r="AL172" s="14">
        <v>228</v>
      </c>
      <c r="AM172" s="14">
        <v>17</v>
      </c>
      <c r="AN172" s="14">
        <v>740</v>
      </c>
      <c r="AO172" s="14">
        <v>122</v>
      </c>
      <c r="AP172" s="14">
        <v>14</v>
      </c>
      <c r="AQ172" s="14">
        <v>587</v>
      </c>
      <c r="AR172" s="14">
        <v>110</v>
      </c>
      <c r="AS172" s="14">
        <v>40</v>
      </c>
      <c r="AT172" s="14">
        <v>5</v>
      </c>
    </row>
    <row r="173" spans="1:46" x14ac:dyDescent="0.25">
      <c r="A173" s="14">
        <v>62</v>
      </c>
      <c r="G173" s="14">
        <v>142</v>
      </c>
      <c r="H173" s="14">
        <v>525</v>
      </c>
      <c r="L173" s="14">
        <v>503</v>
      </c>
      <c r="R173" s="14">
        <v>14</v>
      </c>
      <c r="U173" s="14">
        <v>680</v>
      </c>
      <c r="W173" s="14">
        <v>3</v>
      </c>
      <c r="AA173" s="14">
        <v>234</v>
      </c>
      <c r="AB173" s="14">
        <v>143</v>
      </c>
      <c r="AC173" s="14">
        <v>17</v>
      </c>
      <c r="AF173" s="14">
        <v>44</v>
      </c>
      <c r="AH173" s="14">
        <v>215</v>
      </c>
      <c r="AI173" s="14">
        <v>37</v>
      </c>
      <c r="AJ173" s="14">
        <v>4</v>
      </c>
      <c r="AK173" s="14">
        <v>75</v>
      </c>
      <c r="AL173" s="14">
        <v>346</v>
      </c>
      <c r="AM173" s="14">
        <v>13</v>
      </c>
      <c r="AN173" s="14">
        <v>228</v>
      </c>
      <c r="AO173" s="14">
        <v>134</v>
      </c>
      <c r="AP173" s="14">
        <v>10</v>
      </c>
      <c r="AQ173" s="14">
        <v>3510</v>
      </c>
      <c r="AR173" s="14">
        <v>478</v>
      </c>
      <c r="AS173" s="14">
        <v>42</v>
      </c>
      <c r="AT173" s="14">
        <v>6</v>
      </c>
    </row>
    <row r="174" spans="1:46" x14ac:dyDescent="0.25">
      <c r="A174" s="14">
        <v>161</v>
      </c>
      <c r="G174" s="14">
        <v>147</v>
      </c>
      <c r="H174" s="14">
        <v>458</v>
      </c>
      <c r="L174" s="14">
        <v>68</v>
      </c>
      <c r="R174" s="14">
        <v>17</v>
      </c>
      <c r="U174" s="14">
        <v>138</v>
      </c>
      <c r="W174" s="14">
        <v>4</v>
      </c>
      <c r="AA174" s="14">
        <v>108</v>
      </c>
      <c r="AB174" s="14">
        <v>148</v>
      </c>
      <c r="AC174" s="14">
        <v>17</v>
      </c>
      <c r="AF174" s="14">
        <v>62</v>
      </c>
      <c r="AH174" s="14">
        <v>101</v>
      </c>
      <c r="AI174" s="14">
        <v>20</v>
      </c>
      <c r="AJ174" s="14">
        <v>128</v>
      </c>
      <c r="AK174" s="14">
        <v>5</v>
      </c>
      <c r="AL174" s="14">
        <v>100</v>
      </c>
      <c r="AM174" s="14">
        <v>29</v>
      </c>
      <c r="AN174" s="14">
        <v>147</v>
      </c>
      <c r="AO174" s="14">
        <v>976</v>
      </c>
      <c r="AP174" s="14">
        <v>12</v>
      </c>
      <c r="AQ174" s="14">
        <v>7</v>
      </c>
      <c r="AR174" s="14">
        <v>438</v>
      </c>
      <c r="AS174" s="14">
        <v>44</v>
      </c>
      <c r="AT174" s="14">
        <v>5</v>
      </c>
    </row>
    <row r="175" spans="1:46" x14ac:dyDescent="0.25">
      <c r="A175" s="14">
        <v>98</v>
      </c>
      <c r="G175" s="14">
        <v>144</v>
      </c>
      <c r="H175" s="14">
        <v>124</v>
      </c>
      <c r="L175" s="14">
        <v>370</v>
      </c>
      <c r="R175" s="14">
        <v>15</v>
      </c>
      <c r="U175" s="14">
        <v>295</v>
      </c>
      <c r="W175" s="14">
        <v>4</v>
      </c>
      <c r="AA175" s="14">
        <v>68</v>
      </c>
      <c r="AB175" s="14">
        <v>161</v>
      </c>
      <c r="AC175" s="14">
        <v>3</v>
      </c>
      <c r="AF175" s="14">
        <v>56</v>
      </c>
      <c r="AH175" s="14">
        <v>120</v>
      </c>
      <c r="AI175" s="14">
        <v>24</v>
      </c>
      <c r="AJ175" s="14">
        <v>243</v>
      </c>
      <c r="AK175" s="14">
        <v>77</v>
      </c>
      <c r="AL175" s="14">
        <v>394</v>
      </c>
      <c r="AM175" s="14">
        <v>329</v>
      </c>
      <c r="AN175" s="14">
        <v>233</v>
      </c>
      <c r="AO175" s="14">
        <v>305</v>
      </c>
      <c r="AP175" s="14">
        <v>27</v>
      </c>
      <c r="AQ175" s="14">
        <v>238</v>
      </c>
      <c r="AR175" s="14">
        <v>493</v>
      </c>
      <c r="AS175" s="14">
        <v>69</v>
      </c>
      <c r="AT175" s="14">
        <v>4</v>
      </c>
    </row>
    <row r="176" spans="1:46" x14ac:dyDescent="0.25">
      <c r="A176" s="14">
        <v>887</v>
      </c>
      <c r="G176" s="14">
        <v>247</v>
      </c>
      <c r="H176" s="14">
        <v>133</v>
      </c>
      <c r="L176" s="14">
        <v>124</v>
      </c>
      <c r="R176" s="14">
        <v>14</v>
      </c>
      <c r="U176" s="14">
        <v>569</v>
      </c>
      <c r="W176" s="14">
        <v>3</v>
      </c>
      <c r="AA176" s="14">
        <v>243</v>
      </c>
      <c r="AB176" s="14">
        <v>149</v>
      </c>
      <c r="AC176" s="14">
        <v>24</v>
      </c>
      <c r="AF176" s="14">
        <v>81</v>
      </c>
      <c r="AH176" s="14">
        <v>771</v>
      </c>
      <c r="AI176" s="14">
        <v>63</v>
      </c>
      <c r="AJ176" s="14">
        <v>474</v>
      </c>
      <c r="AK176" s="14">
        <v>77</v>
      </c>
      <c r="AL176" s="14">
        <v>346</v>
      </c>
      <c r="AM176" s="14">
        <v>33</v>
      </c>
      <c r="AN176" s="14">
        <v>33</v>
      </c>
      <c r="AO176" s="14">
        <v>178</v>
      </c>
      <c r="AP176" s="14">
        <v>12</v>
      </c>
      <c r="AQ176" s="14">
        <v>303</v>
      </c>
      <c r="AR176" s="14">
        <v>447</v>
      </c>
      <c r="AS176" s="14">
        <v>28</v>
      </c>
      <c r="AT176" s="14">
        <v>6</v>
      </c>
    </row>
    <row r="177" spans="1:46" x14ac:dyDescent="0.25">
      <c r="A177" s="14">
        <v>122</v>
      </c>
      <c r="G177" s="14">
        <v>148</v>
      </c>
      <c r="H177" s="14">
        <v>127</v>
      </c>
      <c r="L177" s="14">
        <v>17</v>
      </c>
      <c r="R177" s="14">
        <v>11</v>
      </c>
      <c r="U177" s="14">
        <v>734</v>
      </c>
      <c r="W177" s="14">
        <v>5</v>
      </c>
      <c r="AA177" s="14">
        <v>237</v>
      </c>
      <c r="AB177" s="14">
        <v>124</v>
      </c>
      <c r="AC177" s="14">
        <v>14</v>
      </c>
      <c r="AF177" s="14">
        <v>52</v>
      </c>
      <c r="AH177" s="14">
        <v>818</v>
      </c>
      <c r="AI177" s="14">
        <v>49</v>
      </c>
      <c r="AJ177" s="14">
        <v>752</v>
      </c>
      <c r="AK177" s="14">
        <v>62</v>
      </c>
      <c r="AL177" s="14">
        <v>101</v>
      </c>
      <c r="AM177" s="14">
        <v>19</v>
      </c>
      <c r="AN177" s="14">
        <v>789</v>
      </c>
      <c r="AO177" s="14">
        <v>3</v>
      </c>
      <c r="AP177" s="14">
        <v>17</v>
      </c>
      <c r="AQ177" s="14">
        <v>132</v>
      </c>
      <c r="AR177" s="14">
        <v>732</v>
      </c>
      <c r="AS177" s="14">
        <v>21</v>
      </c>
      <c r="AT177" s="14">
        <v>7</v>
      </c>
    </row>
    <row r="178" spans="1:46" x14ac:dyDescent="0.25">
      <c r="A178" s="14">
        <v>25</v>
      </c>
      <c r="G178" s="14">
        <v>22</v>
      </c>
      <c r="H178" s="14">
        <v>525</v>
      </c>
      <c r="L178" s="14">
        <v>48</v>
      </c>
      <c r="R178" s="14">
        <v>21</v>
      </c>
      <c r="U178" s="14">
        <v>904</v>
      </c>
      <c r="W178" s="14">
        <v>26</v>
      </c>
      <c r="AA178" s="14">
        <v>112</v>
      </c>
      <c r="AB178" s="14">
        <v>129</v>
      </c>
      <c r="AC178" s="14">
        <v>24</v>
      </c>
      <c r="AF178" s="14">
        <v>63</v>
      </c>
      <c r="AH178" s="14">
        <v>118</v>
      </c>
      <c r="AI178" s="14">
        <v>50</v>
      </c>
      <c r="AJ178" s="14">
        <v>977</v>
      </c>
      <c r="AK178" s="14">
        <v>45</v>
      </c>
      <c r="AL178" s="14">
        <v>158</v>
      </c>
      <c r="AM178" s="14">
        <v>23</v>
      </c>
      <c r="AN178" s="14">
        <v>224</v>
      </c>
      <c r="AO178" s="14">
        <v>10</v>
      </c>
      <c r="AP178" s="14">
        <v>15</v>
      </c>
      <c r="AQ178" s="14">
        <v>56</v>
      </c>
      <c r="AR178" s="14">
        <v>718</v>
      </c>
      <c r="AS178" s="14">
        <v>41</v>
      </c>
      <c r="AT178" s="14">
        <v>8</v>
      </c>
    </row>
    <row r="179" spans="1:46" x14ac:dyDescent="0.25">
      <c r="A179" s="14">
        <v>31</v>
      </c>
      <c r="G179" s="14">
        <v>20</v>
      </c>
      <c r="H179" s="14">
        <v>547</v>
      </c>
      <c r="L179" s="14">
        <v>6</v>
      </c>
      <c r="R179" s="14">
        <v>24</v>
      </c>
      <c r="U179" s="14">
        <v>181</v>
      </c>
      <c r="W179" s="14">
        <v>10</v>
      </c>
      <c r="AA179" s="14">
        <v>360</v>
      </c>
      <c r="AB179" s="14">
        <v>90</v>
      </c>
      <c r="AC179" s="14">
        <v>7</v>
      </c>
      <c r="AF179" s="14">
        <v>68</v>
      </c>
      <c r="AH179" s="14">
        <v>118</v>
      </c>
      <c r="AI179" s="14">
        <v>39</v>
      </c>
      <c r="AJ179" s="14">
        <v>114</v>
      </c>
      <c r="AK179" s="14">
        <v>77</v>
      </c>
      <c r="AL179" s="14">
        <v>736</v>
      </c>
      <c r="AM179" s="14">
        <v>28</v>
      </c>
      <c r="AN179" s="14">
        <v>163</v>
      </c>
      <c r="AO179" s="14">
        <v>16</v>
      </c>
      <c r="AP179" s="14">
        <v>16</v>
      </c>
      <c r="AQ179" s="14">
        <v>69</v>
      </c>
      <c r="AR179" s="14">
        <v>102</v>
      </c>
      <c r="AS179" s="14">
        <v>35</v>
      </c>
      <c r="AT179" s="14">
        <v>8</v>
      </c>
    </row>
    <row r="180" spans="1:46" x14ac:dyDescent="0.25">
      <c r="A180" s="14">
        <v>144</v>
      </c>
      <c r="G180" s="14">
        <v>28</v>
      </c>
      <c r="H180" s="14">
        <v>118</v>
      </c>
      <c r="L180" s="14">
        <v>35</v>
      </c>
      <c r="R180" s="14">
        <v>19</v>
      </c>
      <c r="U180" s="14">
        <v>223</v>
      </c>
      <c r="W180" s="14">
        <v>3</v>
      </c>
      <c r="AA180" s="14">
        <v>234</v>
      </c>
      <c r="AB180" s="14">
        <v>97</v>
      </c>
      <c r="AC180" s="14">
        <v>14</v>
      </c>
      <c r="AF180" s="14">
        <v>4</v>
      </c>
      <c r="AH180" s="14">
        <v>167</v>
      </c>
      <c r="AI180" s="14">
        <v>22</v>
      </c>
      <c r="AJ180" s="14">
        <v>132</v>
      </c>
      <c r="AK180" s="14">
        <v>62</v>
      </c>
      <c r="AL180" s="14">
        <v>428</v>
      </c>
      <c r="AM180" s="14">
        <v>19</v>
      </c>
      <c r="AN180" s="14">
        <v>257</v>
      </c>
      <c r="AO180" s="14">
        <v>6</v>
      </c>
      <c r="AP180" s="14">
        <v>17</v>
      </c>
      <c r="AQ180" s="14">
        <v>28</v>
      </c>
      <c r="AR180" s="14">
        <v>459</v>
      </c>
      <c r="AS180" s="14">
        <v>71</v>
      </c>
      <c r="AT180" s="14">
        <v>6</v>
      </c>
    </row>
    <row r="181" spans="1:46" x14ac:dyDescent="0.25">
      <c r="A181" s="14">
        <v>69</v>
      </c>
      <c r="G181" s="14">
        <v>30</v>
      </c>
      <c r="H181" s="14">
        <v>473</v>
      </c>
      <c r="L181" s="14">
        <v>12</v>
      </c>
      <c r="R181" s="14">
        <v>17</v>
      </c>
      <c r="U181" s="14">
        <v>127</v>
      </c>
      <c r="W181" s="14">
        <v>3</v>
      </c>
      <c r="AA181" s="14">
        <v>245</v>
      </c>
      <c r="AB181" s="14">
        <v>81</v>
      </c>
      <c r="AC181" s="14">
        <v>21</v>
      </c>
      <c r="AF181" s="14">
        <v>4</v>
      </c>
      <c r="AH181" s="14">
        <v>797</v>
      </c>
      <c r="AI181" s="14">
        <v>36</v>
      </c>
      <c r="AJ181" s="14">
        <v>147</v>
      </c>
      <c r="AK181" s="14">
        <v>73</v>
      </c>
      <c r="AL181" s="14">
        <v>126</v>
      </c>
      <c r="AM181" s="14">
        <v>249</v>
      </c>
      <c r="AN181" s="14">
        <v>233</v>
      </c>
      <c r="AO181" s="14">
        <v>101</v>
      </c>
      <c r="AP181" s="14">
        <v>15</v>
      </c>
      <c r="AQ181" s="14">
        <v>122</v>
      </c>
      <c r="AR181" s="14">
        <v>433</v>
      </c>
      <c r="AS181" s="14">
        <v>32</v>
      </c>
      <c r="AT181" s="14">
        <v>7</v>
      </c>
    </row>
    <row r="182" spans="1:46" x14ac:dyDescent="0.25">
      <c r="A182" s="14">
        <v>1173</v>
      </c>
      <c r="G182" s="14">
        <v>32</v>
      </c>
      <c r="H182" s="14">
        <v>567</v>
      </c>
      <c r="L182" s="14">
        <v>110</v>
      </c>
      <c r="R182" s="14">
        <v>22</v>
      </c>
      <c r="U182" s="14">
        <v>136</v>
      </c>
      <c r="W182" s="14">
        <v>3</v>
      </c>
      <c r="AA182" s="14">
        <v>109</v>
      </c>
      <c r="AB182" s="14">
        <v>85</v>
      </c>
      <c r="AC182" s="14">
        <v>24</v>
      </c>
      <c r="AF182" s="14">
        <v>2</v>
      </c>
      <c r="AH182" s="14">
        <v>498</v>
      </c>
      <c r="AI182" s="14">
        <v>69</v>
      </c>
      <c r="AJ182" s="14">
        <v>160</v>
      </c>
      <c r="AK182" s="14">
        <v>66</v>
      </c>
      <c r="AL182" s="14">
        <v>42</v>
      </c>
      <c r="AM182" s="14">
        <v>20</v>
      </c>
      <c r="AN182" s="14">
        <v>33</v>
      </c>
      <c r="AO182" s="14">
        <v>186</v>
      </c>
      <c r="AP182" s="14">
        <v>15</v>
      </c>
      <c r="AQ182" s="14">
        <v>221</v>
      </c>
      <c r="AR182" s="14">
        <v>487</v>
      </c>
      <c r="AS182" s="14">
        <v>24</v>
      </c>
      <c r="AT182" s="14">
        <v>6</v>
      </c>
    </row>
    <row r="183" spans="1:46" x14ac:dyDescent="0.25">
      <c r="A183" s="14">
        <v>944</v>
      </c>
      <c r="G183" s="14">
        <v>9</v>
      </c>
      <c r="H183" s="14">
        <v>301</v>
      </c>
      <c r="L183" s="14">
        <v>221</v>
      </c>
      <c r="R183" s="14">
        <v>18</v>
      </c>
      <c r="U183" s="14">
        <v>205</v>
      </c>
      <c r="W183" s="14">
        <v>4</v>
      </c>
      <c r="AA183" s="14">
        <v>98</v>
      </c>
      <c r="AB183" s="14">
        <v>190</v>
      </c>
      <c r="AC183" s="14">
        <v>25</v>
      </c>
      <c r="AF183" s="14">
        <v>7</v>
      </c>
      <c r="AH183" s="14">
        <v>484</v>
      </c>
      <c r="AI183" s="14">
        <v>54</v>
      </c>
      <c r="AJ183" s="14">
        <v>173</v>
      </c>
      <c r="AK183" s="14">
        <v>73</v>
      </c>
      <c r="AL183" s="14">
        <v>53</v>
      </c>
      <c r="AM183" s="14">
        <v>95</v>
      </c>
      <c r="AN183" s="14">
        <v>924</v>
      </c>
      <c r="AO183" s="14">
        <v>216</v>
      </c>
      <c r="AP183" s="14">
        <v>14</v>
      </c>
      <c r="AQ183" s="14">
        <v>76</v>
      </c>
      <c r="AR183" s="14">
        <v>568</v>
      </c>
      <c r="AS183" s="14">
        <v>45</v>
      </c>
      <c r="AT183" s="14">
        <v>5</v>
      </c>
    </row>
    <row r="184" spans="1:46" x14ac:dyDescent="0.25">
      <c r="A184" s="14">
        <v>112</v>
      </c>
      <c r="G184" s="14">
        <v>9</v>
      </c>
      <c r="H184" s="14">
        <v>196</v>
      </c>
      <c r="L184" s="14">
        <v>24</v>
      </c>
      <c r="R184" s="14">
        <v>14</v>
      </c>
      <c r="U184" s="14">
        <v>41</v>
      </c>
      <c r="W184" s="14">
        <v>4</v>
      </c>
      <c r="AA184" s="14">
        <v>9</v>
      </c>
      <c r="AB184" s="14">
        <v>164</v>
      </c>
      <c r="AC184" s="14">
        <v>153</v>
      </c>
      <c r="AF184" s="14">
        <v>3</v>
      </c>
      <c r="AH184" s="14">
        <v>187</v>
      </c>
      <c r="AI184" s="14">
        <v>65</v>
      </c>
      <c r="AJ184" s="14">
        <v>602</v>
      </c>
      <c r="AK184" s="14">
        <v>72</v>
      </c>
      <c r="AL184" s="14">
        <v>77</v>
      </c>
      <c r="AM184" s="14">
        <v>9</v>
      </c>
      <c r="AN184" s="14">
        <v>229</v>
      </c>
      <c r="AO184" s="14">
        <v>144</v>
      </c>
      <c r="AP184" s="14">
        <v>30</v>
      </c>
      <c r="AQ184" s="14">
        <v>138</v>
      </c>
      <c r="AR184" s="14">
        <v>680</v>
      </c>
      <c r="AS184" s="14">
        <v>36</v>
      </c>
      <c r="AT184" s="14">
        <v>5</v>
      </c>
    </row>
    <row r="185" spans="1:46" x14ac:dyDescent="0.25">
      <c r="A185" s="14">
        <v>43</v>
      </c>
      <c r="G185" s="14">
        <v>12</v>
      </c>
      <c r="H185" s="14">
        <v>379</v>
      </c>
      <c r="L185" s="14">
        <v>185</v>
      </c>
      <c r="R185" s="14">
        <v>13</v>
      </c>
      <c r="U185" s="14">
        <v>292</v>
      </c>
      <c r="W185" s="14">
        <v>3</v>
      </c>
      <c r="AA185" s="14">
        <v>308</v>
      </c>
      <c r="AB185" s="14">
        <v>142</v>
      </c>
      <c r="AC185" s="14">
        <v>8</v>
      </c>
      <c r="AF185" s="14">
        <v>7</v>
      </c>
      <c r="AH185" s="14">
        <v>214</v>
      </c>
      <c r="AI185" s="14">
        <v>52</v>
      </c>
      <c r="AJ185" s="14">
        <v>960</v>
      </c>
      <c r="AK185" s="14">
        <v>14</v>
      </c>
      <c r="AL185" s="14">
        <v>108</v>
      </c>
      <c r="AM185" s="14">
        <v>7</v>
      </c>
      <c r="AN185" s="14">
        <v>198</v>
      </c>
      <c r="AO185" s="14">
        <v>191</v>
      </c>
      <c r="AP185" s="14">
        <v>20</v>
      </c>
      <c r="AQ185" s="14">
        <v>75</v>
      </c>
      <c r="AR185" s="14">
        <v>912</v>
      </c>
      <c r="AS185" s="14">
        <v>74</v>
      </c>
      <c r="AT185" s="14">
        <v>6</v>
      </c>
    </row>
    <row r="186" spans="1:46" x14ac:dyDescent="0.25">
      <c r="A186" s="14">
        <v>191</v>
      </c>
      <c r="G186" s="14">
        <v>10</v>
      </c>
      <c r="L186" s="14">
        <v>43</v>
      </c>
      <c r="R186" s="14">
        <v>11</v>
      </c>
      <c r="U186" s="14">
        <v>843</v>
      </c>
      <c r="W186" s="14">
        <v>17</v>
      </c>
      <c r="AA186" s="14">
        <v>275</v>
      </c>
      <c r="AB186" s="14">
        <v>142</v>
      </c>
      <c r="AC186" s="14">
        <v>29</v>
      </c>
      <c r="AF186" s="14">
        <v>3</v>
      </c>
      <c r="AH186" s="14">
        <v>399</v>
      </c>
      <c r="AI186" s="14">
        <v>28</v>
      </c>
      <c r="AJ186" s="14">
        <v>147</v>
      </c>
      <c r="AK186" s="14">
        <v>8</v>
      </c>
      <c r="AL186" s="14">
        <v>88</v>
      </c>
      <c r="AM186" s="14">
        <v>1</v>
      </c>
      <c r="AN186" s="14">
        <v>300</v>
      </c>
      <c r="AO186" s="14">
        <v>506</v>
      </c>
      <c r="AP186" s="14">
        <v>10</v>
      </c>
      <c r="AQ186" s="14">
        <v>19</v>
      </c>
      <c r="AS186" s="14">
        <v>18</v>
      </c>
      <c r="AT186" s="14">
        <v>5</v>
      </c>
    </row>
    <row r="187" spans="1:46" x14ac:dyDescent="0.25">
      <c r="A187" s="14">
        <v>615</v>
      </c>
      <c r="G187" s="14">
        <v>12</v>
      </c>
      <c r="L187" s="14">
        <v>102</v>
      </c>
      <c r="R187" s="14">
        <v>11</v>
      </c>
      <c r="U187" s="14">
        <v>180</v>
      </c>
      <c r="W187" s="14">
        <v>28</v>
      </c>
      <c r="AA187" s="14">
        <v>126</v>
      </c>
      <c r="AB187" s="14">
        <v>121</v>
      </c>
      <c r="AC187" s="14">
        <v>31</v>
      </c>
      <c r="AF187" s="14">
        <v>3</v>
      </c>
      <c r="AH187" s="14">
        <v>147</v>
      </c>
      <c r="AI187" s="14">
        <v>29</v>
      </c>
      <c r="AJ187" s="14">
        <v>133</v>
      </c>
      <c r="AK187" s="14">
        <v>12</v>
      </c>
      <c r="AL187" s="14">
        <v>76</v>
      </c>
      <c r="AM187" s="14">
        <v>9</v>
      </c>
      <c r="AN187" s="14">
        <v>285</v>
      </c>
      <c r="AO187" s="14">
        <v>295</v>
      </c>
      <c r="AP187" s="14">
        <v>18</v>
      </c>
      <c r="AQ187" s="14">
        <v>16</v>
      </c>
      <c r="AS187" s="14">
        <v>14</v>
      </c>
      <c r="AT187" s="14">
        <v>6</v>
      </c>
    </row>
    <row r="188" spans="1:46" x14ac:dyDescent="0.25">
      <c r="A188" s="14">
        <v>8866</v>
      </c>
      <c r="G188" s="14">
        <v>788</v>
      </c>
      <c r="L188" s="14">
        <v>102</v>
      </c>
      <c r="R188" s="14">
        <v>10</v>
      </c>
      <c r="U188" s="14">
        <v>516</v>
      </c>
      <c r="W188" s="14">
        <v>10</v>
      </c>
      <c r="AA188" s="14">
        <v>190</v>
      </c>
      <c r="AB188" s="14">
        <v>115</v>
      </c>
      <c r="AC188" s="14">
        <v>31</v>
      </c>
      <c r="AF188" s="14">
        <v>12</v>
      </c>
      <c r="AH188" s="14">
        <v>131</v>
      </c>
      <c r="AI188" s="14">
        <v>74</v>
      </c>
      <c r="AJ188" s="14">
        <v>15</v>
      </c>
      <c r="AK188" s="14">
        <v>33</v>
      </c>
      <c r="AL188" s="14">
        <v>111</v>
      </c>
      <c r="AM188" s="14">
        <v>8</v>
      </c>
      <c r="AN188" s="14">
        <v>234</v>
      </c>
      <c r="AO188" s="14">
        <v>116</v>
      </c>
      <c r="AP188" s="14">
        <v>16</v>
      </c>
      <c r="AQ188" s="14">
        <v>63</v>
      </c>
      <c r="AS188" s="14">
        <v>26</v>
      </c>
      <c r="AT188" s="14">
        <v>4</v>
      </c>
    </row>
    <row r="189" spans="1:46" x14ac:dyDescent="0.25">
      <c r="A189" s="14">
        <v>61</v>
      </c>
      <c r="G189" s="14">
        <v>33</v>
      </c>
      <c r="L189" s="14">
        <v>14</v>
      </c>
      <c r="R189" s="14">
        <v>12</v>
      </c>
      <c r="U189" s="14">
        <v>108</v>
      </c>
      <c r="W189" s="14">
        <v>3</v>
      </c>
      <c r="AA189" s="14">
        <v>244</v>
      </c>
      <c r="AB189" s="14">
        <v>101</v>
      </c>
      <c r="AC189" s="14">
        <v>32</v>
      </c>
      <c r="AF189" s="14">
        <v>5</v>
      </c>
      <c r="AH189" s="14">
        <v>629</v>
      </c>
      <c r="AI189" s="14">
        <v>58</v>
      </c>
      <c r="AJ189" s="14">
        <v>21</v>
      </c>
      <c r="AK189" s="14">
        <v>28</v>
      </c>
      <c r="AL189" s="14">
        <v>58</v>
      </c>
      <c r="AM189" s="14">
        <v>15</v>
      </c>
      <c r="AN189" s="14">
        <v>32</v>
      </c>
      <c r="AO189" s="14">
        <v>134</v>
      </c>
      <c r="AP189" s="14">
        <v>24</v>
      </c>
      <c r="AQ189" s="14">
        <v>1</v>
      </c>
      <c r="AS189" s="14">
        <v>22</v>
      </c>
      <c r="AT189" s="14">
        <v>8</v>
      </c>
    </row>
    <row r="190" spans="1:46" x14ac:dyDescent="0.25">
      <c r="A190" s="14">
        <v>22</v>
      </c>
      <c r="G190" s="14">
        <v>36</v>
      </c>
      <c r="L190" s="14">
        <v>72</v>
      </c>
      <c r="R190" s="14">
        <v>7</v>
      </c>
      <c r="U190" s="14">
        <v>253</v>
      </c>
      <c r="W190" s="14">
        <v>3</v>
      </c>
      <c r="AA190" s="14">
        <v>222</v>
      </c>
      <c r="AB190" s="14">
        <v>101</v>
      </c>
      <c r="AC190" s="14">
        <v>36</v>
      </c>
      <c r="AF190" s="14">
        <v>9</v>
      </c>
      <c r="AH190" s="14">
        <v>857</v>
      </c>
      <c r="AI190" s="14">
        <v>56</v>
      </c>
      <c r="AJ190" s="14">
        <v>29</v>
      </c>
      <c r="AK190" s="14">
        <v>43</v>
      </c>
      <c r="AL190" s="14">
        <v>59</v>
      </c>
      <c r="AM190" s="14">
        <v>16</v>
      </c>
      <c r="AN190" s="14">
        <v>940</v>
      </c>
      <c r="AO190" s="14">
        <v>988</v>
      </c>
      <c r="AP190" s="14">
        <v>18</v>
      </c>
      <c r="AQ190" s="14">
        <v>22</v>
      </c>
      <c r="AS190" s="14">
        <v>45</v>
      </c>
      <c r="AT190" s="14">
        <v>7</v>
      </c>
    </row>
    <row r="191" spans="1:46" x14ac:dyDescent="0.25">
      <c r="A191" s="14">
        <v>292</v>
      </c>
      <c r="G191" s="14">
        <v>34</v>
      </c>
      <c r="L191" s="14">
        <v>24</v>
      </c>
      <c r="R191" s="14">
        <v>7</v>
      </c>
      <c r="U191" s="14">
        <v>892</v>
      </c>
      <c r="W191" s="14">
        <v>3</v>
      </c>
      <c r="AA191" s="14">
        <v>193</v>
      </c>
      <c r="AB191" s="14">
        <v>37</v>
      </c>
      <c r="AC191" s="14">
        <v>33</v>
      </c>
      <c r="AF191" s="14">
        <v>4</v>
      </c>
      <c r="AH191" s="14">
        <v>172</v>
      </c>
      <c r="AI191" s="14">
        <v>52</v>
      </c>
      <c r="AJ191" s="14">
        <v>31</v>
      </c>
      <c r="AK191" s="14">
        <v>58</v>
      </c>
      <c r="AL191" s="14">
        <v>53</v>
      </c>
      <c r="AM191" s="14">
        <v>17</v>
      </c>
      <c r="AN191" s="14">
        <v>353</v>
      </c>
      <c r="AO191" s="14">
        <v>155</v>
      </c>
      <c r="AP191" s="14">
        <v>21</v>
      </c>
      <c r="AQ191" s="14">
        <v>14</v>
      </c>
      <c r="AS191" s="14">
        <v>29</v>
      </c>
      <c r="AT191" s="14">
        <v>6</v>
      </c>
    </row>
    <row r="192" spans="1:46" x14ac:dyDescent="0.25">
      <c r="A192" s="14">
        <v>104</v>
      </c>
      <c r="G192" s="14">
        <v>36</v>
      </c>
      <c r="L192" s="14">
        <v>63</v>
      </c>
      <c r="R192" s="14">
        <v>5</v>
      </c>
      <c r="U192" s="14">
        <v>102</v>
      </c>
      <c r="W192" s="14">
        <v>4</v>
      </c>
      <c r="AA192" s="14">
        <v>304</v>
      </c>
      <c r="AB192" s="14">
        <v>28</v>
      </c>
      <c r="AC192" s="14">
        <v>32</v>
      </c>
      <c r="AF192" s="14">
        <v>12</v>
      </c>
      <c r="AH192" s="14">
        <v>222</v>
      </c>
      <c r="AI192" s="14">
        <v>31</v>
      </c>
      <c r="AJ192" s="14">
        <v>38</v>
      </c>
      <c r="AK192" s="14">
        <v>11</v>
      </c>
      <c r="AL192" s="14">
        <v>83</v>
      </c>
      <c r="AM192" s="14">
        <v>10</v>
      </c>
      <c r="AN192" s="14">
        <v>271</v>
      </c>
      <c r="AO192" s="14">
        <v>83</v>
      </c>
      <c r="AP192" s="14">
        <v>31</v>
      </c>
      <c r="AQ192" s="14">
        <v>13</v>
      </c>
      <c r="AS192" s="14">
        <v>22</v>
      </c>
      <c r="AT192" s="14">
        <v>6</v>
      </c>
    </row>
    <row r="193" spans="1:46" x14ac:dyDescent="0.25">
      <c r="A193" s="14">
        <v>22</v>
      </c>
      <c r="G193" s="14">
        <v>34</v>
      </c>
      <c r="L193" s="14">
        <v>85</v>
      </c>
      <c r="R193" s="14">
        <v>11</v>
      </c>
      <c r="U193" s="14">
        <v>371</v>
      </c>
      <c r="W193" s="14">
        <v>4</v>
      </c>
      <c r="AA193" s="14">
        <v>231</v>
      </c>
      <c r="AB193" s="14">
        <v>27</v>
      </c>
      <c r="AC193" s="14">
        <v>36</v>
      </c>
      <c r="AF193" s="14">
        <v>9</v>
      </c>
      <c r="AH193" s="14">
        <v>200</v>
      </c>
      <c r="AI193" s="14">
        <v>41</v>
      </c>
      <c r="AJ193" s="14">
        <v>48</v>
      </c>
      <c r="AK193" s="14">
        <v>1</v>
      </c>
      <c r="AL193" s="14">
        <v>71</v>
      </c>
      <c r="AM193" s="14">
        <v>148</v>
      </c>
      <c r="AN193" s="14">
        <v>364</v>
      </c>
      <c r="AO193" s="14">
        <v>2</v>
      </c>
      <c r="AP193" s="14">
        <v>27</v>
      </c>
      <c r="AQ193" s="14">
        <v>495</v>
      </c>
      <c r="AS193" s="14">
        <v>39</v>
      </c>
      <c r="AT193" s="14">
        <v>284</v>
      </c>
    </row>
    <row r="194" spans="1:46" x14ac:dyDescent="0.25">
      <c r="A194" s="14">
        <v>3</v>
      </c>
      <c r="G194" s="14">
        <v>34</v>
      </c>
      <c r="L194" s="14">
        <v>14</v>
      </c>
      <c r="R194" s="14">
        <v>13</v>
      </c>
      <c r="U194" s="14">
        <v>583</v>
      </c>
      <c r="W194" s="14">
        <v>3</v>
      </c>
      <c r="AA194" s="14">
        <v>192</v>
      </c>
      <c r="AB194" s="14">
        <v>27</v>
      </c>
      <c r="AC194" s="14">
        <v>31</v>
      </c>
      <c r="AF194" s="14">
        <v>5</v>
      </c>
      <c r="AH194" s="14">
        <v>195</v>
      </c>
      <c r="AI194" s="14">
        <v>97</v>
      </c>
      <c r="AJ194" s="14">
        <v>51</v>
      </c>
      <c r="AK194" s="14">
        <v>66</v>
      </c>
      <c r="AL194" s="14">
        <v>53</v>
      </c>
      <c r="AM194" s="14">
        <v>17</v>
      </c>
      <c r="AN194" s="14">
        <v>361</v>
      </c>
      <c r="AO194" s="14">
        <v>5</v>
      </c>
      <c r="AP194" s="14">
        <v>21</v>
      </c>
      <c r="AQ194" s="14">
        <v>660</v>
      </c>
      <c r="AS194" s="14">
        <v>35</v>
      </c>
      <c r="AT194" s="14">
        <v>285</v>
      </c>
    </row>
    <row r="195" spans="1:46" x14ac:dyDescent="0.25">
      <c r="A195" s="14">
        <v>23</v>
      </c>
      <c r="G195" s="14">
        <v>26</v>
      </c>
      <c r="L195" s="14">
        <v>67</v>
      </c>
      <c r="R195" s="14">
        <v>21</v>
      </c>
      <c r="U195" s="14">
        <v>839</v>
      </c>
      <c r="W195" s="14">
        <v>5</v>
      </c>
      <c r="AA195" s="14">
        <v>163</v>
      </c>
      <c r="AB195" s="14">
        <v>22</v>
      </c>
      <c r="AC195" s="14">
        <v>34</v>
      </c>
      <c r="AF195" s="14">
        <v>3</v>
      </c>
      <c r="AH195" s="14">
        <v>118</v>
      </c>
      <c r="AI195" s="14">
        <v>76</v>
      </c>
      <c r="AJ195" s="14">
        <v>51</v>
      </c>
      <c r="AK195" s="14">
        <v>54</v>
      </c>
      <c r="AL195" s="14">
        <v>99</v>
      </c>
      <c r="AM195" s="14">
        <v>11</v>
      </c>
      <c r="AN195" s="14">
        <v>456</v>
      </c>
      <c r="AO195" s="14">
        <v>13</v>
      </c>
      <c r="AP195" s="14">
        <v>24</v>
      </c>
      <c r="AQ195" s="14">
        <v>295</v>
      </c>
      <c r="AS195" s="14">
        <v>69</v>
      </c>
      <c r="AT195" s="14">
        <v>156</v>
      </c>
    </row>
    <row r="196" spans="1:46" x14ac:dyDescent="0.25">
      <c r="A196" s="14">
        <v>2</v>
      </c>
      <c r="G196" s="14">
        <v>26</v>
      </c>
      <c r="L196" s="14">
        <v>16</v>
      </c>
      <c r="R196" s="14">
        <v>24</v>
      </c>
      <c r="U196" s="14">
        <v>24</v>
      </c>
      <c r="W196" s="14">
        <v>15</v>
      </c>
      <c r="AA196" s="14">
        <v>188</v>
      </c>
      <c r="AB196" s="14">
        <v>20</v>
      </c>
      <c r="AC196" s="14">
        <v>39</v>
      </c>
      <c r="AF196" s="14">
        <v>9</v>
      </c>
      <c r="AH196" s="14">
        <v>109</v>
      </c>
      <c r="AI196" s="14">
        <v>71</v>
      </c>
      <c r="AJ196" s="14">
        <v>53</v>
      </c>
      <c r="AK196" s="14">
        <v>85</v>
      </c>
      <c r="AL196" s="14">
        <v>48</v>
      </c>
      <c r="AM196" s="14">
        <v>12</v>
      </c>
      <c r="AN196" s="14">
        <v>68</v>
      </c>
      <c r="AO196" s="14">
        <v>6</v>
      </c>
      <c r="AP196" s="14">
        <v>27</v>
      </c>
      <c r="AQ196" s="14">
        <v>109</v>
      </c>
      <c r="AS196" s="14">
        <v>33</v>
      </c>
      <c r="AT196" s="14">
        <v>157</v>
      </c>
    </row>
    <row r="197" spans="1:46" x14ac:dyDescent="0.25">
      <c r="G197" s="14">
        <v>909</v>
      </c>
      <c r="L197" s="14">
        <v>148</v>
      </c>
      <c r="R197" s="14">
        <v>28</v>
      </c>
      <c r="U197" s="14">
        <v>149</v>
      </c>
      <c r="W197" s="14">
        <v>194</v>
      </c>
      <c r="AA197" s="14">
        <v>247</v>
      </c>
      <c r="AB197" s="14">
        <v>17</v>
      </c>
      <c r="AC197" s="14">
        <v>17</v>
      </c>
      <c r="AF197" s="14">
        <v>4</v>
      </c>
      <c r="AH197" s="14">
        <v>124</v>
      </c>
      <c r="AI197" s="14">
        <v>60</v>
      </c>
      <c r="AJ197" s="14">
        <v>46</v>
      </c>
      <c r="AK197" s="14">
        <v>37</v>
      </c>
      <c r="AL197" s="14">
        <v>26</v>
      </c>
      <c r="AM197" s="14">
        <v>12</v>
      </c>
      <c r="AN197" s="14">
        <v>188</v>
      </c>
      <c r="AO197" s="14">
        <v>49</v>
      </c>
      <c r="AP197" s="14">
        <v>16</v>
      </c>
      <c r="AQ197" s="14">
        <v>105</v>
      </c>
      <c r="AS197" s="14">
        <v>25</v>
      </c>
      <c r="AT197" s="14">
        <v>133</v>
      </c>
    </row>
    <row r="198" spans="1:46" x14ac:dyDescent="0.25">
      <c r="G198" s="14">
        <v>135</v>
      </c>
      <c r="L198" s="14">
        <v>161</v>
      </c>
      <c r="R198" s="14">
        <v>23</v>
      </c>
      <c r="U198" s="14">
        <v>110</v>
      </c>
      <c r="W198" s="14">
        <v>36</v>
      </c>
      <c r="AA198" s="14">
        <v>193</v>
      </c>
      <c r="AB198" s="14">
        <v>18</v>
      </c>
      <c r="AC198" s="14">
        <v>17</v>
      </c>
      <c r="AF198" s="14">
        <v>5</v>
      </c>
      <c r="AH198" s="14">
        <v>121</v>
      </c>
      <c r="AI198" s="14">
        <v>34</v>
      </c>
      <c r="AJ198" s="14">
        <v>26</v>
      </c>
      <c r="AK198" s="14">
        <v>67</v>
      </c>
      <c r="AL198" s="14">
        <v>50</v>
      </c>
      <c r="AM198" s="14">
        <v>43</v>
      </c>
      <c r="AN198" s="14">
        <v>348</v>
      </c>
      <c r="AO198" s="14">
        <v>60</v>
      </c>
      <c r="AP198" s="14">
        <v>14</v>
      </c>
      <c r="AQ198" s="14">
        <v>69</v>
      </c>
      <c r="AS198" s="14">
        <v>44</v>
      </c>
      <c r="AT198" s="14">
        <v>133</v>
      </c>
    </row>
    <row r="199" spans="1:46" x14ac:dyDescent="0.25">
      <c r="G199" s="14">
        <v>979</v>
      </c>
      <c r="L199" s="14">
        <v>33</v>
      </c>
      <c r="R199" s="14">
        <v>21</v>
      </c>
      <c r="U199" s="14">
        <v>18</v>
      </c>
      <c r="W199" s="14">
        <v>3</v>
      </c>
      <c r="AA199" s="14">
        <v>240</v>
      </c>
      <c r="AB199" s="14">
        <v>101</v>
      </c>
      <c r="AC199" s="14">
        <v>13</v>
      </c>
      <c r="AF199" s="14">
        <v>3</v>
      </c>
      <c r="AH199" s="14">
        <v>129</v>
      </c>
      <c r="AI199" s="14">
        <v>35</v>
      </c>
      <c r="AJ199" s="14">
        <v>13</v>
      </c>
      <c r="AK199" s="14">
        <v>78</v>
      </c>
      <c r="AL199" s="14">
        <v>118</v>
      </c>
      <c r="AM199" s="14">
        <v>15</v>
      </c>
      <c r="AN199" s="14">
        <v>265</v>
      </c>
      <c r="AO199" s="14">
        <v>82</v>
      </c>
      <c r="AP199" s="14">
        <v>69</v>
      </c>
      <c r="AQ199" s="14">
        <v>273</v>
      </c>
      <c r="AS199" s="14">
        <v>36</v>
      </c>
      <c r="AT199" s="14">
        <v>132</v>
      </c>
    </row>
    <row r="200" spans="1:46" x14ac:dyDescent="0.25">
      <c r="G200" s="14">
        <v>380</v>
      </c>
      <c r="L200" s="14">
        <v>173</v>
      </c>
      <c r="R200" s="14">
        <v>19</v>
      </c>
      <c r="U200" s="14">
        <v>15</v>
      </c>
      <c r="W200" s="14">
        <v>3</v>
      </c>
      <c r="AA200" s="14">
        <v>136</v>
      </c>
      <c r="AB200" s="14">
        <v>90</v>
      </c>
      <c r="AC200" s="14">
        <v>19</v>
      </c>
      <c r="AF200" s="14">
        <v>271</v>
      </c>
      <c r="AH200" s="14">
        <v>107</v>
      </c>
      <c r="AI200" s="14">
        <v>85</v>
      </c>
      <c r="AJ200" s="14">
        <v>13</v>
      </c>
      <c r="AK200" s="14">
        <v>80</v>
      </c>
      <c r="AL200" s="14">
        <v>117</v>
      </c>
      <c r="AM200" s="14">
        <v>13</v>
      </c>
      <c r="AN200" s="14">
        <v>361</v>
      </c>
      <c r="AO200" s="14">
        <v>215</v>
      </c>
      <c r="AP200" s="14">
        <v>27</v>
      </c>
      <c r="AQ200" s="14">
        <v>404</v>
      </c>
      <c r="AS200" s="14">
        <v>75</v>
      </c>
      <c r="AT200" s="14">
        <v>132</v>
      </c>
    </row>
    <row r="201" spans="1:46" x14ac:dyDescent="0.25">
      <c r="G201" s="14">
        <v>977</v>
      </c>
      <c r="L201" s="14">
        <v>41</v>
      </c>
      <c r="R201" s="14">
        <v>18</v>
      </c>
      <c r="U201" s="14">
        <v>83</v>
      </c>
      <c r="W201" s="14">
        <v>3</v>
      </c>
      <c r="AA201" s="14">
        <v>228</v>
      </c>
      <c r="AB201" s="14">
        <v>78</v>
      </c>
      <c r="AC201" s="14">
        <v>27</v>
      </c>
      <c r="AF201" s="14">
        <v>272</v>
      </c>
      <c r="AH201" s="14">
        <v>940</v>
      </c>
      <c r="AI201" s="14">
        <v>68</v>
      </c>
      <c r="AJ201" s="14">
        <v>15</v>
      </c>
      <c r="AK201" s="14">
        <v>76</v>
      </c>
      <c r="AL201" s="14">
        <v>42</v>
      </c>
      <c r="AM201" s="14">
        <v>3</v>
      </c>
      <c r="AN201" s="14">
        <v>358</v>
      </c>
      <c r="AO201" s="14">
        <v>142</v>
      </c>
      <c r="AP201" s="14">
        <v>30</v>
      </c>
      <c r="AQ201" s="14">
        <v>157</v>
      </c>
      <c r="AS201" s="14">
        <v>20</v>
      </c>
      <c r="AT201" s="14">
        <v>278</v>
      </c>
    </row>
    <row r="202" spans="1:46" x14ac:dyDescent="0.25">
      <c r="G202" s="14">
        <v>965</v>
      </c>
      <c r="L202" s="14">
        <v>37</v>
      </c>
      <c r="R202" s="14">
        <v>18</v>
      </c>
      <c r="U202" s="14">
        <v>13</v>
      </c>
      <c r="W202" s="14">
        <v>4</v>
      </c>
      <c r="AA202" s="14">
        <v>253</v>
      </c>
      <c r="AB202" s="14">
        <v>89</v>
      </c>
      <c r="AC202" s="14">
        <v>473</v>
      </c>
      <c r="AF202" s="14">
        <v>456</v>
      </c>
      <c r="AH202" s="14">
        <v>567</v>
      </c>
      <c r="AI202" s="14">
        <v>67</v>
      </c>
      <c r="AJ202" s="14">
        <v>114</v>
      </c>
      <c r="AK202" s="14">
        <v>79</v>
      </c>
      <c r="AL202" s="14">
        <v>53</v>
      </c>
      <c r="AM202" s="14">
        <v>17</v>
      </c>
      <c r="AN202" s="14">
        <v>450</v>
      </c>
      <c r="AO202" s="14">
        <v>190</v>
      </c>
      <c r="AP202" s="14">
        <v>56</v>
      </c>
      <c r="AQ202" s="14">
        <v>276</v>
      </c>
      <c r="AS202" s="14">
        <v>15</v>
      </c>
      <c r="AT202" s="14">
        <v>278</v>
      </c>
    </row>
    <row r="203" spans="1:46" x14ac:dyDescent="0.25">
      <c r="G203" s="14">
        <v>135</v>
      </c>
      <c r="L203" s="14">
        <v>93</v>
      </c>
      <c r="R203" s="14">
        <v>17</v>
      </c>
      <c r="U203" s="14">
        <v>11</v>
      </c>
      <c r="W203" s="14">
        <v>10</v>
      </c>
      <c r="AA203" s="14">
        <v>247</v>
      </c>
      <c r="AB203" s="14">
        <v>93</v>
      </c>
      <c r="AC203" s="14">
        <v>13</v>
      </c>
      <c r="AF203" s="14">
        <v>138</v>
      </c>
      <c r="AH203" s="14">
        <v>112</v>
      </c>
      <c r="AI203" s="14">
        <v>59</v>
      </c>
      <c r="AJ203" s="14">
        <v>619</v>
      </c>
      <c r="AK203" s="14">
        <v>77</v>
      </c>
      <c r="AL203" s="14">
        <v>77</v>
      </c>
      <c r="AM203" s="14">
        <v>13</v>
      </c>
      <c r="AN203" s="14">
        <v>67</v>
      </c>
      <c r="AO203" s="14">
        <v>504</v>
      </c>
      <c r="AP203" s="14">
        <v>62</v>
      </c>
      <c r="AQ203" s="14">
        <v>139</v>
      </c>
      <c r="AS203" s="14">
        <v>27</v>
      </c>
      <c r="AT203" s="14">
        <v>169</v>
      </c>
    </row>
    <row r="204" spans="1:46" x14ac:dyDescent="0.25">
      <c r="G204" s="14">
        <v>983</v>
      </c>
      <c r="L204" s="14">
        <v>17</v>
      </c>
      <c r="R204" s="14">
        <v>19</v>
      </c>
      <c r="U204" s="14">
        <v>549</v>
      </c>
      <c r="W204" s="14">
        <v>3</v>
      </c>
      <c r="AA204" s="14">
        <v>215</v>
      </c>
      <c r="AB204" s="14">
        <v>82</v>
      </c>
      <c r="AC204" s="14">
        <v>19</v>
      </c>
      <c r="AF204" s="14">
        <v>476</v>
      </c>
      <c r="AH204" s="14">
        <v>531</v>
      </c>
      <c r="AI204" s="14">
        <v>33</v>
      </c>
      <c r="AJ204" s="14">
        <v>305</v>
      </c>
      <c r="AK204" s="14">
        <v>9</v>
      </c>
      <c r="AL204" s="14">
        <v>103</v>
      </c>
      <c r="AM204" s="14">
        <v>29</v>
      </c>
      <c r="AN204" s="14">
        <v>190</v>
      </c>
      <c r="AO204" s="14">
        <v>297</v>
      </c>
      <c r="AP204" s="14">
        <v>32</v>
      </c>
      <c r="AQ204" s="14">
        <v>6</v>
      </c>
      <c r="AS204" s="14">
        <v>23</v>
      </c>
      <c r="AT204" s="14">
        <v>169</v>
      </c>
    </row>
    <row r="205" spans="1:46" x14ac:dyDescent="0.25">
      <c r="G205" s="14">
        <v>245</v>
      </c>
      <c r="L205" s="14">
        <v>81</v>
      </c>
      <c r="R205" s="14">
        <v>16</v>
      </c>
      <c r="U205" s="14">
        <v>49</v>
      </c>
      <c r="W205" s="14">
        <v>18</v>
      </c>
      <c r="AA205" s="14">
        <v>394</v>
      </c>
      <c r="AB205" s="14">
        <v>78</v>
      </c>
      <c r="AC205" s="14">
        <v>29</v>
      </c>
      <c r="AF205" s="14">
        <v>452</v>
      </c>
      <c r="AH205" s="14">
        <v>566</v>
      </c>
      <c r="AI205" s="14">
        <v>2</v>
      </c>
      <c r="AJ205" s="14">
        <v>328</v>
      </c>
      <c r="AK205" s="14">
        <v>6</v>
      </c>
      <c r="AL205" s="14">
        <v>86</v>
      </c>
      <c r="AM205" s="14">
        <v>33</v>
      </c>
      <c r="AN205" s="14">
        <v>14</v>
      </c>
      <c r="AO205" s="14">
        <v>116</v>
      </c>
      <c r="AP205" s="14">
        <v>23</v>
      </c>
      <c r="AQ205" s="14">
        <v>5</v>
      </c>
      <c r="AS205" s="14">
        <v>45</v>
      </c>
      <c r="AT205" s="14">
        <v>148</v>
      </c>
    </row>
    <row r="206" spans="1:46" x14ac:dyDescent="0.25">
      <c r="G206" s="14">
        <v>302</v>
      </c>
      <c r="L206" s="14">
        <v>27</v>
      </c>
      <c r="R206" s="14">
        <v>15</v>
      </c>
      <c r="U206" s="14">
        <v>56</v>
      </c>
      <c r="W206" s="14">
        <v>310</v>
      </c>
      <c r="AA206" s="14">
        <v>277</v>
      </c>
      <c r="AB206" s="14">
        <v>90</v>
      </c>
      <c r="AC206" s="14">
        <v>5</v>
      </c>
      <c r="AF206" s="14">
        <v>464</v>
      </c>
      <c r="AH206" s="14">
        <v>889</v>
      </c>
      <c r="AI206" s="14">
        <v>45</v>
      </c>
      <c r="AJ206" s="14">
        <v>160</v>
      </c>
      <c r="AK206" s="14">
        <v>7</v>
      </c>
      <c r="AL206" s="14">
        <v>75</v>
      </c>
      <c r="AM206" s="14">
        <v>33</v>
      </c>
      <c r="AN206" s="14">
        <v>15</v>
      </c>
      <c r="AO206" s="14">
        <v>133</v>
      </c>
      <c r="AP206" s="14">
        <v>43</v>
      </c>
      <c r="AQ206" s="14">
        <v>104</v>
      </c>
      <c r="AS206" s="14">
        <v>29</v>
      </c>
      <c r="AT206" s="14">
        <v>148</v>
      </c>
    </row>
    <row r="207" spans="1:46" x14ac:dyDescent="0.25">
      <c r="G207" s="14">
        <v>283</v>
      </c>
      <c r="L207" s="14">
        <v>17</v>
      </c>
      <c r="R207" s="14">
        <v>11</v>
      </c>
      <c r="U207" s="14">
        <v>92</v>
      </c>
      <c r="W207" s="14">
        <v>53</v>
      </c>
      <c r="AA207" s="14">
        <v>226</v>
      </c>
      <c r="AB207" s="14">
        <v>43</v>
      </c>
      <c r="AC207" s="14">
        <v>46</v>
      </c>
      <c r="AF207" s="14">
        <v>766</v>
      </c>
      <c r="AH207" s="14">
        <v>124</v>
      </c>
      <c r="AI207" s="14">
        <v>37</v>
      </c>
      <c r="AJ207" s="14">
        <v>328</v>
      </c>
      <c r="AK207" s="14">
        <v>16</v>
      </c>
      <c r="AL207" s="14">
        <v>120</v>
      </c>
      <c r="AM207" s="14">
        <v>19</v>
      </c>
      <c r="AN207" s="14">
        <v>11</v>
      </c>
      <c r="AO207" s="14">
        <v>992</v>
      </c>
      <c r="AP207" s="14">
        <v>36</v>
      </c>
      <c r="AQ207" s="14">
        <v>108</v>
      </c>
      <c r="AS207" s="14">
        <v>22</v>
      </c>
      <c r="AT207" s="14">
        <v>146</v>
      </c>
    </row>
    <row r="208" spans="1:46" x14ac:dyDescent="0.25">
      <c r="G208" s="14">
        <v>712</v>
      </c>
      <c r="L208" s="14">
        <v>50</v>
      </c>
      <c r="R208" s="14">
        <v>21</v>
      </c>
      <c r="U208" s="14">
        <v>115</v>
      </c>
      <c r="W208" s="14">
        <v>5</v>
      </c>
      <c r="AA208" s="14">
        <v>179</v>
      </c>
      <c r="AB208" s="14">
        <v>40</v>
      </c>
      <c r="AC208" s="14">
        <v>292</v>
      </c>
      <c r="AF208" s="14">
        <v>261</v>
      </c>
      <c r="AH208" s="14">
        <v>200</v>
      </c>
      <c r="AI208" s="14">
        <v>35</v>
      </c>
      <c r="AJ208" s="14">
        <v>185</v>
      </c>
      <c r="AK208" s="14">
        <v>29</v>
      </c>
      <c r="AL208" s="14">
        <v>58</v>
      </c>
      <c r="AM208" s="14">
        <v>239</v>
      </c>
      <c r="AN208" s="14">
        <v>9</v>
      </c>
      <c r="AO208" s="14">
        <v>145</v>
      </c>
      <c r="AP208" s="14">
        <v>45</v>
      </c>
      <c r="AQ208" s="14">
        <v>15</v>
      </c>
      <c r="AS208" s="14">
        <v>42</v>
      </c>
      <c r="AT208" s="14">
        <v>146</v>
      </c>
    </row>
    <row r="209" spans="7:46" x14ac:dyDescent="0.25">
      <c r="G209" s="14">
        <v>252</v>
      </c>
      <c r="L209" s="14">
        <v>5</v>
      </c>
      <c r="R209" s="14">
        <v>24</v>
      </c>
      <c r="U209" s="14">
        <v>16</v>
      </c>
      <c r="W209" s="14">
        <v>5</v>
      </c>
      <c r="AA209" s="14">
        <v>211</v>
      </c>
      <c r="AB209" s="14">
        <v>33</v>
      </c>
      <c r="AC209" s="14">
        <v>210</v>
      </c>
      <c r="AF209" s="14">
        <v>828</v>
      </c>
      <c r="AH209" s="14">
        <v>821</v>
      </c>
      <c r="AI209" s="14">
        <v>28</v>
      </c>
      <c r="AJ209" s="14">
        <v>616</v>
      </c>
      <c r="AK209" s="14">
        <v>44</v>
      </c>
      <c r="AL209" s="14">
        <v>60</v>
      </c>
      <c r="AM209" s="14">
        <v>28</v>
      </c>
      <c r="AN209" s="14">
        <v>271</v>
      </c>
      <c r="AO209" s="14">
        <v>77</v>
      </c>
      <c r="AP209" s="14">
        <v>49</v>
      </c>
      <c r="AQ209" s="14">
        <v>14</v>
      </c>
      <c r="AS209" s="14">
        <v>58</v>
      </c>
      <c r="AT209" s="14">
        <v>405</v>
      </c>
    </row>
    <row r="210" spans="7:46" x14ac:dyDescent="0.25">
      <c r="G210" s="14">
        <v>267</v>
      </c>
      <c r="L210" s="14">
        <v>29</v>
      </c>
      <c r="R210" s="14">
        <v>16</v>
      </c>
      <c r="U210" s="14">
        <v>15</v>
      </c>
      <c r="W210" s="14">
        <v>5</v>
      </c>
      <c r="AA210" s="14">
        <v>269</v>
      </c>
      <c r="AB210" s="14">
        <v>32</v>
      </c>
      <c r="AC210" s="14">
        <v>299</v>
      </c>
      <c r="AF210" s="14">
        <v>652</v>
      </c>
      <c r="AH210" s="14">
        <v>978</v>
      </c>
      <c r="AI210" s="14">
        <v>19</v>
      </c>
      <c r="AJ210" s="14">
        <v>830</v>
      </c>
      <c r="AK210" s="14">
        <v>44</v>
      </c>
      <c r="AL210" s="14">
        <v>54</v>
      </c>
      <c r="AM210" s="14">
        <v>19</v>
      </c>
      <c r="AN210" s="14">
        <v>3</v>
      </c>
      <c r="AO210" s="14">
        <v>2</v>
      </c>
      <c r="AP210" s="14">
        <v>42</v>
      </c>
      <c r="AQ210" s="14">
        <v>536</v>
      </c>
      <c r="AS210" s="14">
        <v>131</v>
      </c>
      <c r="AT210" s="14">
        <v>381</v>
      </c>
    </row>
    <row r="211" spans="7:46" x14ac:dyDescent="0.25">
      <c r="G211" s="14">
        <v>422</v>
      </c>
      <c r="L211" s="14">
        <v>10</v>
      </c>
      <c r="R211" s="14">
        <v>20</v>
      </c>
      <c r="U211" s="14">
        <v>215</v>
      </c>
      <c r="W211" s="14">
        <v>6</v>
      </c>
      <c r="AA211" s="14">
        <v>210</v>
      </c>
      <c r="AB211" s="14">
        <v>23</v>
      </c>
      <c r="AC211" s="14">
        <v>106</v>
      </c>
      <c r="AF211" s="14">
        <v>738</v>
      </c>
      <c r="AH211" s="14">
        <v>484</v>
      </c>
      <c r="AI211" s="14">
        <v>27</v>
      </c>
      <c r="AJ211" s="14">
        <v>831</v>
      </c>
      <c r="AK211" s="14">
        <v>22</v>
      </c>
      <c r="AL211" s="14">
        <v>84</v>
      </c>
      <c r="AM211" s="14">
        <v>249</v>
      </c>
      <c r="AN211" s="14">
        <v>82</v>
      </c>
      <c r="AO211" s="14">
        <v>4</v>
      </c>
      <c r="AP211" s="14">
        <v>13</v>
      </c>
      <c r="AQ211" s="14">
        <v>700</v>
      </c>
      <c r="AS211" s="14">
        <v>32</v>
      </c>
      <c r="AT211" s="14">
        <v>257</v>
      </c>
    </row>
    <row r="212" spans="7:46" x14ac:dyDescent="0.25">
      <c r="G212" s="14">
        <v>336</v>
      </c>
      <c r="L212" s="14">
        <v>45</v>
      </c>
      <c r="R212" s="14">
        <v>34</v>
      </c>
      <c r="U212" s="14">
        <v>271</v>
      </c>
      <c r="W212" s="14">
        <v>7</v>
      </c>
      <c r="AA212" s="14">
        <v>280</v>
      </c>
      <c r="AB212" s="14">
        <v>25</v>
      </c>
      <c r="AC212" s="14">
        <v>1</v>
      </c>
      <c r="AF212" s="14">
        <v>111</v>
      </c>
      <c r="AH212" s="14">
        <v>946</v>
      </c>
      <c r="AI212" s="14">
        <v>59</v>
      </c>
      <c r="AJ212" s="14">
        <v>15</v>
      </c>
      <c r="AK212" s="14">
        <v>1</v>
      </c>
      <c r="AL212" s="14">
        <v>71</v>
      </c>
      <c r="AM212" s="14">
        <v>20</v>
      </c>
      <c r="AN212" s="14">
        <v>152</v>
      </c>
      <c r="AO212" s="14">
        <v>12</v>
      </c>
      <c r="AP212" s="14">
        <v>69</v>
      </c>
      <c r="AQ212" s="14">
        <v>315</v>
      </c>
      <c r="AS212" s="14">
        <v>24</v>
      </c>
      <c r="AT212" s="14">
        <v>254</v>
      </c>
    </row>
    <row r="213" spans="7:46" x14ac:dyDescent="0.25">
      <c r="G213" s="14">
        <v>103</v>
      </c>
      <c r="L213" s="14">
        <v>76</v>
      </c>
      <c r="R213" s="14">
        <v>25</v>
      </c>
      <c r="U213" s="14">
        <v>247</v>
      </c>
      <c r="W213" s="14">
        <v>30</v>
      </c>
      <c r="AA213" s="14">
        <v>152</v>
      </c>
      <c r="AB213" s="14">
        <v>19</v>
      </c>
      <c r="AC213" s="14">
        <v>251</v>
      </c>
      <c r="AF213" s="14">
        <v>362</v>
      </c>
      <c r="AH213" s="14">
        <v>458</v>
      </c>
      <c r="AI213" s="14">
        <v>40</v>
      </c>
      <c r="AJ213" s="14">
        <v>15</v>
      </c>
      <c r="AK213" s="14">
        <v>72</v>
      </c>
      <c r="AL213" s="14">
        <v>52</v>
      </c>
      <c r="AM213" s="14">
        <v>13</v>
      </c>
      <c r="AN213" s="14">
        <v>1</v>
      </c>
      <c r="AO213" s="14">
        <v>6</v>
      </c>
      <c r="AP213" s="14">
        <v>28</v>
      </c>
      <c r="AQ213" s="14">
        <v>116</v>
      </c>
      <c r="AS213" s="14">
        <v>45</v>
      </c>
      <c r="AT213" s="14">
        <v>322</v>
      </c>
    </row>
    <row r="214" spans="7:46" x14ac:dyDescent="0.25">
      <c r="G214" s="14">
        <v>109</v>
      </c>
      <c r="L214" s="14">
        <v>20</v>
      </c>
      <c r="R214" s="14">
        <v>26</v>
      </c>
      <c r="U214" s="14">
        <v>527</v>
      </c>
      <c r="W214" s="14">
        <v>219</v>
      </c>
      <c r="AA214" s="14">
        <v>272</v>
      </c>
      <c r="AB214" s="14">
        <v>18</v>
      </c>
      <c r="AC214" s="14">
        <v>297</v>
      </c>
      <c r="AF214" s="14">
        <v>19</v>
      </c>
      <c r="AH214" s="14">
        <v>184</v>
      </c>
      <c r="AI214" s="14">
        <v>38</v>
      </c>
      <c r="AJ214" s="14">
        <v>16</v>
      </c>
      <c r="AK214" s="14">
        <v>59</v>
      </c>
      <c r="AL214" s="14">
        <v>97</v>
      </c>
      <c r="AM214" s="14">
        <v>10</v>
      </c>
      <c r="AN214" s="14">
        <v>2</v>
      </c>
      <c r="AO214" s="14">
        <v>48</v>
      </c>
      <c r="AP214" s="14">
        <v>29</v>
      </c>
      <c r="AQ214" s="14">
        <v>112</v>
      </c>
      <c r="AS214" s="14">
        <v>64</v>
      </c>
      <c r="AT214" s="14">
        <v>285</v>
      </c>
    </row>
    <row r="215" spans="7:46" x14ac:dyDescent="0.25">
      <c r="G215" s="14">
        <v>105</v>
      </c>
      <c r="L215" s="14">
        <v>73</v>
      </c>
      <c r="R215" s="14">
        <v>31</v>
      </c>
      <c r="U215" s="14">
        <v>44</v>
      </c>
      <c r="W215" s="14">
        <v>39</v>
      </c>
      <c r="AA215" s="14">
        <v>253</v>
      </c>
      <c r="AB215" s="14">
        <v>426</v>
      </c>
      <c r="AC215" s="14">
        <v>437</v>
      </c>
      <c r="AF215" s="14">
        <v>26</v>
      </c>
      <c r="AH215" s="14">
        <v>139</v>
      </c>
      <c r="AI215" s="14">
        <v>31</v>
      </c>
      <c r="AJ215" s="14">
        <v>38</v>
      </c>
      <c r="AK215" s="14">
        <v>85</v>
      </c>
      <c r="AL215" s="14">
        <v>48</v>
      </c>
      <c r="AM215" s="14">
        <v>34</v>
      </c>
      <c r="AN215" s="14">
        <v>29</v>
      </c>
      <c r="AO215" s="14">
        <v>79</v>
      </c>
      <c r="AP215" s="14">
        <v>54</v>
      </c>
      <c r="AQ215" s="14">
        <v>74</v>
      </c>
      <c r="AS215" s="14">
        <v>120</v>
      </c>
      <c r="AT215" s="14">
        <v>220</v>
      </c>
    </row>
    <row r="216" spans="7:46" x14ac:dyDescent="0.25">
      <c r="G216" s="14">
        <v>124</v>
      </c>
      <c r="L216" s="14">
        <v>13</v>
      </c>
      <c r="R216" s="14">
        <v>26</v>
      </c>
      <c r="U216" s="14">
        <v>50</v>
      </c>
      <c r="W216" s="14">
        <v>4</v>
      </c>
      <c r="AA216" s="14">
        <v>285</v>
      </c>
      <c r="AB216" s="14">
        <v>327</v>
      </c>
      <c r="AC216" s="14">
        <v>432</v>
      </c>
      <c r="AF216" s="14">
        <v>19</v>
      </c>
      <c r="AH216" s="14">
        <v>170</v>
      </c>
      <c r="AI216" s="14">
        <v>15</v>
      </c>
      <c r="AJ216" s="14">
        <v>8</v>
      </c>
      <c r="AK216" s="14">
        <v>39</v>
      </c>
      <c r="AL216" s="14">
        <v>26</v>
      </c>
      <c r="AM216" s="14">
        <v>11</v>
      </c>
      <c r="AN216" s="14">
        <v>381</v>
      </c>
      <c r="AO216" s="14">
        <v>77</v>
      </c>
      <c r="AP216" s="14">
        <v>64</v>
      </c>
      <c r="AQ216" s="14">
        <v>290</v>
      </c>
      <c r="AS216" s="14">
        <v>18</v>
      </c>
      <c r="AT216" s="14">
        <v>220</v>
      </c>
    </row>
    <row r="217" spans="7:46" x14ac:dyDescent="0.25">
      <c r="G217" s="14">
        <v>106</v>
      </c>
      <c r="L217" s="14">
        <v>854</v>
      </c>
      <c r="R217" s="14">
        <v>21</v>
      </c>
      <c r="U217" s="14">
        <v>75</v>
      </c>
      <c r="W217" s="14">
        <v>4</v>
      </c>
      <c r="AA217" s="14">
        <v>247</v>
      </c>
      <c r="AB217" s="14">
        <v>284</v>
      </c>
      <c r="AC217" s="14">
        <v>179</v>
      </c>
      <c r="AF217" s="14">
        <v>164</v>
      </c>
      <c r="AH217" s="14">
        <v>184</v>
      </c>
      <c r="AI217" s="14">
        <v>33</v>
      </c>
      <c r="AJ217" s="14">
        <v>4</v>
      </c>
      <c r="AK217" s="14">
        <v>73</v>
      </c>
      <c r="AL217" s="14">
        <v>51</v>
      </c>
      <c r="AM217" s="14">
        <v>34</v>
      </c>
      <c r="AN217" s="14">
        <v>89</v>
      </c>
      <c r="AO217" s="14">
        <v>238</v>
      </c>
      <c r="AP217" s="14">
        <v>28</v>
      </c>
      <c r="AQ217" s="14">
        <v>435</v>
      </c>
      <c r="AS217" s="14">
        <v>14</v>
      </c>
      <c r="AT217" s="14">
        <v>581</v>
      </c>
    </row>
    <row r="218" spans="7:46" x14ac:dyDescent="0.25">
      <c r="G218" s="14">
        <v>105</v>
      </c>
      <c r="L218" s="14">
        <v>392</v>
      </c>
      <c r="R218" s="14">
        <v>35</v>
      </c>
      <c r="W218" s="14">
        <v>3</v>
      </c>
      <c r="AA218" s="14">
        <v>450</v>
      </c>
      <c r="AB218" s="14">
        <v>311</v>
      </c>
      <c r="AC218" s="14">
        <v>461</v>
      </c>
      <c r="AF218" s="14">
        <v>309</v>
      </c>
      <c r="AH218" s="14">
        <v>179</v>
      </c>
      <c r="AI218" s="14">
        <v>76</v>
      </c>
      <c r="AJ218" s="14">
        <v>15</v>
      </c>
      <c r="AK218" s="14">
        <v>81</v>
      </c>
      <c r="AL218" s="14">
        <v>120</v>
      </c>
      <c r="AM218" s="14">
        <v>33</v>
      </c>
      <c r="AN218" s="14">
        <v>1</v>
      </c>
      <c r="AO218" s="14">
        <v>282</v>
      </c>
      <c r="AP218" s="14">
        <v>25</v>
      </c>
      <c r="AQ218" s="14">
        <v>168</v>
      </c>
      <c r="AS218" s="14">
        <v>26</v>
      </c>
      <c r="AT218" s="14">
        <v>256</v>
      </c>
    </row>
    <row r="219" spans="7:46" x14ac:dyDescent="0.25">
      <c r="G219" s="14">
        <v>256</v>
      </c>
      <c r="R219" s="14">
        <v>25</v>
      </c>
      <c r="W219" s="14">
        <v>6</v>
      </c>
      <c r="AA219" s="14">
        <v>301</v>
      </c>
      <c r="AB219" s="14">
        <v>23</v>
      </c>
      <c r="AC219" s="14">
        <v>491</v>
      </c>
      <c r="AF219" s="14">
        <v>132</v>
      </c>
      <c r="AH219" s="14">
        <v>197</v>
      </c>
      <c r="AI219" s="14">
        <v>56</v>
      </c>
      <c r="AJ219" s="14">
        <v>22</v>
      </c>
      <c r="AK219" s="14">
        <v>84</v>
      </c>
      <c r="AL219" s="14">
        <v>118</v>
      </c>
      <c r="AM219" s="14">
        <v>2</v>
      </c>
      <c r="AN219" s="14">
        <v>1</v>
      </c>
      <c r="AO219" s="14">
        <v>151</v>
      </c>
      <c r="AP219" s="14">
        <v>43</v>
      </c>
      <c r="AQ219" s="14">
        <v>302</v>
      </c>
      <c r="AS219" s="14">
        <v>34</v>
      </c>
      <c r="AT219" s="14">
        <v>224</v>
      </c>
    </row>
    <row r="220" spans="7:46" x14ac:dyDescent="0.25">
      <c r="G220" s="14">
        <v>287</v>
      </c>
      <c r="R220" s="14">
        <v>27</v>
      </c>
      <c r="W220" s="14">
        <v>3</v>
      </c>
      <c r="AA220" s="14">
        <v>286</v>
      </c>
      <c r="AB220" s="14">
        <v>21</v>
      </c>
      <c r="AC220" s="14">
        <v>489</v>
      </c>
      <c r="AF220" s="14">
        <v>370</v>
      </c>
      <c r="AH220" s="14">
        <v>372</v>
      </c>
      <c r="AI220" s="14">
        <v>48</v>
      </c>
      <c r="AJ220" s="14">
        <v>22</v>
      </c>
      <c r="AK220" s="14">
        <v>83</v>
      </c>
      <c r="AL220" s="14">
        <v>40</v>
      </c>
      <c r="AM220" s="14">
        <v>8</v>
      </c>
      <c r="AN220" s="14">
        <v>20</v>
      </c>
      <c r="AO220" s="14">
        <v>730</v>
      </c>
      <c r="AP220" s="14">
        <v>36</v>
      </c>
      <c r="AQ220" s="14">
        <v>148</v>
      </c>
      <c r="AS220" s="14">
        <v>67</v>
      </c>
      <c r="AT220" s="14">
        <v>218</v>
      </c>
    </row>
    <row r="221" spans="7:46" x14ac:dyDescent="0.25">
      <c r="G221" s="14">
        <v>260</v>
      </c>
      <c r="R221" s="14">
        <v>16</v>
      </c>
      <c r="W221" s="14">
        <v>19</v>
      </c>
      <c r="AA221" s="14">
        <v>208</v>
      </c>
      <c r="AB221" s="14">
        <v>16</v>
      </c>
      <c r="AC221" s="14">
        <v>74</v>
      </c>
      <c r="AF221" s="14">
        <v>532</v>
      </c>
      <c r="AH221" s="14">
        <v>145</v>
      </c>
      <c r="AI221" s="14">
        <v>43</v>
      </c>
      <c r="AJ221" s="14">
        <v>21</v>
      </c>
      <c r="AK221" s="14">
        <v>87</v>
      </c>
      <c r="AL221" s="14">
        <v>51</v>
      </c>
      <c r="AM221" s="14">
        <v>14</v>
      </c>
      <c r="AN221" s="14">
        <v>281</v>
      </c>
      <c r="AO221" s="14">
        <v>427</v>
      </c>
      <c r="AP221" s="14">
        <v>42</v>
      </c>
      <c r="AQ221" s="14">
        <v>6</v>
      </c>
      <c r="AS221" s="14">
        <v>30</v>
      </c>
      <c r="AT221" s="14">
        <v>220</v>
      </c>
    </row>
    <row r="222" spans="7:46" x14ac:dyDescent="0.25">
      <c r="G222" s="14">
        <v>258</v>
      </c>
      <c r="R222" s="14">
        <v>20</v>
      </c>
      <c r="AA222" s="14">
        <v>245</v>
      </c>
      <c r="AB222" s="14">
        <v>16</v>
      </c>
      <c r="AC222" s="14">
        <v>410</v>
      </c>
      <c r="AF222" s="14">
        <v>740</v>
      </c>
      <c r="AH222" s="14">
        <v>212</v>
      </c>
      <c r="AI222" s="14">
        <v>24</v>
      </c>
      <c r="AJ222" s="14">
        <v>191</v>
      </c>
      <c r="AK222" s="14">
        <v>86</v>
      </c>
      <c r="AL222" s="14">
        <v>75</v>
      </c>
      <c r="AM222" s="14">
        <v>15</v>
      </c>
      <c r="AN222" s="14">
        <v>102</v>
      </c>
      <c r="AO222" s="14">
        <v>195</v>
      </c>
      <c r="AP222" s="14">
        <v>47</v>
      </c>
      <c r="AQ222" s="14">
        <v>5</v>
      </c>
      <c r="AS222" s="14">
        <v>22</v>
      </c>
      <c r="AT222" s="14">
        <v>217</v>
      </c>
    </row>
    <row r="223" spans="7:46" x14ac:dyDescent="0.25">
      <c r="G223" s="14">
        <v>261</v>
      </c>
      <c r="R223" s="14">
        <v>32</v>
      </c>
      <c r="AA223" s="14">
        <v>288</v>
      </c>
      <c r="AB223" s="14">
        <v>28</v>
      </c>
      <c r="AC223" s="14">
        <v>381</v>
      </c>
      <c r="AF223" s="14">
        <v>122</v>
      </c>
      <c r="AH223" s="14">
        <v>198</v>
      </c>
      <c r="AI223" s="14">
        <v>40</v>
      </c>
      <c r="AJ223" s="14">
        <v>181</v>
      </c>
      <c r="AK223" s="14">
        <v>9</v>
      </c>
      <c r="AL223" s="14">
        <v>104</v>
      </c>
      <c r="AM223" s="14">
        <v>15</v>
      </c>
      <c r="AN223" s="14">
        <v>1</v>
      </c>
      <c r="AO223" s="14">
        <v>114</v>
      </c>
      <c r="AP223" s="14">
        <v>40</v>
      </c>
      <c r="AQ223" s="14">
        <v>102</v>
      </c>
      <c r="AS223" s="14">
        <v>39</v>
      </c>
      <c r="AT223" s="14">
        <v>373</v>
      </c>
    </row>
    <row r="224" spans="7:46" x14ac:dyDescent="0.25">
      <c r="G224" s="14">
        <v>258</v>
      </c>
      <c r="R224" s="14">
        <v>26</v>
      </c>
      <c r="AA224" s="14">
        <v>262</v>
      </c>
      <c r="AB224" s="14">
        <v>27</v>
      </c>
      <c r="AC224" s="14">
        <v>509</v>
      </c>
      <c r="AF224" s="14">
        <v>915</v>
      </c>
      <c r="AH224" s="14">
        <v>162</v>
      </c>
      <c r="AI224" s="14">
        <v>84</v>
      </c>
      <c r="AJ224" s="14">
        <v>10</v>
      </c>
      <c r="AK224" s="14">
        <v>6</v>
      </c>
      <c r="AL224" s="14">
        <v>86</v>
      </c>
      <c r="AM224" s="14">
        <v>10</v>
      </c>
      <c r="AN224" s="14">
        <v>1</v>
      </c>
      <c r="AO224" s="14">
        <v>201</v>
      </c>
      <c r="AP224" s="14">
        <v>23</v>
      </c>
      <c r="AQ224" s="14">
        <v>65</v>
      </c>
      <c r="AS224" s="14">
        <v>58</v>
      </c>
      <c r="AT224" s="14">
        <v>163</v>
      </c>
    </row>
    <row r="225" spans="7:46" x14ac:dyDescent="0.25">
      <c r="G225" s="14">
        <v>186</v>
      </c>
      <c r="R225" s="14">
        <v>28</v>
      </c>
      <c r="AA225" s="14">
        <v>324</v>
      </c>
      <c r="AB225" s="14">
        <v>19</v>
      </c>
      <c r="AC225" s="14">
        <v>149</v>
      </c>
      <c r="AF225" s="14">
        <v>7</v>
      </c>
      <c r="AH225" s="14">
        <v>180</v>
      </c>
      <c r="AI225" s="14">
        <v>55</v>
      </c>
      <c r="AJ225" s="14">
        <v>10</v>
      </c>
      <c r="AK225" s="14">
        <v>7</v>
      </c>
      <c r="AL225" s="14">
        <v>73</v>
      </c>
      <c r="AM225" s="14">
        <v>15</v>
      </c>
      <c r="AN225" s="14">
        <v>21</v>
      </c>
      <c r="AO225" s="14">
        <v>221</v>
      </c>
      <c r="AP225" s="14">
        <v>41</v>
      </c>
      <c r="AQ225" s="14">
        <v>47</v>
      </c>
      <c r="AS225" s="14">
        <v>128</v>
      </c>
      <c r="AT225" s="14">
        <v>197</v>
      </c>
    </row>
    <row r="226" spans="7:46" x14ac:dyDescent="0.25">
      <c r="G226" s="14">
        <v>189</v>
      </c>
      <c r="R226" s="14">
        <v>31</v>
      </c>
      <c r="AA226" s="14">
        <v>169</v>
      </c>
      <c r="AB226" s="14">
        <v>22</v>
      </c>
      <c r="AC226" s="14">
        <v>2</v>
      </c>
      <c r="AF226" s="14">
        <v>7</v>
      </c>
      <c r="AH226" s="14">
        <v>144</v>
      </c>
      <c r="AI226" s="14">
        <v>49</v>
      </c>
      <c r="AJ226" s="14">
        <v>20</v>
      </c>
      <c r="AK226" s="14">
        <v>22</v>
      </c>
      <c r="AL226" s="14">
        <v>102</v>
      </c>
      <c r="AM226" s="14">
        <v>18</v>
      </c>
      <c r="AN226" s="14">
        <v>319</v>
      </c>
      <c r="AO226" s="14">
        <v>114</v>
      </c>
      <c r="AP226" s="14">
        <v>61</v>
      </c>
      <c r="AQ226" s="14">
        <v>1866</v>
      </c>
      <c r="AS226" s="14">
        <v>33</v>
      </c>
      <c r="AT226" s="14">
        <v>160</v>
      </c>
    </row>
    <row r="227" spans="7:46" x14ac:dyDescent="0.25">
      <c r="G227" s="14">
        <v>190</v>
      </c>
      <c r="R227" s="14">
        <v>22</v>
      </c>
      <c r="AA227" s="14">
        <v>568</v>
      </c>
      <c r="AB227" s="14">
        <v>22</v>
      </c>
      <c r="AC227" s="14">
        <v>375</v>
      </c>
      <c r="AF227" s="14">
        <v>7</v>
      </c>
      <c r="AH227" s="14">
        <v>136</v>
      </c>
      <c r="AI227" s="14">
        <v>44</v>
      </c>
      <c r="AJ227" s="14">
        <v>129</v>
      </c>
      <c r="AK227" s="14">
        <v>17</v>
      </c>
      <c r="AL227" s="14">
        <v>57</v>
      </c>
      <c r="AM227" s="14">
        <v>11</v>
      </c>
      <c r="AN227" s="14">
        <v>82</v>
      </c>
      <c r="AO227" s="14">
        <v>4</v>
      </c>
      <c r="AP227" s="14">
        <v>30</v>
      </c>
      <c r="AQ227" s="14">
        <v>2141</v>
      </c>
      <c r="AS227" s="14">
        <v>25</v>
      </c>
    </row>
    <row r="228" spans="7:46" x14ac:dyDescent="0.25">
      <c r="G228" s="14">
        <v>197</v>
      </c>
      <c r="R228" s="14">
        <v>20</v>
      </c>
      <c r="AA228" s="14">
        <v>399</v>
      </c>
      <c r="AB228" s="14">
        <v>27</v>
      </c>
      <c r="AC228" s="14">
        <v>444</v>
      </c>
      <c r="AF228" s="14">
        <v>11</v>
      </c>
      <c r="AH228" s="14">
        <v>225</v>
      </c>
      <c r="AI228" s="14">
        <v>21</v>
      </c>
      <c r="AJ228" s="14">
        <v>23</v>
      </c>
      <c r="AK228" s="14">
        <v>27</v>
      </c>
      <c r="AL228" s="14">
        <v>58</v>
      </c>
      <c r="AM228" s="14">
        <v>14</v>
      </c>
      <c r="AN228" s="14">
        <v>1</v>
      </c>
      <c r="AO228" s="14">
        <v>7</v>
      </c>
      <c r="AP228" s="14">
        <v>60</v>
      </c>
      <c r="AQ228" s="14">
        <v>938</v>
      </c>
      <c r="AS228" s="14">
        <v>44</v>
      </c>
    </row>
    <row r="229" spans="7:46" x14ac:dyDescent="0.25">
      <c r="G229" s="14">
        <v>194</v>
      </c>
      <c r="R229" s="14">
        <v>30</v>
      </c>
      <c r="AA229" s="14">
        <v>67</v>
      </c>
      <c r="AB229" s="14">
        <v>20</v>
      </c>
      <c r="AC229" s="14">
        <v>793</v>
      </c>
      <c r="AF229" s="14">
        <v>11</v>
      </c>
      <c r="AH229" s="14">
        <v>171</v>
      </c>
      <c r="AI229" s="14">
        <v>43</v>
      </c>
      <c r="AJ229" s="14">
        <v>121</v>
      </c>
      <c r="AK229" s="14">
        <v>40</v>
      </c>
      <c r="AL229" s="14">
        <v>52</v>
      </c>
      <c r="AM229" s="14">
        <v>17</v>
      </c>
      <c r="AN229" s="14">
        <v>12</v>
      </c>
      <c r="AO229" s="14">
        <v>18</v>
      </c>
      <c r="AP229" s="14">
        <v>76</v>
      </c>
      <c r="AQ229" s="14">
        <v>406</v>
      </c>
      <c r="AS229" s="14">
        <v>64</v>
      </c>
    </row>
    <row r="230" spans="7:46" x14ac:dyDescent="0.25">
      <c r="G230" s="14">
        <v>189</v>
      </c>
      <c r="R230" s="14">
        <v>26</v>
      </c>
      <c r="AA230" s="14">
        <v>78</v>
      </c>
      <c r="AB230" s="14">
        <v>24</v>
      </c>
      <c r="AC230" s="14">
        <v>792</v>
      </c>
      <c r="AF230" s="14">
        <v>9</v>
      </c>
      <c r="AH230" s="14">
        <v>134</v>
      </c>
      <c r="AI230" s="14">
        <v>79</v>
      </c>
      <c r="AJ230" s="14">
        <v>247</v>
      </c>
      <c r="AK230" s="14">
        <v>42</v>
      </c>
      <c r="AL230" s="14">
        <v>79</v>
      </c>
      <c r="AM230" s="14">
        <v>50</v>
      </c>
      <c r="AN230" s="14">
        <v>296</v>
      </c>
      <c r="AO230" s="14">
        <v>7</v>
      </c>
      <c r="AP230" s="14">
        <v>78</v>
      </c>
      <c r="AQ230" s="14">
        <v>440</v>
      </c>
      <c r="AS230" s="14">
        <v>120</v>
      </c>
    </row>
    <row r="231" spans="7:46" x14ac:dyDescent="0.25">
      <c r="G231" s="14">
        <v>795</v>
      </c>
      <c r="R231" s="14">
        <v>23</v>
      </c>
      <c r="AA231" s="14">
        <v>707</v>
      </c>
      <c r="AB231" s="14">
        <v>5</v>
      </c>
      <c r="AC231" s="14">
        <v>266</v>
      </c>
      <c r="AF231" s="14">
        <v>9</v>
      </c>
      <c r="AH231" s="14">
        <v>166</v>
      </c>
      <c r="AI231" s="14">
        <v>65</v>
      </c>
      <c r="AJ231" s="14">
        <v>25</v>
      </c>
      <c r="AK231" s="14">
        <v>22</v>
      </c>
      <c r="AL231" s="14">
        <v>67</v>
      </c>
      <c r="AM231" s="14">
        <v>23</v>
      </c>
      <c r="AN231" s="14">
        <v>117</v>
      </c>
      <c r="AO231" s="14">
        <v>67</v>
      </c>
      <c r="AP231" s="14">
        <v>38</v>
      </c>
      <c r="AQ231" s="14">
        <v>210</v>
      </c>
      <c r="AS231" s="14">
        <v>19</v>
      </c>
    </row>
    <row r="232" spans="7:46" x14ac:dyDescent="0.25">
      <c r="G232" s="14">
        <v>812</v>
      </c>
      <c r="R232" s="14">
        <v>9</v>
      </c>
      <c r="AA232" s="14">
        <v>489</v>
      </c>
      <c r="AB232" s="14">
        <v>5</v>
      </c>
      <c r="AC232" s="14">
        <v>725</v>
      </c>
      <c r="AF232" s="14">
        <v>10</v>
      </c>
      <c r="AH232" s="14">
        <v>711</v>
      </c>
      <c r="AI232" s="14">
        <v>77</v>
      </c>
      <c r="AJ232" s="14">
        <v>14</v>
      </c>
      <c r="AK232" s="14">
        <v>228</v>
      </c>
      <c r="AL232" s="14">
        <v>51</v>
      </c>
      <c r="AM232" s="14">
        <v>14</v>
      </c>
      <c r="AN232" s="14">
        <v>1</v>
      </c>
      <c r="AO232" s="14">
        <v>88</v>
      </c>
      <c r="AP232" s="14">
        <v>27</v>
      </c>
      <c r="AQ232" s="14">
        <v>872</v>
      </c>
      <c r="AS232" s="14">
        <v>15</v>
      </c>
    </row>
    <row r="233" spans="7:46" x14ac:dyDescent="0.25">
      <c r="G233" s="14">
        <v>822</v>
      </c>
      <c r="R233" s="14">
        <v>8</v>
      </c>
      <c r="AA233" s="14">
        <v>82</v>
      </c>
      <c r="AB233" s="14">
        <v>4</v>
      </c>
      <c r="AC233" s="14">
        <v>783</v>
      </c>
      <c r="AF233" s="14">
        <v>11</v>
      </c>
      <c r="AH233" s="14">
        <v>138</v>
      </c>
      <c r="AI233" s="14">
        <v>48</v>
      </c>
      <c r="AJ233" s="14">
        <v>13</v>
      </c>
      <c r="AK233" s="14">
        <v>853</v>
      </c>
      <c r="AL233" s="14">
        <v>93</v>
      </c>
      <c r="AM233" s="14">
        <v>17</v>
      </c>
      <c r="AN233" s="14">
        <v>16</v>
      </c>
      <c r="AO233" s="14">
        <v>75</v>
      </c>
      <c r="AP233" s="14">
        <v>81</v>
      </c>
      <c r="AQ233" s="14">
        <v>1530</v>
      </c>
      <c r="AS233" s="14">
        <v>26</v>
      </c>
    </row>
    <row r="234" spans="7:46" x14ac:dyDescent="0.25">
      <c r="G234" s="14">
        <v>815</v>
      </c>
      <c r="R234" s="14">
        <v>13</v>
      </c>
      <c r="AA234" s="14">
        <v>90</v>
      </c>
      <c r="AB234" s="14">
        <v>4</v>
      </c>
      <c r="AC234" s="14">
        <v>784</v>
      </c>
      <c r="AF234" s="14">
        <v>12</v>
      </c>
      <c r="AH234" s="14">
        <v>157</v>
      </c>
      <c r="AI234" s="14">
        <v>31</v>
      </c>
      <c r="AJ234" s="14">
        <v>152</v>
      </c>
      <c r="AK234" s="14">
        <v>81</v>
      </c>
      <c r="AL234" s="14">
        <v>46</v>
      </c>
      <c r="AM234" s="14">
        <v>16</v>
      </c>
      <c r="AN234" s="14">
        <v>356</v>
      </c>
      <c r="AO234" s="14">
        <v>172</v>
      </c>
      <c r="AP234" s="14">
        <v>50</v>
      </c>
      <c r="AQ234" s="14">
        <v>514</v>
      </c>
      <c r="AS234" s="14">
        <v>34</v>
      </c>
    </row>
    <row r="235" spans="7:46" x14ac:dyDescent="0.25">
      <c r="G235" s="14">
        <v>816</v>
      </c>
      <c r="R235" s="14">
        <v>13</v>
      </c>
      <c r="AA235" s="14">
        <v>951</v>
      </c>
      <c r="AB235" s="14">
        <v>139</v>
      </c>
      <c r="AC235" s="14">
        <v>504</v>
      </c>
      <c r="AF235" s="14">
        <v>151</v>
      </c>
      <c r="AH235" s="14">
        <v>165</v>
      </c>
      <c r="AI235" s="14">
        <v>39</v>
      </c>
      <c r="AJ235" s="14">
        <v>17</v>
      </c>
      <c r="AK235" s="14">
        <v>77</v>
      </c>
      <c r="AL235" s="14">
        <v>25</v>
      </c>
      <c r="AM235" s="14">
        <v>17</v>
      </c>
      <c r="AN235" s="14">
        <v>194</v>
      </c>
      <c r="AO235" s="14">
        <v>279</v>
      </c>
      <c r="AP235" s="14">
        <v>49</v>
      </c>
      <c r="AQ235" s="14">
        <v>932</v>
      </c>
      <c r="AS235" s="14">
        <v>67</v>
      </c>
    </row>
    <row r="236" spans="7:46" x14ac:dyDescent="0.25">
      <c r="G236" s="14">
        <v>807</v>
      </c>
      <c r="R236" s="14">
        <v>13</v>
      </c>
      <c r="AA236" s="14">
        <v>653</v>
      </c>
      <c r="AB236" s="14">
        <v>132</v>
      </c>
      <c r="AC236" s="14">
        <v>552</v>
      </c>
      <c r="AF236" s="14">
        <v>163</v>
      </c>
      <c r="AH236" s="14">
        <v>135</v>
      </c>
      <c r="AI236" s="14">
        <v>92</v>
      </c>
      <c r="AJ236" s="14">
        <v>206</v>
      </c>
      <c r="AK236" s="14">
        <v>59</v>
      </c>
      <c r="AL236" s="14">
        <v>47</v>
      </c>
      <c r="AM236" s="14">
        <v>14</v>
      </c>
      <c r="AN236" s="14">
        <v>1</v>
      </c>
      <c r="AO236" s="14">
        <v>145</v>
      </c>
      <c r="AP236" s="14">
        <v>49</v>
      </c>
      <c r="AQ236" s="14">
        <v>509</v>
      </c>
      <c r="AS236" s="14">
        <v>4</v>
      </c>
    </row>
    <row r="237" spans="7:46" x14ac:dyDescent="0.25">
      <c r="G237" s="14">
        <v>738</v>
      </c>
      <c r="R237" s="14">
        <v>25</v>
      </c>
      <c r="AA237" s="14">
        <v>109</v>
      </c>
      <c r="AB237" s="14">
        <v>101</v>
      </c>
      <c r="AC237" s="14">
        <v>505</v>
      </c>
      <c r="AF237" s="14">
        <v>211</v>
      </c>
      <c r="AH237" s="14">
        <v>146</v>
      </c>
      <c r="AI237" s="14">
        <v>64</v>
      </c>
      <c r="AJ237" s="14">
        <v>176</v>
      </c>
      <c r="AK237" s="14">
        <v>104</v>
      </c>
      <c r="AL237" s="14">
        <v>113</v>
      </c>
      <c r="AM237" s="14">
        <v>13</v>
      </c>
      <c r="AN237" s="14">
        <v>2</v>
      </c>
      <c r="AO237" s="14">
        <v>234</v>
      </c>
      <c r="AP237" s="14">
        <v>49</v>
      </c>
      <c r="AQ237" s="14">
        <v>2</v>
      </c>
      <c r="AS237" s="14">
        <v>4</v>
      </c>
    </row>
    <row r="238" spans="7:46" x14ac:dyDescent="0.25">
      <c r="G238" s="14">
        <v>560</v>
      </c>
      <c r="R238" s="14">
        <v>17</v>
      </c>
      <c r="AA238" s="14">
        <v>102</v>
      </c>
      <c r="AB238" s="14">
        <v>116</v>
      </c>
      <c r="AC238" s="14">
        <v>480</v>
      </c>
      <c r="AF238" s="14">
        <v>370</v>
      </c>
      <c r="AH238" s="14">
        <v>135</v>
      </c>
      <c r="AI238" s="14">
        <v>71</v>
      </c>
      <c r="AJ238" s="14">
        <v>9</v>
      </c>
      <c r="AK238" s="14">
        <v>107</v>
      </c>
      <c r="AL238" s="14">
        <v>113</v>
      </c>
      <c r="AM238" s="14">
        <v>15</v>
      </c>
      <c r="AN238" s="14">
        <v>40</v>
      </c>
      <c r="AO238" s="14">
        <v>491</v>
      </c>
      <c r="AP238" s="14">
        <v>92</v>
      </c>
      <c r="AQ238" s="14">
        <v>2</v>
      </c>
      <c r="AS238" s="14">
        <v>3</v>
      </c>
    </row>
    <row r="239" spans="7:46" x14ac:dyDescent="0.25">
      <c r="G239" s="14">
        <v>35</v>
      </c>
      <c r="R239" s="14">
        <v>16</v>
      </c>
      <c r="AA239" s="14">
        <v>8</v>
      </c>
      <c r="AB239" s="14">
        <v>73</v>
      </c>
      <c r="AC239" s="14">
        <v>547</v>
      </c>
      <c r="AF239" s="14">
        <v>366</v>
      </c>
      <c r="AH239" s="14">
        <v>129</v>
      </c>
      <c r="AI239" s="14">
        <v>63</v>
      </c>
      <c r="AJ239" s="14">
        <v>6</v>
      </c>
      <c r="AK239" s="14">
        <v>101</v>
      </c>
      <c r="AL239" s="14">
        <v>22</v>
      </c>
      <c r="AM239" s="14">
        <v>12</v>
      </c>
      <c r="AN239" s="14">
        <v>442</v>
      </c>
      <c r="AO239" s="14">
        <v>658</v>
      </c>
      <c r="AP239" s="14">
        <v>56</v>
      </c>
      <c r="AQ239" s="14">
        <v>471</v>
      </c>
      <c r="AS239" s="14">
        <v>3</v>
      </c>
    </row>
    <row r="240" spans="7:46" x14ac:dyDescent="0.25">
      <c r="G240" s="14">
        <v>49</v>
      </c>
      <c r="R240" s="14">
        <v>122</v>
      </c>
      <c r="AA240" s="14">
        <v>30</v>
      </c>
      <c r="AB240" s="14">
        <v>77</v>
      </c>
      <c r="AC240" s="14">
        <v>479</v>
      </c>
      <c r="AF240" s="14">
        <v>309</v>
      </c>
      <c r="AH240" s="14">
        <v>241</v>
      </c>
      <c r="AI240" s="14">
        <v>25</v>
      </c>
      <c r="AJ240" s="14">
        <v>23</v>
      </c>
      <c r="AK240" s="14">
        <v>90</v>
      </c>
      <c r="AL240" s="14">
        <v>1</v>
      </c>
      <c r="AM240" s="14">
        <v>15</v>
      </c>
      <c r="AN240" s="14">
        <v>200</v>
      </c>
      <c r="AO240" s="14">
        <v>762</v>
      </c>
      <c r="AP240" s="14">
        <v>142</v>
      </c>
      <c r="AQ240" s="14">
        <v>483</v>
      </c>
      <c r="AS240" s="14">
        <v>14</v>
      </c>
    </row>
    <row r="241" spans="7:45" x14ac:dyDescent="0.25">
      <c r="G241" s="14">
        <v>58</v>
      </c>
      <c r="R241" s="14">
        <v>16</v>
      </c>
      <c r="AA241" s="14">
        <v>28</v>
      </c>
      <c r="AB241" s="14">
        <v>66</v>
      </c>
      <c r="AC241" s="14">
        <v>507</v>
      </c>
      <c r="AF241" s="14">
        <v>303</v>
      </c>
      <c r="AH241" s="14">
        <v>306</v>
      </c>
      <c r="AI241" s="14">
        <v>51</v>
      </c>
      <c r="AJ241" s="14">
        <v>48</v>
      </c>
      <c r="AK241" s="14">
        <v>82</v>
      </c>
      <c r="AL241" s="14">
        <v>2</v>
      </c>
      <c r="AM241" s="14">
        <v>18</v>
      </c>
      <c r="AN241" s="14">
        <v>1</v>
      </c>
      <c r="AO241" s="14">
        <v>326</v>
      </c>
      <c r="AP241" s="14">
        <v>94</v>
      </c>
      <c r="AQ241" s="14">
        <v>66</v>
      </c>
      <c r="AS241" s="14">
        <v>12</v>
      </c>
    </row>
    <row r="242" spans="7:45" x14ac:dyDescent="0.25">
      <c r="G242" s="14">
        <v>27</v>
      </c>
      <c r="R242" s="14">
        <v>16</v>
      </c>
      <c r="AA242" s="14">
        <v>18</v>
      </c>
      <c r="AB242" s="14">
        <v>72</v>
      </c>
      <c r="AC242" s="14">
        <v>590</v>
      </c>
      <c r="AF242" s="14">
        <v>319</v>
      </c>
      <c r="AH242" s="14">
        <v>106</v>
      </c>
      <c r="AI242" s="14">
        <v>98</v>
      </c>
      <c r="AJ242" s="14">
        <v>18</v>
      </c>
      <c r="AK242" s="14">
        <v>97</v>
      </c>
      <c r="AL242" s="14">
        <v>2</v>
      </c>
      <c r="AM242" s="14">
        <v>16</v>
      </c>
      <c r="AN242" s="14">
        <v>2</v>
      </c>
      <c r="AO242" s="14">
        <v>283</v>
      </c>
      <c r="AP242" s="14">
        <v>71</v>
      </c>
      <c r="AQ242" s="14">
        <v>48</v>
      </c>
      <c r="AS242" s="14">
        <v>1</v>
      </c>
    </row>
    <row r="243" spans="7:45" x14ac:dyDescent="0.25">
      <c r="G243" s="14">
        <v>25</v>
      </c>
      <c r="R243" s="14">
        <v>22</v>
      </c>
      <c r="AA243" s="14">
        <v>51</v>
      </c>
      <c r="AB243" s="14">
        <v>103</v>
      </c>
      <c r="AC243" s="14">
        <v>263</v>
      </c>
      <c r="AF243" s="14">
        <v>353</v>
      </c>
      <c r="AH243" s="14">
        <v>105</v>
      </c>
      <c r="AI243" s="14">
        <v>85</v>
      </c>
      <c r="AJ243" s="14">
        <v>169</v>
      </c>
      <c r="AK243" s="14">
        <v>125</v>
      </c>
      <c r="AL243" s="14">
        <v>5</v>
      </c>
      <c r="AM243" s="14">
        <v>15</v>
      </c>
      <c r="AN243" s="14">
        <v>32</v>
      </c>
      <c r="AO243" s="14">
        <v>135</v>
      </c>
      <c r="AP243" s="14">
        <v>80</v>
      </c>
      <c r="AQ243" s="14">
        <v>1895</v>
      </c>
      <c r="AS243" s="14">
        <v>16</v>
      </c>
    </row>
    <row r="244" spans="7:45" x14ac:dyDescent="0.25">
      <c r="G244" s="14">
        <v>57</v>
      </c>
      <c r="R244" s="14">
        <v>32</v>
      </c>
      <c r="AA244" s="14">
        <v>32</v>
      </c>
      <c r="AB244" s="14">
        <v>99</v>
      </c>
      <c r="AC244" s="14">
        <v>278</v>
      </c>
      <c r="AF244" s="14">
        <v>314</v>
      </c>
      <c r="AH244" s="14">
        <v>107</v>
      </c>
      <c r="AI244" s="14">
        <v>95</v>
      </c>
      <c r="AJ244" s="14">
        <v>259</v>
      </c>
      <c r="AK244" s="14">
        <v>12</v>
      </c>
      <c r="AL244" s="14">
        <v>5</v>
      </c>
      <c r="AM244" s="14">
        <v>14</v>
      </c>
      <c r="AN244" s="14">
        <v>642</v>
      </c>
      <c r="AO244" s="14">
        <v>7</v>
      </c>
      <c r="AP244" s="14">
        <v>75</v>
      </c>
      <c r="AQ244" s="14">
        <v>2154</v>
      </c>
      <c r="AS244" s="14">
        <v>15</v>
      </c>
    </row>
    <row r="245" spans="7:45" x14ac:dyDescent="0.25">
      <c r="G245" s="14">
        <v>400</v>
      </c>
      <c r="R245" s="14">
        <v>27</v>
      </c>
      <c r="AA245" s="14">
        <v>30</v>
      </c>
      <c r="AB245" s="14">
        <v>85</v>
      </c>
      <c r="AC245" s="14">
        <v>237</v>
      </c>
      <c r="AF245" s="14">
        <v>4</v>
      </c>
      <c r="AH245" s="14">
        <v>106</v>
      </c>
      <c r="AI245" s="14">
        <v>62</v>
      </c>
      <c r="AJ245" s="14">
        <v>10</v>
      </c>
      <c r="AK245" s="14">
        <v>7</v>
      </c>
      <c r="AL245" s="14">
        <v>1</v>
      </c>
      <c r="AM245" s="14">
        <v>15</v>
      </c>
      <c r="AN245" s="14">
        <v>173</v>
      </c>
      <c r="AO245" s="14">
        <v>14</v>
      </c>
      <c r="AP245" s="14">
        <v>77</v>
      </c>
      <c r="AQ245" s="14">
        <v>943</v>
      </c>
      <c r="AS245" s="14">
        <v>1</v>
      </c>
    </row>
    <row r="246" spans="7:45" x14ac:dyDescent="0.25">
      <c r="G246" s="14">
        <v>9</v>
      </c>
      <c r="R246" s="14">
        <v>30</v>
      </c>
      <c r="AA246" s="14">
        <v>19</v>
      </c>
      <c r="AB246" s="14">
        <v>85</v>
      </c>
      <c r="AC246" s="14">
        <v>366</v>
      </c>
      <c r="AF246" s="14">
        <v>5</v>
      </c>
      <c r="AH246" s="14">
        <v>514</v>
      </c>
      <c r="AI246" s="14">
        <v>43</v>
      </c>
      <c r="AJ246" s="14">
        <v>5</v>
      </c>
      <c r="AK246" s="14">
        <v>16</v>
      </c>
      <c r="AL246" s="14">
        <v>2</v>
      </c>
      <c r="AM246" s="14">
        <v>17</v>
      </c>
      <c r="AN246" s="14">
        <v>1</v>
      </c>
      <c r="AO246" s="14">
        <v>8</v>
      </c>
      <c r="AP246" s="14">
        <v>85</v>
      </c>
      <c r="AQ246" s="14">
        <v>408</v>
      </c>
      <c r="AS246" s="14">
        <v>1</v>
      </c>
    </row>
    <row r="247" spans="7:45" x14ac:dyDescent="0.25">
      <c r="G247" s="14">
        <v>9</v>
      </c>
      <c r="R247" s="14">
        <v>48</v>
      </c>
      <c r="AA247" s="14">
        <v>16</v>
      </c>
      <c r="AB247" s="14">
        <v>88</v>
      </c>
      <c r="AC247" s="14">
        <v>501</v>
      </c>
      <c r="AF247" s="14">
        <v>5</v>
      </c>
      <c r="AH247" s="14">
        <v>512</v>
      </c>
      <c r="AI247" s="14">
        <v>49</v>
      </c>
      <c r="AJ247" s="14">
        <v>42</v>
      </c>
      <c r="AK247" s="14">
        <v>30</v>
      </c>
      <c r="AM247" s="14">
        <v>19</v>
      </c>
      <c r="AN247" s="14">
        <v>2</v>
      </c>
      <c r="AO247" s="14">
        <v>84</v>
      </c>
      <c r="AP247" s="14">
        <v>103</v>
      </c>
      <c r="AQ247" s="14">
        <v>442</v>
      </c>
      <c r="AS247" s="14">
        <v>26</v>
      </c>
    </row>
    <row r="248" spans="7:45" x14ac:dyDescent="0.25">
      <c r="G248" s="14">
        <v>10</v>
      </c>
      <c r="R248" s="14">
        <v>28</v>
      </c>
      <c r="AA248" s="14">
        <v>1</v>
      </c>
      <c r="AB248" s="14">
        <v>78</v>
      </c>
      <c r="AC248" s="14">
        <v>75</v>
      </c>
      <c r="AF248" s="14">
        <v>4</v>
      </c>
      <c r="AH248" s="14">
        <v>109</v>
      </c>
      <c r="AI248" s="14">
        <v>111</v>
      </c>
      <c r="AJ248" s="14">
        <v>70</v>
      </c>
      <c r="AK248" s="14">
        <v>41</v>
      </c>
      <c r="AM248" s="14">
        <v>16</v>
      </c>
      <c r="AN248" s="14">
        <v>24</v>
      </c>
      <c r="AO248" s="14">
        <v>105</v>
      </c>
      <c r="AP248" s="14">
        <v>85</v>
      </c>
      <c r="AQ248" s="14">
        <v>211</v>
      </c>
      <c r="AS248" s="14">
        <v>23</v>
      </c>
    </row>
    <row r="249" spans="7:45" x14ac:dyDescent="0.25">
      <c r="G249" s="14">
        <v>9</v>
      </c>
      <c r="R249" s="14">
        <v>31</v>
      </c>
      <c r="AA249" s="14">
        <v>37</v>
      </c>
      <c r="AB249" s="14">
        <v>75</v>
      </c>
      <c r="AC249" s="14">
        <v>7</v>
      </c>
      <c r="AF249" s="14">
        <v>4</v>
      </c>
      <c r="AH249" s="14">
        <v>108</v>
      </c>
      <c r="AI249" s="14">
        <v>69</v>
      </c>
      <c r="AJ249" s="14">
        <v>24</v>
      </c>
      <c r="AK249" s="14">
        <v>36</v>
      </c>
      <c r="AM249" s="14">
        <v>56</v>
      </c>
      <c r="AN249" s="14">
        <v>564</v>
      </c>
      <c r="AO249" s="14">
        <v>90</v>
      </c>
      <c r="AP249" s="14">
        <v>69</v>
      </c>
      <c r="AQ249" s="14">
        <v>878</v>
      </c>
      <c r="AS249" s="14">
        <v>67</v>
      </c>
    </row>
    <row r="250" spans="7:45" x14ac:dyDescent="0.25">
      <c r="G250" s="14">
        <v>9</v>
      </c>
      <c r="R250" s="14">
        <v>144</v>
      </c>
      <c r="AA250" s="14">
        <v>33</v>
      </c>
      <c r="AB250" s="14">
        <v>91</v>
      </c>
      <c r="AC250" s="14">
        <v>5</v>
      </c>
      <c r="AF250" s="14">
        <v>5</v>
      </c>
      <c r="AH250" s="14">
        <v>489</v>
      </c>
      <c r="AI250" s="14">
        <v>84</v>
      </c>
      <c r="AJ250" s="14">
        <v>296</v>
      </c>
      <c r="AK250" s="14">
        <v>124</v>
      </c>
      <c r="AM250" s="14">
        <v>18</v>
      </c>
      <c r="AN250" s="14">
        <v>9</v>
      </c>
      <c r="AO250" s="14">
        <v>114</v>
      </c>
      <c r="AP250" s="14">
        <v>58</v>
      </c>
      <c r="AQ250" s="14">
        <v>1548</v>
      </c>
      <c r="AS250" s="14">
        <v>68</v>
      </c>
    </row>
    <row r="251" spans="7:45" x14ac:dyDescent="0.25">
      <c r="G251" s="14">
        <v>12</v>
      </c>
      <c r="R251" s="14">
        <v>27</v>
      </c>
      <c r="AA251" s="14">
        <v>51</v>
      </c>
      <c r="AB251" s="14">
        <v>18</v>
      </c>
      <c r="AC251" s="14">
        <v>933</v>
      </c>
      <c r="AF251" s="14">
        <v>5</v>
      </c>
      <c r="AH251" s="14">
        <v>473</v>
      </c>
      <c r="AI251" s="14">
        <v>69</v>
      </c>
      <c r="AJ251" s="14">
        <v>268</v>
      </c>
      <c r="AK251" s="14">
        <v>119</v>
      </c>
      <c r="AM251" s="14">
        <v>57</v>
      </c>
      <c r="AN251" s="14">
        <v>8</v>
      </c>
      <c r="AO251" s="14">
        <v>660</v>
      </c>
      <c r="AP251" s="14">
        <v>127</v>
      </c>
      <c r="AQ251" s="14">
        <v>523</v>
      </c>
      <c r="AS251" s="14">
        <v>3</v>
      </c>
    </row>
    <row r="252" spans="7:45" x14ac:dyDescent="0.25">
      <c r="G252" s="14">
        <v>9</v>
      </c>
      <c r="R252" s="14">
        <v>174</v>
      </c>
      <c r="AA252" s="14">
        <v>31</v>
      </c>
      <c r="AB252" s="14">
        <v>21</v>
      </c>
      <c r="AC252" s="14">
        <v>800</v>
      </c>
      <c r="AF252" s="14">
        <v>6</v>
      </c>
      <c r="AH252" s="14">
        <v>939</v>
      </c>
      <c r="AI252" s="14">
        <v>42</v>
      </c>
      <c r="AJ252" s="14">
        <v>11</v>
      </c>
      <c r="AK252" s="14">
        <v>110</v>
      </c>
      <c r="AM252" s="14">
        <v>56</v>
      </c>
      <c r="AN252" s="14">
        <v>4</v>
      </c>
      <c r="AO252" s="14">
        <v>216</v>
      </c>
      <c r="AP252" s="14">
        <v>203</v>
      </c>
      <c r="AQ252" s="14">
        <v>993</v>
      </c>
      <c r="AS252" s="14">
        <v>3</v>
      </c>
    </row>
    <row r="253" spans="7:45" x14ac:dyDescent="0.25">
      <c r="G253" s="14">
        <v>7</v>
      </c>
      <c r="R253" s="14">
        <v>25</v>
      </c>
      <c r="AA253" s="14">
        <v>29</v>
      </c>
      <c r="AB253" s="14">
        <v>16</v>
      </c>
      <c r="AC253" s="14">
        <v>871</v>
      </c>
      <c r="AF253" s="14">
        <v>6</v>
      </c>
      <c r="AH253" s="14">
        <v>983</v>
      </c>
      <c r="AI253" s="14">
        <v>28</v>
      </c>
      <c r="AJ253" s="14">
        <v>6</v>
      </c>
      <c r="AK253" s="14">
        <v>73</v>
      </c>
      <c r="AM253" s="14">
        <v>3</v>
      </c>
      <c r="AN253" s="14">
        <v>8</v>
      </c>
      <c r="AO253" s="14">
        <v>128</v>
      </c>
      <c r="AP253" s="14">
        <v>120</v>
      </c>
      <c r="AQ253" s="14">
        <v>513</v>
      </c>
      <c r="AS253" s="14">
        <v>32</v>
      </c>
    </row>
    <row r="254" spans="7:45" x14ac:dyDescent="0.25">
      <c r="G254" s="14">
        <v>9</v>
      </c>
      <c r="R254" s="14">
        <v>141</v>
      </c>
      <c r="AA254" s="14">
        <v>19</v>
      </c>
      <c r="AB254" s="14">
        <v>16</v>
      </c>
      <c r="AC254" s="14">
        <v>829</v>
      </c>
      <c r="AF254" s="14">
        <v>6</v>
      </c>
      <c r="AH254" s="14">
        <v>484</v>
      </c>
      <c r="AI254" s="14">
        <v>47</v>
      </c>
      <c r="AJ254" s="14">
        <v>24</v>
      </c>
      <c r="AK254" s="14">
        <v>157</v>
      </c>
      <c r="AM254" s="14">
        <v>14</v>
      </c>
      <c r="AN254" s="14">
        <v>8</v>
      </c>
      <c r="AO254" s="14">
        <v>817</v>
      </c>
      <c r="AP254" s="14">
        <v>24</v>
      </c>
      <c r="AQ254" s="14">
        <v>2</v>
      </c>
      <c r="AS254" s="14">
        <v>31</v>
      </c>
    </row>
    <row r="255" spans="7:45" x14ac:dyDescent="0.25">
      <c r="G255" s="14">
        <v>9</v>
      </c>
      <c r="R255" s="14">
        <v>573</v>
      </c>
      <c r="AA255" s="14">
        <v>17</v>
      </c>
      <c r="AB255" s="14">
        <v>43</v>
      </c>
      <c r="AC255" s="14">
        <v>764</v>
      </c>
      <c r="AF255" s="14">
        <v>129</v>
      </c>
      <c r="AH255" s="14">
        <v>472</v>
      </c>
      <c r="AI255" s="14">
        <v>34</v>
      </c>
      <c r="AJ255" s="14">
        <v>52</v>
      </c>
      <c r="AK255" s="14">
        <v>148</v>
      </c>
      <c r="AM255" s="14">
        <v>27</v>
      </c>
      <c r="AN255" s="14">
        <v>7</v>
      </c>
      <c r="AO255" s="14">
        <v>629</v>
      </c>
      <c r="AP255" s="14">
        <v>22</v>
      </c>
      <c r="AQ255" s="14">
        <v>2</v>
      </c>
      <c r="AS255" s="14">
        <v>1</v>
      </c>
    </row>
    <row r="256" spans="7:45" x14ac:dyDescent="0.25">
      <c r="G256" s="14">
        <v>840</v>
      </c>
      <c r="R256" s="14">
        <v>174</v>
      </c>
      <c r="AA256" s="14">
        <v>1</v>
      </c>
      <c r="AB256" s="14">
        <v>38</v>
      </c>
      <c r="AC256" s="14">
        <v>883</v>
      </c>
      <c r="AF256" s="14">
        <v>172</v>
      </c>
      <c r="AH256" s="14">
        <v>804</v>
      </c>
      <c r="AI256" s="14">
        <v>34</v>
      </c>
      <c r="AJ256" s="14">
        <v>28</v>
      </c>
      <c r="AK256" s="14">
        <v>139</v>
      </c>
      <c r="AM256" s="14">
        <v>30</v>
      </c>
      <c r="AN256" s="14">
        <v>6</v>
      </c>
      <c r="AO256" s="14">
        <v>581</v>
      </c>
      <c r="AP256" s="14">
        <v>26</v>
      </c>
      <c r="AQ256" s="14">
        <v>11</v>
      </c>
      <c r="AS256" s="14">
        <v>1</v>
      </c>
    </row>
    <row r="257" spans="7:45" x14ac:dyDescent="0.25">
      <c r="G257" s="14">
        <v>856</v>
      </c>
      <c r="R257" s="14">
        <v>25</v>
      </c>
      <c r="AA257" s="14">
        <v>37</v>
      </c>
      <c r="AB257" s="14">
        <v>30</v>
      </c>
      <c r="AC257" s="14">
        <v>762</v>
      </c>
      <c r="AF257" s="14">
        <v>233</v>
      </c>
      <c r="AH257" s="14">
        <v>788</v>
      </c>
      <c r="AI257" s="14">
        <v>26</v>
      </c>
      <c r="AJ257" s="14">
        <v>332</v>
      </c>
      <c r="AK257" s="14">
        <v>135</v>
      </c>
      <c r="AM257" s="14">
        <v>31</v>
      </c>
      <c r="AN257" s="14">
        <v>6</v>
      </c>
      <c r="AO257" s="14">
        <v>419</v>
      </c>
      <c r="AP257" s="14">
        <v>43</v>
      </c>
      <c r="AQ257" s="14">
        <v>66</v>
      </c>
      <c r="AS257" s="14">
        <v>23</v>
      </c>
    </row>
    <row r="258" spans="7:45" x14ac:dyDescent="0.25">
      <c r="G258" s="14">
        <v>734</v>
      </c>
      <c r="R258" s="14">
        <v>141</v>
      </c>
      <c r="AA258" s="14">
        <v>34</v>
      </c>
      <c r="AB258" s="14">
        <v>30</v>
      </c>
      <c r="AC258" s="14">
        <v>806</v>
      </c>
      <c r="AF258" s="14">
        <v>113</v>
      </c>
      <c r="AH258" s="14">
        <v>459</v>
      </c>
      <c r="AI258" s="14">
        <v>11</v>
      </c>
      <c r="AJ258" s="14">
        <v>324</v>
      </c>
      <c r="AK258" s="14">
        <v>128</v>
      </c>
      <c r="AM258" s="14">
        <v>18</v>
      </c>
      <c r="AN258" s="14">
        <v>7</v>
      </c>
      <c r="AO258" s="14">
        <v>12</v>
      </c>
      <c r="AP258" s="14">
        <v>26</v>
      </c>
      <c r="AQ258" s="14">
        <v>51</v>
      </c>
      <c r="AS258" s="14">
        <v>22</v>
      </c>
    </row>
    <row r="259" spans="7:45" x14ac:dyDescent="0.25">
      <c r="G259" s="14">
        <v>960</v>
      </c>
      <c r="R259" s="14">
        <v>268</v>
      </c>
      <c r="AA259" s="14">
        <v>9</v>
      </c>
      <c r="AB259" s="14">
        <v>23</v>
      </c>
      <c r="AC259" s="14">
        <v>993</v>
      </c>
      <c r="AF259" s="14">
        <v>116</v>
      </c>
      <c r="AH259" s="14">
        <v>461</v>
      </c>
      <c r="AI259" s="14">
        <v>22</v>
      </c>
      <c r="AJ259" s="14">
        <v>14</v>
      </c>
      <c r="AK259" s="14">
        <v>140</v>
      </c>
      <c r="AM259" s="14">
        <v>24</v>
      </c>
      <c r="AN259" s="14">
        <v>4</v>
      </c>
      <c r="AO259" s="14">
        <v>35</v>
      </c>
      <c r="AP259" s="14">
        <v>43</v>
      </c>
      <c r="AQ259" s="14">
        <v>1878</v>
      </c>
      <c r="AS259" s="14">
        <v>1</v>
      </c>
    </row>
    <row r="260" spans="7:45" x14ac:dyDescent="0.25">
      <c r="G260" s="14">
        <v>903</v>
      </c>
      <c r="R260" s="14">
        <v>26</v>
      </c>
      <c r="AA260" s="14">
        <v>35</v>
      </c>
      <c r="AB260" s="14">
        <v>21</v>
      </c>
      <c r="AC260" s="14">
        <v>417</v>
      </c>
      <c r="AF260" s="14">
        <v>122</v>
      </c>
      <c r="AH260" s="14">
        <v>206</v>
      </c>
      <c r="AI260" s="14">
        <v>51</v>
      </c>
      <c r="AJ260" s="14">
        <v>7</v>
      </c>
      <c r="AK260" s="14">
        <v>164</v>
      </c>
      <c r="AM260" s="14">
        <v>28</v>
      </c>
      <c r="AN260" s="14">
        <v>4</v>
      </c>
      <c r="AO260" s="14">
        <v>66</v>
      </c>
      <c r="AP260" s="14">
        <v>37</v>
      </c>
      <c r="AQ260" s="14">
        <v>2271</v>
      </c>
      <c r="AS260" s="14">
        <v>1</v>
      </c>
    </row>
    <row r="261" spans="7:45" x14ac:dyDescent="0.25">
      <c r="G261" s="14">
        <v>243</v>
      </c>
      <c r="R261" s="14">
        <v>149</v>
      </c>
      <c r="AA261" s="14">
        <v>33</v>
      </c>
      <c r="AB261" s="14">
        <v>16</v>
      </c>
      <c r="AC261" s="14">
        <v>419</v>
      </c>
      <c r="AF261" s="14">
        <v>137</v>
      </c>
      <c r="AH261" s="14">
        <v>233</v>
      </c>
      <c r="AI261" s="14">
        <v>35</v>
      </c>
      <c r="AJ261" s="14">
        <v>29</v>
      </c>
      <c r="AK261" s="14">
        <v>17</v>
      </c>
      <c r="AM261" s="14">
        <v>18</v>
      </c>
      <c r="AN261" s="14">
        <v>5</v>
      </c>
      <c r="AO261" s="14">
        <v>12</v>
      </c>
      <c r="AP261" s="14">
        <v>34</v>
      </c>
      <c r="AQ261" s="14">
        <v>983</v>
      </c>
      <c r="AS261" s="14">
        <v>3</v>
      </c>
    </row>
    <row r="262" spans="7:45" x14ac:dyDescent="0.25">
      <c r="G262" s="14">
        <v>863</v>
      </c>
      <c r="R262" s="14">
        <v>1</v>
      </c>
      <c r="AA262" s="14">
        <v>19</v>
      </c>
      <c r="AB262" s="14">
        <v>16</v>
      </c>
      <c r="AC262" s="14">
        <v>357</v>
      </c>
      <c r="AF262" s="14">
        <v>162</v>
      </c>
      <c r="AH262" s="14">
        <v>794</v>
      </c>
      <c r="AI262" s="14">
        <v>37</v>
      </c>
      <c r="AJ262" s="14">
        <v>38</v>
      </c>
      <c r="AK262" s="14">
        <v>9</v>
      </c>
      <c r="AM262" s="14">
        <v>27</v>
      </c>
      <c r="AN262" s="14">
        <v>5</v>
      </c>
      <c r="AO262" s="14">
        <v>633</v>
      </c>
      <c r="AP262" s="14">
        <v>29</v>
      </c>
      <c r="AQ262" s="14">
        <v>423</v>
      </c>
      <c r="AS262" s="14">
        <v>4</v>
      </c>
    </row>
    <row r="263" spans="7:45" x14ac:dyDescent="0.25">
      <c r="G263" s="14">
        <v>650</v>
      </c>
      <c r="AA263" s="14">
        <v>59</v>
      </c>
      <c r="AB263" s="14">
        <v>13</v>
      </c>
      <c r="AC263" s="14">
        <v>506</v>
      </c>
      <c r="AF263" s="14">
        <v>168</v>
      </c>
      <c r="AH263" s="14">
        <v>766</v>
      </c>
      <c r="AI263" s="14">
        <v>24</v>
      </c>
      <c r="AJ263" s="14">
        <v>316</v>
      </c>
      <c r="AK263" s="14">
        <v>25</v>
      </c>
      <c r="AM263" s="14">
        <v>32</v>
      </c>
      <c r="AN263" s="14">
        <v>4</v>
      </c>
      <c r="AO263" s="14">
        <v>318</v>
      </c>
      <c r="AP263" s="14">
        <v>52</v>
      </c>
      <c r="AQ263" s="14">
        <v>470</v>
      </c>
      <c r="AS263" s="14">
        <v>4</v>
      </c>
    </row>
    <row r="264" spans="7:45" x14ac:dyDescent="0.25">
      <c r="G264" s="14">
        <v>204</v>
      </c>
      <c r="AA264" s="14">
        <v>36</v>
      </c>
      <c r="AB264" s="14">
        <v>11</v>
      </c>
      <c r="AC264" s="14">
        <v>889</v>
      </c>
      <c r="AF264" s="14">
        <v>164</v>
      </c>
      <c r="AH264" s="14">
        <v>115</v>
      </c>
      <c r="AI264" s="14">
        <v>15</v>
      </c>
      <c r="AJ264" s="14">
        <v>441</v>
      </c>
      <c r="AK264" s="14">
        <v>42</v>
      </c>
      <c r="AM264" s="14">
        <v>102</v>
      </c>
      <c r="AN264" s="14">
        <v>3</v>
      </c>
      <c r="AO264" s="14">
        <v>103</v>
      </c>
      <c r="AP264" s="14">
        <v>29</v>
      </c>
      <c r="AQ264" s="14">
        <v>214</v>
      </c>
      <c r="AS264" s="14">
        <v>4</v>
      </c>
    </row>
    <row r="265" spans="7:45" x14ac:dyDescent="0.25">
      <c r="G265" s="14">
        <v>198</v>
      </c>
      <c r="AA265" s="14">
        <v>34</v>
      </c>
      <c r="AB265" s="14">
        <v>8</v>
      </c>
      <c r="AC265" s="14">
        <v>118</v>
      </c>
      <c r="AF265" s="14">
        <v>130</v>
      </c>
      <c r="AH265" s="14">
        <v>114</v>
      </c>
      <c r="AI265" s="14">
        <v>26</v>
      </c>
      <c r="AJ265" s="14">
        <v>19</v>
      </c>
      <c r="AK265" s="14">
        <v>56</v>
      </c>
      <c r="AM265" s="14">
        <v>32</v>
      </c>
      <c r="AN265" s="14">
        <v>3</v>
      </c>
      <c r="AO265" s="14">
        <v>586</v>
      </c>
      <c r="AP265" s="14">
        <v>31</v>
      </c>
      <c r="AQ265" s="14">
        <v>912</v>
      </c>
      <c r="AS265" s="14">
        <v>7</v>
      </c>
    </row>
    <row r="266" spans="7:45" x14ac:dyDescent="0.25">
      <c r="G266" s="14">
        <v>185</v>
      </c>
      <c r="AA266" s="14">
        <v>21</v>
      </c>
      <c r="AB266" s="14">
        <v>10</v>
      </c>
      <c r="AC266" s="14">
        <v>8</v>
      </c>
      <c r="AF266" s="14">
        <v>83</v>
      </c>
      <c r="AH266" s="14">
        <v>373</v>
      </c>
      <c r="AI266" s="14">
        <v>54</v>
      </c>
      <c r="AJ266" s="14">
        <v>9</v>
      </c>
      <c r="AK266" s="14">
        <v>26</v>
      </c>
      <c r="AM266" s="14">
        <v>24</v>
      </c>
      <c r="AN266" s="14">
        <v>3</v>
      </c>
      <c r="AO266" s="14">
        <v>242</v>
      </c>
      <c r="AP266" s="14">
        <v>59</v>
      </c>
      <c r="AQ266" s="14">
        <v>1598</v>
      </c>
      <c r="AS266" s="14">
        <v>7</v>
      </c>
    </row>
    <row r="267" spans="7:45" x14ac:dyDescent="0.25">
      <c r="G267" s="14">
        <v>190</v>
      </c>
      <c r="AA267" s="14">
        <v>18</v>
      </c>
      <c r="AB267" s="14">
        <v>8</v>
      </c>
      <c r="AC267" s="14">
        <v>27</v>
      </c>
      <c r="AF267" s="14">
        <v>29</v>
      </c>
      <c r="AH267" s="14">
        <v>116</v>
      </c>
      <c r="AI267" s="14">
        <v>44</v>
      </c>
      <c r="AJ267" s="14">
        <v>34</v>
      </c>
      <c r="AK267" s="14">
        <v>821</v>
      </c>
      <c r="AM267" s="14">
        <v>29</v>
      </c>
      <c r="AN267" s="14">
        <v>4</v>
      </c>
      <c r="AO267" s="14">
        <v>114</v>
      </c>
      <c r="AP267" s="14">
        <v>47</v>
      </c>
      <c r="AQ267" s="14">
        <v>546</v>
      </c>
      <c r="AS267" s="14">
        <v>10</v>
      </c>
    </row>
    <row r="268" spans="7:45" x14ac:dyDescent="0.25">
      <c r="G268" s="14">
        <v>167</v>
      </c>
      <c r="AA268" s="14">
        <v>1</v>
      </c>
      <c r="AB268" s="14">
        <v>12</v>
      </c>
      <c r="AC268" s="14">
        <v>147</v>
      </c>
      <c r="AF268" s="14">
        <v>40</v>
      </c>
      <c r="AH268" s="14">
        <v>109</v>
      </c>
      <c r="AI268" s="14">
        <v>42</v>
      </c>
      <c r="AJ268" s="14">
        <v>50</v>
      </c>
      <c r="AK268" s="14">
        <v>80</v>
      </c>
      <c r="AM268" s="14">
        <v>29</v>
      </c>
      <c r="AN268" s="14">
        <v>3</v>
      </c>
      <c r="AO268" s="14">
        <v>783</v>
      </c>
      <c r="AP268" s="14">
        <v>39</v>
      </c>
      <c r="AQ268" s="14">
        <v>1005</v>
      </c>
      <c r="AS268" s="14">
        <v>9</v>
      </c>
    </row>
    <row r="269" spans="7:45" x14ac:dyDescent="0.25">
      <c r="G269" s="14">
        <v>222</v>
      </c>
      <c r="AA269" s="14">
        <v>46</v>
      </c>
      <c r="AB269" s="14">
        <v>9</v>
      </c>
      <c r="AF269" s="14">
        <v>44</v>
      </c>
      <c r="AH269" s="14">
        <v>109</v>
      </c>
      <c r="AI269" s="14">
        <v>37</v>
      </c>
      <c r="AJ269" s="14">
        <v>481</v>
      </c>
      <c r="AK269" s="14">
        <v>72</v>
      </c>
      <c r="AM269" s="14">
        <v>29</v>
      </c>
      <c r="AN269" s="14">
        <v>7</v>
      </c>
      <c r="AO269" s="14">
        <v>621</v>
      </c>
      <c r="AP269" s="14">
        <v>44</v>
      </c>
      <c r="AQ269" s="14">
        <v>532</v>
      </c>
      <c r="AS269" s="14">
        <v>5</v>
      </c>
    </row>
    <row r="270" spans="7:45" x14ac:dyDescent="0.25">
      <c r="G270" s="14">
        <v>204</v>
      </c>
      <c r="AA270" s="14">
        <v>43</v>
      </c>
      <c r="AB270" s="14">
        <v>7</v>
      </c>
      <c r="AF270" s="14">
        <v>316</v>
      </c>
      <c r="AH270" s="14">
        <v>322</v>
      </c>
      <c r="AI270" s="14">
        <v>17</v>
      </c>
      <c r="AJ270" s="14">
        <v>442</v>
      </c>
      <c r="AK270" s="14">
        <v>58</v>
      </c>
      <c r="AM270" s="14">
        <v>26</v>
      </c>
      <c r="AN270" s="14">
        <v>7</v>
      </c>
      <c r="AO270" s="14">
        <v>571</v>
      </c>
      <c r="AP270" s="14">
        <v>95</v>
      </c>
      <c r="AQ270" s="14">
        <v>2</v>
      </c>
      <c r="AS270" s="14">
        <v>5</v>
      </c>
    </row>
    <row r="271" spans="7:45" x14ac:dyDescent="0.25">
      <c r="G271" s="14">
        <v>193</v>
      </c>
      <c r="AA271" s="14">
        <v>57</v>
      </c>
      <c r="AB271" s="14">
        <v>28</v>
      </c>
      <c r="AF271" s="14">
        <v>256</v>
      </c>
      <c r="AH271" s="14">
        <v>102</v>
      </c>
      <c r="AI271" s="14">
        <v>26</v>
      </c>
      <c r="AJ271" s="14">
        <v>28</v>
      </c>
      <c r="AK271" s="14">
        <v>93</v>
      </c>
      <c r="AM271" s="14">
        <v>21</v>
      </c>
      <c r="AN271" s="14">
        <v>7</v>
      </c>
      <c r="AO271" s="14">
        <v>446</v>
      </c>
      <c r="AP271" s="14">
        <v>67</v>
      </c>
      <c r="AQ271" s="14">
        <v>2</v>
      </c>
      <c r="AS271" s="14">
        <v>7</v>
      </c>
    </row>
    <row r="272" spans="7:45" x14ac:dyDescent="0.25">
      <c r="G272" s="14">
        <v>153</v>
      </c>
      <c r="AA272" s="14">
        <v>37</v>
      </c>
      <c r="AB272" s="14">
        <v>23</v>
      </c>
      <c r="AF272" s="14">
        <v>709</v>
      </c>
      <c r="AH272" s="14">
        <v>990</v>
      </c>
      <c r="AI272" s="14">
        <v>54</v>
      </c>
      <c r="AJ272" s="14">
        <v>303</v>
      </c>
      <c r="AK272" s="14">
        <v>104</v>
      </c>
      <c r="AM272" s="14">
        <v>30</v>
      </c>
      <c r="AN272" s="14">
        <v>5</v>
      </c>
      <c r="AO272" s="14">
        <v>1</v>
      </c>
      <c r="AP272" s="14">
        <v>48</v>
      </c>
      <c r="AQ272" s="14">
        <v>504</v>
      </c>
      <c r="AS272" s="14">
        <v>6</v>
      </c>
    </row>
    <row r="273" spans="7:45" x14ac:dyDescent="0.25">
      <c r="G273" s="14">
        <v>39</v>
      </c>
      <c r="AA273" s="14">
        <v>35</v>
      </c>
      <c r="AB273" s="14">
        <v>18</v>
      </c>
      <c r="AF273" s="14">
        <v>192</v>
      </c>
      <c r="AH273" s="14">
        <v>100</v>
      </c>
      <c r="AI273" s="14">
        <v>49</v>
      </c>
      <c r="AJ273" s="14">
        <v>357</v>
      </c>
      <c r="AK273" s="14">
        <v>100</v>
      </c>
      <c r="AM273" s="14">
        <v>21</v>
      </c>
      <c r="AN273" s="14">
        <v>6</v>
      </c>
      <c r="AO273" s="14">
        <v>33</v>
      </c>
      <c r="AP273" s="14">
        <v>53</v>
      </c>
      <c r="AQ273" s="14">
        <v>517</v>
      </c>
      <c r="AS273" s="14">
        <v>3</v>
      </c>
    </row>
    <row r="274" spans="7:45" x14ac:dyDescent="0.25">
      <c r="G274" s="14">
        <v>112</v>
      </c>
      <c r="AA274" s="14">
        <v>22</v>
      </c>
      <c r="AB274" s="14">
        <v>18</v>
      </c>
      <c r="AF274" s="14">
        <v>195</v>
      </c>
      <c r="AH274" s="14">
        <v>936</v>
      </c>
      <c r="AI274" s="14">
        <v>46</v>
      </c>
      <c r="AJ274" s="14">
        <v>19</v>
      </c>
      <c r="AK274" s="14">
        <v>89</v>
      </c>
      <c r="AM274" s="14">
        <v>27</v>
      </c>
      <c r="AN274" s="14">
        <v>6</v>
      </c>
      <c r="AO274" s="14">
        <v>49</v>
      </c>
      <c r="AP274" s="14">
        <v>65</v>
      </c>
      <c r="AQ274" s="14">
        <v>68</v>
      </c>
      <c r="AS274" s="14">
        <v>3</v>
      </c>
    </row>
    <row r="275" spans="7:45" x14ac:dyDescent="0.25">
      <c r="G275" s="14">
        <v>120</v>
      </c>
      <c r="AA275" s="14">
        <v>18</v>
      </c>
      <c r="AB275" s="14">
        <v>7</v>
      </c>
      <c r="AF275" s="14">
        <v>15</v>
      </c>
      <c r="AH275" s="14">
        <v>994</v>
      </c>
      <c r="AI275" s="14">
        <v>38</v>
      </c>
      <c r="AJ275" s="14">
        <v>9</v>
      </c>
      <c r="AK275" s="14">
        <v>82</v>
      </c>
      <c r="AM275" s="14">
        <v>29</v>
      </c>
      <c r="AN275" s="14">
        <v>5</v>
      </c>
      <c r="AO275" s="14">
        <v>10</v>
      </c>
      <c r="AP275" s="14">
        <v>56</v>
      </c>
      <c r="AQ275" s="14">
        <v>51</v>
      </c>
      <c r="AS275" s="14">
        <v>8</v>
      </c>
    </row>
    <row r="276" spans="7:45" x14ac:dyDescent="0.25">
      <c r="G276" s="14">
        <v>124</v>
      </c>
      <c r="AA276" s="14">
        <v>1</v>
      </c>
      <c r="AB276" s="14">
        <v>9</v>
      </c>
      <c r="AF276" s="14">
        <v>15</v>
      </c>
      <c r="AH276" s="14">
        <v>101</v>
      </c>
      <c r="AI276" s="14">
        <v>20</v>
      </c>
      <c r="AJ276" s="14">
        <v>32</v>
      </c>
      <c r="AK276" s="14">
        <v>96</v>
      </c>
      <c r="AM276" s="14">
        <v>23</v>
      </c>
      <c r="AN276" s="14">
        <v>5</v>
      </c>
      <c r="AO276" s="14">
        <v>242</v>
      </c>
      <c r="AP276" s="14">
        <v>60</v>
      </c>
      <c r="AQ276" s="14">
        <v>1898</v>
      </c>
      <c r="AS276" s="14">
        <v>9</v>
      </c>
    </row>
    <row r="277" spans="7:45" x14ac:dyDescent="0.25">
      <c r="G277" s="14">
        <v>133</v>
      </c>
      <c r="AA277" s="14">
        <v>45</v>
      </c>
      <c r="AB277" s="14">
        <v>7</v>
      </c>
      <c r="AF277" s="14">
        <v>19</v>
      </c>
      <c r="AH277" s="14">
        <v>433</v>
      </c>
      <c r="AI277" s="14">
        <v>36</v>
      </c>
      <c r="AJ277" s="14">
        <v>15</v>
      </c>
      <c r="AK277" s="14">
        <v>117</v>
      </c>
      <c r="AM277" s="14">
        <v>24</v>
      </c>
      <c r="AN277" s="14">
        <v>5</v>
      </c>
      <c r="AO277" s="14">
        <v>353</v>
      </c>
      <c r="AP277" s="14">
        <v>85</v>
      </c>
      <c r="AQ277" s="14">
        <v>2281</v>
      </c>
      <c r="AS277" s="14">
        <v>8</v>
      </c>
    </row>
    <row r="278" spans="7:45" x14ac:dyDescent="0.25">
      <c r="G278" s="14">
        <v>122</v>
      </c>
      <c r="AA278" s="14">
        <v>42</v>
      </c>
      <c r="AB278" s="14">
        <v>7</v>
      </c>
      <c r="AF278" s="14">
        <v>17</v>
      </c>
      <c r="AH278" s="14">
        <v>430</v>
      </c>
      <c r="AI278" s="14">
        <v>82</v>
      </c>
      <c r="AJ278" s="14">
        <v>58</v>
      </c>
      <c r="AK278" s="14">
        <v>11</v>
      </c>
      <c r="AM278" s="14">
        <v>25</v>
      </c>
      <c r="AN278" s="14">
        <v>3</v>
      </c>
      <c r="AO278" s="14">
        <v>484</v>
      </c>
      <c r="AP278" s="14">
        <v>57</v>
      </c>
      <c r="AQ278" s="14">
        <v>987</v>
      </c>
      <c r="AS278" s="14">
        <v>6</v>
      </c>
    </row>
    <row r="279" spans="7:45" x14ac:dyDescent="0.25">
      <c r="G279" s="14">
        <v>122</v>
      </c>
      <c r="AA279" s="14">
        <v>29</v>
      </c>
      <c r="AB279" s="14">
        <v>32</v>
      </c>
      <c r="AF279" s="14">
        <v>232</v>
      </c>
      <c r="AH279" s="14">
        <v>101</v>
      </c>
      <c r="AI279" s="14">
        <v>58</v>
      </c>
      <c r="AJ279" s="14">
        <v>111</v>
      </c>
      <c r="AK279" s="14">
        <v>7</v>
      </c>
      <c r="AM279" s="14">
        <v>25</v>
      </c>
      <c r="AN279" s="14">
        <v>482</v>
      </c>
      <c r="AO279" s="14">
        <v>101</v>
      </c>
      <c r="AP279" s="14">
        <v>62</v>
      </c>
      <c r="AQ279" s="14">
        <v>424</v>
      </c>
      <c r="AS279" s="14">
        <v>6</v>
      </c>
    </row>
    <row r="280" spans="7:45" x14ac:dyDescent="0.25">
      <c r="G280" s="14">
        <v>162</v>
      </c>
      <c r="AA280" s="14">
        <v>35</v>
      </c>
      <c r="AB280" s="14">
        <v>27</v>
      </c>
      <c r="AF280" s="14">
        <v>206</v>
      </c>
      <c r="AH280" s="14">
        <v>997</v>
      </c>
      <c r="AI280" s="14">
        <v>65</v>
      </c>
      <c r="AJ280" s="14">
        <v>7</v>
      </c>
      <c r="AK280" s="14">
        <v>15</v>
      </c>
      <c r="AM280" s="14">
        <v>30</v>
      </c>
      <c r="AN280" s="14">
        <v>454</v>
      </c>
      <c r="AO280" s="14">
        <v>574</v>
      </c>
      <c r="AP280" s="14">
        <v>52</v>
      </c>
      <c r="AQ280" s="14">
        <v>472</v>
      </c>
      <c r="AS280" s="14">
        <v>9</v>
      </c>
    </row>
    <row r="281" spans="7:45" x14ac:dyDescent="0.25">
      <c r="G281" s="14">
        <v>123</v>
      </c>
      <c r="AA281" s="14">
        <v>49</v>
      </c>
      <c r="AB281" s="14">
        <v>15</v>
      </c>
      <c r="AF281" s="14">
        <v>330</v>
      </c>
      <c r="AH281" s="14">
        <v>369</v>
      </c>
      <c r="AI281" s="14">
        <v>43</v>
      </c>
      <c r="AJ281" s="14">
        <v>4</v>
      </c>
      <c r="AK281" s="14">
        <v>28</v>
      </c>
      <c r="AM281" s="14">
        <v>12</v>
      </c>
      <c r="AN281" s="14">
        <v>435</v>
      </c>
      <c r="AO281" s="14">
        <v>237</v>
      </c>
      <c r="AP281" s="14">
        <v>48</v>
      </c>
      <c r="AQ281" s="14">
        <v>214</v>
      </c>
      <c r="AS281" s="14">
        <v>3</v>
      </c>
    </row>
    <row r="282" spans="7:45" x14ac:dyDescent="0.25">
      <c r="G282" s="14">
        <v>121</v>
      </c>
      <c r="AA282" s="14">
        <v>44</v>
      </c>
      <c r="AB282" s="14">
        <v>18</v>
      </c>
      <c r="AF282" s="14">
        <v>270</v>
      </c>
      <c r="AH282" s="14">
        <v>420</v>
      </c>
      <c r="AI282" s="14">
        <v>24</v>
      </c>
      <c r="AJ282" s="14">
        <v>92</v>
      </c>
      <c r="AK282" s="14">
        <v>38</v>
      </c>
      <c r="AM282" s="14">
        <v>34</v>
      </c>
      <c r="AN282" s="14">
        <v>419</v>
      </c>
      <c r="AO282" s="14">
        <v>111</v>
      </c>
      <c r="AP282" s="14">
        <v>79</v>
      </c>
      <c r="AQ282" s="14">
        <v>918</v>
      </c>
      <c r="AS282" s="14">
        <v>5</v>
      </c>
    </row>
    <row r="283" spans="7:45" x14ac:dyDescent="0.25">
      <c r="G283" s="14">
        <v>160</v>
      </c>
      <c r="AA283" s="14">
        <v>40</v>
      </c>
      <c r="AB283" s="14">
        <v>11</v>
      </c>
      <c r="AH283" s="14">
        <v>347</v>
      </c>
      <c r="AI283" s="14">
        <v>36</v>
      </c>
      <c r="AJ283" s="14">
        <v>119</v>
      </c>
      <c r="AK283" s="14">
        <v>39</v>
      </c>
      <c r="AM283" s="14">
        <v>11</v>
      </c>
      <c r="AN283" s="14">
        <v>437</v>
      </c>
      <c r="AO283" s="14">
        <v>764</v>
      </c>
      <c r="AP283" s="14">
        <v>71</v>
      </c>
      <c r="AQ283" s="14">
        <v>1612</v>
      </c>
      <c r="AS283" s="14">
        <v>8</v>
      </c>
    </row>
    <row r="284" spans="7:45" x14ac:dyDescent="0.25">
      <c r="G284" s="14">
        <v>158</v>
      </c>
      <c r="AA284" s="14">
        <v>68</v>
      </c>
      <c r="AB284" s="14">
        <v>8</v>
      </c>
      <c r="AH284" s="14">
        <v>380</v>
      </c>
      <c r="AI284" s="14">
        <v>63</v>
      </c>
      <c r="AJ284" s="14">
        <v>7</v>
      </c>
      <c r="AK284" s="14">
        <v>137</v>
      </c>
      <c r="AM284" s="14">
        <v>34</v>
      </c>
      <c r="AN284" s="14">
        <v>4</v>
      </c>
      <c r="AO284" s="14">
        <v>607</v>
      </c>
      <c r="AP284" s="14">
        <v>89</v>
      </c>
      <c r="AQ284" s="14">
        <v>553</v>
      </c>
      <c r="AS284" s="14">
        <v>9</v>
      </c>
    </row>
    <row r="285" spans="7:45" x14ac:dyDescent="0.25">
      <c r="G285" s="14">
        <v>20</v>
      </c>
      <c r="AA285" s="14">
        <v>52</v>
      </c>
      <c r="AB285" s="14">
        <v>7</v>
      </c>
      <c r="AH285" s="14">
        <v>718</v>
      </c>
      <c r="AI285" s="14">
        <v>65</v>
      </c>
      <c r="AJ285" s="14">
        <v>4</v>
      </c>
      <c r="AK285" s="14">
        <v>130</v>
      </c>
      <c r="AM285" s="14">
        <v>33</v>
      </c>
      <c r="AN285" s="14">
        <v>4</v>
      </c>
      <c r="AO285" s="14">
        <v>558</v>
      </c>
      <c r="AP285" s="14">
        <v>177</v>
      </c>
      <c r="AQ285" s="14">
        <v>1075</v>
      </c>
      <c r="AS285" s="14">
        <v>7</v>
      </c>
    </row>
    <row r="286" spans="7:45" x14ac:dyDescent="0.25">
      <c r="G286" s="14">
        <v>33</v>
      </c>
      <c r="AA286" s="14">
        <v>44</v>
      </c>
      <c r="AB286" s="14">
        <v>8</v>
      </c>
      <c r="AH286" s="14">
        <v>753</v>
      </c>
      <c r="AI286" s="14">
        <v>54</v>
      </c>
      <c r="AJ286" s="14">
        <v>94</v>
      </c>
      <c r="AK286" s="14">
        <v>103</v>
      </c>
      <c r="AM286" s="14">
        <v>2</v>
      </c>
      <c r="AN286" s="14">
        <v>3</v>
      </c>
      <c r="AO286" s="14">
        <v>435</v>
      </c>
      <c r="AP286" s="14">
        <v>84</v>
      </c>
      <c r="AQ286" s="14">
        <v>535</v>
      </c>
      <c r="AS286" s="14">
        <v>8</v>
      </c>
    </row>
    <row r="287" spans="7:45" x14ac:dyDescent="0.25">
      <c r="G287" s="14">
        <v>29</v>
      </c>
      <c r="AA287" s="14">
        <v>40</v>
      </c>
      <c r="AB287" s="14">
        <v>51</v>
      </c>
      <c r="AH287" s="14">
        <v>396</v>
      </c>
      <c r="AI287" s="14">
        <v>38</v>
      </c>
      <c r="AJ287" s="14">
        <v>135</v>
      </c>
      <c r="AK287" s="14">
        <v>88</v>
      </c>
      <c r="AM287" s="14">
        <v>8</v>
      </c>
      <c r="AN287" s="14">
        <v>3</v>
      </c>
      <c r="AO287" s="14">
        <v>6</v>
      </c>
      <c r="AP287" s="14">
        <v>186</v>
      </c>
      <c r="AQ287" s="14">
        <v>2</v>
      </c>
      <c r="AS287" s="14">
        <v>10</v>
      </c>
    </row>
    <row r="288" spans="7:45" x14ac:dyDescent="0.25">
      <c r="G288" s="14">
        <v>22</v>
      </c>
      <c r="AA288" s="14">
        <v>43</v>
      </c>
      <c r="AB288" s="14">
        <v>39</v>
      </c>
      <c r="AH288" s="14">
        <v>459</v>
      </c>
      <c r="AI288" s="14">
        <v>26</v>
      </c>
      <c r="AJ288" s="14">
        <v>19</v>
      </c>
      <c r="AK288" s="14">
        <v>149</v>
      </c>
      <c r="AM288" s="14">
        <v>14</v>
      </c>
      <c r="AN288" s="14">
        <v>4</v>
      </c>
      <c r="AO288" s="14">
        <v>32</v>
      </c>
      <c r="AP288" s="14">
        <v>91</v>
      </c>
      <c r="AQ288" s="14">
        <v>2</v>
      </c>
      <c r="AS288" s="14">
        <v>10</v>
      </c>
    </row>
    <row r="289" spans="7:45" x14ac:dyDescent="0.25">
      <c r="G289" s="14">
        <v>20</v>
      </c>
      <c r="AA289" s="14">
        <v>54</v>
      </c>
      <c r="AB289" s="14">
        <v>28</v>
      </c>
      <c r="AH289" s="14">
        <v>627</v>
      </c>
      <c r="AI289" s="14">
        <v>38</v>
      </c>
      <c r="AJ289" s="14">
        <v>57</v>
      </c>
      <c r="AK289" s="14">
        <v>161</v>
      </c>
      <c r="AM289" s="14">
        <v>15</v>
      </c>
      <c r="AN289" s="14">
        <v>6</v>
      </c>
      <c r="AO289" s="14">
        <v>48</v>
      </c>
      <c r="AP289" s="14">
        <v>133</v>
      </c>
      <c r="AQ289" s="14">
        <v>842</v>
      </c>
      <c r="AS289" s="14">
        <v>4</v>
      </c>
    </row>
    <row r="290" spans="7:45" x14ac:dyDescent="0.25">
      <c r="G290" s="14">
        <v>26</v>
      </c>
      <c r="AA290" s="14">
        <v>47</v>
      </c>
      <c r="AB290" s="14">
        <v>29</v>
      </c>
      <c r="AH290" s="14">
        <v>679</v>
      </c>
      <c r="AI290" s="14">
        <v>80</v>
      </c>
      <c r="AJ290" s="14">
        <v>100</v>
      </c>
      <c r="AK290" s="14">
        <v>157</v>
      </c>
      <c r="AM290" s="14">
        <v>15</v>
      </c>
      <c r="AN290" s="14">
        <v>8</v>
      </c>
      <c r="AO290" s="14">
        <v>9</v>
      </c>
      <c r="AP290" s="14">
        <v>136</v>
      </c>
      <c r="AQ290" s="14">
        <v>792</v>
      </c>
      <c r="AS290" s="14">
        <v>4</v>
      </c>
    </row>
    <row r="291" spans="7:45" x14ac:dyDescent="0.25">
      <c r="G291" s="14">
        <v>20</v>
      </c>
      <c r="AA291" s="14">
        <v>56</v>
      </c>
      <c r="AB291" s="14">
        <v>24</v>
      </c>
      <c r="AH291" s="14">
        <v>603</v>
      </c>
      <c r="AI291" s="14">
        <v>70</v>
      </c>
      <c r="AJ291" s="14">
        <v>7</v>
      </c>
      <c r="AK291" s="14">
        <v>149</v>
      </c>
      <c r="AM291" s="14">
        <v>10</v>
      </c>
      <c r="AN291" s="14">
        <v>6</v>
      </c>
      <c r="AO291" s="14">
        <v>240</v>
      </c>
      <c r="AP291" s="14">
        <v>147</v>
      </c>
      <c r="AQ291" s="14">
        <v>1215</v>
      </c>
      <c r="AS291" s="14">
        <v>5</v>
      </c>
    </row>
    <row r="292" spans="7:45" x14ac:dyDescent="0.25">
      <c r="G292" s="14">
        <v>17</v>
      </c>
      <c r="AA292" s="14">
        <v>28</v>
      </c>
      <c r="AB292" s="14">
        <v>16</v>
      </c>
      <c r="AH292" s="14">
        <v>620</v>
      </c>
      <c r="AI292" s="14">
        <v>77</v>
      </c>
      <c r="AJ292" s="14">
        <v>4</v>
      </c>
      <c r="AK292" s="14">
        <v>143</v>
      </c>
      <c r="AM292" s="14">
        <v>15</v>
      </c>
      <c r="AN292" s="14">
        <v>6</v>
      </c>
      <c r="AO292" s="14">
        <v>347</v>
      </c>
      <c r="AP292" s="14">
        <v>144</v>
      </c>
      <c r="AQ292" s="14">
        <v>1026</v>
      </c>
      <c r="AS292" s="14">
        <v>6</v>
      </c>
    </row>
    <row r="293" spans="7:45" x14ac:dyDescent="0.25">
      <c r="G293" s="14">
        <v>20</v>
      </c>
      <c r="AA293" s="14">
        <v>35</v>
      </c>
      <c r="AB293" s="14">
        <v>12</v>
      </c>
      <c r="AH293" s="14">
        <v>430</v>
      </c>
      <c r="AI293" s="14">
        <v>62</v>
      </c>
      <c r="AJ293" s="14">
        <v>34</v>
      </c>
      <c r="AK293" s="14">
        <v>152</v>
      </c>
      <c r="AM293" s="14">
        <v>18</v>
      </c>
      <c r="AN293" s="14">
        <v>5</v>
      </c>
      <c r="AO293" s="14">
        <v>478</v>
      </c>
      <c r="AP293" s="14">
        <v>151</v>
      </c>
      <c r="AQ293" s="14">
        <v>1666</v>
      </c>
      <c r="AS293" s="14">
        <v>7</v>
      </c>
    </row>
    <row r="294" spans="7:45" x14ac:dyDescent="0.25">
      <c r="G294" s="14">
        <v>22</v>
      </c>
      <c r="AA294" s="14">
        <v>50</v>
      </c>
      <c r="AB294" s="14">
        <v>13</v>
      </c>
      <c r="AH294" s="14">
        <v>382</v>
      </c>
      <c r="AI294" s="14">
        <v>25</v>
      </c>
      <c r="AJ294" s="14">
        <v>139</v>
      </c>
      <c r="AK294" s="14">
        <v>171</v>
      </c>
      <c r="AM294" s="14">
        <v>11</v>
      </c>
      <c r="AN294" s="14">
        <v>17</v>
      </c>
      <c r="AO294" s="14">
        <v>222</v>
      </c>
      <c r="AP294" s="14">
        <v>107</v>
      </c>
      <c r="AQ294" s="14">
        <v>1696</v>
      </c>
      <c r="AS294" s="14">
        <v>7</v>
      </c>
    </row>
    <row r="295" spans="7:45" x14ac:dyDescent="0.25">
      <c r="G295" s="14">
        <v>22</v>
      </c>
      <c r="AA295" s="14">
        <v>42</v>
      </c>
      <c r="AB295" s="14">
        <v>93</v>
      </c>
      <c r="AH295" s="14">
        <v>166</v>
      </c>
      <c r="AI295" s="14">
        <v>41</v>
      </c>
      <c r="AJ295" s="14">
        <v>197</v>
      </c>
      <c r="AK295" s="14">
        <v>18</v>
      </c>
      <c r="AM295" s="14">
        <v>14</v>
      </c>
      <c r="AN295" s="14">
        <v>4</v>
      </c>
      <c r="AO295" s="14">
        <v>137</v>
      </c>
      <c r="AP295" s="14">
        <v>154</v>
      </c>
      <c r="AQ295" s="14">
        <v>1736</v>
      </c>
      <c r="AS295" s="14">
        <v>9</v>
      </c>
    </row>
    <row r="296" spans="7:45" x14ac:dyDescent="0.25">
      <c r="G296" s="14">
        <v>24</v>
      </c>
      <c r="AA296" s="14">
        <v>40</v>
      </c>
      <c r="AB296" s="14">
        <v>79</v>
      </c>
      <c r="AH296" s="14">
        <v>164</v>
      </c>
      <c r="AI296" s="14">
        <v>72</v>
      </c>
      <c r="AJ296" s="14">
        <v>29</v>
      </c>
      <c r="AK296" s="14">
        <v>10</v>
      </c>
      <c r="AM296" s="14">
        <v>17</v>
      </c>
      <c r="AN296" s="14">
        <v>7</v>
      </c>
      <c r="AO296" s="14">
        <v>679</v>
      </c>
      <c r="AP296" s="14">
        <v>128</v>
      </c>
      <c r="AQ296" s="14">
        <v>1723</v>
      </c>
      <c r="AS296" s="14">
        <v>11</v>
      </c>
    </row>
    <row r="297" spans="7:45" x14ac:dyDescent="0.25">
      <c r="G297" s="14">
        <v>22</v>
      </c>
      <c r="AA297" s="14">
        <v>64</v>
      </c>
      <c r="AB297" s="14">
        <v>62</v>
      </c>
      <c r="AH297" s="14">
        <v>617</v>
      </c>
      <c r="AI297" s="14">
        <v>65</v>
      </c>
      <c r="AJ297" s="14">
        <v>339</v>
      </c>
      <c r="AK297" s="14">
        <v>23</v>
      </c>
      <c r="AM297" s="14">
        <v>50</v>
      </c>
      <c r="AN297" s="14">
        <v>5</v>
      </c>
      <c r="AO297" s="14">
        <v>284</v>
      </c>
      <c r="AP297" s="14">
        <v>178</v>
      </c>
      <c r="AQ297" s="14">
        <v>782</v>
      </c>
      <c r="AS297" s="14">
        <v>3</v>
      </c>
    </row>
    <row r="298" spans="7:45" x14ac:dyDescent="0.25">
      <c r="G298" s="14">
        <v>22</v>
      </c>
      <c r="AA298" s="14">
        <v>55</v>
      </c>
      <c r="AB298" s="14">
        <v>61</v>
      </c>
      <c r="AH298" s="14">
        <v>696</v>
      </c>
      <c r="AI298" s="14">
        <v>76</v>
      </c>
      <c r="AJ298" s="14">
        <v>349</v>
      </c>
      <c r="AK298" s="14">
        <v>46</v>
      </c>
      <c r="AM298" s="14">
        <v>23</v>
      </c>
      <c r="AN298" s="14">
        <v>5</v>
      </c>
      <c r="AO298" s="14">
        <v>338</v>
      </c>
      <c r="AP298" s="14">
        <v>138</v>
      </c>
      <c r="AQ298" s="14">
        <v>930</v>
      </c>
      <c r="AS298" s="14">
        <v>4</v>
      </c>
    </row>
    <row r="299" spans="7:45" x14ac:dyDescent="0.25">
      <c r="G299" s="14">
        <v>15</v>
      </c>
      <c r="AA299" s="14">
        <v>43</v>
      </c>
      <c r="AB299" s="14">
        <v>33</v>
      </c>
      <c r="AH299" s="14">
        <v>153</v>
      </c>
      <c r="AI299" s="14">
        <v>56</v>
      </c>
      <c r="AJ299" s="14">
        <v>15</v>
      </c>
      <c r="AK299" s="14">
        <v>64</v>
      </c>
      <c r="AM299" s="14">
        <v>14</v>
      </c>
      <c r="AN299" s="14">
        <v>5</v>
      </c>
      <c r="AO299" s="14">
        <v>120</v>
      </c>
      <c r="AP299" s="14">
        <v>231</v>
      </c>
      <c r="AQ299" s="14">
        <v>685</v>
      </c>
      <c r="AS299" s="14">
        <v>4</v>
      </c>
    </row>
    <row r="300" spans="7:45" x14ac:dyDescent="0.25">
      <c r="G300" s="14">
        <v>23</v>
      </c>
      <c r="AA300" s="14">
        <v>41</v>
      </c>
      <c r="AB300" s="14">
        <v>33</v>
      </c>
      <c r="AH300" s="14">
        <v>136</v>
      </c>
      <c r="AI300" s="14">
        <v>28</v>
      </c>
      <c r="AJ300" s="14">
        <v>8</v>
      </c>
      <c r="AK300" s="14">
        <v>18</v>
      </c>
      <c r="AM300" s="14">
        <v>18</v>
      </c>
      <c r="AN300" s="14">
        <v>8</v>
      </c>
      <c r="AO300" s="14">
        <v>127</v>
      </c>
      <c r="AP300" s="14">
        <v>97</v>
      </c>
      <c r="AQ300" s="14">
        <v>633</v>
      </c>
      <c r="AS300" s="14">
        <v>4</v>
      </c>
    </row>
    <row r="301" spans="7:45" x14ac:dyDescent="0.25">
      <c r="G301" s="14">
        <v>19</v>
      </c>
      <c r="AA301" s="14">
        <v>53</v>
      </c>
      <c r="AB301" s="14">
        <v>23</v>
      </c>
      <c r="AH301" s="14">
        <v>153</v>
      </c>
      <c r="AI301" s="14">
        <v>112</v>
      </c>
      <c r="AJ301" s="14">
        <v>29</v>
      </c>
      <c r="AK301" s="14">
        <v>714</v>
      </c>
      <c r="AM301" s="14">
        <v>16</v>
      </c>
      <c r="AN301" s="14">
        <v>3</v>
      </c>
      <c r="AO301" s="14">
        <v>860</v>
      </c>
      <c r="AP301" s="14">
        <v>161</v>
      </c>
      <c r="AQ301" s="14">
        <v>3171</v>
      </c>
      <c r="AS301" s="14">
        <v>3</v>
      </c>
    </row>
    <row r="302" spans="7:45" x14ac:dyDescent="0.25">
      <c r="G302" s="14">
        <v>18</v>
      </c>
      <c r="AA302" s="14">
        <v>46</v>
      </c>
      <c r="AB302" s="14">
        <v>23</v>
      </c>
      <c r="AH302" s="14">
        <v>285</v>
      </c>
      <c r="AI302" s="14">
        <v>249</v>
      </c>
      <c r="AJ302" s="14">
        <v>34</v>
      </c>
      <c r="AK302" s="14">
        <v>63</v>
      </c>
      <c r="AM302" s="14">
        <v>17</v>
      </c>
      <c r="AN302" s="14">
        <v>4</v>
      </c>
      <c r="AO302" s="14">
        <v>3</v>
      </c>
      <c r="AP302" s="14">
        <v>210</v>
      </c>
      <c r="AQ302" s="14">
        <v>3766</v>
      </c>
      <c r="AS302" s="14">
        <v>4</v>
      </c>
    </row>
    <row r="303" spans="7:45" x14ac:dyDescent="0.25">
      <c r="G303" s="14">
        <v>16</v>
      </c>
      <c r="AA303" s="14">
        <v>57</v>
      </c>
      <c r="AB303" s="14">
        <v>161</v>
      </c>
      <c r="AH303" s="14">
        <v>164</v>
      </c>
      <c r="AI303" s="14">
        <v>106</v>
      </c>
      <c r="AJ303" s="14">
        <v>401</v>
      </c>
      <c r="AK303" s="14">
        <v>45</v>
      </c>
      <c r="AM303" s="14">
        <v>14</v>
      </c>
      <c r="AN303" s="14">
        <v>6</v>
      </c>
      <c r="AO303" s="14">
        <v>10</v>
      </c>
      <c r="AP303" s="14">
        <v>288</v>
      </c>
      <c r="AQ303" s="14">
        <v>2283</v>
      </c>
      <c r="AS303" s="14">
        <v>5</v>
      </c>
    </row>
    <row r="304" spans="7:45" x14ac:dyDescent="0.25">
      <c r="G304" s="14">
        <v>21</v>
      </c>
      <c r="AA304" s="14">
        <v>26</v>
      </c>
      <c r="AB304" s="14">
        <v>149</v>
      </c>
      <c r="AH304" s="14">
        <v>171</v>
      </c>
      <c r="AI304" s="14">
        <v>261</v>
      </c>
      <c r="AJ304" s="14">
        <v>262</v>
      </c>
      <c r="AK304" s="14">
        <v>77</v>
      </c>
      <c r="AM304" s="14">
        <v>13</v>
      </c>
      <c r="AN304" s="14">
        <v>461</v>
      </c>
      <c r="AO304" s="14">
        <v>18</v>
      </c>
      <c r="AP304" s="14">
        <v>201</v>
      </c>
      <c r="AQ304" s="14">
        <v>2458</v>
      </c>
      <c r="AS304" s="14">
        <v>5</v>
      </c>
    </row>
    <row r="305" spans="7:45" x14ac:dyDescent="0.25">
      <c r="G305" s="14">
        <v>10</v>
      </c>
      <c r="AA305" s="14">
        <v>40</v>
      </c>
      <c r="AB305" s="14">
        <v>124</v>
      </c>
      <c r="AH305" s="14">
        <v>146</v>
      </c>
      <c r="AI305" s="14">
        <v>142</v>
      </c>
      <c r="AJ305" s="14">
        <v>17</v>
      </c>
      <c r="AK305" s="14">
        <v>20</v>
      </c>
      <c r="AM305" s="14">
        <v>15</v>
      </c>
      <c r="AN305" s="14">
        <v>667</v>
      </c>
      <c r="AO305" s="14">
        <v>6</v>
      </c>
      <c r="AP305" s="14">
        <v>146</v>
      </c>
      <c r="AQ305" s="14">
        <v>1868</v>
      </c>
      <c r="AS305" s="14">
        <v>4</v>
      </c>
    </row>
    <row r="306" spans="7:45" x14ac:dyDescent="0.25">
      <c r="G306" s="14">
        <v>12</v>
      </c>
      <c r="AA306" s="14">
        <v>48</v>
      </c>
      <c r="AB306" s="14">
        <v>129</v>
      </c>
      <c r="AH306" s="14">
        <v>1169</v>
      </c>
      <c r="AI306" s="14">
        <v>105</v>
      </c>
      <c r="AJ306" s="14">
        <v>12</v>
      </c>
      <c r="AK306" s="14">
        <v>83</v>
      </c>
      <c r="AM306" s="14">
        <v>12</v>
      </c>
      <c r="AN306" s="14">
        <v>748</v>
      </c>
      <c r="AO306" s="14">
        <v>65</v>
      </c>
      <c r="AP306" s="14">
        <v>232</v>
      </c>
      <c r="AQ306" s="14">
        <v>1732</v>
      </c>
      <c r="AS306" s="14">
        <v>4</v>
      </c>
    </row>
    <row r="307" spans="7:45" x14ac:dyDescent="0.25">
      <c r="G307" s="14">
        <v>327</v>
      </c>
      <c r="AA307" s="14">
        <v>50</v>
      </c>
      <c r="AB307" s="14">
        <v>73</v>
      </c>
      <c r="AH307" s="14">
        <v>288</v>
      </c>
      <c r="AI307" s="14">
        <v>340</v>
      </c>
      <c r="AJ307" s="14">
        <v>40</v>
      </c>
      <c r="AK307" s="14">
        <v>96</v>
      </c>
      <c r="AM307" s="14">
        <v>15</v>
      </c>
      <c r="AN307" s="14">
        <v>6</v>
      </c>
      <c r="AO307" s="14">
        <v>213</v>
      </c>
      <c r="AP307" s="14">
        <v>204</v>
      </c>
      <c r="AQ307" s="14">
        <v>1948</v>
      </c>
      <c r="AS307" s="14">
        <v>5</v>
      </c>
    </row>
    <row r="308" spans="7:45" x14ac:dyDescent="0.25">
      <c r="G308" s="14">
        <v>152</v>
      </c>
      <c r="AA308" s="14">
        <v>44</v>
      </c>
      <c r="AB308" s="14">
        <v>77</v>
      </c>
      <c r="AH308" s="14">
        <v>158</v>
      </c>
      <c r="AI308" s="14">
        <v>184</v>
      </c>
      <c r="AJ308" s="14">
        <v>325</v>
      </c>
      <c r="AK308" s="14">
        <v>76</v>
      </c>
      <c r="AM308" s="14">
        <v>18</v>
      </c>
      <c r="AN308" s="14">
        <v>10</v>
      </c>
      <c r="AO308" s="14">
        <v>217</v>
      </c>
      <c r="AP308" s="14">
        <v>219</v>
      </c>
      <c r="AQ308" s="14">
        <v>1973</v>
      </c>
      <c r="AS308" s="14">
        <v>4</v>
      </c>
    </row>
    <row r="309" spans="7:45" x14ac:dyDescent="0.25">
      <c r="G309" s="14">
        <v>5</v>
      </c>
      <c r="AA309" s="14">
        <v>77</v>
      </c>
      <c r="AB309" s="14">
        <v>66</v>
      </c>
      <c r="AH309" s="14">
        <v>409</v>
      </c>
      <c r="AI309" s="14">
        <v>244</v>
      </c>
      <c r="AJ309" s="14">
        <v>662</v>
      </c>
      <c r="AK309" s="14">
        <v>67</v>
      </c>
      <c r="AM309" s="14">
        <v>17</v>
      </c>
      <c r="AN309" s="14">
        <v>9</v>
      </c>
      <c r="AO309" s="14">
        <v>136</v>
      </c>
      <c r="AP309" s="14">
        <v>215</v>
      </c>
      <c r="AQ309" s="14">
        <v>1084</v>
      </c>
      <c r="AS309" s="14">
        <v>3</v>
      </c>
    </row>
    <row r="310" spans="7:45" x14ac:dyDescent="0.25">
      <c r="AA310" s="14">
        <v>60</v>
      </c>
      <c r="AB310" s="14">
        <v>72</v>
      </c>
      <c r="AH310" s="14">
        <v>410</v>
      </c>
      <c r="AI310" s="14">
        <v>587</v>
      </c>
      <c r="AJ310" s="14">
        <v>168</v>
      </c>
      <c r="AK310" s="14">
        <v>78</v>
      </c>
      <c r="AM310" s="14">
        <v>15</v>
      </c>
      <c r="AN310" s="14">
        <v>2</v>
      </c>
      <c r="AO310" s="14">
        <v>670</v>
      </c>
      <c r="AP310" s="14">
        <v>252</v>
      </c>
      <c r="AQ310" s="14">
        <v>1160</v>
      </c>
      <c r="AS310" s="14">
        <v>3</v>
      </c>
    </row>
    <row r="311" spans="7:45" x14ac:dyDescent="0.25">
      <c r="AA311" s="14">
        <v>47</v>
      </c>
      <c r="AB311" s="14">
        <v>40</v>
      </c>
      <c r="AH311" s="14">
        <v>417</v>
      </c>
      <c r="AI311" s="14">
        <v>106</v>
      </c>
      <c r="AJ311" s="14">
        <v>24</v>
      </c>
      <c r="AK311" s="14">
        <v>73</v>
      </c>
      <c r="AM311" s="14">
        <v>15</v>
      </c>
      <c r="AN311" s="14">
        <v>7</v>
      </c>
      <c r="AO311" s="14">
        <v>272</v>
      </c>
      <c r="AP311" s="14">
        <v>243</v>
      </c>
      <c r="AQ311" s="14">
        <v>1307</v>
      </c>
      <c r="AS311" s="14">
        <v>3</v>
      </c>
    </row>
    <row r="312" spans="7:45" x14ac:dyDescent="0.25">
      <c r="AA312" s="14">
        <v>42</v>
      </c>
      <c r="AB312" s="14">
        <v>21</v>
      </c>
      <c r="AH312" s="14">
        <v>419</v>
      </c>
      <c r="AI312" s="14">
        <v>353</v>
      </c>
      <c r="AJ312" s="14">
        <v>11</v>
      </c>
      <c r="AK312" s="14">
        <v>8</v>
      </c>
      <c r="AM312" s="14">
        <v>15</v>
      </c>
      <c r="AN312" s="14">
        <v>4</v>
      </c>
      <c r="AO312" s="14">
        <v>349</v>
      </c>
      <c r="AP312" s="14">
        <v>370</v>
      </c>
      <c r="AQ312" s="14">
        <v>1037</v>
      </c>
      <c r="AS312" s="14">
        <v>3</v>
      </c>
    </row>
    <row r="313" spans="7:45" x14ac:dyDescent="0.25">
      <c r="AA313" s="14">
        <v>47</v>
      </c>
      <c r="AB313" s="14">
        <v>20</v>
      </c>
      <c r="AH313" s="14">
        <v>584</v>
      </c>
      <c r="AI313" s="14">
        <v>185</v>
      </c>
      <c r="AJ313" s="14">
        <v>76</v>
      </c>
      <c r="AK313" s="14">
        <v>5</v>
      </c>
      <c r="AM313" s="14">
        <v>18</v>
      </c>
      <c r="AN313" s="14">
        <v>4</v>
      </c>
      <c r="AO313" s="14">
        <v>118</v>
      </c>
      <c r="AP313" s="14">
        <v>303</v>
      </c>
      <c r="AQ313" s="14">
        <v>2</v>
      </c>
      <c r="AS313" s="14">
        <v>3</v>
      </c>
    </row>
    <row r="314" spans="7:45" x14ac:dyDescent="0.25">
      <c r="AA314" s="14">
        <v>60</v>
      </c>
      <c r="AB314" s="14">
        <v>30</v>
      </c>
      <c r="AH314" s="14">
        <v>597</v>
      </c>
      <c r="AI314" s="14">
        <v>275</v>
      </c>
      <c r="AJ314" s="14">
        <v>69</v>
      </c>
      <c r="AK314" s="14">
        <v>7</v>
      </c>
      <c r="AM314" s="14">
        <v>18</v>
      </c>
      <c r="AN314" s="14">
        <v>8</v>
      </c>
      <c r="AO314" s="14">
        <v>128</v>
      </c>
      <c r="AP314" s="14">
        <v>454</v>
      </c>
      <c r="AQ314" s="14">
        <v>2</v>
      </c>
      <c r="AS314" s="14">
        <v>10</v>
      </c>
    </row>
    <row r="315" spans="7:45" x14ac:dyDescent="0.25">
      <c r="AA315" s="14">
        <v>56</v>
      </c>
      <c r="AB315" s="14">
        <v>33</v>
      </c>
      <c r="AH315" s="14">
        <v>412</v>
      </c>
      <c r="AI315" s="14">
        <v>623</v>
      </c>
      <c r="AJ315" s="14">
        <v>344</v>
      </c>
      <c r="AK315" s="14">
        <v>23</v>
      </c>
      <c r="AM315" s="14">
        <v>56</v>
      </c>
      <c r="AN315" s="14">
        <v>4</v>
      </c>
      <c r="AO315" s="14">
        <v>877</v>
      </c>
      <c r="AP315" s="14">
        <v>260</v>
      </c>
      <c r="AQ315" s="14">
        <v>2</v>
      </c>
      <c r="AS315" s="14">
        <v>16</v>
      </c>
    </row>
    <row r="316" spans="7:45" x14ac:dyDescent="0.25">
      <c r="AA316" s="14">
        <v>60</v>
      </c>
      <c r="AB316" s="14">
        <v>26</v>
      </c>
      <c r="AH316" s="14">
        <v>417</v>
      </c>
      <c r="AI316" s="14">
        <v>264</v>
      </c>
      <c r="AJ316" s="14">
        <v>354</v>
      </c>
      <c r="AK316" s="14">
        <v>24</v>
      </c>
      <c r="AM316" s="14">
        <v>18</v>
      </c>
      <c r="AN316" s="14">
        <v>6</v>
      </c>
      <c r="AO316" s="14">
        <v>1</v>
      </c>
      <c r="AP316" s="14">
        <v>265</v>
      </c>
      <c r="AQ316" s="14">
        <v>31</v>
      </c>
      <c r="AS316" s="14">
        <v>4</v>
      </c>
    </row>
    <row r="317" spans="7:45" x14ac:dyDescent="0.25">
      <c r="AA317" s="14">
        <v>25</v>
      </c>
      <c r="AB317" s="14">
        <v>15</v>
      </c>
      <c r="AH317" s="14">
        <v>172</v>
      </c>
      <c r="AI317" s="14">
        <v>331</v>
      </c>
      <c r="AJ317" s="14">
        <v>13</v>
      </c>
      <c r="AK317" s="14">
        <v>27</v>
      </c>
      <c r="AM317" s="14">
        <v>57</v>
      </c>
      <c r="AN317" s="14">
        <v>4</v>
      </c>
      <c r="AO317" s="14">
        <v>4</v>
      </c>
      <c r="AP317" s="14">
        <v>304</v>
      </c>
      <c r="AQ317" s="14">
        <v>5</v>
      </c>
      <c r="AS317" s="14">
        <v>4</v>
      </c>
    </row>
    <row r="318" spans="7:45" x14ac:dyDescent="0.25">
      <c r="AA318" s="14">
        <v>37</v>
      </c>
      <c r="AB318" s="14">
        <v>19</v>
      </c>
      <c r="AH318" s="14">
        <v>168</v>
      </c>
      <c r="AI318" s="14">
        <v>296</v>
      </c>
      <c r="AJ318" s="14">
        <v>10</v>
      </c>
      <c r="AK318" s="14">
        <v>135</v>
      </c>
      <c r="AM318" s="14">
        <v>56</v>
      </c>
      <c r="AN318" s="14">
        <v>583</v>
      </c>
      <c r="AO318" s="14">
        <v>13</v>
      </c>
      <c r="AP318" s="14">
        <v>621</v>
      </c>
      <c r="AQ318" s="14">
        <v>3</v>
      </c>
      <c r="AS318" s="14">
        <v>4</v>
      </c>
    </row>
    <row r="319" spans="7:45" x14ac:dyDescent="0.25">
      <c r="AA319" s="14">
        <v>49</v>
      </c>
      <c r="AB319" s="14">
        <v>56</v>
      </c>
      <c r="AH319" s="14">
        <v>122</v>
      </c>
      <c r="AI319" s="14">
        <v>350</v>
      </c>
      <c r="AJ319" s="14">
        <v>143</v>
      </c>
      <c r="AK319" s="14">
        <v>135</v>
      </c>
      <c r="AM319" s="14">
        <v>3</v>
      </c>
      <c r="AN319" s="14">
        <v>657</v>
      </c>
      <c r="AO319" s="14">
        <v>5</v>
      </c>
      <c r="AP319" s="14">
        <v>297</v>
      </c>
      <c r="AQ319" s="14">
        <v>3</v>
      </c>
      <c r="AS319" s="14">
        <v>4</v>
      </c>
    </row>
    <row r="320" spans="7:45" x14ac:dyDescent="0.25">
      <c r="AA320" s="14">
        <v>48</v>
      </c>
      <c r="AB320" s="14">
        <v>54</v>
      </c>
      <c r="AH320" s="14">
        <v>125</v>
      </c>
      <c r="AI320" s="14">
        <v>300</v>
      </c>
      <c r="AJ320" s="14">
        <v>23</v>
      </c>
      <c r="AK320" s="14">
        <v>68</v>
      </c>
      <c r="AM320" s="14">
        <v>14</v>
      </c>
      <c r="AN320" s="14">
        <v>4</v>
      </c>
      <c r="AO320" s="14">
        <v>45</v>
      </c>
      <c r="AP320" s="14">
        <v>214</v>
      </c>
      <c r="AQ320" s="14">
        <v>45</v>
      </c>
      <c r="AS320" s="14">
        <v>4</v>
      </c>
    </row>
    <row r="321" spans="27:45" x14ac:dyDescent="0.25">
      <c r="AA321" s="14">
        <v>43</v>
      </c>
      <c r="AB321" s="14">
        <v>37</v>
      </c>
      <c r="AH321" s="14">
        <v>173</v>
      </c>
      <c r="AI321" s="14">
        <v>265</v>
      </c>
      <c r="AJ321" s="14">
        <v>535</v>
      </c>
      <c r="AK321" s="14">
        <v>112</v>
      </c>
      <c r="AM321" s="14">
        <v>27</v>
      </c>
      <c r="AN321" s="14">
        <v>25</v>
      </c>
      <c r="AO321" s="14">
        <v>56</v>
      </c>
      <c r="AP321" s="14">
        <v>248</v>
      </c>
      <c r="AQ321" s="14">
        <v>1</v>
      </c>
      <c r="AS321" s="14">
        <v>17</v>
      </c>
    </row>
    <row r="322" spans="27:45" x14ac:dyDescent="0.25">
      <c r="AA322" s="14">
        <v>79</v>
      </c>
      <c r="AB322" s="14">
        <v>33</v>
      </c>
      <c r="AH322" s="14">
        <v>169</v>
      </c>
      <c r="AI322" s="14">
        <v>290</v>
      </c>
      <c r="AJ322" s="14">
        <v>281</v>
      </c>
      <c r="AK322" s="14">
        <v>33</v>
      </c>
      <c r="AM322" s="14">
        <v>30</v>
      </c>
      <c r="AN322" s="14">
        <v>18</v>
      </c>
      <c r="AO322" s="14">
        <v>61</v>
      </c>
      <c r="AP322" s="14">
        <v>431</v>
      </c>
      <c r="AQ322" s="14">
        <v>2</v>
      </c>
      <c r="AS322" s="14">
        <v>4</v>
      </c>
    </row>
    <row r="323" spans="27:45" x14ac:dyDescent="0.25">
      <c r="AA323" s="14">
        <v>61</v>
      </c>
      <c r="AB323" s="14">
        <v>21</v>
      </c>
      <c r="AH323" s="14">
        <v>307</v>
      </c>
      <c r="AI323" s="14">
        <v>383</v>
      </c>
      <c r="AJ323" s="14">
        <v>9</v>
      </c>
      <c r="AK323" s="14">
        <v>156</v>
      </c>
      <c r="AM323" s="14">
        <v>31</v>
      </c>
      <c r="AN323" s="14">
        <v>35</v>
      </c>
      <c r="AO323" s="14">
        <v>217</v>
      </c>
      <c r="AP323" s="14">
        <v>277</v>
      </c>
      <c r="AQ323" s="14">
        <v>4</v>
      </c>
      <c r="AS323" s="14">
        <v>5</v>
      </c>
    </row>
    <row r="324" spans="27:45" x14ac:dyDescent="0.25">
      <c r="AA324" s="14">
        <v>46</v>
      </c>
      <c r="AB324" s="14">
        <v>19</v>
      </c>
      <c r="AH324" s="14">
        <v>295</v>
      </c>
      <c r="AI324" s="14">
        <v>337</v>
      </c>
      <c r="AJ324" s="14">
        <v>7</v>
      </c>
      <c r="AK324" s="14">
        <v>178</v>
      </c>
      <c r="AM324" s="14">
        <v>18</v>
      </c>
      <c r="AN324" s="14">
        <v>35</v>
      </c>
      <c r="AO324" s="14">
        <v>136</v>
      </c>
      <c r="AP324" s="14">
        <v>454</v>
      </c>
      <c r="AQ324" s="14">
        <v>56</v>
      </c>
      <c r="AS324" s="14">
        <v>5</v>
      </c>
    </row>
    <row r="325" spans="27:45" x14ac:dyDescent="0.25">
      <c r="AA325" s="14">
        <v>43</v>
      </c>
      <c r="AB325" s="14">
        <v>16</v>
      </c>
      <c r="AH325" s="14">
        <v>164</v>
      </c>
      <c r="AI325" s="14">
        <v>288</v>
      </c>
      <c r="AJ325" s="14">
        <v>65</v>
      </c>
      <c r="AK325" s="14">
        <v>156</v>
      </c>
      <c r="AM325" s="14">
        <v>24</v>
      </c>
      <c r="AN325" s="14">
        <v>49</v>
      </c>
      <c r="AO325" s="14">
        <v>672</v>
      </c>
      <c r="AP325" s="14">
        <v>441</v>
      </c>
      <c r="AQ325" s="14">
        <v>6</v>
      </c>
      <c r="AS325" s="14">
        <v>4</v>
      </c>
    </row>
    <row r="326" spans="27:45" x14ac:dyDescent="0.25">
      <c r="AA326" s="14">
        <v>48</v>
      </c>
      <c r="AB326" s="14">
        <v>10</v>
      </c>
      <c r="AH326" s="14">
        <v>165</v>
      </c>
      <c r="AI326" s="14">
        <v>866</v>
      </c>
      <c r="AK326" s="14">
        <v>143</v>
      </c>
      <c r="AM326" s="14">
        <v>28</v>
      </c>
      <c r="AN326" s="14">
        <v>50</v>
      </c>
      <c r="AO326" s="14">
        <v>268</v>
      </c>
      <c r="AP326" s="14">
        <v>63</v>
      </c>
      <c r="AQ326" s="14">
        <v>3</v>
      </c>
      <c r="AS326" s="14">
        <v>4</v>
      </c>
    </row>
    <row r="327" spans="27:45" x14ac:dyDescent="0.25">
      <c r="AA327" s="14">
        <v>62</v>
      </c>
      <c r="AB327" s="14">
        <v>70</v>
      </c>
      <c r="AH327" s="14">
        <v>269</v>
      </c>
      <c r="AI327" s="14">
        <v>918</v>
      </c>
      <c r="AK327" s="14">
        <v>154</v>
      </c>
      <c r="AM327" s="14">
        <v>18</v>
      </c>
      <c r="AN327" s="14">
        <v>62</v>
      </c>
      <c r="AO327" s="14">
        <v>352</v>
      </c>
      <c r="AP327" s="14">
        <v>94</v>
      </c>
      <c r="AQ327" s="14">
        <v>5</v>
      </c>
      <c r="AS327" s="14">
        <v>15</v>
      </c>
    </row>
    <row r="328" spans="27:45" x14ac:dyDescent="0.25">
      <c r="AA328" s="14">
        <v>56</v>
      </c>
      <c r="AB328" s="14">
        <v>77</v>
      </c>
      <c r="AH328" s="14">
        <v>269</v>
      </c>
      <c r="AI328" s="14">
        <v>423</v>
      </c>
      <c r="AK328" s="14">
        <v>135</v>
      </c>
      <c r="AM328" s="14">
        <v>27</v>
      </c>
      <c r="AN328" s="14">
        <v>122</v>
      </c>
      <c r="AO328" s="14">
        <v>117</v>
      </c>
      <c r="AP328" s="14">
        <v>74</v>
      </c>
      <c r="AQ328" s="14">
        <v>70</v>
      </c>
      <c r="AS328" s="14">
        <v>21</v>
      </c>
    </row>
    <row r="329" spans="27:45" x14ac:dyDescent="0.25">
      <c r="AA329" s="14">
        <v>58</v>
      </c>
      <c r="AB329" s="14">
        <v>64</v>
      </c>
      <c r="AH329" s="14">
        <v>291</v>
      </c>
      <c r="AI329" s="14">
        <v>108</v>
      </c>
      <c r="AK329" s="14">
        <v>12</v>
      </c>
      <c r="AM329" s="14">
        <v>32</v>
      </c>
      <c r="AN329" s="14">
        <v>15</v>
      </c>
      <c r="AO329" s="14">
        <v>128</v>
      </c>
      <c r="AP329" s="14">
        <v>78</v>
      </c>
      <c r="AQ329" s="14">
        <v>6</v>
      </c>
      <c r="AS329" s="14">
        <v>4</v>
      </c>
    </row>
    <row r="330" spans="27:45" x14ac:dyDescent="0.25">
      <c r="AA330" s="14">
        <v>33</v>
      </c>
      <c r="AB330" s="14">
        <v>51</v>
      </c>
      <c r="AH330" s="14">
        <v>283</v>
      </c>
      <c r="AI330" s="14">
        <v>902</v>
      </c>
      <c r="AK330" s="14">
        <v>7</v>
      </c>
      <c r="AM330" s="14">
        <v>102</v>
      </c>
      <c r="AN330" s="14">
        <v>16</v>
      </c>
      <c r="AO330" s="14">
        <v>890</v>
      </c>
      <c r="AP330" s="14">
        <v>47</v>
      </c>
      <c r="AQ330" s="14">
        <v>2</v>
      </c>
      <c r="AS330" s="14">
        <v>4</v>
      </c>
    </row>
    <row r="331" spans="27:45" x14ac:dyDescent="0.25">
      <c r="AA331" s="14">
        <v>147</v>
      </c>
      <c r="AB331" s="14">
        <v>31</v>
      </c>
      <c r="AH331" s="14">
        <v>578</v>
      </c>
      <c r="AI331" s="14">
        <v>857</v>
      </c>
      <c r="AK331" s="14">
        <v>10</v>
      </c>
      <c r="AM331" s="14">
        <v>32</v>
      </c>
      <c r="AN331" s="14">
        <v>18</v>
      </c>
      <c r="AO331" s="14">
        <v>3</v>
      </c>
      <c r="AP331" s="14">
        <v>89</v>
      </c>
      <c r="AQ331" s="14">
        <v>4</v>
      </c>
      <c r="AS331" s="14">
        <v>5</v>
      </c>
    </row>
    <row r="332" spans="27:45" x14ac:dyDescent="0.25">
      <c r="AA332" s="14">
        <v>104</v>
      </c>
      <c r="AB332" s="14">
        <v>23</v>
      </c>
      <c r="AH332" s="14">
        <v>575</v>
      </c>
      <c r="AI332" s="14">
        <v>928</v>
      </c>
      <c r="AK332" s="14">
        <v>35</v>
      </c>
      <c r="AM332" s="14">
        <v>24</v>
      </c>
      <c r="AN332" s="14">
        <v>22</v>
      </c>
      <c r="AO332" s="14">
        <v>3</v>
      </c>
      <c r="AP332" s="14">
        <v>97</v>
      </c>
      <c r="AQ332" s="14">
        <v>61</v>
      </c>
      <c r="AS332" s="14">
        <v>4</v>
      </c>
    </row>
    <row r="333" spans="27:45" x14ac:dyDescent="0.25">
      <c r="AA333" s="14">
        <v>18</v>
      </c>
      <c r="AB333" s="14">
        <v>22</v>
      </c>
      <c r="AH333" s="14">
        <v>431</v>
      </c>
      <c r="AI333" s="14">
        <v>542</v>
      </c>
      <c r="AK333" s="14">
        <v>36</v>
      </c>
      <c r="AM333" s="14">
        <v>29</v>
      </c>
      <c r="AN333" s="14">
        <v>3</v>
      </c>
      <c r="AO333" s="14">
        <v>11</v>
      </c>
      <c r="AP333" s="14">
        <v>58</v>
      </c>
      <c r="AQ333" s="14">
        <v>19</v>
      </c>
      <c r="AS333" s="14">
        <v>4</v>
      </c>
    </row>
    <row r="334" spans="27:45" x14ac:dyDescent="0.25">
      <c r="AA334" s="14">
        <v>18</v>
      </c>
      <c r="AB334" s="14">
        <v>25</v>
      </c>
      <c r="AH334" s="14">
        <v>530</v>
      </c>
      <c r="AI334" s="14">
        <v>226</v>
      </c>
      <c r="AK334" s="14">
        <v>5</v>
      </c>
      <c r="AM334" s="14">
        <v>29</v>
      </c>
      <c r="AN334" s="14">
        <v>4</v>
      </c>
      <c r="AO334" s="14">
        <v>5</v>
      </c>
      <c r="AP334" s="14">
        <v>90</v>
      </c>
      <c r="AQ334" s="14">
        <v>6</v>
      </c>
      <c r="AS334" s="14">
        <v>15</v>
      </c>
    </row>
    <row r="335" spans="27:45" x14ac:dyDescent="0.25">
      <c r="AA335" s="14">
        <v>32</v>
      </c>
      <c r="AB335" s="14">
        <v>127</v>
      </c>
      <c r="AH335" s="14">
        <v>465</v>
      </c>
      <c r="AI335" s="14">
        <v>726</v>
      </c>
      <c r="AK335" s="14">
        <v>661</v>
      </c>
      <c r="AM335" s="14">
        <v>29</v>
      </c>
      <c r="AN335" s="14">
        <v>5</v>
      </c>
      <c r="AO335" s="14">
        <v>43</v>
      </c>
      <c r="AP335" s="14">
        <v>87</v>
      </c>
      <c r="AQ335" s="14">
        <v>10</v>
      </c>
      <c r="AS335" s="14">
        <v>20</v>
      </c>
    </row>
    <row r="336" spans="27:45" x14ac:dyDescent="0.25">
      <c r="AA336" s="14">
        <v>144</v>
      </c>
      <c r="AB336" s="14">
        <v>178</v>
      </c>
      <c r="AH336" s="14">
        <v>464</v>
      </c>
      <c r="AI336" s="14">
        <v>976</v>
      </c>
      <c r="AK336" s="14">
        <v>76</v>
      </c>
      <c r="AM336" s="14">
        <v>26</v>
      </c>
      <c r="AN336" s="14">
        <v>6</v>
      </c>
      <c r="AO336" s="14">
        <v>51</v>
      </c>
      <c r="AP336" s="14">
        <v>120</v>
      </c>
      <c r="AQ336" s="14">
        <v>130</v>
      </c>
      <c r="AS336" s="14">
        <v>3</v>
      </c>
    </row>
    <row r="337" spans="27:45" x14ac:dyDescent="0.25">
      <c r="AA337" s="14">
        <v>102</v>
      </c>
      <c r="AB337" s="14">
        <v>95</v>
      </c>
      <c r="AH337" s="14">
        <v>429</v>
      </c>
      <c r="AI337" s="14">
        <v>66</v>
      </c>
      <c r="AK337" s="14">
        <v>112</v>
      </c>
      <c r="AM337" s="14">
        <v>21</v>
      </c>
      <c r="AN337" s="14">
        <v>7</v>
      </c>
      <c r="AO337" s="14">
        <v>51</v>
      </c>
      <c r="AP337" s="14">
        <v>88</v>
      </c>
      <c r="AQ337" s="14">
        <v>4</v>
      </c>
      <c r="AS337" s="14">
        <v>4</v>
      </c>
    </row>
    <row r="338" spans="27:45" x14ac:dyDescent="0.25">
      <c r="AA338" s="14">
        <v>17</v>
      </c>
      <c r="AB338" s="14">
        <v>88</v>
      </c>
      <c r="AH338" s="14">
        <v>453</v>
      </c>
      <c r="AI338" s="14">
        <v>92</v>
      </c>
      <c r="AK338" s="14">
        <v>134</v>
      </c>
      <c r="AM338" s="14">
        <v>30</v>
      </c>
      <c r="AN338" s="14">
        <v>8</v>
      </c>
      <c r="AO338" s="14">
        <v>2</v>
      </c>
      <c r="AP338" s="14">
        <v>70</v>
      </c>
      <c r="AQ338" s="14">
        <v>2</v>
      </c>
      <c r="AS338" s="14">
        <v>5</v>
      </c>
    </row>
    <row r="339" spans="27:45" x14ac:dyDescent="0.25">
      <c r="AA339" s="14">
        <v>18</v>
      </c>
      <c r="AB339" s="14">
        <v>73</v>
      </c>
      <c r="AH339" s="14">
        <v>491</v>
      </c>
      <c r="AI339" s="14">
        <v>889</v>
      </c>
      <c r="AK339" s="14">
        <v>92</v>
      </c>
      <c r="AM339" s="14">
        <v>21</v>
      </c>
      <c r="AN339" s="14">
        <v>9</v>
      </c>
      <c r="AO339" s="14">
        <v>23</v>
      </c>
      <c r="AP339" s="14">
        <v>100</v>
      </c>
      <c r="AQ339" s="14">
        <v>4</v>
      </c>
      <c r="AS339" s="14">
        <v>3</v>
      </c>
    </row>
    <row r="340" spans="27:45" x14ac:dyDescent="0.25">
      <c r="AA340" s="14">
        <v>4</v>
      </c>
      <c r="AB340" s="14">
        <v>43</v>
      </c>
      <c r="AH340" s="14">
        <v>488</v>
      </c>
      <c r="AI340" s="14">
        <v>285</v>
      </c>
      <c r="AK340" s="14">
        <v>104</v>
      </c>
      <c r="AM340" s="14">
        <v>27</v>
      </c>
      <c r="AN340" s="14">
        <v>8</v>
      </c>
      <c r="AO340" s="14">
        <v>1</v>
      </c>
      <c r="AP340" s="14">
        <v>57</v>
      </c>
      <c r="AQ340" s="14">
        <v>59</v>
      </c>
      <c r="AS340" s="14">
        <v>10</v>
      </c>
    </row>
    <row r="341" spans="27:45" x14ac:dyDescent="0.25">
      <c r="AA341" s="14">
        <v>36</v>
      </c>
      <c r="AB341" s="14">
        <v>30</v>
      </c>
      <c r="AH341" s="14">
        <v>467</v>
      </c>
      <c r="AI341" s="14">
        <v>27</v>
      </c>
      <c r="AK341" s="14">
        <v>91</v>
      </c>
      <c r="AM341" s="14">
        <v>30</v>
      </c>
      <c r="AN341" s="14">
        <v>10</v>
      </c>
      <c r="AO341" s="14">
        <v>2</v>
      </c>
      <c r="AP341" s="14">
        <v>137</v>
      </c>
      <c r="AQ341" s="14">
        <v>7</v>
      </c>
      <c r="AS341" s="14">
        <v>6</v>
      </c>
    </row>
    <row r="342" spans="27:45" x14ac:dyDescent="0.25">
      <c r="AA342" s="14">
        <v>178</v>
      </c>
      <c r="AB342" s="14">
        <v>45</v>
      </c>
      <c r="AH342" s="14">
        <v>468</v>
      </c>
      <c r="AI342" s="14">
        <v>97</v>
      </c>
      <c r="AK342" s="14">
        <v>101</v>
      </c>
      <c r="AM342" s="14">
        <v>24</v>
      </c>
      <c r="AN342" s="14">
        <v>12</v>
      </c>
      <c r="AO342" s="14">
        <v>4</v>
      </c>
      <c r="AP342" s="14">
        <v>80</v>
      </c>
      <c r="AQ342" s="14">
        <v>4</v>
      </c>
      <c r="AS342" s="14">
        <v>8</v>
      </c>
    </row>
    <row r="343" spans="27:45" x14ac:dyDescent="0.25">
      <c r="AA343" s="14">
        <v>127</v>
      </c>
      <c r="AB343" s="14">
        <v>221</v>
      </c>
      <c r="AH343" s="14">
        <v>487</v>
      </c>
      <c r="AI343" s="14">
        <v>92</v>
      </c>
      <c r="AK343" s="14">
        <v>94</v>
      </c>
      <c r="AM343" s="14">
        <v>24</v>
      </c>
      <c r="AN343" s="14">
        <v>13</v>
      </c>
      <c r="AO343" s="14">
        <v>2</v>
      </c>
      <c r="AP343" s="14">
        <v>111</v>
      </c>
      <c r="AQ343" s="14">
        <v>5</v>
      </c>
      <c r="AS343" s="14">
        <v>5</v>
      </c>
    </row>
    <row r="344" spans="27:45" x14ac:dyDescent="0.25">
      <c r="AA344" s="14">
        <v>22</v>
      </c>
      <c r="AB344" s="14">
        <v>182</v>
      </c>
      <c r="AH344" s="14">
        <v>485</v>
      </c>
      <c r="AI344" s="14">
        <v>857</v>
      </c>
      <c r="AK344" s="14">
        <v>129</v>
      </c>
      <c r="AM344" s="14">
        <v>26</v>
      </c>
      <c r="AN344" s="14">
        <v>14</v>
      </c>
      <c r="AO344" s="14">
        <v>5</v>
      </c>
      <c r="AP344" s="14">
        <v>125</v>
      </c>
      <c r="AQ344" s="14">
        <v>74</v>
      </c>
      <c r="AS344" s="14">
        <v>3</v>
      </c>
    </row>
    <row r="345" spans="27:45" x14ac:dyDescent="0.25">
      <c r="AA345" s="14">
        <v>20</v>
      </c>
      <c r="AB345" s="14">
        <v>148</v>
      </c>
      <c r="AH345" s="14">
        <v>606</v>
      </c>
      <c r="AI345" s="14">
        <v>928</v>
      </c>
      <c r="AK345" s="14">
        <v>115</v>
      </c>
      <c r="AM345" s="14">
        <v>25</v>
      </c>
      <c r="AN345" s="14">
        <v>20</v>
      </c>
      <c r="AO345" s="14">
        <v>1</v>
      </c>
      <c r="AP345" s="14">
        <v>120</v>
      </c>
      <c r="AQ345" s="14">
        <v>5</v>
      </c>
      <c r="AS345" s="14">
        <v>4</v>
      </c>
    </row>
    <row r="346" spans="27:45" x14ac:dyDescent="0.25">
      <c r="AA346" s="14">
        <v>36</v>
      </c>
      <c r="AB346" s="14">
        <v>141</v>
      </c>
      <c r="AH346" s="14">
        <v>660</v>
      </c>
      <c r="AI346" s="14">
        <v>589</v>
      </c>
      <c r="AK346" s="14">
        <v>20</v>
      </c>
      <c r="AM346" s="14">
        <v>31</v>
      </c>
      <c r="AN346" s="14">
        <v>5</v>
      </c>
      <c r="AO346" s="14">
        <v>3</v>
      </c>
      <c r="AP346" s="14">
        <v>114</v>
      </c>
      <c r="AQ346" s="14">
        <v>2</v>
      </c>
      <c r="AS346" s="14">
        <v>6</v>
      </c>
    </row>
    <row r="347" spans="27:45" x14ac:dyDescent="0.25">
      <c r="AA347" s="14">
        <v>186</v>
      </c>
      <c r="AB347" s="14">
        <v>79</v>
      </c>
      <c r="AH347" s="14">
        <v>490</v>
      </c>
      <c r="AI347" s="14">
        <v>317</v>
      </c>
      <c r="AK347" s="14">
        <v>14</v>
      </c>
      <c r="AM347" s="14">
        <v>19</v>
      </c>
      <c r="AN347" s="14">
        <v>7</v>
      </c>
      <c r="AO347" s="14">
        <v>5</v>
      </c>
      <c r="AP347" s="14">
        <v>102</v>
      </c>
      <c r="AQ347" s="14">
        <v>4</v>
      </c>
      <c r="AS347" s="14">
        <v>6</v>
      </c>
    </row>
    <row r="348" spans="27:45" x14ac:dyDescent="0.25">
      <c r="AA348" s="14">
        <v>131</v>
      </c>
      <c r="AB348" s="14">
        <v>66</v>
      </c>
      <c r="AH348" s="14">
        <v>487</v>
      </c>
      <c r="AI348" s="14">
        <v>741</v>
      </c>
      <c r="AK348" s="14">
        <v>15</v>
      </c>
      <c r="AM348" s="14">
        <v>17</v>
      </c>
      <c r="AN348" s="14">
        <v>8</v>
      </c>
      <c r="AO348" s="14">
        <v>4</v>
      </c>
      <c r="AP348" s="14">
        <v>154</v>
      </c>
      <c r="AQ348" s="14">
        <v>59</v>
      </c>
      <c r="AS348" s="14">
        <v>5</v>
      </c>
    </row>
    <row r="349" spans="27:45" x14ac:dyDescent="0.25">
      <c r="AA349" s="14">
        <v>23</v>
      </c>
      <c r="AB349" s="14">
        <v>63</v>
      </c>
      <c r="AH349" s="14">
        <v>219</v>
      </c>
      <c r="AI349" s="14">
        <v>976</v>
      </c>
      <c r="AK349" s="14">
        <v>30</v>
      </c>
      <c r="AM349" s="14">
        <v>27</v>
      </c>
      <c r="AN349" s="14">
        <v>9</v>
      </c>
      <c r="AO349" s="14">
        <v>3</v>
      </c>
      <c r="AP349" s="14">
        <v>105</v>
      </c>
      <c r="AQ349" s="14">
        <v>9</v>
      </c>
      <c r="AS349" s="14">
        <v>11</v>
      </c>
    </row>
    <row r="350" spans="27:45" x14ac:dyDescent="0.25">
      <c r="AA350" s="14">
        <v>20</v>
      </c>
      <c r="AB350" s="14">
        <v>68</v>
      </c>
      <c r="AH350" s="14">
        <v>240</v>
      </c>
      <c r="AI350" s="14">
        <v>689</v>
      </c>
      <c r="AK350" s="14">
        <v>47</v>
      </c>
      <c r="AM350" s="14">
        <v>106</v>
      </c>
      <c r="AN350" s="14">
        <v>10</v>
      </c>
      <c r="AO350" s="14">
        <v>2</v>
      </c>
      <c r="AP350" s="14">
        <v>162</v>
      </c>
      <c r="AQ350" s="14">
        <v>4</v>
      </c>
      <c r="AS350" s="14">
        <v>7</v>
      </c>
    </row>
    <row r="351" spans="27:45" x14ac:dyDescent="0.25">
      <c r="AA351" s="14">
        <v>7</v>
      </c>
      <c r="AB351" s="14">
        <v>51</v>
      </c>
      <c r="AH351" s="14">
        <v>218</v>
      </c>
      <c r="AI351" s="14">
        <v>92</v>
      </c>
      <c r="AK351" s="14">
        <v>78</v>
      </c>
      <c r="AM351" s="14">
        <v>22</v>
      </c>
      <c r="AN351" s="14">
        <v>12</v>
      </c>
      <c r="AO351" s="14">
        <v>3</v>
      </c>
      <c r="AP351" s="14">
        <v>97</v>
      </c>
      <c r="AQ351" s="14">
        <v>6</v>
      </c>
      <c r="AS351" s="14">
        <v>8</v>
      </c>
    </row>
    <row r="352" spans="27:45" x14ac:dyDescent="0.25">
      <c r="AA352" s="14">
        <v>6</v>
      </c>
      <c r="AB352" s="14">
        <v>46</v>
      </c>
      <c r="AH352" s="14">
        <v>235</v>
      </c>
      <c r="AI352" s="14">
        <v>897</v>
      </c>
      <c r="AK352" s="14">
        <v>215</v>
      </c>
      <c r="AM352" s="14">
        <v>44</v>
      </c>
      <c r="AN352" s="14">
        <v>14</v>
      </c>
      <c r="AO352" s="14">
        <v>4</v>
      </c>
      <c r="AP352" s="14">
        <v>217</v>
      </c>
      <c r="AQ352" s="14">
        <v>79</v>
      </c>
      <c r="AS352" s="14">
        <v>7</v>
      </c>
    </row>
    <row r="353" spans="27:45" x14ac:dyDescent="0.25">
      <c r="AA353" s="14">
        <v>237</v>
      </c>
      <c r="AB353" s="14">
        <v>34</v>
      </c>
      <c r="AH353" s="14">
        <v>111</v>
      </c>
      <c r="AI353" s="14">
        <v>358</v>
      </c>
      <c r="AK353" s="14">
        <v>178</v>
      </c>
      <c r="AM353" s="14">
        <v>25</v>
      </c>
      <c r="AN353" s="14">
        <v>368</v>
      </c>
      <c r="AO353" s="14">
        <v>3</v>
      </c>
      <c r="AP353" s="14">
        <v>191</v>
      </c>
      <c r="AQ353" s="14">
        <v>7</v>
      </c>
      <c r="AS353" s="14">
        <v>5</v>
      </c>
    </row>
    <row r="354" spans="27:45" x14ac:dyDescent="0.25">
      <c r="AA354" s="14">
        <v>67</v>
      </c>
      <c r="AB354" s="14">
        <v>35</v>
      </c>
      <c r="AH354" s="14">
        <v>111</v>
      </c>
      <c r="AI354" s="14">
        <v>29</v>
      </c>
      <c r="AK354" s="14">
        <v>133</v>
      </c>
      <c r="AM354" s="14">
        <v>26</v>
      </c>
      <c r="AN354" s="14">
        <v>480</v>
      </c>
      <c r="AO354" s="14">
        <v>4</v>
      </c>
      <c r="AP354" s="14">
        <v>147</v>
      </c>
      <c r="AQ354" s="14">
        <v>2</v>
      </c>
      <c r="AS354" s="14">
        <v>4</v>
      </c>
    </row>
    <row r="355" spans="27:45" x14ac:dyDescent="0.25">
      <c r="AA355" s="14">
        <v>5</v>
      </c>
      <c r="AB355" s="14">
        <v>28</v>
      </c>
      <c r="AH355" s="14">
        <v>219</v>
      </c>
      <c r="AI355" s="14">
        <v>424</v>
      </c>
      <c r="AK355" s="14">
        <v>8</v>
      </c>
      <c r="AM355" s="14">
        <v>23</v>
      </c>
      <c r="AN355" s="14">
        <v>621</v>
      </c>
      <c r="AO355" s="14">
        <v>34</v>
      </c>
      <c r="AP355" s="14">
        <v>169</v>
      </c>
      <c r="AQ355" s="14">
        <v>2</v>
      </c>
      <c r="AS355" s="14">
        <v>6</v>
      </c>
    </row>
    <row r="356" spans="27:45" x14ac:dyDescent="0.25">
      <c r="AA356" s="14">
        <v>127</v>
      </c>
      <c r="AB356" s="14">
        <v>27</v>
      </c>
      <c r="AH356" s="14">
        <v>239</v>
      </c>
      <c r="AI356" s="14">
        <v>92</v>
      </c>
      <c r="AK356" s="14">
        <v>110</v>
      </c>
      <c r="AM356" s="14">
        <v>23</v>
      </c>
      <c r="AN356" s="14">
        <v>722</v>
      </c>
      <c r="AO356" s="14">
        <v>13</v>
      </c>
      <c r="AP356" s="14">
        <v>242</v>
      </c>
      <c r="AQ356" s="14">
        <v>30</v>
      </c>
      <c r="AS356" s="14">
        <v>7</v>
      </c>
    </row>
    <row r="357" spans="27:45" x14ac:dyDescent="0.25">
      <c r="AA357" s="14">
        <v>139</v>
      </c>
      <c r="AB357" s="14">
        <v>19</v>
      </c>
      <c r="AH357" s="14">
        <v>378</v>
      </c>
      <c r="AI357" s="14">
        <v>857</v>
      </c>
      <c r="AK357" s="14">
        <v>146</v>
      </c>
      <c r="AM357" s="14">
        <v>26</v>
      </c>
      <c r="AN357" s="14">
        <v>807</v>
      </c>
      <c r="AO357" s="14">
        <v>6</v>
      </c>
      <c r="AP357" s="14">
        <v>195</v>
      </c>
      <c r="AQ357" s="14">
        <v>5</v>
      </c>
      <c r="AS357" s="14">
        <v>6</v>
      </c>
    </row>
    <row r="358" spans="27:45" x14ac:dyDescent="0.25">
      <c r="AA358" s="14">
        <v>136</v>
      </c>
      <c r="AB358" s="14">
        <v>22</v>
      </c>
      <c r="AH358" s="14">
        <v>397</v>
      </c>
      <c r="AI358" s="14">
        <v>928</v>
      </c>
      <c r="AK358" s="14">
        <v>154</v>
      </c>
      <c r="AM358" s="14">
        <v>34</v>
      </c>
      <c r="AN358" s="14">
        <v>959</v>
      </c>
      <c r="AO358" s="14">
        <v>8</v>
      </c>
      <c r="AP358" s="14">
        <v>119</v>
      </c>
      <c r="AQ358" s="14">
        <v>2</v>
      </c>
      <c r="AS358" s="14">
        <v>10</v>
      </c>
    </row>
    <row r="359" spans="27:45" x14ac:dyDescent="0.25">
      <c r="AA359" s="14">
        <v>101</v>
      </c>
      <c r="AB359" s="14">
        <v>13</v>
      </c>
      <c r="AH359" s="14">
        <v>385</v>
      </c>
      <c r="AI359" s="14">
        <v>503</v>
      </c>
      <c r="AK359" s="14">
        <v>219</v>
      </c>
      <c r="AM359" s="14">
        <v>30</v>
      </c>
      <c r="AN359" s="14">
        <v>117</v>
      </c>
      <c r="AO359" s="14">
        <v>3</v>
      </c>
      <c r="AP359" s="14">
        <v>198</v>
      </c>
      <c r="AQ359" s="14">
        <v>4</v>
      </c>
      <c r="AS359" s="14">
        <v>13</v>
      </c>
    </row>
    <row r="360" spans="27:45" x14ac:dyDescent="0.25">
      <c r="AA360" s="14">
        <v>377</v>
      </c>
      <c r="AB360" s="14">
        <v>8</v>
      </c>
      <c r="AH360" s="14">
        <v>392</v>
      </c>
      <c r="AI360" s="14">
        <v>124</v>
      </c>
      <c r="AK360" s="14">
        <v>160</v>
      </c>
      <c r="AM360" s="14">
        <v>46</v>
      </c>
      <c r="AN360" s="14">
        <v>5</v>
      </c>
      <c r="AO360" s="14">
        <v>8</v>
      </c>
      <c r="AP360" s="14">
        <v>223</v>
      </c>
      <c r="AQ360" s="14">
        <v>55</v>
      </c>
      <c r="AS360" s="14">
        <v>8</v>
      </c>
    </row>
    <row r="361" spans="27:45" x14ac:dyDescent="0.25">
      <c r="AA361" s="14">
        <v>117</v>
      </c>
      <c r="AB361" s="14">
        <v>9</v>
      </c>
      <c r="AH361" s="14">
        <v>256</v>
      </c>
      <c r="AI361" s="14">
        <v>711</v>
      </c>
      <c r="AK361" s="14">
        <v>159</v>
      </c>
      <c r="AM361" s="14">
        <v>25</v>
      </c>
      <c r="AN361" s="14">
        <v>6</v>
      </c>
      <c r="AO361" s="14">
        <v>3</v>
      </c>
      <c r="AP361" s="14">
        <v>249</v>
      </c>
      <c r="AQ361" s="14">
        <v>7</v>
      </c>
      <c r="AS361" s="14">
        <v>9</v>
      </c>
    </row>
    <row r="362" spans="27:45" x14ac:dyDescent="0.25">
      <c r="AA362" s="14">
        <v>178</v>
      </c>
      <c r="AB362" s="14">
        <v>6</v>
      </c>
      <c r="AH362" s="14">
        <v>235</v>
      </c>
      <c r="AI362" s="14">
        <v>976</v>
      </c>
      <c r="AK362" s="14">
        <v>167</v>
      </c>
      <c r="AM362" s="14">
        <v>25</v>
      </c>
      <c r="AN362" s="14">
        <v>7</v>
      </c>
      <c r="AO362" s="14">
        <v>5</v>
      </c>
      <c r="AP362" s="14">
        <v>156</v>
      </c>
      <c r="AQ362" s="14">
        <v>2</v>
      </c>
      <c r="AS362" s="14">
        <v>7</v>
      </c>
    </row>
    <row r="363" spans="27:45" x14ac:dyDescent="0.25">
      <c r="AA363" s="14">
        <v>120</v>
      </c>
      <c r="AB363" s="14">
        <v>6</v>
      </c>
      <c r="AH363" s="14">
        <v>237</v>
      </c>
      <c r="AI363" s="14">
        <v>638</v>
      </c>
      <c r="AK363" s="14">
        <v>191</v>
      </c>
      <c r="AM363" s="14">
        <v>25</v>
      </c>
      <c r="AN363" s="14">
        <v>9</v>
      </c>
      <c r="AO363" s="14">
        <v>8</v>
      </c>
      <c r="AP363" s="14">
        <v>229</v>
      </c>
      <c r="AQ363" s="14">
        <v>4</v>
      </c>
      <c r="AS363" s="14">
        <v>4</v>
      </c>
    </row>
    <row r="364" spans="27:45" x14ac:dyDescent="0.25">
      <c r="AA364" s="14">
        <v>121</v>
      </c>
      <c r="AB364" s="14">
        <v>15</v>
      </c>
      <c r="AH364" s="14">
        <v>236</v>
      </c>
      <c r="AI364" s="14">
        <v>92</v>
      </c>
      <c r="AK364" s="14">
        <v>170</v>
      </c>
      <c r="AM364" s="14">
        <v>22</v>
      </c>
      <c r="AN364" s="14">
        <v>11</v>
      </c>
      <c r="AO364" s="14">
        <v>13</v>
      </c>
      <c r="AP364" s="14">
        <v>209</v>
      </c>
      <c r="AQ364" s="14">
        <v>60</v>
      </c>
      <c r="AS364" s="14">
        <v>6</v>
      </c>
    </row>
    <row r="365" spans="27:45" x14ac:dyDescent="0.25">
      <c r="AA365" s="14">
        <v>179</v>
      </c>
      <c r="AB365" s="14">
        <v>11</v>
      </c>
      <c r="AH365" s="14">
        <v>379</v>
      </c>
      <c r="AI365" s="14">
        <v>889</v>
      </c>
      <c r="AK365" s="14">
        <v>186</v>
      </c>
      <c r="AM365" s="14">
        <v>41</v>
      </c>
      <c r="AN365" s="14">
        <v>14</v>
      </c>
      <c r="AO365" s="14">
        <v>5</v>
      </c>
      <c r="AP365" s="14">
        <v>374</v>
      </c>
      <c r="AQ365" s="14">
        <v>5</v>
      </c>
      <c r="AS365" s="14">
        <v>6</v>
      </c>
    </row>
    <row r="366" spans="27:45" x14ac:dyDescent="0.25">
      <c r="AA366" s="14">
        <v>151</v>
      </c>
      <c r="AB366" s="14">
        <v>7</v>
      </c>
      <c r="AH366" s="14">
        <v>398</v>
      </c>
      <c r="AI366" s="14">
        <v>215</v>
      </c>
      <c r="AK366" s="14">
        <v>191</v>
      </c>
      <c r="AM366" s="14">
        <v>27</v>
      </c>
      <c r="AN366" s="14">
        <v>463</v>
      </c>
      <c r="AO366" s="14">
        <v>3</v>
      </c>
      <c r="AP366" s="14">
        <v>234</v>
      </c>
      <c r="AQ366" s="14">
        <v>5</v>
      </c>
      <c r="AS366" s="14">
        <v>6</v>
      </c>
    </row>
    <row r="367" spans="27:45" x14ac:dyDescent="0.25">
      <c r="AA367" s="14">
        <v>181</v>
      </c>
      <c r="AB367" s="14">
        <v>22</v>
      </c>
      <c r="AH367" s="14">
        <v>772</v>
      </c>
      <c r="AI367" s="14">
        <v>3</v>
      </c>
      <c r="AK367" s="14">
        <v>35</v>
      </c>
      <c r="AM367" s="14">
        <v>42</v>
      </c>
      <c r="AN367" s="14">
        <v>419</v>
      </c>
      <c r="AO367" s="14">
        <v>5</v>
      </c>
      <c r="AP367" s="14">
        <v>138</v>
      </c>
      <c r="AQ367" s="14">
        <v>5</v>
      </c>
      <c r="AS367" s="14">
        <v>8</v>
      </c>
    </row>
    <row r="368" spans="27:45" x14ac:dyDescent="0.25">
      <c r="AA368" s="14">
        <v>67</v>
      </c>
      <c r="AB368" s="14">
        <v>19</v>
      </c>
      <c r="AH368" s="14">
        <v>779</v>
      </c>
      <c r="AI368" s="14">
        <v>238</v>
      </c>
      <c r="AK368" s="14">
        <v>25</v>
      </c>
      <c r="AM368" s="14">
        <v>17</v>
      </c>
      <c r="AN368" s="14">
        <v>333</v>
      </c>
      <c r="AO368" s="14">
        <v>6</v>
      </c>
      <c r="AP368" s="14">
        <v>359</v>
      </c>
      <c r="AQ368" s="14">
        <v>75</v>
      </c>
      <c r="AS368" s="14">
        <v>15</v>
      </c>
    </row>
    <row r="369" spans="27:45" x14ac:dyDescent="0.25">
      <c r="AA369" s="14">
        <v>4</v>
      </c>
      <c r="AB369" s="14">
        <v>16</v>
      </c>
      <c r="AH369" s="14">
        <v>773</v>
      </c>
      <c r="AI369" s="14">
        <v>92</v>
      </c>
      <c r="AK369" s="14">
        <v>20</v>
      </c>
      <c r="AM369" s="14">
        <v>26</v>
      </c>
      <c r="AN369" s="14">
        <v>111</v>
      </c>
      <c r="AO369" s="14">
        <v>6</v>
      </c>
      <c r="AP369" s="14">
        <v>850</v>
      </c>
      <c r="AQ369" s="14">
        <v>32</v>
      </c>
      <c r="AS369" s="14">
        <v>7</v>
      </c>
    </row>
    <row r="370" spans="27:45" x14ac:dyDescent="0.25">
      <c r="AA370" s="14">
        <v>119</v>
      </c>
      <c r="AB370" s="14">
        <v>15</v>
      </c>
      <c r="AH370" s="14">
        <v>380</v>
      </c>
      <c r="AI370" s="14">
        <v>78</v>
      </c>
      <c r="AK370" s="14">
        <v>51</v>
      </c>
      <c r="AM370" s="14">
        <v>25</v>
      </c>
      <c r="AN370" s="14">
        <v>274</v>
      </c>
      <c r="AO370" s="14">
        <v>12</v>
      </c>
      <c r="AP370" s="14">
        <v>136</v>
      </c>
      <c r="AQ370" s="14">
        <v>3</v>
      </c>
      <c r="AS370" s="14">
        <v>8</v>
      </c>
    </row>
    <row r="371" spans="27:45" x14ac:dyDescent="0.25">
      <c r="AA371" s="14">
        <v>108</v>
      </c>
      <c r="AB371" s="14">
        <v>11</v>
      </c>
      <c r="AH371" s="14">
        <v>767</v>
      </c>
      <c r="AI371" s="14">
        <v>2</v>
      </c>
      <c r="AK371" s="14">
        <v>75</v>
      </c>
      <c r="AM371" s="14">
        <v>51</v>
      </c>
      <c r="AN371" s="14">
        <v>467</v>
      </c>
      <c r="AO371" s="14">
        <v>5</v>
      </c>
      <c r="AP371" s="14">
        <v>5</v>
      </c>
      <c r="AQ371" s="14">
        <v>8</v>
      </c>
      <c r="AS371" s="14">
        <v>8</v>
      </c>
    </row>
    <row r="372" spans="27:45" x14ac:dyDescent="0.25">
      <c r="AA372" s="14">
        <v>136</v>
      </c>
      <c r="AB372" s="14">
        <v>10</v>
      </c>
      <c r="AH372" s="14">
        <v>808</v>
      </c>
      <c r="AI372" s="14">
        <v>4</v>
      </c>
      <c r="AK372" s="14">
        <v>115</v>
      </c>
      <c r="AM372" s="14">
        <v>12</v>
      </c>
      <c r="AN372" s="14">
        <v>567</v>
      </c>
      <c r="AO372" s="14">
        <v>29</v>
      </c>
      <c r="AP372" s="14">
        <v>816</v>
      </c>
      <c r="AQ372" s="14">
        <v>101</v>
      </c>
      <c r="AS372" s="14">
        <v>3</v>
      </c>
    </row>
    <row r="373" spans="27:45" x14ac:dyDescent="0.25">
      <c r="AA373" s="14">
        <v>104</v>
      </c>
      <c r="AB373" s="14">
        <v>8</v>
      </c>
      <c r="AH373" s="14">
        <v>792</v>
      </c>
      <c r="AI373" s="14">
        <v>7</v>
      </c>
      <c r="AK373" s="14">
        <v>323</v>
      </c>
      <c r="AM373" s="14">
        <v>64</v>
      </c>
      <c r="AN373" s="14">
        <v>407</v>
      </c>
      <c r="AO373" s="14">
        <v>12</v>
      </c>
      <c r="AP373" s="14">
        <v>59</v>
      </c>
      <c r="AQ373" s="14">
        <v>21</v>
      </c>
      <c r="AS373" s="14">
        <v>4</v>
      </c>
    </row>
    <row r="374" spans="27:45" x14ac:dyDescent="0.25">
      <c r="AA374" s="14">
        <v>174</v>
      </c>
      <c r="AB374" s="14">
        <v>12</v>
      </c>
      <c r="AH374" s="14">
        <v>799</v>
      </c>
      <c r="AI374" s="14">
        <v>2</v>
      </c>
      <c r="AK374" s="14">
        <v>235</v>
      </c>
      <c r="AM374" s="14">
        <v>67</v>
      </c>
      <c r="AN374" s="14">
        <v>300</v>
      </c>
      <c r="AO374" s="14">
        <v>5</v>
      </c>
      <c r="AP374" s="14">
        <v>27</v>
      </c>
      <c r="AQ374" s="14">
        <v>13</v>
      </c>
      <c r="AS374" s="14">
        <v>4</v>
      </c>
    </row>
    <row r="375" spans="27:45" x14ac:dyDescent="0.25">
      <c r="AA375" s="14">
        <v>148</v>
      </c>
      <c r="AB375" s="14">
        <v>32</v>
      </c>
      <c r="AH375" s="14">
        <v>403</v>
      </c>
      <c r="AI375" s="14">
        <v>2</v>
      </c>
      <c r="AK375" s="14">
        <v>233</v>
      </c>
      <c r="AM375" s="14">
        <v>66</v>
      </c>
      <c r="AN375" s="14">
        <v>181</v>
      </c>
      <c r="AO375" s="14">
        <v>1</v>
      </c>
      <c r="AP375" s="14">
        <v>27</v>
      </c>
      <c r="AQ375" s="14">
        <v>16</v>
      </c>
      <c r="AS375" s="14">
        <v>4</v>
      </c>
    </row>
    <row r="376" spans="27:45" x14ac:dyDescent="0.25">
      <c r="AA376" s="14">
        <v>106</v>
      </c>
      <c r="AB376" s="14">
        <v>33</v>
      </c>
      <c r="AH376" s="14">
        <v>805</v>
      </c>
      <c r="AI376" s="14">
        <v>2</v>
      </c>
      <c r="AK376" s="14">
        <v>341</v>
      </c>
      <c r="AM376" s="14">
        <v>63</v>
      </c>
      <c r="AN376" s="14">
        <v>126</v>
      </c>
      <c r="AO376" s="14">
        <v>4</v>
      </c>
      <c r="AP376" s="14">
        <v>34</v>
      </c>
      <c r="AQ376" s="14">
        <v>201</v>
      </c>
      <c r="AS376" s="14">
        <v>7</v>
      </c>
    </row>
    <row r="377" spans="27:45" x14ac:dyDescent="0.25">
      <c r="AA377" s="14">
        <v>122</v>
      </c>
      <c r="AB377" s="14">
        <v>17</v>
      </c>
      <c r="AH377" s="14">
        <v>177</v>
      </c>
      <c r="AI377" s="14">
        <v>2</v>
      </c>
      <c r="AK377" s="14">
        <v>115</v>
      </c>
      <c r="AM377" s="14">
        <v>8</v>
      </c>
      <c r="AN377" s="14">
        <v>319</v>
      </c>
      <c r="AO377" s="14">
        <v>11</v>
      </c>
      <c r="AP377" s="14">
        <v>47</v>
      </c>
      <c r="AQ377" s="14">
        <v>9</v>
      </c>
      <c r="AS377" s="14">
        <v>7</v>
      </c>
    </row>
    <row r="378" spans="27:45" x14ac:dyDescent="0.25">
      <c r="AA378" s="14">
        <v>134</v>
      </c>
      <c r="AB378" s="14">
        <v>19</v>
      </c>
      <c r="AH378" s="14">
        <v>173</v>
      </c>
      <c r="AI378" s="14">
        <v>1</v>
      </c>
      <c r="AK378" s="14">
        <v>169</v>
      </c>
      <c r="AM378" s="14">
        <v>10</v>
      </c>
      <c r="AN378" s="14">
        <v>348</v>
      </c>
      <c r="AO378" s="14">
        <v>4</v>
      </c>
      <c r="AP378" s="14">
        <v>38</v>
      </c>
      <c r="AQ378" s="14">
        <v>2</v>
      </c>
      <c r="AS378" s="14">
        <v>10</v>
      </c>
    </row>
    <row r="379" spans="27:45" x14ac:dyDescent="0.25">
      <c r="AA379" s="14">
        <v>122</v>
      </c>
      <c r="AB379" s="14">
        <v>17</v>
      </c>
      <c r="AH379" s="14">
        <v>177</v>
      </c>
      <c r="AI379" s="14">
        <v>84</v>
      </c>
      <c r="AK379" s="14">
        <v>182</v>
      </c>
      <c r="AM379" s="14">
        <v>9</v>
      </c>
      <c r="AN379" s="14">
        <v>358</v>
      </c>
      <c r="AO379" s="14">
        <v>6</v>
      </c>
      <c r="AP379" s="14">
        <v>28</v>
      </c>
      <c r="AQ379" s="14">
        <v>4</v>
      </c>
      <c r="AS379" s="14">
        <v>9</v>
      </c>
    </row>
    <row r="380" spans="27:45" x14ac:dyDescent="0.25">
      <c r="AA380" s="14">
        <v>112</v>
      </c>
      <c r="AB380" s="14">
        <v>10</v>
      </c>
      <c r="AH380" s="14">
        <v>173</v>
      </c>
      <c r="AI380" s="14">
        <v>2</v>
      </c>
      <c r="AK380" s="14">
        <v>148</v>
      </c>
      <c r="AM380" s="14">
        <v>9</v>
      </c>
      <c r="AN380" s="14">
        <v>735</v>
      </c>
      <c r="AO380" s="14">
        <v>1</v>
      </c>
      <c r="AP380" s="14">
        <v>33</v>
      </c>
      <c r="AQ380" s="14">
        <v>62</v>
      </c>
      <c r="AS380" s="14">
        <v>5</v>
      </c>
    </row>
    <row r="381" spans="27:45" x14ac:dyDescent="0.25">
      <c r="AA381" s="14">
        <v>119</v>
      </c>
      <c r="AB381" s="14">
        <v>5</v>
      </c>
      <c r="AH381" s="14">
        <v>534</v>
      </c>
      <c r="AI381" s="14">
        <v>8</v>
      </c>
      <c r="AK381" s="14">
        <v>166</v>
      </c>
      <c r="AM381" s="14">
        <v>10</v>
      </c>
      <c r="AN381" s="14">
        <v>745</v>
      </c>
      <c r="AO381" s="14">
        <v>9</v>
      </c>
      <c r="AP381" s="14">
        <v>27</v>
      </c>
      <c r="AQ381" s="14">
        <v>11</v>
      </c>
      <c r="AS381" s="14">
        <v>5</v>
      </c>
    </row>
    <row r="382" spans="27:45" x14ac:dyDescent="0.25">
      <c r="AA382" s="14">
        <v>498</v>
      </c>
      <c r="AB382" s="14">
        <v>9</v>
      </c>
      <c r="AH382" s="14">
        <v>523</v>
      </c>
      <c r="AI382" s="14">
        <v>11</v>
      </c>
      <c r="AK382" s="14">
        <v>153</v>
      </c>
      <c r="AM382" s="14">
        <v>9</v>
      </c>
      <c r="AN382" s="14">
        <v>212</v>
      </c>
      <c r="AO382" s="14">
        <v>6</v>
      </c>
      <c r="AP382" s="14">
        <v>28</v>
      </c>
      <c r="AQ382" s="14">
        <v>7</v>
      </c>
      <c r="AS382" s="14">
        <v>7</v>
      </c>
    </row>
    <row r="383" spans="27:45" x14ac:dyDescent="0.25">
      <c r="AA383" s="14">
        <v>124</v>
      </c>
      <c r="AB383" s="14">
        <v>59</v>
      </c>
      <c r="AH383" s="14">
        <v>172</v>
      </c>
      <c r="AI383" s="14">
        <v>2</v>
      </c>
      <c r="AK383" s="14">
        <v>139</v>
      </c>
      <c r="AM383" s="14">
        <v>14</v>
      </c>
      <c r="AN383" s="14">
        <v>813</v>
      </c>
      <c r="AO383" s="14">
        <v>4</v>
      </c>
      <c r="AP383" s="14">
        <v>31</v>
      </c>
      <c r="AQ383" s="14">
        <v>9</v>
      </c>
      <c r="AS383" s="14">
        <v>6</v>
      </c>
    </row>
    <row r="384" spans="27:45" x14ac:dyDescent="0.25">
      <c r="AA384" s="14">
        <v>33</v>
      </c>
      <c r="AB384" s="14">
        <v>43</v>
      </c>
      <c r="AH384" s="14">
        <v>166</v>
      </c>
      <c r="AI384" s="14">
        <v>1</v>
      </c>
      <c r="AK384" s="14">
        <v>131</v>
      </c>
      <c r="AM384" s="14">
        <v>30</v>
      </c>
      <c r="AN384" s="14">
        <v>276</v>
      </c>
      <c r="AO384" s="14">
        <v>7</v>
      </c>
      <c r="AP384" s="14">
        <v>41</v>
      </c>
      <c r="AQ384" s="14">
        <v>117</v>
      </c>
      <c r="AS384" s="14">
        <v>3</v>
      </c>
    </row>
    <row r="385" spans="27:45" x14ac:dyDescent="0.25">
      <c r="AA385" s="14">
        <v>4</v>
      </c>
      <c r="AB385" s="14">
        <v>36</v>
      </c>
      <c r="AH385" s="14">
        <v>363</v>
      </c>
      <c r="AI385" s="14">
        <v>1</v>
      </c>
      <c r="AK385" s="14">
        <v>157</v>
      </c>
      <c r="AM385" s="14">
        <v>31</v>
      </c>
      <c r="AN385" s="14">
        <v>717</v>
      </c>
      <c r="AO385" s="14">
        <v>8</v>
      </c>
      <c r="AP385" s="14">
        <v>57</v>
      </c>
      <c r="AQ385" s="14">
        <v>14</v>
      </c>
      <c r="AS385" s="14">
        <v>3</v>
      </c>
    </row>
    <row r="386" spans="27:45" x14ac:dyDescent="0.25">
      <c r="AA386" s="14">
        <v>80</v>
      </c>
      <c r="AB386" s="14">
        <v>39</v>
      </c>
      <c r="AH386" s="14">
        <v>363</v>
      </c>
      <c r="AI386" s="14">
        <v>1</v>
      </c>
      <c r="AK386" s="14">
        <v>169</v>
      </c>
      <c r="AM386" s="14">
        <v>55</v>
      </c>
      <c r="AN386" s="14">
        <v>486</v>
      </c>
      <c r="AO386" s="14">
        <v>7</v>
      </c>
      <c r="AP386" s="14">
        <v>38</v>
      </c>
      <c r="AQ386" s="14">
        <v>2</v>
      </c>
      <c r="AS386" s="14">
        <v>3</v>
      </c>
    </row>
    <row r="387" spans="27:45" x14ac:dyDescent="0.25">
      <c r="AA387" s="14">
        <v>75</v>
      </c>
      <c r="AB387" s="14">
        <v>20</v>
      </c>
      <c r="AH387" s="14">
        <v>886</v>
      </c>
      <c r="AI387" s="14">
        <v>1</v>
      </c>
      <c r="AK387" s="14">
        <v>251</v>
      </c>
      <c r="AM387" s="14">
        <v>92</v>
      </c>
      <c r="AN387" s="14">
        <v>405</v>
      </c>
      <c r="AO387" s="14">
        <v>18</v>
      </c>
      <c r="AP387" s="14">
        <v>33</v>
      </c>
      <c r="AQ387" s="14">
        <v>5</v>
      </c>
      <c r="AS387" s="14">
        <v>8</v>
      </c>
    </row>
    <row r="388" spans="27:45" x14ac:dyDescent="0.25">
      <c r="AA388" s="14">
        <v>61</v>
      </c>
      <c r="AB388" s="14">
        <v>27</v>
      </c>
      <c r="AH388" s="14">
        <v>889</v>
      </c>
      <c r="AI388" s="14">
        <v>126</v>
      </c>
      <c r="AK388" s="14">
        <v>166</v>
      </c>
      <c r="AM388" s="14">
        <v>48</v>
      </c>
      <c r="AN388" s="14">
        <v>77</v>
      </c>
      <c r="AO388" s="14">
        <v>12</v>
      </c>
      <c r="AP388" s="14">
        <v>55</v>
      </c>
      <c r="AQ388" s="14">
        <v>68</v>
      </c>
      <c r="AS388" s="14">
        <v>8</v>
      </c>
    </row>
    <row r="389" spans="27:45" x14ac:dyDescent="0.25">
      <c r="AA389" s="14">
        <v>82</v>
      </c>
      <c r="AB389" s="14">
        <v>17</v>
      </c>
      <c r="AH389" s="14">
        <v>362</v>
      </c>
      <c r="AI389" s="14">
        <v>9</v>
      </c>
      <c r="AK389" s="14">
        <v>328</v>
      </c>
      <c r="AM389" s="14">
        <v>73</v>
      </c>
      <c r="AN389" s="14">
        <v>357</v>
      </c>
      <c r="AO389" s="14">
        <v>34</v>
      </c>
      <c r="AP389" s="14">
        <v>15</v>
      </c>
      <c r="AQ389" s="14">
        <v>8</v>
      </c>
      <c r="AS389" s="14">
        <v>9</v>
      </c>
    </row>
    <row r="390" spans="27:45" x14ac:dyDescent="0.25">
      <c r="AA390" s="14">
        <v>74</v>
      </c>
      <c r="AB390" s="14">
        <v>26</v>
      </c>
      <c r="AH390" s="14">
        <v>351</v>
      </c>
      <c r="AI390" s="14">
        <v>12</v>
      </c>
      <c r="AK390" s="14">
        <v>564</v>
      </c>
      <c r="AM390" s="14">
        <v>51</v>
      </c>
      <c r="AN390" s="14">
        <v>82</v>
      </c>
      <c r="AO390" s="14">
        <v>15</v>
      </c>
      <c r="AP390" s="14">
        <v>43</v>
      </c>
      <c r="AQ390" s="14">
        <v>6</v>
      </c>
      <c r="AS390" s="14">
        <v>9</v>
      </c>
    </row>
    <row r="391" spans="27:45" x14ac:dyDescent="0.25">
      <c r="AA391" s="14">
        <v>96</v>
      </c>
      <c r="AB391" s="14">
        <v>123</v>
      </c>
      <c r="AH391" s="14">
        <v>711</v>
      </c>
      <c r="AI391" s="14">
        <v>2</v>
      </c>
      <c r="AK391" s="14">
        <v>543</v>
      </c>
      <c r="AM391" s="14">
        <v>53</v>
      </c>
      <c r="AN391" s="14">
        <v>108</v>
      </c>
      <c r="AO391" s="14">
        <v>16</v>
      </c>
      <c r="AP391" s="14">
        <v>40</v>
      </c>
      <c r="AQ391" s="14">
        <v>7</v>
      </c>
      <c r="AS391" s="14">
        <v>8</v>
      </c>
    </row>
    <row r="392" spans="27:45" x14ac:dyDescent="0.25">
      <c r="AA392" s="14">
        <v>97</v>
      </c>
      <c r="AB392" s="14">
        <v>104</v>
      </c>
      <c r="AH392" s="14">
        <v>702</v>
      </c>
      <c r="AI392" s="14">
        <v>2</v>
      </c>
      <c r="AK392" s="14">
        <v>945</v>
      </c>
      <c r="AM392" s="14">
        <v>51</v>
      </c>
      <c r="AN392" s="14">
        <v>86</v>
      </c>
      <c r="AO392" s="14">
        <v>3</v>
      </c>
      <c r="AP392" s="14">
        <v>40</v>
      </c>
      <c r="AQ392" s="14">
        <v>93</v>
      </c>
      <c r="AS392" s="14">
        <v>8</v>
      </c>
    </row>
    <row r="393" spans="27:45" x14ac:dyDescent="0.25">
      <c r="AA393" s="14">
        <v>225</v>
      </c>
      <c r="AB393" s="14">
        <v>77</v>
      </c>
      <c r="AH393" s="14">
        <v>431</v>
      </c>
      <c r="AI393" s="14">
        <v>1</v>
      </c>
      <c r="AK393" s="14">
        <v>138</v>
      </c>
      <c r="AM393" s="14">
        <v>54</v>
      </c>
      <c r="AN393" s="14">
        <v>110</v>
      </c>
      <c r="AO393" s="14">
        <v>12</v>
      </c>
      <c r="AP393" s="14">
        <v>41</v>
      </c>
      <c r="AQ393" s="14">
        <v>10</v>
      </c>
      <c r="AS393" s="14">
        <v>6</v>
      </c>
    </row>
    <row r="394" spans="27:45" x14ac:dyDescent="0.25">
      <c r="AA394" s="14">
        <v>114</v>
      </c>
      <c r="AB394" s="14">
        <v>76</v>
      </c>
      <c r="AH394" s="14">
        <v>437</v>
      </c>
      <c r="AI394" s="14">
        <v>2</v>
      </c>
      <c r="AK394" s="14">
        <v>126</v>
      </c>
      <c r="AM394" s="14">
        <v>56</v>
      </c>
      <c r="AN394" s="14">
        <v>785</v>
      </c>
      <c r="AO394" s="14">
        <v>37</v>
      </c>
      <c r="AP394" s="14">
        <v>44</v>
      </c>
      <c r="AQ394" s="14">
        <v>6</v>
      </c>
      <c r="AS394" s="14">
        <v>6</v>
      </c>
    </row>
    <row r="395" spans="27:45" x14ac:dyDescent="0.25">
      <c r="AA395" s="14">
        <v>100</v>
      </c>
      <c r="AB395" s="14">
        <v>40</v>
      </c>
      <c r="AH395" s="14">
        <v>173</v>
      </c>
      <c r="AI395" s="14">
        <v>3</v>
      </c>
      <c r="AK395" s="14">
        <v>770</v>
      </c>
      <c r="AM395" s="14">
        <v>67</v>
      </c>
      <c r="AN395" s="14">
        <v>373</v>
      </c>
      <c r="AO395" s="14">
        <v>1</v>
      </c>
      <c r="AP395" s="14">
        <v>55</v>
      </c>
      <c r="AQ395" s="14">
        <v>11</v>
      </c>
      <c r="AS395" s="14">
        <v>6</v>
      </c>
    </row>
    <row r="396" spans="27:45" x14ac:dyDescent="0.25">
      <c r="AA396" s="14">
        <v>82</v>
      </c>
      <c r="AB396" s="14">
        <v>45</v>
      </c>
      <c r="AH396" s="14">
        <v>190</v>
      </c>
      <c r="AI396" s="14">
        <v>2</v>
      </c>
      <c r="AK396" s="14">
        <v>259</v>
      </c>
      <c r="AM396" s="14">
        <v>54</v>
      </c>
      <c r="AN396" s="14">
        <v>124</v>
      </c>
      <c r="AO396" s="14">
        <v>16</v>
      </c>
      <c r="AP396" s="14">
        <v>120</v>
      </c>
      <c r="AQ396" s="14">
        <v>10</v>
      </c>
      <c r="AS396" s="14">
        <v>6</v>
      </c>
    </row>
    <row r="397" spans="27:45" x14ac:dyDescent="0.25">
      <c r="AA397" s="14">
        <v>94</v>
      </c>
      <c r="AB397" s="14">
        <v>6</v>
      </c>
      <c r="AH397" s="14">
        <v>711</v>
      </c>
      <c r="AI397" s="14">
        <v>80</v>
      </c>
      <c r="AK397" s="14">
        <v>874</v>
      </c>
      <c r="AM397" s="14">
        <v>76</v>
      </c>
      <c r="AN397" s="14">
        <v>265</v>
      </c>
      <c r="AO397" s="14">
        <v>27</v>
      </c>
      <c r="AP397" s="14">
        <v>38</v>
      </c>
      <c r="AQ397" s="14">
        <v>7</v>
      </c>
      <c r="AS397" s="14">
        <v>9</v>
      </c>
    </row>
    <row r="398" spans="27:45" x14ac:dyDescent="0.25">
      <c r="AA398" s="14">
        <v>127</v>
      </c>
      <c r="AB398" s="14">
        <v>25</v>
      </c>
      <c r="AH398" s="14">
        <v>683</v>
      </c>
      <c r="AI398" s="14">
        <v>3</v>
      </c>
      <c r="AK398" s="14">
        <v>128</v>
      </c>
      <c r="AM398" s="14">
        <v>52</v>
      </c>
      <c r="AN398" s="14">
        <v>181</v>
      </c>
      <c r="AO398" s="14">
        <v>44</v>
      </c>
      <c r="AP398" s="14">
        <v>16</v>
      </c>
      <c r="AQ398" s="14">
        <v>2</v>
      </c>
      <c r="AS398" s="14">
        <v>9</v>
      </c>
    </row>
    <row r="399" spans="27:45" x14ac:dyDescent="0.25">
      <c r="AA399" s="14">
        <v>92</v>
      </c>
      <c r="AB399" s="14">
        <v>190</v>
      </c>
      <c r="AH399" s="14">
        <v>128</v>
      </c>
      <c r="AI399" s="14">
        <v>5</v>
      </c>
      <c r="AK399" s="14">
        <v>138</v>
      </c>
      <c r="AM399" s="14">
        <v>50</v>
      </c>
      <c r="AN399" s="14">
        <v>414</v>
      </c>
      <c r="AO399" s="14">
        <v>15</v>
      </c>
      <c r="AP399" s="14">
        <v>15</v>
      </c>
      <c r="AQ399" s="14">
        <v>29</v>
      </c>
      <c r="AS399" s="14">
        <v>3</v>
      </c>
    </row>
    <row r="400" spans="27:45" x14ac:dyDescent="0.25">
      <c r="AA400" s="14">
        <v>67</v>
      </c>
      <c r="AB400" s="14">
        <v>164</v>
      </c>
      <c r="AH400" s="14">
        <v>127</v>
      </c>
      <c r="AI400" s="14">
        <v>8</v>
      </c>
      <c r="AK400" s="14">
        <v>112</v>
      </c>
      <c r="AM400" s="14">
        <v>51</v>
      </c>
      <c r="AN400" s="14">
        <v>118</v>
      </c>
      <c r="AO400" s="14">
        <v>12</v>
      </c>
      <c r="AP400" s="14">
        <v>18</v>
      </c>
      <c r="AQ400" s="14">
        <v>9</v>
      </c>
      <c r="AS400" s="14">
        <v>5</v>
      </c>
    </row>
    <row r="401" spans="27:45" x14ac:dyDescent="0.25">
      <c r="AA401" s="14">
        <v>24</v>
      </c>
      <c r="AB401" s="14">
        <v>142</v>
      </c>
      <c r="AH401" s="14">
        <v>290</v>
      </c>
      <c r="AI401" s="14">
        <v>3</v>
      </c>
      <c r="AK401" s="14">
        <v>126</v>
      </c>
      <c r="AM401" s="14">
        <v>50</v>
      </c>
      <c r="AN401" s="14">
        <v>126</v>
      </c>
      <c r="AO401" s="14">
        <v>19</v>
      </c>
      <c r="AP401" s="14">
        <v>16</v>
      </c>
      <c r="AQ401" s="14">
        <v>7</v>
      </c>
      <c r="AS401" s="14">
        <v>5</v>
      </c>
    </row>
    <row r="402" spans="27:45" x14ac:dyDescent="0.25">
      <c r="AA402" s="14">
        <v>1</v>
      </c>
      <c r="AB402" s="14">
        <v>142</v>
      </c>
      <c r="AH402" s="14">
        <v>129</v>
      </c>
      <c r="AI402" s="14">
        <v>2</v>
      </c>
      <c r="AK402" s="14">
        <v>116</v>
      </c>
      <c r="AM402" s="14">
        <v>74</v>
      </c>
      <c r="AN402" s="14">
        <v>894</v>
      </c>
      <c r="AO402" s="14">
        <v>21</v>
      </c>
      <c r="AP402" s="14">
        <v>19</v>
      </c>
      <c r="AQ402" s="14">
        <v>10</v>
      </c>
      <c r="AS402" s="14">
        <v>8</v>
      </c>
    </row>
    <row r="403" spans="27:45" x14ac:dyDescent="0.25">
      <c r="AA403" s="14">
        <v>54</v>
      </c>
      <c r="AB403" s="14">
        <v>103</v>
      </c>
      <c r="AH403" s="14">
        <v>114</v>
      </c>
      <c r="AI403" s="14">
        <v>2</v>
      </c>
      <c r="AK403" s="14">
        <v>105</v>
      </c>
      <c r="AM403" s="14">
        <v>58</v>
      </c>
      <c r="AN403" s="14">
        <v>13</v>
      </c>
      <c r="AO403" s="14">
        <v>19</v>
      </c>
      <c r="AP403" s="14">
        <v>35</v>
      </c>
      <c r="AQ403" s="14">
        <v>8</v>
      </c>
      <c r="AS403" s="14">
        <v>8</v>
      </c>
    </row>
    <row r="404" spans="27:45" x14ac:dyDescent="0.25">
      <c r="AA404" s="14">
        <v>45</v>
      </c>
      <c r="AB404" s="14">
        <v>99</v>
      </c>
      <c r="AH404" s="14">
        <v>113</v>
      </c>
      <c r="AI404" s="14">
        <v>2</v>
      </c>
      <c r="AK404" s="14">
        <v>998</v>
      </c>
      <c r="AM404" s="14">
        <v>87</v>
      </c>
      <c r="AN404" s="14">
        <v>115</v>
      </c>
      <c r="AO404" s="14">
        <v>49</v>
      </c>
      <c r="AP404" s="14">
        <v>24</v>
      </c>
      <c r="AQ404" s="14">
        <v>7</v>
      </c>
      <c r="AS404" s="14">
        <v>9</v>
      </c>
    </row>
    <row r="405" spans="27:45" x14ac:dyDescent="0.25">
      <c r="AA405" s="14">
        <v>36</v>
      </c>
      <c r="AB405" s="14">
        <v>85</v>
      </c>
      <c r="AH405" s="14">
        <v>279</v>
      </c>
      <c r="AI405" s="14">
        <v>2</v>
      </c>
      <c r="AK405" s="14">
        <v>119</v>
      </c>
      <c r="AM405" s="14">
        <v>39</v>
      </c>
      <c r="AN405" s="14">
        <v>35</v>
      </c>
      <c r="AO405" s="14">
        <v>8</v>
      </c>
      <c r="AP405" s="14">
        <v>18</v>
      </c>
      <c r="AQ405" s="14">
        <v>4</v>
      </c>
      <c r="AS405" s="14">
        <v>9</v>
      </c>
    </row>
    <row r="406" spans="27:45" x14ac:dyDescent="0.25">
      <c r="AA406" s="14">
        <v>54</v>
      </c>
      <c r="AB406" s="14">
        <v>85</v>
      </c>
      <c r="AH406" s="14">
        <v>108</v>
      </c>
      <c r="AI406" s="14">
        <v>2</v>
      </c>
      <c r="AK406" s="14">
        <v>128</v>
      </c>
      <c r="AM406" s="14">
        <v>38</v>
      </c>
      <c r="AN406" s="14">
        <v>428</v>
      </c>
      <c r="AO406" s="14">
        <v>46</v>
      </c>
      <c r="AP406" s="14">
        <v>16</v>
      </c>
      <c r="AQ406" s="14">
        <v>58</v>
      </c>
      <c r="AS406" s="14">
        <v>7</v>
      </c>
    </row>
    <row r="407" spans="27:45" x14ac:dyDescent="0.25">
      <c r="AA407" s="14">
        <v>78</v>
      </c>
      <c r="AB407" s="14">
        <v>30</v>
      </c>
      <c r="AH407" s="14">
        <v>175</v>
      </c>
      <c r="AI407" s="14">
        <v>95</v>
      </c>
      <c r="AK407" s="14">
        <v>191</v>
      </c>
      <c r="AM407" s="14">
        <v>55</v>
      </c>
      <c r="AN407" s="14">
        <v>41</v>
      </c>
      <c r="AO407" s="14">
        <v>22</v>
      </c>
      <c r="AP407" s="14">
        <v>27</v>
      </c>
      <c r="AQ407" s="14">
        <v>30</v>
      </c>
      <c r="AS407" s="14">
        <v>7</v>
      </c>
    </row>
    <row r="408" spans="27:45" x14ac:dyDescent="0.25">
      <c r="AA408" s="14">
        <v>56</v>
      </c>
      <c r="AB408" s="14">
        <v>49</v>
      </c>
      <c r="AH408" s="14">
        <v>169</v>
      </c>
      <c r="AI408" s="14">
        <v>2</v>
      </c>
      <c r="AK408" s="14">
        <v>126</v>
      </c>
      <c r="AM408" s="14">
        <v>132</v>
      </c>
      <c r="AN408" s="14">
        <v>170</v>
      </c>
      <c r="AO408" s="14">
        <v>1</v>
      </c>
      <c r="AP408" s="14">
        <v>9</v>
      </c>
      <c r="AQ408" s="14">
        <v>12</v>
      </c>
      <c r="AS408" s="14">
        <v>8</v>
      </c>
    </row>
    <row r="409" spans="27:45" x14ac:dyDescent="0.25">
      <c r="AA409" s="14">
        <v>51</v>
      </c>
      <c r="AB409" s="14">
        <v>31</v>
      </c>
      <c r="AH409" s="14">
        <v>172</v>
      </c>
      <c r="AI409" s="14">
        <v>8</v>
      </c>
      <c r="AK409" s="14">
        <v>249</v>
      </c>
      <c r="AM409" s="14">
        <v>21</v>
      </c>
      <c r="AN409" s="14">
        <v>153</v>
      </c>
      <c r="AO409" s="14">
        <v>27</v>
      </c>
      <c r="AP409" s="14">
        <v>33</v>
      </c>
      <c r="AQ409" s="14">
        <v>12</v>
      </c>
      <c r="AS409" s="14">
        <v>8</v>
      </c>
    </row>
    <row r="410" spans="27:45" x14ac:dyDescent="0.25">
      <c r="AA410" s="14">
        <v>100</v>
      </c>
      <c r="AB410" s="14">
        <v>31</v>
      </c>
      <c r="AH410" s="14">
        <v>165</v>
      </c>
      <c r="AI410" s="14">
        <v>12</v>
      </c>
      <c r="AK410" s="14">
        <v>428</v>
      </c>
      <c r="AM410" s="14">
        <v>87</v>
      </c>
      <c r="AN410" s="14">
        <v>868</v>
      </c>
      <c r="AO410" s="14">
        <v>8</v>
      </c>
      <c r="AP410" s="14">
        <v>33</v>
      </c>
      <c r="AQ410" s="14">
        <v>10</v>
      </c>
      <c r="AS410" s="14">
        <v>10</v>
      </c>
    </row>
    <row r="411" spans="27:45" x14ac:dyDescent="0.25">
      <c r="AA411" s="14">
        <v>89</v>
      </c>
      <c r="AB411" s="14">
        <v>24</v>
      </c>
      <c r="AH411" s="14">
        <v>173</v>
      </c>
      <c r="AI411" s="14">
        <v>3</v>
      </c>
      <c r="AK411" s="14">
        <v>412</v>
      </c>
      <c r="AM411" s="14">
        <v>98</v>
      </c>
      <c r="AN411" s="14">
        <v>407</v>
      </c>
      <c r="AO411" s="14">
        <v>3</v>
      </c>
      <c r="AP411" s="14">
        <v>33</v>
      </c>
      <c r="AQ411" s="14">
        <v>9</v>
      </c>
      <c r="AS411" s="14">
        <v>10</v>
      </c>
    </row>
    <row r="412" spans="27:45" x14ac:dyDescent="0.25">
      <c r="AA412" s="14">
        <v>57</v>
      </c>
      <c r="AB412" s="14">
        <v>31</v>
      </c>
      <c r="AH412" s="14">
        <v>168</v>
      </c>
      <c r="AI412" s="14">
        <v>2</v>
      </c>
      <c r="AK412" s="14">
        <v>717</v>
      </c>
      <c r="AM412" s="14">
        <v>94</v>
      </c>
      <c r="AN412" s="14">
        <v>334</v>
      </c>
      <c r="AO412" s="14">
        <v>7</v>
      </c>
      <c r="AP412" s="14">
        <v>33</v>
      </c>
      <c r="AQ412" s="14">
        <v>4</v>
      </c>
      <c r="AS412" s="14">
        <v>10</v>
      </c>
    </row>
    <row r="413" spans="27:45" x14ac:dyDescent="0.25">
      <c r="AA413" s="14">
        <v>58</v>
      </c>
      <c r="AB413" s="14">
        <v>23</v>
      </c>
      <c r="AH413" s="14">
        <v>453</v>
      </c>
      <c r="AI413" s="14">
        <v>2</v>
      </c>
      <c r="AK413" s="14">
        <v>975</v>
      </c>
      <c r="AM413" s="14">
        <v>85</v>
      </c>
      <c r="AN413" s="14">
        <v>308</v>
      </c>
      <c r="AO413" s="14">
        <v>9</v>
      </c>
      <c r="AP413" s="14">
        <v>33</v>
      </c>
      <c r="AQ413" s="14">
        <v>58</v>
      </c>
      <c r="AS413" s="14">
        <v>10</v>
      </c>
    </row>
    <row r="414" spans="27:45" x14ac:dyDescent="0.25">
      <c r="AA414" s="14">
        <v>63</v>
      </c>
      <c r="AB414" s="14">
        <v>29</v>
      </c>
      <c r="AH414" s="14">
        <v>444</v>
      </c>
      <c r="AI414" s="14">
        <v>2</v>
      </c>
      <c r="AK414" s="14">
        <v>961</v>
      </c>
      <c r="AM414" s="14">
        <v>13</v>
      </c>
      <c r="AN414" s="14">
        <v>948</v>
      </c>
      <c r="AO414" s="14">
        <v>17</v>
      </c>
      <c r="AP414" s="14">
        <v>33</v>
      </c>
      <c r="AQ414" s="14">
        <v>43</v>
      </c>
      <c r="AS414" s="14">
        <v>4</v>
      </c>
    </row>
    <row r="415" spans="27:45" x14ac:dyDescent="0.25">
      <c r="AA415" s="14">
        <v>61</v>
      </c>
      <c r="AB415" s="14">
        <v>49</v>
      </c>
      <c r="AH415" s="14">
        <v>175</v>
      </c>
      <c r="AI415" s="14">
        <v>3</v>
      </c>
      <c r="AK415" s="14">
        <v>584</v>
      </c>
      <c r="AM415" s="14">
        <v>17</v>
      </c>
      <c r="AN415" s="14">
        <v>318</v>
      </c>
      <c r="AO415" s="14">
        <v>31</v>
      </c>
      <c r="AP415" s="14">
        <v>33</v>
      </c>
      <c r="AQ415" s="14">
        <v>17</v>
      </c>
      <c r="AS415" s="14">
        <v>4</v>
      </c>
    </row>
    <row r="416" spans="27:45" x14ac:dyDescent="0.25">
      <c r="AA416" s="14">
        <v>158</v>
      </c>
      <c r="AB416" s="14">
        <v>42</v>
      </c>
      <c r="AH416" s="14">
        <v>168</v>
      </c>
      <c r="AI416" s="14">
        <v>2</v>
      </c>
      <c r="AK416" s="14">
        <v>413</v>
      </c>
      <c r="AM416" s="14">
        <v>15</v>
      </c>
      <c r="AN416" s="14">
        <v>130</v>
      </c>
      <c r="AO416" s="14">
        <v>9</v>
      </c>
      <c r="AP416" s="14">
        <v>33</v>
      </c>
      <c r="AQ416" s="14">
        <v>15</v>
      </c>
      <c r="AS416" s="14">
        <v>4</v>
      </c>
    </row>
    <row r="417" spans="27:45" x14ac:dyDescent="0.25">
      <c r="AA417" s="14">
        <v>115</v>
      </c>
      <c r="AB417" s="14">
        <v>46</v>
      </c>
      <c r="AH417" s="14">
        <v>385</v>
      </c>
      <c r="AI417" s="14">
        <v>143</v>
      </c>
      <c r="AK417" s="14">
        <v>417</v>
      </c>
      <c r="AM417" s="14">
        <v>17</v>
      </c>
      <c r="AN417" s="14">
        <v>130</v>
      </c>
      <c r="AO417" s="14">
        <v>9</v>
      </c>
      <c r="AP417" s="14">
        <v>35</v>
      </c>
      <c r="AQ417" s="14">
        <v>12</v>
      </c>
      <c r="AS417" s="14">
        <v>4</v>
      </c>
    </row>
    <row r="418" spans="27:45" x14ac:dyDescent="0.25">
      <c r="AA418" s="14">
        <v>654</v>
      </c>
      <c r="AB418" s="14">
        <v>44</v>
      </c>
      <c r="AH418" s="14">
        <v>388</v>
      </c>
      <c r="AI418" s="14">
        <v>3</v>
      </c>
      <c r="AK418" s="14">
        <v>288</v>
      </c>
      <c r="AM418" s="14">
        <v>16</v>
      </c>
      <c r="AN418" s="14">
        <v>250</v>
      </c>
      <c r="AO418" s="14">
        <v>13</v>
      </c>
      <c r="AP418" s="14">
        <v>36</v>
      </c>
      <c r="AQ418" s="14">
        <v>11</v>
      </c>
      <c r="AS418" s="14">
        <v>5</v>
      </c>
    </row>
    <row r="419" spans="27:45" x14ac:dyDescent="0.25">
      <c r="AA419" s="14">
        <v>524</v>
      </c>
      <c r="AB419" s="14">
        <v>30</v>
      </c>
      <c r="AH419" s="14">
        <v>379</v>
      </c>
      <c r="AI419" s="14">
        <v>11</v>
      </c>
      <c r="AK419" s="14">
        <v>410</v>
      </c>
      <c r="AM419" s="14">
        <v>15</v>
      </c>
      <c r="AN419" s="14">
        <v>696</v>
      </c>
      <c r="AO419" s="14">
        <v>13</v>
      </c>
      <c r="AP419" s="14">
        <v>43</v>
      </c>
      <c r="AQ419" s="14">
        <v>4</v>
      </c>
      <c r="AS419" s="14">
        <v>6</v>
      </c>
    </row>
    <row r="420" spans="27:45" x14ac:dyDescent="0.25">
      <c r="AA420" s="14">
        <v>109</v>
      </c>
      <c r="AB420" s="14">
        <v>24</v>
      </c>
      <c r="AH420" s="14">
        <v>378</v>
      </c>
      <c r="AI420" s="14">
        <v>15</v>
      </c>
      <c r="AK420" s="14">
        <v>292</v>
      </c>
      <c r="AM420" s="14">
        <v>21</v>
      </c>
      <c r="AN420" s="14">
        <v>181</v>
      </c>
      <c r="AO420" s="14">
        <v>11</v>
      </c>
      <c r="AP420" s="14">
        <v>61</v>
      </c>
      <c r="AQ420" s="14">
        <v>58</v>
      </c>
      <c r="AS420" s="14">
        <v>6</v>
      </c>
    </row>
    <row r="421" spans="27:45" x14ac:dyDescent="0.25">
      <c r="AA421" s="14">
        <v>96</v>
      </c>
      <c r="AB421" s="14">
        <v>15</v>
      </c>
      <c r="AH421" s="14">
        <v>843</v>
      </c>
      <c r="AI421" s="14">
        <v>3</v>
      </c>
      <c r="AK421" s="14">
        <v>296</v>
      </c>
      <c r="AM421" s="14">
        <v>14</v>
      </c>
      <c r="AN421" s="14">
        <v>145</v>
      </c>
      <c r="AO421" s="14">
        <v>32</v>
      </c>
      <c r="AP421" s="14">
        <v>121</v>
      </c>
      <c r="AQ421" s="14">
        <v>313</v>
      </c>
      <c r="AS421" s="14">
        <v>6</v>
      </c>
    </row>
    <row r="422" spans="27:45" x14ac:dyDescent="0.25">
      <c r="AA422" s="14">
        <v>15</v>
      </c>
      <c r="AB422" s="14">
        <v>17</v>
      </c>
      <c r="AH422" s="14">
        <v>801</v>
      </c>
      <c r="AI422" s="14">
        <v>2</v>
      </c>
      <c r="AK422" s="14">
        <v>390</v>
      </c>
      <c r="AM422" s="14">
        <v>17</v>
      </c>
      <c r="AN422" s="14">
        <v>143</v>
      </c>
      <c r="AO422" s="14">
        <v>16</v>
      </c>
      <c r="AP422" s="14">
        <v>16</v>
      </c>
      <c r="AQ422" s="14">
        <v>484</v>
      </c>
      <c r="AS422" s="14">
        <v>7</v>
      </c>
    </row>
    <row r="423" spans="27:45" x14ac:dyDescent="0.25">
      <c r="AA423" s="14">
        <v>104</v>
      </c>
      <c r="AB423" s="14">
        <v>79</v>
      </c>
      <c r="AH423" s="14">
        <v>381</v>
      </c>
      <c r="AI423" s="14">
        <v>3</v>
      </c>
      <c r="AK423" s="14">
        <v>293</v>
      </c>
      <c r="AM423" s="14">
        <v>17</v>
      </c>
      <c r="AN423" s="14">
        <v>144</v>
      </c>
      <c r="AO423" s="14">
        <v>20</v>
      </c>
      <c r="AP423" s="14">
        <v>18</v>
      </c>
      <c r="AQ423" s="14">
        <v>17627</v>
      </c>
      <c r="AS423" s="14">
        <v>7</v>
      </c>
    </row>
    <row r="424" spans="27:45" x14ac:dyDescent="0.25">
      <c r="AA424" s="14">
        <v>688</v>
      </c>
      <c r="AB424" s="14">
        <v>82</v>
      </c>
      <c r="AH424" s="14">
        <v>386</v>
      </c>
      <c r="AI424" s="14">
        <v>3</v>
      </c>
      <c r="AK424" s="14">
        <v>918</v>
      </c>
      <c r="AM424" s="14">
        <v>27</v>
      </c>
      <c r="AN424" s="14">
        <v>145</v>
      </c>
      <c r="AO424" s="14">
        <v>14</v>
      </c>
      <c r="AP424" s="14">
        <v>18</v>
      </c>
      <c r="AQ424" s="14">
        <v>15336</v>
      </c>
      <c r="AS424" s="14">
        <v>7</v>
      </c>
    </row>
    <row r="425" spans="27:45" x14ac:dyDescent="0.25">
      <c r="AA425" s="14">
        <v>694</v>
      </c>
      <c r="AB425" s="14">
        <v>58</v>
      </c>
      <c r="AH425" s="14">
        <v>663</v>
      </c>
      <c r="AI425" s="14">
        <v>4</v>
      </c>
      <c r="AK425" s="14">
        <v>943</v>
      </c>
      <c r="AM425" s="14">
        <v>206</v>
      </c>
      <c r="AN425" s="14">
        <v>502</v>
      </c>
      <c r="AO425" s="14">
        <v>14</v>
      </c>
      <c r="AP425" s="14">
        <v>19</v>
      </c>
      <c r="AQ425" s="14">
        <v>10430</v>
      </c>
      <c r="AS425" s="14">
        <v>9</v>
      </c>
    </row>
    <row r="426" spans="27:45" x14ac:dyDescent="0.25">
      <c r="AA426" s="14">
        <v>167</v>
      </c>
      <c r="AB426" s="14">
        <v>58</v>
      </c>
      <c r="AH426" s="14">
        <v>670</v>
      </c>
      <c r="AI426" s="14">
        <v>79</v>
      </c>
      <c r="AK426" s="14">
        <v>672</v>
      </c>
      <c r="AM426" s="14">
        <v>22</v>
      </c>
      <c r="AN426" s="14">
        <v>356</v>
      </c>
      <c r="AO426" s="14">
        <v>14</v>
      </c>
      <c r="AP426" s="14">
        <v>20</v>
      </c>
      <c r="AQ426" s="14">
        <v>10357</v>
      </c>
      <c r="AS426" s="14">
        <v>9</v>
      </c>
    </row>
    <row r="427" spans="27:45" x14ac:dyDescent="0.25">
      <c r="AA427" s="14">
        <v>74</v>
      </c>
      <c r="AB427" s="14">
        <v>27</v>
      </c>
      <c r="AH427" s="14">
        <v>660</v>
      </c>
      <c r="AI427" s="14">
        <v>2</v>
      </c>
      <c r="AK427" s="14">
        <v>944</v>
      </c>
      <c r="AM427" s="14">
        <v>44</v>
      </c>
      <c r="AN427" s="14">
        <v>144</v>
      </c>
      <c r="AO427" s="14">
        <v>13</v>
      </c>
      <c r="AP427" s="14">
        <v>21</v>
      </c>
      <c r="AQ427" s="14">
        <v>64042</v>
      </c>
      <c r="AS427" s="14">
        <v>11</v>
      </c>
    </row>
    <row r="428" spans="27:45" x14ac:dyDescent="0.25">
      <c r="AA428" s="14">
        <v>16</v>
      </c>
      <c r="AB428" s="14">
        <v>24</v>
      </c>
      <c r="AH428" s="14">
        <v>661</v>
      </c>
      <c r="AI428" s="14">
        <v>5</v>
      </c>
      <c r="AK428" s="14">
        <v>715</v>
      </c>
      <c r="AM428" s="14">
        <v>35</v>
      </c>
      <c r="AN428" s="14">
        <v>180</v>
      </c>
      <c r="AO428" s="14">
        <v>11</v>
      </c>
      <c r="AP428" s="14">
        <v>49</v>
      </c>
      <c r="AQ428" s="14">
        <v>61482</v>
      </c>
      <c r="AS428" s="14">
        <v>11</v>
      </c>
    </row>
    <row r="429" spans="27:45" x14ac:dyDescent="0.25">
      <c r="AA429" s="14">
        <v>122</v>
      </c>
      <c r="AB429" s="14">
        <v>34</v>
      </c>
      <c r="AH429" s="14">
        <v>425</v>
      </c>
      <c r="AI429" s="14">
        <v>8</v>
      </c>
      <c r="AK429" s="14">
        <v>711</v>
      </c>
      <c r="AM429" s="14">
        <v>26</v>
      </c>
      <c r="AN429" s="14">
        <v>122</v>
      </c>
      <c r="AO429" s="14">
        <v>9</v>
      </c>
      <c r="AP429" s="14">
        <v>49</v>
      </c>
      <c r="AQ429" s="14">
        <v>335</v>
      </c>
      <c r="AS429" s="14">
        <v>226</v>
      </c>
    </row>
    <row r="430" spans="27:45" x14ac:dyDescent="0.25">
      <c r="AA430" s="14">
        <v>70</v>
      </c>
      <c r="AB430" s="14">
        <v>21</v>
      </c>
      <c r="AH430" s="14">
        <v>421</v>
      </c>
      <c r="AI430" s="14">
        <v>3</v>
      </c>
      <c r="AK430" s="14">
        <v>963</v>
      </c>
      <c r="AM430" s="14">
        <v>23</v>
      </c>
      <c r="AN430" s="14">
        <v>585</v>
      </c>
      <c r="AO430" s="14">
        <v>46</v>
      </c>
      <c r="AP430" s="14">
        <v>51</v>
      </c>
      <c r="AQ430" s="14">
        <v>353</v>
      </c>
      <c r="AS430" s="14">
        <v>207</v>
      </c>
    </row>
    <row r="431" spans="27:45" x14ac:dyDescent="0.25">
      <c r="AA431" s="14">
        <v>264</v>
      </c>
      <c r="AB431" s="14">
        <v>176</v>
      </c>
      <c r="AH431" s="14">
        <v>174</v>
      </c>
      <c r="AI431" s="14">
        <v>3</v>
      </c>
      <c r="AK431" s="14">
        <v>722</v>
      </c>
      <c r="AM431" s="14">
        <v>23</v>
      </c>
      <c r="AN431" s="14">
        <v>183</v>
      </c>
      <c r="AO431" s="14">
        <v>74</v>
      </c>
      <c r="AP431" s="14">
        <v>51</v>
      </c>
      <c r="AQ431" s="14">
        <v>4148</v>
      </c>
      <c r="AS431" s="14">
        <v>218</v>
      </c>
    </row>
    <row r="432" spans="27:45" x14ac:dyDescent="0.25">
      <c r="AA432" s="14">
        <v>193</v>
      </c>
      <c r="AB432" s="14">
        <v>127</v>
      </c>
      <c r="AH432" s="14">
        <v>161</v>
      </c>
      <c r="AI432" s="14">
        <v>1</v>
      </c>
      <c r="AK432" s="14">
        <v>232</v>
      </c>
      <c r="AM432" s="14">
        <v>26</v>
      </c>
      <c r="AN432" s="14">
        <v>236</v>
      </c>
      <c r="AO432" s="14">
        <v>43</v>
      </c>
      <c r="AP432" s="14">
        <v>50</v>
      </c>
      <c r="AQ432" s="14">
        <v>7059</v>
      </c>
      <c r="AS432" s="14">
        <v>195</v>
      </c>
    </row>
    <row r="433" spans="27:45" x14ac:dyDescent="0.25">
      <c r="AA433" s="14">
        <v>34</v>
      </c>
      <c r="AB433" s="14">
        <v>101</v>
      </c>
      <c r="AH433" s="14">
        <v>658</v>
      </c>
      <c r="AI433" s="14">
        <v>4</v>
      </c>
      <c r="AK433" s="14">
        <v>235</v>
      </c>
      <c r="AM433" s="14">
        <v>34</v>
      </c>
      <c r="AN433" s="14">
        <v>434</v>
      </c>
      <c r="AO433" s="14">
        <v>53</v>
      </c>
      <c r="AP433" s="14">
        <v>50</v>
      </c>
      <c r="AQ433" s="14">
        <v>3446</v>
      </c>
      <c r="AS433" s="14">
        <v>290</v>
      </c>
    </row>
    <row r="434" spans="27:45" x14ac:dyDescent="0.25">
      <c r="AA434" s="14">
        <v>33</v>
      </c>
      <c r="AB434" s="14">
        <v>120</v>
      </c>
      <c r="AH434" s="14">
        <v>669</v>
      </c>
      <c r="AI434" s="14">
        <v>2</v>
      </c>
      <c r="AK434" s="14">
        <v>172</v>
      </c>
      <c r="AM434" s="14">
        <v>30</v>
      </c>
      <c r="AN434" s="14">
        <v>434</v>
      </c>
      <c r="AO434" s="14">
        <v>33</v>
      </c>
      <c r="AP434" s="14">
        <v>29</v>
      </c>
      <c r="AQ434" s="14">
        <v>6541</v>
      </c>
      <c r="AS434" s="14">
        <v>284</v>
      </c>
    </row>
    <row r="435" spans="27:45" x14ac:dyDescent="0.25">
      <c r="AA435" s="14">
        <v>8</v>
      </c>
      <c r="AB435" s="14">
        <v>86</v>
      </c>
      <c r="AH435" s="14">
        <v>137</v>
      </c>
      <c r="AI435" s="14">
        <v>2</v>
      </c>
      <c r="AK435" s="14">
        <v>231</v>
      </c>
      <c r="AM435" s="14">
        <v>45</v>
      </c>
      <c r="AN435" s="14">
        <v>133</v>
      </c>
      <c r="AO435" s="14">
        <v>55</v>
      </c>
      <c r="AP435" s="14">
        <v>30</v>
      </c>
      <c r="AQ435" s="14">
        <v>229</v>
      </c>
      <c r="AS435" s="14">
        <v>300</v>
      </c>
    </row>
    <row r="436" spans="27:45" x14ac:dyDescent="0.25">
      <c r="AA436" s="14">
        <v>73</v>
      </c>
      <c r="AB436" s="14">
        <v>56</v>
      </c>
      <c r="AH436" s="14">
        <v>135</v>
      </c>
      <c r="AI436" s="14">
        <v>93</v>
      </c>
      <c r="AK436" s="14">
        <v>155</v>
      </c>
      <c r="AM436" s="14">
        <v>25</v>
      </c>
      <c r="AN436" s="14">
        <v>348</v>
      </c>
      <c r="AO436" s="14">
        <v>33</v>
      </c>
      <c r="AP436" s="14">
        <v>31</v>
      </c>
      <c r="AQ436" s="14">
        <v>421</v>
      </c>
      <c r="AS436" s="14">
        <v>357</v>
      </c>
    </row>
    <row r="437" spans="27:45" x14ac:dyDescent="0.25">
      <c r="AA437" s="14">
        <v>42</v>
      </c>
      <c r="AB437" s="14">
        <v>26</v>
      </c>
      <c r="AH437" s="14">
        <v>138</v>
      </c>
      <c r="AI437" s="14">
        <v>7</v>
      </c>
      <c r="AK437" s="14">
        <v>96</v>
      </c>
      <c r="AM437" s="14">
        <v>25</v>
      </c>
      <c r="AN437" s="14">
        <v>222</v>
      </c>
      <c r="AO437" s="14">
        <v>40</v>
      </c>
      <c r="AP437" s="14">
        <v>39</v>
      </c>
      <c r="AQ437" s="14">
        <v>161</v>
      </c>
      <c r="AS437" s="14">
        <v>332</v>
      </c>
    </row>
    <row r="438" spans="27:45" x14ac:dyDescent="0.25">
      <c r="AA438" s="14">
        <v>224</v>
      </c>
      <c r="AB438" s="14">
        <v>44</v>
      </c>
      <c r="AH438" s="14">
        <v>309</v>
      </c>
      <c r="AI438" s="14">
        <v>12</v>
      </c>
      <c r="AK438" s="14">
        <v>221</v>
      </c>
      <c r="AM438" s="14">
        <v>24</v>
      </c>
      <c r="AN438" s="14">
        <v>214</v>
      </c>
      <c r="AO438" s="14">
        <v>21</v>
      </c>
      <c r="AP438" s="14">
        <v>31</v>
      </c>
      <c r="AQ438" s="14">
        <v>349</v>
      </c>
      <c r="AS438" s="14">
        <v>315</v>
      </c>
    </row>
    <row r="439" spans="27:45" x14ac:dyDescent="0.25">
      <c r="AA439" s="14">
        <v>151</v>
      </c>
      <c r="AB439" s="14">
        <v>322</v>
      </c>
      <c r="AH439" s="14">
        <v>136</v>
      </c>
      <c r="AI439" s="14">
        <v>5</v>
      </c>
      <c r="AK439" s="14">
        <v>63</v>
      </c>
      <c r="AM439" s="14">
        <v>22</v>
      </c>
      <c r="AN439" s="14">
        <v>216</v>
      </c>
      <c r="AO439" s="14">
        <v>19</v>
      </c>
      <c r="AP439" s="14">
        <v>31</v>
      </c>
      <c r="AQ439" s="14">
        <v>448</v>
      </c>
      <c r="AS439" s="14">
        <v>386</v>
      </c>
    </row>
    <row r="440" spans="27:45" x14ac:dyDescent="0.25">
      <c r="AA440" s="14">
        <v>25</v>
      </c>
      <c r="AB440" s="14">
        <v>243</v>
      </c>
      <c r="AH440" s="14">
        <v>120</v>
      </c>
      <c r="AI440" s="14">
        <v>3</v>
      </c>
      <c r="AK440" s="14">
        <v>275</v>
      </c>
      <c r="AM440" s="14">
        <v>41</v>
      </c>
      <c r="AN440" s="14">
        <v>220</v>
      </c>
      <c r="AO440" s="14">
        <v>16</v>
      </c>
      <c r="AP440" s="14">
        <v>20</v>
      </c>
      <c r="AQ440" s="14">
        <v>256</v>
      </c>
      <c r="AS440" s="14">
        <v>385</v>
      </c>
    </row>
    <row r="441" spans="27:45" x14ac:dyDescent="0.25">
      <c r="AA441" s="14">
        <v>24</v>
      </c>
      <c r="AB441" s="14">
        <v>175</v>
      </c>
      <c r="AH441" s="14">
        <v>122</v>
      </c>
      <c r="AI441" s="14">
        <v>2</v>
      </c>
      <c r="AK441" s="14">
        <v>323</v>
      </c>
      <c r="AM441" s="14">
        <v>27</v>
      </c>
      <c r="AN441" s="14">
        <v>850</v>
      </c>
      <c r="AO441" s="14">
        <v>16</v>
      </c>
      <c r="AP441" s="14">
        <v>20</v>
      </c>
      <c r="AQ441" s="14">
        <v>187</v>
      </c>
      <c r="AS441" s="14">
        <v>355</v>
      </c>
    </row>
    <row r="442" spans="27:45" x14ac:dyDescent="0.25">
      <c r="AA442" s="14">
        <v>5</v>
      </c>
      <c r="AB442" s="14">
        <v>207</v>
      </c>
      <c r="AH442" s="14">
        <v>120</v>
      </c>
      <c r="AI442" s="14">
        <v>5</v>
      </c>
      <c r="AK442" s="14">
        <v>415</v>
      </c>
      <c r="AM442" s="14">
        <v>43</v>
      </c>
      <c r="AN442" s="14">
        <v>537</v>
      </c>
      <c r="AO442" s="14">
        <v>16</v>
      </c>
      <c r="AP442" s="14">
        <v>20</v>
      </c>
      <c r="AQ442" s="14">
        <v>122</v>
      </c>
      <c r="AS442" s="14">
        <v>985</v>
      </c>
    </row>
    <row r="443" spans="27:45" x14ac:dyDescent="0.25">
      <c r="AA443" s="14">
        <v>964</v>
      </c>
      <c r="AB443" s="14">
        <v>76</v>
      </c>
      <c r="AH443" s="14">
        <v>269</v>
      </c>
      <c r="AI443" s="14">
        <v>3</v>
      </c>
      <c r="AK443" s="14">
        <v>297</v>
      </c>
      <c r="AM443" s="14">
        <v>17</v>
      </c>
      <c r="AN443" s="14">
        <v>276</v>
      </c>
      <c r="AO443" s="14">
        <v>11</v>
      </c>
      <c r="AP443" s="14">
        <v>20</v>
      </c>
      <c r="AQ443" s="14">
        <v>555</v>
      </c>
      <c r="AS443" s="14">
        <v>988</v>
      </c>
    </row>
    <row r="444" spans="27:45" x14ac:dyDescent="0.25">
      <c r="AA444" s="14">
        <v>767</v>
      </c>
      <c r="AB444" s="14">
        <v>149</v>
      </c>
      <c r="AH444" s="14">
        <v>115</v>
      </c>
      <c r="AI444" s="14">
        <v>2</v>
      </c>
      <c r="AK444" s="14">
        <v>289</v>
      </c>
      <c r="AM444" s="14">
        <v>26</v>
      </c>
      <c r="AN444" s="14">
        <v>438</v>
      </c>
      <c r="AO444" s="14">
        <v>13</v>
      </c>
      <c r="AP444" s="14">
        <v>21</v>
      </c>
      <c r="AQ444" s="14">
        <v>406</v>
      </c>
      <c r="AS444" s="14">
        <v>102</v>
      </c>
    </row>
    <row r="445" spans="27:45" x14ac:dyDescent="0.25">
      <c r="AA445" s="14">
        <v>148</v>
      </c>
      <c r="AB445" s="14">
        <v>69</v>
      </c>
      <c r="AH445" s="14">
        <v>693</v>
      </c>
      <c r="AI445" s="14">
        <v>151</v>
      </c>
      <c r="AK445" s="14">
        <v>301</v>
      </c>
      <c r="AM445" s="14">
        <v>25</v>
      </c>
      <c r="AN445" s="14">
        <v>389</v>
      </c>
      <c r="AO445" s="14">
        <v>9</v>
      </c>
      <c r="AP445" s="14">
        <v>21</v>
      </c>
      <c r="AQ445" s="14">
        <v>320</v>
      </c>
      <c r="AS445" s="14">
        <v>860</v>
      </c>
    </row>
    <row r="446" spans="27:45" x14ac:dyDescent="0.25">
      <c r="AA446" s="14">
        <v>121</v>
      </c>
      <c r="AB446" s="14">
        <v>93</v>
      </c>
      <c r="AH446" s="14">
        <v>666</v>
      </c>
      <c r="AI446" s="14">
        <v>12</v>
      </c>
      <c r="AK446" s="14">
        <v>302</v>
      </c>
      <c r="AM446" s="14">
        <v>51</v>
      </c>
      <c r="AN446" s="14">
        <v>341</v>
      </c>
      <c r="AO446" s="14">
        <v>12</v>
      </c>
      <c r="AP446" s="14">
        <v>23</v>
      </c>
      <c r="AQ446" s="14">
        <v>217</v>
      </c>
      <c r="AS446" s="14">
        <v>870</v>
      </c>
    </row>
    <row r="447" spans="27:45" x14ac:dyDescent="0.25">
      <c r="AA447" s="14">
        <v>31</v>
      </c>
      <c r="AB447" s="14">
        <v>880</v>
      </c>
      <c r="AH447" s="14">
        <v>694</v>
      </c>
      <c r="AI447" s="14">
        <v>15</v>
      </c>
      <c r="AK447" s="14">
        <v>300</v>
      </c>
      <c r="AM447" s="14">
        <v>12</v>
      </c>
      <c r="AN447" s="14">
        <v>449</v>
      </c>
      <c r="AO447" s="14">
        <v>32</v>
      </c>
      <c r="AP447" s="14">
        <v>23</v>
      </c>
      <c r="AQ447" s="14">
        <v>102</v>
      </c>
      <c r="AS447" s="14">
        <v>900</v>
      </c>
    </row>
    <row r="448" spans="27:45" x14ac:dyDescent="0.25">
      <c r="AA448" s="14">
        <v>24</v>
      </c>
      <c r="AB448" s="14">
        <v>994</v>
      </c>
      <c r="AH448" s="14">
        <v>668</v>
      </c>
      <c r="AI448" s="14">
        <v>3</v>
      </c>
      <c r="AK448" s="14">
        <v>754</v>
      </c>
      <c r="AM448" s="14">
        <v>64</v>
      </c>
      <c r="AN448" s="14">
        <v>344</v>
      </c>
      <c r="AO448" s="14">
        <v>14</v>
      </c>
      <c r="AP448" s="14">
        <v>24</v>
      </c>
      <c r="AQ448" s="14">
        <v>169</v>
      </c>
      <c r="AS448" s="14">
        <v>334</v>
      </c>
    </row>
    <row r="449" spans="27:45" x14ac:dyDescent="0.25">
      <c r="AA449" s="14">
        <v>594</v>
      </c>
      <c r="AB449" s="14">
        <v>967</v>
      </c>
      <c r="AH449" s="14">
        <v>321</v>
      </c>
      <c r="AI449" s="14">
        <v>3</v>
      </c>
      <c r="AK449" s="14">
        <v>625</v>
      </c>
      <c r="AM449" s="14">
        <v>68</v>
      </c>
      <c r="AN449" s="14">
        <v>669</v>
      </c>
      <c r="AO449" s="14">
        <v>16</v>
      </c>
      <c r="AP449" s="14">
        <v>24</v>
      </c>
      <c r="AQ449" s="14">
        <v>6008</v>
      </c>
      <c r="AS449" s="14">
        <v>244</v>
      </c>
    </row>
    <row r="450" spans="27:45" x14ac:dyDescent="0.25">
      <c r="AA450" s="14">
        <v>567</v>
      </c>
      <c r="AB450" s="14">
        <v>567</v>
      </c>
      <c r="AH450" s="14">
        <v>316</v>
      </c>
      <c r="AI450" s="14">
        <v>4</v>
      </c>
      <c r="AK450" s="14">
        <v>942</v>
      </c>
      <c r="AM450" s="14">
        <v>66</v>
      </c>
      <c r="AN450" s="14">
        <v>126</v>
      </c>
      <c r="AO450" s="14">
        <v>25</v>
      </c>
      <c r="AP450" s="14">
        <v>24</v>
      </c>
      <c r="AQ450" s="14">
        <v>9356</v>
      </c>
      <c r="AS450" s="14">
        <v>402</v>
      </c>
    </row>
    <row r="451" spans="27:45" x14ac:dyDescent="0.25">
      <c r="AA451" s="14">
        <v>129</v>
      </c>
      <c r="AB451" s="14">
        <v>637</v>
      </c>
      <c r="AH451" s="14">
        <v>321</v>
      </c>
      <c r="AI451" s="14">
        <v>3</v>
      </c>
      <c r="AK451" s="14">
        <v>678</v>
      </c>
      <c r="AM451" s="14">
        <v>64</v>
      </c>
      <c r="AN451" s="14">
        <v>233</v>
      </c>
      <c r="AO451" s="14">
        <v>11</v>
      </c>
      <c r="AP451" s="14">
        <v>24</v>
      </c>
      <c r="AQ451" s="14">
        <v>285</v>
      </c>
      <c r="AS451" s="14">
        <v>468</v>
      </c>
    </row>
    <row r="452" spans="27:45" x14ac:dyDescent="0.25">
      <c r="AA452" s="14">
        <v>89</v>
      </c>
      <c r="AB452" s="14">
        <v>532</v>
      </c>
      <c r="AH452" s="14">
        <v>316</v>
      </c>
      <c r="AI452" s="14">
        <v>3</v>
      </c>
      <c r="AK452" s="14">
        <v>708</v>
      </c>
      <c r="AM452" s="14">
        <v>8</v>
      </c>
      <c r="AN452" s="14">
        <v>232</v>
      </c>
      <c r="AO452" s="14">
        <v>17</v>
      </c>
      <c r="AP452" s="14">
        <v>15</v>
      </c>
      <c r="AQ452" s="14">
        <v>343</v>
      </c>
      <c r="AS452" s="14">
        <v>774</v>
      </c>
    </row>
    <row r="453" spans="27:45" x14ac:dyDescent="0.25">
      <c r="AA453" s="14">
        <v>43</v>
      </c>
      <c r="AB453" s="14">
        <v>45</v>
      </c>
      <c r="AH453" s="14">
        <v>120</v>
      </c>
      <c r="AI453" s="14">
        <v>81</v>
      </c>
      <c r="AK453" s="14">
        <v>681</v>
      </c>
      <c r="AM453" s="14">
        <v>10</v>
      </c>
      <c r="AN453" s="14">
        <v>232</v>
      </c>
      <c r="AO453" s="14">
        <v>12</v>
      </c>
      <c r="AP453" s="14">
        <v>17</v>
      </c>
      <c r="AQ453" s="14">
        <v>163</v>
      </c>
      <c r="AS453" s="14">
        <v>657</v>
      </c>
    </row>
    <row r="454" spans="27:45" x14ac:dyDescent="0.25">
      <c r="AA454" s="14">
        <v>42</v>
      </c>
      <c r="AB454" s="14">
        <v>46</v>
      </c>
      <c r="AH454" s="14">
        <v>116</v>
      </c>
      <c r="AI454" s="14">
        <v>3</v>
      </c>
      <c r="AK454" s="14">
        <v>698</v>
      </c>
      <c r="AM454" s="14">
        <v>9</v>
      </c>
      <c r="AN454" s="14">
        <v>234</v>
      </c>
      <c r="AO454" s="14">
        <v>8</v>
      </c>
      <c r="AP454" s="14">
        <v>17</v>
      </c>
      <c r="AQ454" s="14">
        <v>210</v>
      </c>
      <c r="AS454" s="14">
        <v>553</v>
      </c>
    </row>
    <row r="455" spans="27:45" x14ac:dyDescent="0.25">
      <c r="AA455" s="14">
        <v>338</v>
      </c>
      <c r="AB455" s="14">
        <v>46</v>
      </c>
      <c r="AH455" s="14">
        <v>120</v>
      </c>
      <c r="AI455" s="14">
        <v>5</v>
      </c>
      <c r="AK455" s="14">
        <v>692</v>
      </c>
      <c r="AM455" s="14">
        <v>9</v>
      </c>
      <c r="AN455" s="14">
        <v>612</v>
      </c>
      <c r="AO455" s="14">
        <v>11</v>
      </c>
      <c r="AP455" s="14">
        <v>18</v>
      </c>
      <c r="AQ455" s="14">
        <v>8340</v>
      </c>
      <c r="AS455" s="14">
        <v>603</v>
      </c>
    </row>
    <row r="456" spans="27:45" x14ac:dyDescent="0.25">
      <c r="AA456" s="14">
        <v>224</v>
      </c>
      <c r="AB456" s="14">
        <v>31</v>
      </c>
      <c r="AH456" s="14">
        <v>116</v>
      </c>
      <c r="AI456" s="14">
        <v>8</v>
      </c>
      <c r="AK456" s="14">
        <v>37</v>
      </c>
      <c r="AM456" s="14">
        <v>10</v>
      </c>
      <c r="AN456" s="14">
        <v>195</v>
      </c>
      <c r="AO456" s="14">
        <v>7</v>
      </c>
      <c r="AP456" s="14">
        <v>18</v>
      </c>
      <c r="AQ456" s="14">
        <v>108</v>
      </c>
      <c r="AS456" s="14">
        <v>403</v>
      </c>
    </row>
    <row r="457" spans="27:45" x14ac:dyDescent="0.25">
      <c r="AA457" s="14">
        <v>37</v>
      </c>
      <c r="AB457" s="14">
        <v>36</v>
      </c>
      <c r="AH457" s="14">
        <v>310</v>
      </c>
      <c r="AI457" s="14">
        <v>4</v>
      </c>
      <c r="AK457" s="14">
        <v>370</v>
      </c>
      <c r="AM457" s="14">
        <v>9</v>
      </c>
      <c r="AN457" s="14">
        <v>227</v>
      </c>
      <c r="AO457" s="14">
        <v>97</v>
      </c>
      <c r="AP457" s="14">
        <v>18</v>
      </c>
      <c r="AQ457" s="14">
        <v>6704</v>
      </c>
      <c r="AS457" s="14">
        <v>392</v>
      </c>
    </row>
    <row r="458" spans="27:45" x14ac:dyDescent="0.25">
      <c r="AA458" s="14">
        <v>36</v>
      </c>
      <c r="AB458" s="14">
        <v>34</v>
      </c>
      <c r="AH458" s="14">
        <v>340</v>
      </c>
      <c r="AI458" s="14">
        <v>5</v>
      </c>
      <c r="AK458" s="14">
        <v>234</v>
      </c>
      <c r="AM458" s="14">
        <v>14</v>
      </c>
      <c r="AN458" s="14">
        <v>359</v>
      </c>
      <c r="AO458" s="14">
        <v>119</v>
      </c>
      <c r="AP458" s="14">
        <v>31</v>
      </c>
      <c r="AQ458" s="14">
        <v>9058</v>
      </c>
      <c r="AS458" s="14">
        <v>743</v>
      </c>
    </row>
    <row r="459" spans="27:45" x14ac:dyDescent="0.25">
      <c r="AA459" s="14">
        <v>12</v>
      </c>
      <c r="AB459" s="14">
        <v>61</v>
      </c>
      <c r="AH459" s="14">
        <v>138</v>
      </c>
      <c r="AI459" s="14">
        <v>6</v>
      </c>
      <c r="AK459" s="14">
        <v>140</v>
      </c>
      <c r="AM459" s="14">
        <v>8</v>
      </c>
      <c r="AN459" s="14">
        <v>354</v>
      </c>
      <c r="AO459" s="14">
        <v>155</v>
      </c>
      <c r="AP459" s="14">
        <v>32</v>
      </c>
      <c r="AQ459" s="14">
        <v>186</v>
      </c>
      <c r="AS459" s="14">
        <v>366</v>
      </c>
    </row>
    <row r="460" spans="27:45" x14ac:dyDescent="0.25">
      <c r="AA460" s="14">
        <v>12</v>
      </c>
      <c r="AB460" s="14">
        <v>60</v>
      </c>
      <c r="AH460" s="14">
        <v>150</v>
      </c>
      <c r="AI460" s="14">
        <v>7</v>
      </c>
      <c r="AK460" s="14">
        <v>155</v>
      </c>
      <c r="AM460" s="14">
        <v>29</v>
      </c>
      <c r="AN460" s="14">
        <v>397</v>
      </c>
      <c r="AO460" s="14">
        <v>208</v>
      </c>
      <c r="AP460" s="14">
        <v>31</v>
      </c>
      <c r="AQ460" s="14">
        <v>255</v>
      </c>
      <c r="AS460" s="14">
        <v>836</v>
      </c>
    </row>
    <row r="461" spans="27:45" x14ac:dyDescent="0.25">
      <c r="AA461" s="14">
        <v>308</v>
      </c>
      <c r="AB461" s="14">
        <v>60</v>
      </c>
      <c r="AH461" s="14">
        <v>271</v>
      </c>
      <c r="AI461" s="14">
        <v>7</v>
      </c>
      <c r="AK461" s="14">
        <v>149</v>
      </c>
      <c r="AM461" s="14">
        <v>31</v>
      </c>
      <c r="AN461" s="14">
        <v>393</v>
      </c>
      <c r="AO461" s="14">
        <v>710</v>
      </c>
      <c r="AP461" s="14">
        <v>32</v>
      </c>
      <c r="AQ461" s="14">
        <v>466</v>
      </c>
      <c r="AS461" s="14">
        <v>2643</v>
      </c>
    </row>
    <row r="462" spans="27:45" x14ac:dyDescent="0.25">
      <c r="AA462" s="14">
        <v>219</v>
      </c>
      <c r="AB462" s="14">
        <v>49</v>
      </c>
      <c r="AH462" s="14">
        <v>283</v>
      </c>
      <c r="AI462" s="14">
        <v>94</v>
      </c>
      <c r="AK462" s="14">
        <v>147</v>
      </c>
      <c r="AM462" s="14">
        <v>55</v>
      </c>
      <c r="AN462" s="14">
        <v>415</v>
      </c>
      <c r="AO462" s="14">
        <v>348</v>
      </c>
      <c r="AP462" s="14">
        <v>36</v>
      </c>
      <c r="AQ462" s="14">
        <v>872</v>
      </c>
      <c r="AS462" s="14">
        <v>2591</v>
      </c>
    </row>
    <row r="463" spans="27:45" x14ac:dyDescent="0.25">
      <c r="AA463" s="14">
        <v>38</v>
      </c>
      <c r="AB463" s="14">
        <v>53</v>
      </c>
      <c r="AH463" s="14">
        <v>516</v>
      </c>
      <c r="AI463" s="14">
        <v>2</v>
      </c>
      <c r="AK463" s="14">
        <v>128</v>
      </c>
      <c r="AM463" s="14">
        <v>93</v>
      </c>
      <c r="AN463" s="14">
        <v>414</v>
      </c>
      <c r="AO463" s="14">
        <v>569</v>
      </c>
      <c r="AP463" s="14">
        <v>36</v>
      </c>
      <c r="AQ463" s="14">
        <v>268</v>
      </c>
      <c r="AS463" s="14">
        <v>2551</v>
      </c>
    </row>
    <row r="464" spans="27:45" x14ac:dyDescent="0.25">
      <c r="AA464" s="14">
        <v>26</v>
      </c>
      <c r="AB464" s="14">
        <v>49</v>
      </c>
      <c r="AH464" s="14">
        <v>550</v>
      </c>
      <c r="AI464" s="14">
        <v>8</v>
      </c>
      <c r="AK464" s="14">
        <v>16</v>
      </c>
      <c r="AM464" s="14">
        <v>48</v>
      </c>
      <c r="AN464" s="14">
        <v>950</v>
      </c>
      <c r="AO464" s="14">
        <v>922</v>
      </c>
      <c r="AP464" s="14">
        <v>41</v>
      </c>
      <c r="AQ464" s="14">
        <v>359</v>
      </c>
      <c r="AS464" s="14">
        <v>209</v>
      </c>
    </row>
    <row r="465" spans="27:45" x14ac:dyDescent="0.25">
      <c r="AA465" s="14">
        <v>10</v>
      </c>
      <c r="AB465" s="14">
        <v>11</v>
      </c>
      <c r="AH465" s="14">
        <v>302</v>
      </c>
      <c r="AI465" s="14">
        <v>12</v>
      </c>
      <c r="AK465" s="14">
        <v>10</v>
      </c>
      <c r="AM465" s="14">
        <v>73</v>
      </c>
      <c r="AN465" s="14">
        <v>358</v>
      </c>
      <c r="AO465" s="14">
        <v>343</v>
      </c>
      <c r="AP465" s="14">
        <v>40</v>
      </c>
      <c r="AQ465" s="14">
        <v>197</v>
      </c>
      <c r="AS465" s="14">
        <v>193</v>
      </c>
    </row>
    <row r="466" spans="27:45" x14ac:dyDescent="0.25">
      <c r="AA466" s="14">
        <v>8</v>
      </c>
      <c r="AB466" s="14">
        <v>10</v>
      </c>
      <c r="AH466" s="14">
        <v>282</v>
      </c>
      <c r="AI466" s="14">
        <v>3</v>
      </c>
      <c r="AK466" s="14">
        <v>1</v>
      </c>
      <c r="AM466" s="14">
        <v>52</v>
      </c>
      <c r="AN466" s="14">
        <v>307</v>
      </c>
      <c r="AO466" s="14">
        <v>281</v>
      </c>
      <c r="AP466" s="14">
        <v>42</v>
      </c>
      <c r="AQ466" s="14">
        <v>272285</v>
      </c>
      <c r="AS466" s="14">
        <v>210</v>
      </c>
    </row>
    <row r="467" spans="27:45" x14ac:dyDescent="0.25">
      <c r="AA467" s="14">
        <v>258</v>
      </c>
      <c r="AB467" s="14">
        <v>12</v>
      </c>
      <c r="AH467" s="14">
        <v>244</v>
      </c>
      <c r="AI467" s="14">
        <v>4</v>
      </c>
      <c r="AK467" s="14">
        <v>1</v>
      </c>
      <c r="AM467" s="14">
        <v>53</v>
      </c>
      <c r="AN467" s="14">
        <v>304</v>
      </c>
      <c r="AO467" s="14">
        <v>107</v>
      </c>
      <c r="AP467" s="14">
        <v>41</v>
      </c>
      <c r="AQ467" s="14">
        <v>337</v>
      </c>
      <c r="AS467" s="14">
        <v>181</v>
      </c>
    </row>
    <row r="468" spans="27:45" x14ac:dyDescent="0.25">
      <c r="AA468" s="14">
        <v>80</v>
      </c>
      <c r="AB468" s="14">
        <v>11</v>
      </c>
      <c r="AH468" s="14">
        <v>256</v>
      </c>
      <c r="AI468" s="14">
        <v>2</v>
      </c>
      <c r="AK468" s="14">
        <v>1</v>
      </c>
      <c r="AM468" s="14">
        <v>51</v>
      </c>
      <c r="AN468" s="14">
        <v>305</v>
      </c>
      <c r="AO468" s="14">
        <v>362</v>
      </c>
      <c r="AP468" s="14">
        <v>41</v>
      </c>
      <c r="AQ468" s="14">
        <v>387</v>
      </c>
      <c r="AS468" s="14">
        <v>267</v>
      </c>
    </row>
    <row r="469" spans="27:45" x14ac:dyDescent="0.25">
      <c r="AA469" s="14">
        <v>5</v>
      </c>
      <c r="AB469" s="14">
        <v>8</v>
      </c>
      <c r="AH469" s="14">
        <v>151</v>
      </c>
      <c r="AI469" s="14">
        <v>5</v>
      </c>
      <c r="AK469" s="14">
        <v>4</v>
      </c>
      <c r="AM469" s="14">
        <v>54</v>
      </c>
      <c r="AN469" s="14">
        <v>307</v>
      </c>
      <c r="AO469" s="14">
        <v>831</v>
      </c>
      <c r="AP469" s="14">
        <v>41</v>
      </c>
      <c r="AQ469" s="14">
        <v>464</v>
      </c>
      <c r="AS469" s="14">
        <v>246</v>
      </c>
    </row>
    <row r="470" spans="27:45" x14ac:dyDescent="0.25">
      <c r="AA470" s="14">
        <v>186</v>
      </c>
      <c r="AB470" s="14">
        <v>9</v>
      </c>
      <c r="AH470" s="14">
        <v>147</v>
      </c>
      <c r="AI470" s="14">
        <v>5</v>
      </c>
      <c r="AK470" s="14">
        <v>6</v>
      </c>
      <c r="AM470" s="14">
        <v>57</v>
      </c>
      <c r="AN470" s="14">
        <v>111</v>
      </c>
      <c r="AO470" s="14">
        <v>465</v>
      </c>
      <c r="AP470" s="14">
        <v>34</v>
      </c>
      <c r="AQ470" s="14">
        <v>301</v>
      </c>
      <c r="AS470" s="14">
        <v>280</v>
      </c>
    </row>
    <row r="471" spans="27:45" x14ac:dyDescent="0.25">
      <c r="AA471" s="14">
        <v>177</v>
      </c>
      <c r="AB471" s="14">
        <v>56</v>
      </c>
      <c r="AH471" s="14">
        <v>494</v>
      </c>
      <c r="AI471" s="14">
        <v>153</v>
      </c>
      <c r="AK471" s="14">
        <v>3</v>
      </c>
      <c r="AM471" s="14">
        <v>67</v>
      </c>
      <c r="AN471" s="14">
        <v>798</v>
      </c>
      <c r="AO471" s="14">
        <v>201</v>
      </c>
      <c r="AP471" s="14">
        <v>31</v>
      </c>
      <c r="AQ471" s="14">
        <v>265</v>
      </c>
      <c r="AS471" s="14">
        <v>287</v>
      </c>
    </row>
    <row r="472" spans="27:45" x14ac:dyDescent="0.25">
      <c r="AA472" s="14">
        <v>121</v>
      </c>
      <c r="AB472" s="14">
        <v>55</v>
      </c>
      <c r="AH472" s="14">
        <v>508</v>
      </c>
      <c r="AI472" s="14">
        <v>4</v>
      </c>
      <c r="AM472" s="14">
        <v>54</v>
      </c>
      <c r="AN472" s="14">
        <v>756</v>
      </c>
      <c r="AO472" s="14">
        <v>300</v>
      </c>
      <c r="AP472" s="14">
        <v>32</v>
      </c>
      <c r="AQ472" s="14">
        <v>405</v>
      </c>
      <c r="AS472" s="14">
        <v>294</v>
      </c>
    </row>
    <row r="473" spans="27:45" x14ac:dyDescent="0.25">
      <c r="AA473" s="14">
        <v>120</v>
      </c>
      <c r="AB473" s="14">
        <v>48</v>
      </c>
      <c r="AH473" s="14">
        <v>303</v>
      </c>
      <c r="AI473" s="14">
        <v>12</v>
      </c>
      <c r="AM473" s="14">
        <v>76</v>
      </c>
      <c r="AN473" s="14">
        <v>346</v>
      </c>
      <c r="AO473" s="14">
        <v>171</v>
      </c>
      <c r="AP473" s="14">
        <v>30</v>
      </c>
      <c r="AQ473" s="14">
        <v>368</v>
      </c>
      <c r="AS473" s="14">
        <v>287</v>
      </c>
    </row>
    <row r="474" spans="27:45" x14ac:dyDescent="0.25">
      <c r="AA474" s="14">
        <v>260</v>
      </c>
      <c r="AB474" s="14">
        <v>57</v>
      </c>
      <c r="AH474" s="14">
        <v>309</v>
      </c>
      <c r="AI474" s="14">
        <v>16</v>
      </c>
      <c r="AM474" s="14">
        <v>53</v>
      </c>
      <c r="AN474" s="14">
        <v>622</v>
      </c>
      <c r="AO474" s="14">
        <v>396</v>
      </c>
      <c r="AP474" s="14">
        <v>30</v>
      </c>
      <c r="AQ474" s="14">
        <v>181</v>
      </c>
      <c r="AS474" s="14">
        <v>303</v>
      </c>
    </row>
    <row r="475" spans="27:45" x14ac:dyDescent="0.25">
      <c r="AA475" s="14">
        <v>151</v>
      </c>
      <c r="AB475" s="14">
        <v>54</v>
      </c>
      <c r="AH475" s="14">
        <v>766</v>
      </c>
      <c r="AI475" s="14">
        <v>4</v>
      </c>
      <c r="AM475" s="14">
        <v>50</v>
      </c>
      <c r="AN475" s="14">
        <v>300</v>
      </c>
      <c r="AO475" s="14">
        <v>424</v>
      </c>
      <c r="AP475" s="14">
        <v>30</v>
      </c>
      <c r="AQ475" s="14">
        <v>249</v>
      </c>
      <c r="AS475" s="14">
        <v>354</v>
      </c>
    </row>
    <row r="476" spans="27:45" x14ac:dyDescent="0.25">
      <c r="AA476" s="14">
        <v>172</v>
      </c>
      <c r="AB476" s="14">
        <v>50</v>
      </c>
      <c r="AH476" s="14">
        <v>765</v>
      </c>
      <c r="AI476" s="14">
        <v>7</v>
      </c>
      <c r="AM476" s="14">
        <v>51</v>
      </c>
      <c r="AN476" s="14">
        <v>248</v>
      </c>
      <c r="AO476" s="14">
        <v>187</v>
      </c>
      <c r="AP476" s="14">
        <v>17</v>
      </c>
      <c r="AQ476" s="14">
        <v>27</v>
      </c>
      <c r="AS476" s="14">
        <v>345</v>
      </c>
    </row>
    <row r="477" spans="27:45" x14ac:dyDescent="0.25">
      <c r="AA477" s="14">
        <v>178</v>
      </c>
      <c r="AB477" s="14">
        <v>10</v>
      </c>
      <c r="AH477" s="14">
        <v>398</v>
      </c>
      <c r="AI477" s="14">
        <v>10</v>
      </c>
      <c r="AM477" s="14">
        <v>50</v>
      </c>
      <c r="AN477" s="14">
        <v>248</v>
      </c>
      <c r="AO477" s="14">
        <v>177</v>
      </c>
      <c r="AP477" s="14">
        <v>20</v>
      </c>
      <c r="AQ477" s="14">
        <v>40</v>
      </c>
      <c r="AS477" s="14">
        <v>333</v>
      </c>
    </row>
    <row r="478" spans="27:45" x14ac:dyDescent="0.25">
      <c r="AA478" s="14">
        <v>174</v>
      </c>
      <c r="AB478" s="14">
        <v>10</v>
      </c>
      <c r="AH478" s="14">
        <v>398</v>
      </c>
      <c r="AI478" s="14">
        <v>3</v>
      </c>
      <c r="AM478" s="14">
        <v>75</v>
      </c>
      <c r="AN478" s="14">
        <v>249</v>
      </c>
      <c r="AO478" s="14">
        <v>341</v>
      </c>
      <c r="AP478" s="14">
        <v>21</v>
      </c>
      <c r="AQ478" s="14">
        <v>107</v>
      </c>
      <c r="AS478" s="14">
        <v>386</v>
      </c>
    </row>
    <row r="479" spans="27:45" x14ac:dyDescent="0.25">
      <c r="AA479" s="14">
        <v>273</v>
      </c>
      <c r="AB479" s="14">
        <v>13</v>
      </c>
      <c r="AH479" s="14">
        <v>732</v>
      </c>
      <c r="AI479" s="14">
        <v>10</v>
      </c>
      <c r="AM479" s="14">
        <v>58</v>
      </c>
      <c r="AN479" s="14">
        <v>252</v>
      </c>
      <c r="AO479" s="14">
        <v>181</v>
      </c>
      <c r="AP479" s="14">
        <v>22</v>
      </c>
      <c r="AQ479" s="14">
        <v>129</v>
      </c>
      <c r="AS479" s="14">
        <v>388</v>
      </c>
    </row>
    <row r="480" spans="27:45" x14ac:dyDescent="0.25">
      <c r="AA480" s="14">
        <v>190</v>
      </c>
      <c r="AB480" s="14">
        <v>9</v>
      </c>
      <c r="AH480" s="14">
        <v>723</v>
      </c>
      <c r="AI480" s="14">
        <v>11</v>
      </c>
      <c r="AM480" s="14">
        <v>89</v>
      </c>
      <c r="AN480" s="14">
        <v>926</v>
      </c>
      <c r="AO480" s="14">
        <v>372</v>
      </c>
      <c r="AP480" s="14">
        <v>23</v>
      </c>
      <c r="AQ480" s="14">
        <v>363</v>
      </c>
      <c r="AS480" s="14">
        <v>360</v>
      </c>
    </row>
    <row r="481" spans="27:45" x14ac:dyDescent="0.25">
      <c r="AA481" s="14">
        <v>193</v>
      </c>
      <c r="AB481" s="14">
        <v>7</v>
      </c>
      <c r="AH481" s="14">
        <v>909</v>
      </c>
      <c r="AM481" s="14">
        <v>39</v>
      </c>
      <c r="AN481" s="14">
        <v>141</v>
      </c>
      <c r="AO481" s="14">
        <v>359</v>
      </c>
      <c r="AP481" s="14">
        <v>23</v>
      </c>
      <c r="AQ481" s="14">
        <v>473</v>
      </c>
      <c r="AS481" s="14">
        <v>986</v>
      </c>
    </row>
    <row r="482" spans="27:45" x14ac:dyDescent="0.25">
      <c r="AA482" s="14">
        <v>128</v>
      </c>
      <c r="AB482" s="14">
        <v>7</v>
      </c>
      <c r="AH482" s="14">
        <v>901</v>
      </c>
      <c r="AM482" s="14">
        <v>38</v>
      </c>
      <c r="AN482" s="14">
        <v>290</v>
      </c>
      <c r="AO482" s="14">
        <v>337</v>
      </c>
      <c r="AP482" s="14">
        <v>70</v>
      </c>
      <c r="AQ482" s="14">
        <v>105</v>
      </c>
      <c r="AS482" s="14">
        <v>101</v>
      </c>
    </row>
    <row r="483" spans="27:45" x14ac:dyDescent="0.25">
      <c r="AA483" s="14">
        <v>255</v>
      </c>
      <c r="AB483" s="14">
        <v>339</v>
      </c>
      <c r="AH483" s="14">
        <v>406</v>
      </c>
      <c r="AM483" s="14">
        <v>56</v>
      </c>
      <c r="AN483" s="14">
        <v>407</v>
      </c>
      <c r="AO483" s="14">
        <v>316</v>
      </c>
      <c r="AP483" s="14">
        <v>69</v>
      </c>
      <c r="AQ483" s="14">
        <v>176</v>
      </c>
      <c r="AS483" s="14">
        <v>103</v>
      </c>
    </row>
    <row r="484" spans="27:45" x14ac:dyDescent="0.25">
      <c r="AA484" s="14">
        <v>81</v>
      </c>
      <c r="AB484" s="14">
        <v>388</v>
      </c>
      <c r="AH484" s="14">
        <v>404</v>
      </c>
      <c r="AM484" s="14">
        <v>133</v>
      </c>
      <c r="AN484" s="14">
        <v>251</v>
      </c>
      <c r="AO484" s="14">
        <v>345</v>
      </c>
      <c r="AP484" s="14">
        <v>72</v>
      </c>
      <c r="AQ484" s="14">
        <v>408</v>
      </c>
      <c r="AS484" s="14">
        <v>854</v>
      </c>
    </row>
    <row r="485" spans="27:45" x14ac:dyDescent="0.25">
      <c r="AA485" s="14">
        <v>6</v>
      </c>
      <c r="AB485" s="14">
        <v>350</v>
      </c>
      <c r="AH485" s="14">
        <v>782</v>
      </c>
      <c r="AM485" s="14">
        <v>21</v>
      </c>
      <c r="AN485" s="14">
        <v>234</v>
      </c>
      <c r="AO485" s="14">
        <v>551</v>
      </c>
      <c r="AP485" s="14">
        <v>72</v>
      </c>
      <c r="AQ485" s="14">
        <v>848</v>
      </c>
      <c r="AS485" s="14">
        <v>882</v>
      </c>
    </row>
    <row r="486" spans="27:45" x14ac:dyDescent="0.25">
      <c r="AA486" s="14">
        <v>156</v>
      </c>
      <c r="AB486" s="14">
        <v>212</v>
      </c>
      <c r="AH486" s="14">
        <v>780</v>
      </c>
      <c r="AM486" s="14">
        <v>87</v>
      </c>
      <c r="AN486" s="14">
        <v>244</v>
      </c>
      <c r="AO486" s="14">
        <v>528</v>
      </c>
      <c r="AP486" s="14">
        <v>70</v>
      </c>
      <c r="AQ486" s="14">
        <v>118</v>
      </c>
      <c r="AS486" s="14">
        <v>911</v>
      </c>
    </row>
    <row r="487" spans="27:45" x14ac:dyDescent="0.25">
      <c r="AA487" s="14">
        <v>182</v>
      </c>
      <c r="AB487" s="14">
        <v>232</v>
      </c>
      <c r="AH487" s="14">
        <v>165</v>
      </c>
      <c r="AM487" s="14">
        <v>99</v>
      </c>
      <c r="AN487" s="14">
        <v>308</v>
      </c>
      <c r="AO487" s="14">
        <v>284</v>
      </c>
      <c r="AP487" s="14">
        <v>70</v>
      </c>
      <c r="AQ487" s="14">
        <v>125</v>
      </c>
      <c r="AS487" s="14">
        <v>291</v>
      </c>
    </row>
    <row r="488" spans="27:45" x14ac:dyDescent="0.25">
      <c r="AA488" s="14">
        <v>133</v>
      </c>
      <c r="AB488" s="14">
        <v>208</v>
      </c>
      <c r="AH488" s="14">
        <v>719</v>
      </c>
      <c r="AM488" s="14">
        <v>94</v>
      </c>
      <c r="AN488" s="14">
        <v>239</v>
      </c>
      <c r="AO488" s="14">
        <v>272</v>
      </c>
      <c r="AP488" s="14">
        <v>31</v>
      </c>
      <c r="AQ488" s="14">
        <v>351</v>
      </c>
      <c r="AS488" s="14">
        <v>242</v>
      </c>
    </row>
    <row r="489" spans="27:45" x14ac:dyDescent="0.25">
      <c r="AA489" s="14">
        <v>172</v>
      </c>
      <c r="AB489" s="14">
        <v>194</v>
      </c>
      <c r="AH489" s="14">
        <v>141</v>
      </c>
      <c r="AM489" s="14">
        <v>85</v>
      </c>
      <c r="AN489" s="14">
        <v>319</v>
      </c>
      <c r="AO489" s="14">
        <v>278</v>
      </c>
      <c r="AP489" s="14">
        <v>32</v>
      </c>
      <c r="AQ489" s="14">
        <v>13</v>
      </c>
      <c r="AS489" s="14">
        <v>387</v>
      </c>
    </row>
    <row r="490" spans="27:45" x14ac:dyDescent="0.25">
      <c r="AA490" s="14">
        <v>296</v>
      </c>
      <c r="AB490" s="14">
        <v>182</v>
      </c>
      <c r="AH490" s="14">
        <v>955</v>
      </c>
      <c r="AM490" s="14">
        <v>13</v>
      </c>
      <c r="AN490" s="14">
        <v>411</v>
      </c>
      <c r="AO490" s="14">
        <v>233</v>
      </c>
      <c r="AP490" s="14">
        <v>33</v>
      </c>
      <c r="AQ490" s="14">
        <v>122</v>
      </c>
      <c r="AS490" s="14">
        <v>432</v>
      </c>
    </row>
    <row r="491" spans="27:45" x14ac:dyDescent="0.25">
      <c r="AA491" s="14">
        <v>201</v>
      </c>
      <c r="AB491" s="14">
        <v>168</v>
      </c>
      <c r="AH491" s="14">
        <v>427</v>
      </c>
      <c r="AM491" s="14">
        <v>17</v>
      </c>
      <c r="AN491" s="14">
        <v>395</v>
      </c>
      <c r="AO491" s="14">
        <v>38</v>
      </c>
      <c r="AP491" s="14">
        <v>36</v>
      </c>
      <c r="AQ491" s="14">
        <v>157</v>
      </c>
      <c r="AS491" s="14">
        <v>813</v>
      </c>
    </row>
    <row r="492" spans="27:45" x14ac:dyDescent="0.25">
      <c r="AA492" s="14">
        <v>162</v>
      </c>
      <c r="AB492" s="14">
        <v>126</v>
      </c>
      <c r="AH492" s="14">
        <v>163</v>
      </c>
      <c r="AM492" s="14">
        <v>15</v>
      </c>
      <c r="AN492" s="14">
        <v>397</v>
      </c>
      <c r="AO492" s="14">
        <v>284</v>
      </c>
      <c r="AP492" s="14">
        <v>36</v>
      </c>
      <c r="AQ492" s="14">
        <v>100</v>
      </c>
      <c r="AS492" s="14">
        <v>676</v>
      </c>
    </row>
    <row r="493" spans="27:45" x14ac:dyDescent="0.25">
      <c r="AA493" s="14">
        <v>162</v>
      </c>
      <c r="AB493" s="14">
        <v>125</v>
      </c>
      <c r="AH493" s="14">
        <v>861</v>
      </c>
      <c r="AM493" s="14">
        <v>17</v>
      </c>
      <c r="AN493" s="14">
        <v>413</v>
      </c>
      <c r="AO493" s="14">
        <v>326</v>
      </c>
      <c r="AP493" s="14">
        <v>18</v>
      </c>
      <c r="AQ493" s="14">
        <v>142</v>
      </c>
      <c r="AS493" s="14">
        <v>593</v>
      </c>
    </row>
    <row r="494" spans="27:45" x14ac:dyDescent="0.25">
      <c r="AA494" s="14">
        <v>172</v>
      </c>
      <c r="AB494" s="14">
        <v>92</v>
      </c>
      <c r="AH494" s="14">
        <v>286</v>
      </c>
      <c r="AM494" s="14">
        <v>16</v>
      </c>
      <c r="AN494" s="14">
        <v>214</v>
      </c>
      <c r="AO494" s="14">
        <v>189</v>
      </c>
      <c r="AP494" s="14">
        <v>18</v>
      </c>
      <c r="AQ494" s="14">
        <v>350</v>
      </c>
      <c r="AS494" s="14">
        <v>393</v>
      </c>
    </row>
    <row r="495" spans="27:45" x14ac:dyDescent="0.25">
      <c r="AA495" s="14">
        <v>157</v>
      </c>
      <c r="AB495" s="14">
        <v>233</v>
      </c>
      <c r="AH495" s="14">
        <v>979</v>
      </c>
      <c r="AM495" s="14">
        <v>15</v>
      </c>
      <c r="AN495" s="14">
        <v>136</v>
      </c>
      <c r="AO495" s="14">
        <v>252</v>
      </c>
      <c r="AP495" s="14">
        <v>18</v>
      </c>
      <c r="AQ495" s="14">
        <v>38</v>
      </c>
      <c r="AS495" s="14">
        <v>357</v>
      </c>
    </row>
    <row r="496" spans="27:45" x14ac:dyDescent="0.25">
      <c r="AA496" s="14">
        <v>156</v>
      </c>
      <c r="AB496" s="14">
        <v>205</v>
      </c>
      <c r="AH496" s="14">
        <v>120</v>
      </c>
      <c r="AM496" s="14">
        <v>21</v>
      </c>
      <c r="AN496" s="14">
        <v>118</v>
      </c>
      <c r="AO496" s="14">
        <v>235</v>
      </c>
      <c r="AP496" s="14">
        <v>19</v>
      </c>
      <c r="AQ496" s="14">
        <v>156</v>
      </c>
      <c r="AS496" s="14">
        <v>346</v>
      </c>
    </row>
    <row r="497" spans="27:45" x14ac:dyDescent="0.25">
      <c r="AA497" s="14">
        <v>184</v>
      </c>
      <c r="AB497" s="14">
        <v>194</v>
      </c>
      <c r="AH497" s="14">
        <v>111</v>
      </c>
      <c r="AM497" s="14">
        <v>14</v>
      </c>
      <c r="AN497" s="14">
        <v>130</v>
      </c>
      <c r="AO497" s="14">
        <v>899</v>
      </c>
      <c r="AP497" s="14">
        <v>21</v>
      </c>
      <c r="AQ497" s="14">
        <v>142</v>
      </c>
      <c r="AS497" s="14">
        <v>668</v>
      </c>
    </row>
    <row r="498" spans="27:45" x14ac:dyDescent="0.25">
      <c r="AA498" s="14">
        <v>361</v>
      </c>
      <c r="AB498" s="14">
        <v>182</v>
      </c>
      <c r="AH498" s="14">
        <v>134</v>
      </c>
      <c r="AM498" s="14">
        <v>187</v>
      </c>
      <c r="AN498" s="14">
        <v>125</v>
      </c>
      <c r="AO498" s="14">
        <v>329</v>
      </c>
      <c r="AP498" s="14">
        <v>21</v>
      </c>
      <c r="AQ498" s="14">
        <v>280</v>
      </c>
      <c r="AS498" s="14">
        <v>369</v>
      </c>
    </row>
    <row r="499" spans="27:45" x14ac:dyDescent="0.25">
      <c r="AA499" s="14">
        <v>163</v>
      </c>
      <c r="AB499" s="14">
        <v>154</v>
      </c>
      <c r="AH499" s="14">
        <v>136</v>
      </c>
      <c r="AM499" s="14">
        <v>1</v>
      </c>
      <c r="AN499" s="14">
        <v>125</v>
      </c>
      <c r="AO499" s="14">
        <v>673</v>
      </c>
      <c r="AP499" s="14">
        <v>24</v>
      </c>
      <c r="AQ499" s="14">
        <v>442</v>
      </c>
      <c r="AS499" s="14">
        <v>174</v>
      </c>
    </row>
    <row r="500" spans="27:45" x14ac:dyDescent="0.25">
      <c r="AA500" s="14">
        <v>128</v>
      </c>
      <c r="AB500" s="14">
        <v>131</v>
      </c>
      <c r="AH500" s="14">
        <v>121</v>
      </c>
      <c r="AM500" s="14">
        <v>485</v>
      </c>
      <c r="AN500" s="14">
        <v>526</v>
      </c>
      <c r="AO500" s="14">
        <v>267</v>
      </c>
      <c r="AP500" s="14">
        <v>25</v>
      </c>
      <c r="AQ500" s="14">
        <v>381</v>
      </c>
      <c r="AS500" s="14">
        <v>2745</v>
      </c>
    </row>
    <row r="501" spans="27:45" x14ac:dyDescent="0.25">
      <c r="AA501" s="14">
        <v>34</v>
      </c>
      <c r="AB501" s="14">
        <v>37</v>
      </c>
      <c r="AH501" s="14">
        <v>111</v>
      </c>
      <c r="AM501" s="14">
        <v>169</v>
      </c>
      <c r="AN501" s="14">
        <v>436</v>
      </c>
      <c r="AO501" s="14">
        <v>230</v>
      </c>
      <c r="AP501" s="14">
        <v>24</v>
      </c>
      <c r="AQ501" s="14">
        <v>614</v>
      </c>
      <c r="AS501" s="14">
        <v>2679</v>
      </c>
    </row>
    <row r="502" spans="27:45" x14ac:dyDescent="0.25">
      <c r="AA502" s="14">
        <v>4</v>
      </c>
      <c r="AB502" s="14">
        <v>36</v>
      </c>
      <c r="AH502" s="14">
        <v>137</v>
      </c>
      <c r="AM502" s="14">
        <v>757</v>
      </c>
      <c r="AN502" s="14">
        <v>424</v>
      </c>
      <c r="AO502" s="14">
        <v>488</v>
      </c>
      <c r="AP502" s="14">
        <v>24</v>
      </c>
      <c r="AQ502" s="14">
        <v>106</v>
      </c>
      <c r="AS502" s="14">
        <v>2537</v>
      </c>
    </row>
    <row r="503" spans="27:45" x14ac:dyDescent="0.25">
      <c r="AA503" s="14">
        <v>84</v>
      </c>
      <c r="AB503" s="14">
        <v>46</v>
      </c>
      <c r="AH503" s="14">
        <v>116</v>
      </c>
      <c r="AM503" s="14">
        <v>286</v>
      </c>
      <c r="AN503" s="14">
        <v>391</v>
      </c>
      <c r="AO503" s="14">
        <v>166</v>
      </c>
      <c r="AP503" s="14">
        <v>24</v>
      </c>
      <c r="AQ503" s="14">
        <v>510</v>
      </c>
      <c r="AS503" s="14">
        <v>13</v>
      </c>
    </row>
    <row r="504" spans="27:45" x14ac:dyDescent="0.25">
      <c r="AA504" s="14">
        <v>79</v>
      </c>
      <c r="AB504" s="14">
        <v>35</v>
      </c>
      <c r="AH504" s="14">
        <v>137</v>
      </c>
      <c r="AM504" s="14">
        <v>638</v>
      </c>
      <c r="AN504" s="14">
        <v>126</v>
      </c>
      <c r="AO504" s="14">
        <v>338</v>
      </c>
      <c r="AP504" s="14">
        <v>24</v>
      </c>
      <c r="AQ504" s="14">
        <v>52</v>
      </c>
      <c r="AS504" s="14">
        <v>9</v>
      </c>
    </row>
    <row r="505" spans="27:45" x14ac:dyDescent="0.25">
      <c r="AA505" s="14">
        <v>47</v>
      </c>
      <c r="AB505" s="14">
        <v>30</v>
      </c>
      <c r="AH505" s="14">
        <v>176</v>
      </c>
      <c r="AM505" s="14">
        <v>139</v>
      </c>
      <c r="AN505" s="14">
        <v>473</v>
      </c>
      <c r="AO505" s="14">
        <v>379</v>
      </c>
      <c r="AP505" s="14">
        <v>15</v>
      </c>
      <c r="AQ505" s="14">
        <v>941</v>
      </c>
      <c r="AS505" s="14">
        <v>1</v>
      </c>
    </row>
    <row r="506" spans="27:45" x14ac:dyDescent="0.25">
      <c r="AA506" s="14">
        <v>68</v>
      </c>
      <c r="AB506" s="14">
        <v>37</v>
      </c>
      <c r="AH506" s="14">
        <v>135</v>
      </c>
      <c r="AM506" s="14">
        <v>138</v>
      </c>
      <c r="AN506" s="14">
        <v>473</v>
      </c>
      <c r="AO506" s="14">
        <v>613</v>
      </c>
      <c r="AP506" s="14">
        <v>15</v>
      </c>
      <c r="AQ506" s="14">
        <v>29</v>
      </c>
      <c r="AS506" s="14">
        <v>8</v>
      </c>
    </row>
    <row r="507" spans="27:45" x14ac:dyDescent="0.25">
      <c r="AA507" s="14">
        <v>64</v>
      </c>
      <c r="AB507" s="14">
        <v>209</v>
      </c>
      <c r="AH507" s="14">
        <v>112</v>
      </c>
      <c r="AM507" s="14">
        <v>124</v>
      </c>
      <c r="AN507" s="14">
        <v>474</v>
      </c>
      <c r="AO507" s="14">
        <v>266</v>
      </c>
      <c r="AP507" s="14">
        <v>15</v>
      </c>
      <c r="AQ507" s="14">
        <v>3</v>
      </c>
      <c r="AS507" s="14">
        <v>6</v>
      </c>
    </row>
    <row r="508" spans="27:45" x14ac:dyDescent="0.25">
      <c r="AA508" s="14">
        <v>104</v>
      </c>
      <c r="AB508" s="14">
        <v>181</v>
      </c>
      <c r="AH508" s="14">
        <v>198</v>
      </c>
      <c r="AM508" s="14">
        <v>142</v>
      </c>
      <c r="AN508" s="14">
        <v>484</v>
      </c>
      <c r="AO508" s="14">
        <v>175</v>
      </c>
      <c r="AP508" s="14">
        <v>15</v>
      </c>
      <c r="AQ508" s="14">
        <v>6</v>
      </c>
      <c r="AS508" s="14">
        <v>9</v>
      </c>
    </row>
    <row r="509" spans="27:45" x14ac:dyDescent="0.25">
      <c r="AA509" s="14">
        <v>108</v>
      </c>
      <c r="AB509" s="14">
        <v>186</v>
      </c>
      <c r="AH509" s="14">
        <v>225</v>
      </c>
      <c r="AM509" s="14">
        <v>126</v>
      </c>
      <c r="AN509" s="14">
        <v>474</v>
      </c>
      <c r="AO509" s="14">
        <v>363</v>
      </c>
      <c r="AP509" s="14">
        <v>15</v>
      </c>
      <c r="AQ509" s="14">
        <v>224</v>
      </c>
      <c r="AS509" s="14">
        <v>889</v>
      </c>
    </row>
    <row r="510" spans="27:45" x14ac:dyDescent="0.25">
      <c r="AA510" s="14">
        <v>221</v>
      </c>
      <c r="AB510" s="14">
        <v>204</v>
      </c>
      <c r="AH510" s="14">
        <v>406</v>
      </c>
      <c r="AM510" s="14">
        <v>452</v>
      </c>
      <c r="AN510" s="14">
        <v>462</v>
      </c>
      <c r="AO510" s="14">
        <v>234</v>
      </c>
      <c r="AP510" s="14">
        <v>15</v>
      </c>
      <c r="AQ510" s="14">
        <v>209</v>
      </c>
      <c r="AS510" s="14">
        <v>337</v>
      </c>
    </row>
    <row r="511" spans="27:45" x14ac:dyDescent="0.25">
      <c r="AA511" s="14">
        <v>156</v>
      </c>
      <c r="AB511" s="14">
        <v>170</v>
      </c>
      <c r="AH511" s="14">
        <v>850</v>
      </c>
      <c r="AM511" s="14">
        <v>124</v>
      </c>
      <c r="AN511" s="14">
        <v>472</v>
      </c>
      <c r="AO511" s="14">
        <v>211</v>
      </c>
      <c r="AP511" s="14">
        <v>119</v>
      </c>
      <c r="AQ511" s="14">
        <v>8</v>
      </c>
      <c r="AS511" s="14">
        <v>641</v>
      </c>
    </row>
    <row r="512" spans="27:45" x14ac:dyDescent="0.25">
      <c r="AA512" s="14">
        <v>102</v>
      </c>
      <c r="AB512" s="14">
        <v>178</v>
      </c>
      <c r="AH512" s="14">
        <v>110</v>
      </c>
      <c r="AM512" s="14">
        <v>168</v>
      </c>
      <c r="AN512" s="14">
        <v>489</v>
      </c>
      <c r="AO512" s="14">
        <v>239</v>
      </c>
      <c r="AP512" s="14">
        <v>1</v>
      </c>
      <c r="AQ512" s="14">
        <v>29</v>
      </c>
      <c r="AS512" s="14">
        <v>152</v>
      </c>
    </row>
    <row r="513" spans="27:45" x14ac:dyDescent="0.25">
      <c r="AA513" s="14">
        <v>87</v>
      </c>
      <c r="AB513" s="14">
        <v>36</v>
      </c>
      <c r="AH513" s="14">
        <v>679</v>
      </c>
      <c r="AM513" s="14">
        <v>180</v>
      </c>
      <c r="AN513" s="14">
        <v>878</v>
      </c>
      <c r="AO513" s="14">
        <v>478</v>
      </c>
      <c r="AP513" s="14">
        <v>121</v>
      </c>
      <c r="AQ513" s="14">
        <v>28</v>
      </c>
      <c r="AS513" s="14">
        <v>506</v>
      </c>
    </row>
    <row r="514" spans="27:45" x14ac:dyDescent="0.25">
      <c r="AA514" s="14">
        <v>105</v>
      </c>
      <c r="AB514" s="14">
        <v>36</v>
      </c>
      <c r="AH514" s="14">
        <v>296</v>
      </c>
      <c r="AM514" s="14">
        <v>125</v>
      </c>
      <c r="AN514" s="14">
        <v>106</v>
      </c>
      <c r="AO514" s="14">
        <v>332</v>
      </c>
      <c r="AP514" s="14">
        <v>319</v>
      </c>
      <c r="AQ514" s="14">
        <v>19</v>
      </c>
      <c r="AS514" s="14">
        <v>102</v>
      </c>
    </row>
    <row r="515" spans="27:45" x14ac:dyDescent="0.25">
      <c r="AA515" s="14">
        <v>106</v>
      </c>
      <c r="AB515" s="14">
        <v>47</v>
      </c>
      <c r="AH515" s="14">
        <v>806</v>
      </c>
      <c r="AM515" s="14">
        <v>157</v>
      </c>
      <c r="AN515" s="14">
        <v>971</v>
      </c>
      <c r="AO515" s="14">
        <v>152</v>
      </c>
      <c r="AP515" s="14">
        <v>163</v>
      </c>
      <c r="AQ515" s="14">
        <v>21</v>
      </c>
      <c r="AS515" s="14">
        <v>3084</v>
      </c>
    </row>
    <row r="516" spans="27:45" x14ac:dyDescent="0.25">
      <c r="AA516" s="14">
        <v>107</v>
      </c>
      <c r="AB516" s="14">
        <v>27</v>
      </c>
      <c r="AH516" s="14">
        <v>536</v>
      </c>
      <c r="AM516" s="14">
        <v>918</v>
      </c>
      <c r="AN516" s="14">
        <v>820</v>
      </c>
      <c r="AO516" s="14">
        <v>250</v>
      </c>
      <c r="AP516" s="14">
        <v>158</v>
      </c>
      <c r="AQ516" s="14">
        <v>12</v>
      </c>
      <c r="AS516" s="14">
        <v>156</v>
      </c>
    </row>
    <row r="517" spans="27:45" x14ac:dyDescent="0.25">
      <c r="AA517" s="14">
        <v>150</v>
      </c>
      <c r="AB517" s="14">
        <v>25</v>
      </c>
      <c r="AH517" s="14">
        <v>174</v>
      </c>
      <c r="AM517" s="14">
        <v>310</v>
      </c>
      <c r="AN517" s="14">
        <v>795</v>
      </c>
      <c r="AO517" s="14">
        <v>781</v>
      </c>
      <c r="AP517" s="14">
        <v>487</v>
      </c>
      <c r="AQ517" s="14">
        <v>159</v>
      </c>
      <c r="AS517" s="14">
        <v>3957</v>
      </c>
    </row>
    <row r="518" spans="27:45" x14ac:dyDescent="0.25">
      <c r="AA518" s="14">
        <v>78</v>
      </c>
      <c r="AB518" s="14">
        <v>24</v>
      </c>
      <c r="AH518" s="14">
        <v>119</v>
      </c>
      <c r="AM518" s="14">
        <v>281</v>
      </c>
      <c r="AN518" s="14">
        <v>845</v>
      </c>
      <c r="AO518" s="14">
        <v>166</v>
      </c>
      <c r="AP518" s="14">
        <v>144</v>
      </c>
      <c r="AQ518" s="14">
        <v>678</v>
      </c>
      <c r="AS518" s="14">
        <v>2</v>
      </c>
    </row>
    <row r="519" spans="27:45" x14ac:dyDescent="0.25">
      <c r="AA519" s="14">
        <v>73</v>
      </c>
      <c r="AB519" s="14">
        <v>962</v>
      </c>
      <c r="AH519" s="14">
        <v>370</v>
      </c>
      <c r="AM519" s="14">
        <v>737</v>
      </c>
      <c r="AN519" s="14">
        <v>172</v>
      </c>
      <c r="AO519" s="14">
        <v>346</v>
      </c>
      <c r="AP519" s="14">
        <v>186</v>
      </c>
      <c r="AQ519" s="14">
        <v>69</v>
      </c>
      <c r="AS519" s="14">
        <v>63</v>
      </c>
    </row>
    <row r="520" spans="27:45" x14ac:dyDescent="0.25">
      <c r="AA520" s="14">
        <v>25</v>
      </c>
      <c r="AB520" s="14">
        <v>197</v>
      </c>
      <c r="AH520" s="14">
        <v>138</v>
      </c>
      <c r="AM520" s="14">
        <v>104</v>
      </c>
      <c r="AN520" s="14">
        <v>194</v>
      </c>
      <c r="AO520" s="14">
        <v>112</v>
      </c>
      <c r="AP520" s="14">
        <v>2</v>
      </c>
      <c r="AQ520" s="14">
        <v>1144</v>
      </c>
      <c r="AS520" s="14">
        <v>59</v>
      </c>
    </row>
    <row r="521" spans="27:45" x14ac:dyDescent="0.25">
      <c r="AA521" s="14">
        <v>2</v>
      </c>
      <c r="AB521" s="14">
        <v>672</v>
      </c>
      <c r="AH521" s="14">
        <v>576</v>
      </c>
      <c r="AM521" s="14">
        <v>103</v>
      </c>
      <c r="AN521" s="14">
        <v>219</v>
      </c>
      <c r="AO521" s="14">
        <v>364</v>
      </c>
      <c r="AP521" s="14">
        <v>251</v>
      </c>
      <c r="AQ521" s="14">
        <v>60</v>
      </c>
      <c r="AS521" s="14">
        <v>39</v>
      </c>
    </row>
    <row r="522" spans="27:45" x14ac:dyDescent="0.25">
      <c r="AA522" s="14">
        <v>69</v>
      </c>
      <c r="AB522" s="14">
        <v>114</v>
      </c>
      <c r="AH522" s="14">
        <v>548</v>
      </c>
      <c r="AM522" s="14">
        <v>715</v>
      </c>
      <c r="AN522" s="14">
        <v>204</v>
      </c>
      <c r="AO522" s="14">
        <v>286</v>
      </c>
      <c r="AP522" s="14">
        <v>871</v>
      </c>
      <c r="AQ522" s="14">
        <v>3</v>
      </c>
      <c r="AS522" s="14">
        <v>34</v>
      </c>
    </row>
    <row r="523" spans="27:45" x14ac:dyDescent="0.25">
      <c r="AA523" s="14">
        <v>57</v>
      </c>
      <c r="AB523" s="14">
        <v>388</v>
      </c>
      <c r="AH523" s="14">
        <v>526</v>
      </c>
      <c r="AM523" s="14">
        <v>643</v>
      </c>
      <c r="AN523" s="14">
        <v>250</v>
      </c>
      <c r="AO523" s="14">
        <v>424</v>
      </c>
      <c r="AP523" s="14">
        <v>356</v>
      </c>
      <c r="AQ523" s="14">
        <v>5</v>
      </c>
      <c r="AS523" s="14">
        <v>100</v>
      </c>
    </row>
    <row r="524" spans="27:45" x14ac:dyDescent="0.25">
      <c r="AA524" s="14">
        <v>34</v>
      </c>
      <c r="AB524" s="14">
        <v>867</v>
      </c>
      <c r="AH524" s="14">
        <v>547</v>
      </c>
      <c r="AM524" s="14">
        <v>905</v>
      </c>
      <c r="AN524" s="14">
        <v>221</v>
      </c>
      <c r="AO524" s="14">
        <v>372</v>
      </c>
      <c r="AP524" s="14">
        <v>362</v>
      </c>
      <c r="AQ524" s="14">
        <v>505</v>
      </c>
      <c r="AS524" s="14">
        <v>91</v>
      </c>
    </row>
    <row r="525" spans="27:45" x14ac:dyDescent="0.25">
      <c r="AA525" s="14">
        <v>63</v>
      </c>
      <c r="AB525" s="14">
        <v>503</v>
      </c>
      <c r="AH525" s="14">
        <v>649</v>
      </c>
      <c r="AM525" s="14">
        <v>644</v>
      </c>
      <c r="AN525" s="14">
        <v>261</v>
      </c>
      <c r="AO525" s="14">
        <v>159</v>
      </c>
      <c r="AP525" s="14">
        <v>146</v>
      </c>
      <c r="AQ525" s="14">
        <v>439</v>
      </c>
      <c r="AS525" s="14">
        <v>73</v>
      </c>
    </row>
    <row r="526" spans="27:45" x14ac:dyDescent="0.25">
      <c r="AA526" s="14">
        <v>91</v>
      </c>
      <c r="AB526" s="14">
        <v>777</v>
      </c>
      <c r="AH526" s="14">
        <v>426</v>
      </c>
      <c r="AM526" s="14">
        <v>337</v>
      </c>
      <c r="AN526" s="14">
        <v>218</v>
      </c>
      <c r="AO526" s="14">
        <v>309</v>
      </c>
      <c r="AP526" s="14">
        <v>456</v>
      </c>
      <c r="AQ526" s="14">
        <v>15</v>
      </c>
      <c r="AS526" s="14">
        <v>121</v>
      </c>
    </row>
    <row r="527" spans="27:45" x14ac:dyDescent="0.25">
      <c r="AA527" s="14">
        <v>69</v>
      </c>
      <c r="AB527" s="14">
        <v>115</v>
      </c>
      <c r="AH527" s="14">
        <v>459</v>
      </c>
      <c r="AM527" s="14">
        <v>742</v>
      </c>
      <c r="AN527" s="14">
        <v>265</v>
      </c>
      <c r="AO527" s="14">
        <v>528</v>
      </c>
      <c r="AP527" s="14">
        <v>292</v>
      </c>
      <c r="AQ527" s="14">
        <v>18</v>
      </c>
      <c r="AS527" s="14">
        <v>114</v>
      </c>
    </row>
    <row r="528" spans="27:45" x14ac:dyDescent="0.25">
      <c r="AA528" s="14">
        <v>56</v>
      </c>
      <c r="AB528" s="14">
        <v>911</v>
      </c>
      <c r="AH528" s="14">
        <v>519</v>
      </c>
      <c r="AM528" s="14">
        <v>805</v>
      </c>
      <c r="AN528" s="14">
        <v>455</v>
      </c>
      <c r="AO528" s="14">
        <v>458</v>
      </c>
      <c r="AP528" s="14">
        <v>4</v>
      </c>
      <c r="AQ528" s="14">
        <v>48</v>
      </c>
      <c r="AS528" s="14">
        <v>75</v>
      </c>
    </row>
    <row r="529" spans="27:45" x14ac:dyDescent="0.25">
      <c r="AA529" s="14">
        <v>132</v>
      </c>
      <c r="AB529" s="14">
        <v>152</v>
      </c>
      <c r="AH529" s="14">
        <v>465</v>
      </c>
      <c r="AM529" s="14">
        <v>678</v>
      </c>
      <c r="AN529" s="14">
        <v>452</v>
      </c>
      <c r="AO529" s="14">
        <v>217</v>
      </c>
      <c r="AP529" s="14">
        <v>200</v>
      </c>
      <c r="AQ529" s="14">
        <v>15</v>
      </c>
      <c r="AS529" s="14">
        <v>67</v>
      </c>
    </row>
    <row r="530" spans="27:45" x14ac:dyDescent="0.25">
      <c r="AA530" s="14">
        <v>97</v>
      </c>
      <c r="AB530" s="14">
        <v>119</v>
      </c>
      <c r="AH530" s="14">
        <v>587</v>
      </c>
      <c r="AM530" s="14">
        <v>326</v>
      </c>
      <c r="AN530" s="14">
        <v>451</v>
      </c>
      <c r="AO530" s="14">
        <v>360</v>
      </c>
      <c r="AP530" s="14">
        <v>996</v>
      </c>
      <c r="AQ530" s="14">
        <v>92</v>
      </c>
      <c r="AS530" s="14">
        <v>191</v>
      </c>
    </row>
    <row r="531" spans="27:45" x14ac:dyDescent="0.25">
      <c r="AA531" s="14">
        <v>61</v>
      </c>
      <c r="AB531" s="14">
        <v>197</v>
      </c>
      <c r="AH531" s="14">
        <v>899</v>
      </c>
      <c r="AM531" s="14">
        <v>430</v>
      </c>
      <c r="AN531" s="14">
        <v>454</v>
      </c>
      <c r="AO531" s="14">
        <v>872</v>
      </c>
      <c r="AP531" s="14">
        <v>649</v>
      </c>
      <c r="AQ531" s="14">
        <v>25</v>
      </c>
      <c r="AS531" s="14">
        <v>169</v>
      </c>
    </row>
    <row r="532" spans="27:45" x14ac:dyDescent="0.25">
      <c r="AA532" s="14">
        <v>58</v>
      </c>
      <c r="AB532" s="14">
        <v>175</v>
      </c>
      <c r="AH532" s="14">
        <v>705</v>
      </c>
      <c r="AM532" s="14">
        <v>318</v>
      </c>
      <c r="AN532" s="14">
        <v>456</v>
      </c>
      <c r="AO532" s="14">
        <v>231</v>
      </c>
      <c r="AP532" s="14">
        <v>539</v>
      </c>
      <c r="AQ532" s="14">
        <v>330</v>
      </c>
      <c r="AS532" s="14">
        <v>144</v>
      </c>
    </row>
    <row r="533" spans="27:45" x14ac:dyDescent="0.25">
      <c r="AA533" s="14">
        <v>60</v>
      </c>
      <c r="AB533" s="14">
        <v>156</v>
      </c>
      <c r="AH533" s="14">
        <v>482</v>
      </c>
      <c r="AM533" s="14">
        <v>13</v>
      </c>
      <c r="AN533" s="14">
        <v>458</v>
      </c>
      <c r="AO533" s="14">
        <v>385</v>
      </c>
      <c r="AP533" s="14">
        <v>153</v>
      </c>
      <c r="AQ533" s="14">
        <v>1667</v>
      </c>
      <c r="AS533" s="14">
        <v>6</v>
      </c>
    </row>
    <row r="534" spans="27:45" x14ac:dyDescent="0.25">
      <c r="AA534" s="14">
        <v>87</v>
      </c>
      <c r="AB534" s="14">
        <v>187</v>
      </c>
      <c r="AH534" s="14">
        <v>107</v>
      </c>
      <c r="AM534" s="14">
        <v>2</v>
      </c>
      <c r="AN534" s="14">
        <v>461</v>
      </c>
      <c r="AO534" s="14">
        <v>969</v>
      </c>
      <c r="AP534" s="14">
        <v>670</v>
      </c>
      <c r="AQ534" s="14">
        <v>170</v>
      </c>
      <c r="AS534" s="14">
        <v>6</v>
      </c>
    </row>
    <row r="535" spans="27:45" x14ac:dyDescent="0.25">
      <c r="AA535" s="14">
        <v>75</v>
      </c>
      <c r="AB535" s="14">
        <v>209</v>
      </c>
      <c r="AH535" s="14">
        <v>126</v>
      </c>
      <c r="AM535" s="14">
        <v>444</v>
      </c>
      <c r="AN535" s="14">
        <v>101</v>
      </c>
      <c r="AO535" s="14">
        <v>105</v>
      </c>
      <c r="AP535" s="14">
        <v>334</v>
      </c>
      <c r="AQ535" s="14">
        <v>268</v>
      </c>
      <c r="AS535" s="14">
        <v>21</v>
      </c>
    </row>
    <row r="536" spans="27:45" x14ac:dyDescent="0.25">
      <c r="AA536" s="14">
        <v>73</v>
      </c>
      <c r="AB536" s="14">
        <v>239</v>
      </c>
      <c r="AH536" s="14">
        <v>159</v>
      </c>
      <c r="AM536" s="14">
        <v>435</v>
      </c>
      <c r="AN536" s="14">
        <v>186</v>
      </c>
      <c r="AO536" s="14">
        <v>208</v>
      </c>
      <c r="AP536" s="14">
        <v>27</v>
      </c>
      <c r="AQ536" s="14">
        <v>176</v>
      </c>
      <c r="AS536" s="14">
        <v>13</v>
      </c>
    </row>
    <row r="537" spans="27:45" x14ac:dyDescent="0.25">
      <c r="AA537" s="14">
        <v>45</v>
      </c>
      <c r="AB537" s="14">
        <v>298</v>
      </c>
      <c r="AH537" s="14">
        <v>422</v>
      </c>
      <c r="AM537" s="14">
        <v>129</v>
      </c>
      <c r="AN537" s="14">
        <v>425</v>
      </c>
      <c r="AO537" s="14">
        <v>436</v>
      </c>
      <c r="AP537" s="14">
        <v>412</v>
      </c>
      <c r="AQ537" s="14">
        <v>10</v>
      </c>
      <c r="AS537" s="14">
        <v>472</v>
      </c>
    </row>
    <row r="538" spans="27:45" x14ac:dyDescent="0.25">
      <c r="AB538" s="14">
        <v>316</v>
      </c>
      <c r="AH538" s="14">
        <v>471</v>
      </c>
      <c r="AM538" s="14">
        <v>136</v>
      </c>
      <c r="AN538" s="14">
        <v>470</v>
      </c>
      <c r="AO538" s="14">
        <v>390</v>
      </c>
      <c r="AP538" s="14">
        <v>246</v>
      </c>
      <c r="AQ538" s="14">
        <v>14</v>
      </c>
      <c r="AS538" s="14">
        <v>351</v>
      </c>
    </row>
    <row r="539" spans="27:45" x14ac:dyDescent="0.25">
      <c r="AB539" s="14">
        <v>306</v>
      </c>
      <c r="AH539" s="14">
        <v>665</v>
      </c>
      <c r="AM539" s="14">
        <v>125</v>
      </c>
      <c r="AN539" s="14">
        <v>437</v>
      </c>
      <c r="AO539" s="14">
        <v>724</v>
      </c>
      <c r="AP539" s="14">
        <v>122</v>
      </c>
      <c r="AQ539" s="14">
        <v>668</v>
      </c>
      <c r="AS539" s="14">
        <v>804</v>
      </c>
    </row>
    <row r="540" spans="27:45" x14ac:dyDescent="0.25">
      <c r="AB540" s="14">
        <v>322</v>
      </c>
      <c r="AH540" s="14">
        <v>326</v>
      </c>
      <c r="AM540" s="14">
        <v>120</v>
      </c>
      <c r="AN540" s="14">
        <v>503</v>
      </c>
      <c r="AO540" s="14">
        <v>730</v>
      </c>
      <c r="AP540" s="14">
        <v>122</v>
      </c>
      <c r="AQ540" s="14">
        <v>321</v>
      </c>
      <c r="AS540" s="14">
        <v>380</v>
      </c>
    </row>
    <row r="541" spans="27:45" x14ac:dyDescent="0.25">
      <c r="AB541" s="14">
        <v>368</v>
      </c>
      <c r="AH541" s="14">
        <v>751</v>
      </c>
      <c r="AM541" s="14">
        <v>126</v>
      </c>
      <c r="AN541" s="14">
        <v>450</v>
      </c>
      <c r="AO541" s="14">
        <v>433</v>
      </c>
      <c r="AP541" s="14">
        <v>407</v>
      </c>
      <c r="AQ541" s="14">
        <v>49</v>
      </c>
      <c r="AS541" s="14">
        <v>260</v>
      </c>
    </row>
    <row r="542" spans="27:45" x14ac:dyDescent="0.25">
      <c r="AB542" s="14">
        <v>307</v>
      </c>
      <c r="AH542" s="14">
        <v>469</v>
      </c>
      <c r="AM542" s="14">
        <v>119</v>
      </c>
      <c r="AN542" s="14">
        <v>540</v>
      </c>
      <c r="AO542" s="14">
        <v>360</v>
      </c>
      <c r="AP542" s="14">
        <v>135</v>
      </c>
      <c r="AQ542" s="14">
        <v>67</v>
      </c>
      <c r="AS542" s="14">
        <v>440</v>
      </c>
    </row>
    <row r="543" spans="27:45" x14ac:dyDescent="0.25">
      <c r="AB543" s="14">
        <v>692</v>
      </c>
      <c r="AH543" s="14">
        <v>258</v>
      </c>
      <c r="AM543" s="14">
        <v>1</v>
      </c>
      <c r="AN543" s="14">
        <v>463</v>
      </c>
      <c r="AO543" s="14">
        <v>107</v>
      </c>
      <c r="AP543" s="14">
        <v>255</v>
      </c>
      <c r="AQ543" s="14">
        <v>121</v>
      </c>
      <c r="AS543" s="14">
        <v>530</v>
      </c>
    </row>
    <row r="544" spans="27:45" x14ac:dyDescent="0.25">
      <c r="AB544" s="14">
        <v>585</v>
      </c>
      <c r="AH544" s="14">
        <v>892</v>
      </c>
      <c r="AM544" s="14">
        <v>182</v>
      </c>
      <c r="AN544" s="14">
        <v>551</v>
      </c>
      <c r="AO544" s="14">
        <v>355</v>
      </c>
      <c r="AP544" s="14">
        <v>15</v>
      </c>
      <c r="AQ544" s="14">
        <v>37</v>
      </c>
      <c r="AS544" s="14">
        <v>353</v>
      </c>
    </row>
    <row r="545" spans="28:45" x14ac:dyDescent="0.25">
      <c r="AB545" s="14">
        <v>865</v>
      </c>
      <c r="AH545" s="14">
        <v>395</v>
      </c>
      <c r="AM545" s="14">
        <v>186</v>
      </c>
      <c r="AN545" s="14">
        <v>103</v>
      </c>
      <c r="AO545" s="14">
        <v>907</v>
      </c>
      <c r="AP545" s="14">
        <v>343</v>
      </c>
      <c r="AQ545" s="14">
        <v>292</v>
      </c>
      <c r="AS545" s="14">
        <v>624</v>
      </c>
    </row>
    <row r="546" spans="28:45" x14ac:dyDescent="0.25">
      <c r="AB546" s="14">
        <v>235</v>
      </c>
      <c r="AH546" s="14">
        <v>153</v>
      </c>
      <c r="AM546" s="14">
        <v>171</v>
      </c>
      <c r="AN546" s="14">
        <v>104</v>
      </c>
      <c r="AO546" s="14">
        <v>528</v>
      </c>
      <c r="AP546" s="14">
        <v>125</v>
      </c>
      <c r="AQ546" s="14">
        <v>90</v>
      </c>
      <c r="AS546" s="14">
        <v>90</v>
      </c>
    </row>
    <row r="547" spans="28:45" x14ac:dyDescent="0.25">
      <c r="AB547" s="14">
        <v>212</v>
      </c>
      <c r="AH547" s="14">
        <v>529</v>
      </c>
      <c r="AM547" s="14">
        <v>169</v>
      </c>
      <c r="AN547" s="14">
        <v>104</v>
      </c>
      <c r="AO547" s="14">
        <v>473</v>
      </c>
      <c r="AP547" s="14">
        <v>849</v>
      </c>
      <c r="AQ547" s="14">
        <v>617</v>
      </c>
      <c r="AS547" s="14">
        <v>83</v>
      </c>
    </row>
    <row r="548" spans="28:45" x14ac:dyDescent="0.25">
      <c r="AB548" s="14">
        <v>200</v>
      </c>
      <c r="AH548" s="14">
        <v>588</v>
      </c>
      <c r="AM548" s="14">
        <v>122</v>
      </c>
      <c r="AN548" s="14">
        <v>105</v>
      </c>
      <c r="AO548" s="14">
        <v>189</v>
      </c>
      <c r="AP548" s="14">
        <v>686</v>
      </c>
      <c r="AQ548" s="14">
        <v>346</v>
      </c>
      <c r="AS548" s="14">
        <v>80</v>
      </c>
    </row>
    <row r="549" spans="28:45" x14ac:dyDescent="0.25">
      <c r="AB549" s="14">
        <v>794</v>
      </c>
      <c r="AH549" s="14">
        <v>449</v>
      </c>
      <c r="AM549" s="14">
        <v>202</v>
      </c>
      <c r="AN549" s="14">
        <v>105</v>
      </c>
      <c r="AO549" s="14">
        <v>342</v>
      </c>
      <c r="AP549" s="14">
        <v>244</v>
      </c>
      <c r="AQ549" s="14">
        <v>352</v>
      </c>
      <c r="AS549" s="14">
        <v>76</v>
      </c>
    </row>
    <row r="550" spans="28:45" x14ac:dyDescent="0.25">
      <c r="AB550" s="14">
        <v>147</v>
      </c>
      <c r="AH550" s="14">
        <v>587</v>
      </c>
      <c r="AM550" s="14">
        <v>177</v>
      </c>
      <c r="AN550" s="14">
        <v>111</v>
      </c>
      <c r="AO550" s="14">
        <v>301</v>
      </c>
      <c r="AP550" s="14">
        <v>889</v>
      </c>
      <c r="AQ550" s="14">
        <v>560</v>
      </c>
      <c r="AS550" s="14">
        <v>89</v>
      </c>
    </row>
    <row r="551" spans="28:45" x14ac:dyDescent="0.25">
      <c r="AB551" s="14">
        <v>274</v>
      </c>
      <c r="AH551" s="14">
        <v>617</v>
      </c>
      <c r="AM551" s="14">
        <v>135</v>
      </c>
      <c r="AN551" s="14">
        <v>229</v>
      </c>
      <c r="AO551" s="14">
        <v>876</v>
      </c>
      <c r="AP551" s="14">
        <v>239</v>
      </c>
      <c r="AQ551" s="14">
        <v>456</v>
      </c>
      <c r="AS551" s="14">
        <v>78</v>
      </c>
    </row>
    <row r="552" spans="28:45" x14ac:dyDescent="0.25">
      <c r="AB552" s="14">
        <v>824</v>
      </c>
      <c r="AH552" s="14">
        <v>531</v>
      </c>
      <c r="AM552" s="14">
        <v>125</v>
      </c>
      <c r="AN552" s="14">
        <v>258</v>
      </c>
      <c r="AO552" s="14">
        <v>456</v>
      </c>
      <c r="AP552" s="14">
        <v>290</v>
      </c>
      <c r="AQ552" s="14">
        <v>99</v>
      </c>
      <c r="AS552" s="14">
        <v>1009</v>
      </c>
    </row>
    <row r="553" spans="28:45" x14ac:dyDescent="0.25">
      <c r="AB553" s="14">
        <v>215</v>
      </c>
      <c r="AH553" s="14">
        <v>502</v>
      </c>
      <c r="AM553" s="14">
        <v>136</v>
      </c>
      <c r="AN553" s="14">
        <v>240</v>
      </c>
      <c r="AO553" s="14">
        <v>711</v>
      </c>
      <c r="AP553" s="14">
        <v>43</v>
      </c>
      <c r="AQ553" s="14">
        <v>64</v>
      </c>
      <c r="AS553" s="14">
        <v>800</v>
      </c>
    </row>
    <row r="554" spans="28:45" x14ac:dyDescent="0.25">
      <c r="AB554" s="14">
        <v>187</v>
      </c>
      <c r="AH554" s="14">
        <v>583</v>
      </c>
      <c r="AM554" s="14">
        <v>117</v>
      </c>
      <c r="AN554" s="14">
        <v>295</v>
      </c>
      <c r="AO554" s="14">
        <v>362</v>
      </c>
      <c r="AP554" s="14">
        <v>397</v>
      </c>
      <c r="AQ554" s="14">
        <v>889</v>
      </c>
      <c r="AS554" s="14">
        <v>1141</v>
      </c>
    </row>
    <row r="555" spans="28:45" x14ac:dyDescent="0.25">
      <c r="AB555" s="14">
        <v>187</v>
      </c>
      <c r="AH555" s="14">
        <v>502</v>
      </c>
      <c r="AM555" s="14">
        <v>115</v>
      </c>
      <c r="AN555" s="14">
        <v>260</v>
      </c>
      <c r="AO555" s="14">
        <v>300</v>
      </c>
      <c r="AP555" s="14">
        <v>160</v>
      </c>
      <c r="AQ555" s="14">
        <v>461</v>
      </c>
      <c r="AS555" s="14">
        <v>1298</v>
      </c>
    </row>
    <row r="556" spans="28:45" x14ac:dyDescent="0.25">
      <c r="AB556" s="14">
        <v>311</v>
      </c>
      <c r="AH556" s="14">
        <v>645</v>
      </c>
      <c r="AM556" s="14">
        <v>132</v>
      </c>
      <c r="AN556" s="14">
        <v>317</v>
      </c>
      <c r="AO556" s="14">
        <v>589</v>
      </c>
      <c r="AP556" s="14">
        <v>105</v>
      </c>
      <c r="AQ556" s="14">
        <v>96</v>
      </c>
      <c r="AS556" s="14">
        <v>1007</v>
      </c>
    </row>
    <row r="557" spans="28:45" x14ac:dyDescent="0.25">
      <c r="AB557" s="14">
        <v>169</v>
      </c>
      <c r="AH557" s="14">
        <v>102</v>
      </c>
      <c r="AM557" s="14">
        <v>108</v>
      </c>
      <c r="AN557" s="14">
        <v>274</v>
      </c>
      <c r="AO557" s="14">
        <v>245</v>
      </c>
      <c r="AP557" s="14">
        <v>781</v>
      </c>
      <c r="AQ557" s="14">
        <v>122</v>
      </c>
      <c r="AS557" s="14">
        <v>865</v>
      </c>
    </row>
    <row r="558" spans="28:45" x14ac:dyDescent="0.25">
      <c r="AB558" s="14">
        <v>266</v>
      </c>
      <c r="AH558" s="14">
        <v>896</v>
      </c>
      <c r="AM558" s="14">
        <v>196</v>
      </c>
      <c r="AN558" s="14">
        <v>298</v>
      </c>
      <c r="AO558" s="14">
        <v>293</v>
      </c>
      <c r="AP558" s="14">
        <v>303</v>
      </c>
      <c r="AQ558" s="14">
        <v>202</v>
      </c>
      <c r="AS558" s="14">
        <v>15919</v>
      </c>
    </row>
    <row r="559" spans="28:45" x14ac:dyDescent="0.25">
      <c r="AB559" s="14">
        <v>683</v>
      </c>
      <c r="AH559" s="14">
        <v>479</v>
      </c>
      <c r="AM559" s="14">
        <v>1</v>
      </c>
      <c r="AN559" s="14">
        <v>168</v>
      </c>
      <c r="AO559" s="14">
        <v>428</v>
      </c>
      <c r="AP559" s="14">
        <v>958</v>
      </c>
      <c r="AQ559" s="14">
        <v>37</v>
      </c>
      <c r="AS559" s="14">
        <v>16609</v>
      </c>
    </row>
    <row r="560" spans="28:45" x14ac:dyDescent="0.25">
      <c r="AB560" s="14">
        <v>162</v>
      </c>
      <c r="AH560" s="14">
        <v>970</v>
      </c>
      <c r="AM560" s="14">
        <v>507</v>
      </c>
      <c r="AN560" s="14">
        <v>164</v>
      </c>
      <c r="AO560" s="14">
        <v>732</v>
      </c>
      <c r="AP560" s="14">
        <v>2</v>
      </c>
      <c r="AQ560" s="14">
        <v>519</v>
      </c>
      <c r="AS560" s="14">
        <v>21685</v>
      </c>
    </row>
    <row r="561" spans="28:45" x14ac:dyDescent="0.25">
      <c r="AB561" s="14">
        <v>287</v>
      </c>
      <c r="AH561" s="14">
        <v>137</v>
      </c>
      <c r="AM561" s="14">
        <v>182</v>
      </c>
      <c r="AN561" s="14">
        <v>162</v>
      </c>
      <c r="AO561" s="14">
        <v>126</v>
      </c>
      <c r="AP561" s="14">
        <v>9</v>
      </c>
      <c r="AQ561" s="14">
        <v>189</v>
      </c>
      <c r="AS561" s="14">
        <v>21231</v>
      </c>
    </row>
    <row r="562" spans="28:45" x14ac:dyDescent="0.25">
      <c r="AB562" s="14">
        <v>716</v>
      </c>
      <c r="AH562" s="14">
        <v>178</v>
      </c>
      <c r="AM562" s="14">
        <v>816</v>
      </c>
      <c r="AN562" s="14">
        <v>164</v>
      </c>
      <c r="AO562" s="14">
        <v>201</v>
      </c>
      <c r="AP562" s="14">
        <v>20</v>
      </c>
      <c r="AQ562" s="14">
        <v>148</v>
      </c>
      <c r="AS562" s="14">
        <v>15201</v>
      </c>
    </row>
    <row r="563" spans="28:45" x14ac:dyDescent="0.25">
      <c r="AB563" s="14">
        <v>253</v>
      </c>
      <c r="AH563" s="14">
        <v>408</v>
      </c>
      <c r="AM563" s="14">
        <v>295</v>
      </c>
      <c r="AN563" s="14">
        <v>165</v>
      </c>
      <c r="AO563" s="14">
        <v>206</v>
      </c>
      <c r="AP563" s="14">
        <v>27</v>
      </c>
      <c r="AQ563" s="14">
        <v>136</v>
      </c>
      <c r="AS563" s="14">
        <v>16109</v>
      </c>
    </row>
    <row r="564" spans="28:45" x14ac:dyDescent="0.25">
      <c r="AB564" s="14">
        <v>488</v>
      </c>
      <c r="AH564" s="14">
        <v>402</v>
      </c>
      <c r="AM564" s="14">
        <v>655</v>
      </c>
      <c r="AN564" s="14">
        <v>164</v>
      </c>
      <c r="AO564" s="14">
        <v>183</v>
      </c>
      <c r="AP564" s="14">
        <v>17</v>
      </c>
      <c r="AQ564" s="14">
        <v>137</v>
      </c>
      <c r="AS564" s="14">
        <v>11202</v>
      </c>
    </row>
    <row r="565" spans="28:45" x14ac:dyDescent="0.25">
      <c r="AB565" s="14">
        <v>675</v>
      </c>
      <c r="AH565" s="14">
        <v>148</v>
      </c>
      <c r="AM565" s="14">
        <v>147</v>
      </c>
      <c r="AN565" s="14">
        <v>165</v>
      </c>
      <c r="AO565" s="14">
        <v>509</v>
      </c>
      <c r="AP565" s="14">
        <v>44</v>
      </c>
      <c r="AQ565" s="14">
        <v>285</v>
      </c>
      <c r="AS565" s="14">
        <v>8024</v>
      </c>
    </row>
    <row r="566" spans="28:45" x14ac:dyDescent="0.25">
      <c r="AB566" s="14">
        <v>412</v>
      </c>
      <c r="AH566" s="14">
        <v>215</v>
      </c>
      <c r="AM566" s="14">
        <v>144</v>
      </c>
      <c r="AN566" s="14">
        <v>174</v>
      </c>
      <c r="AO566" s="14">
        <v>354</v>
      </c>
      <c r="AP566" s="14">
        <v>98</v>
      </c>
      <c r="AQ566" s="14">
        <v>151</v>
      </c>
      <c r="AS566" s="14">
        <v>11897</v>
      </c>
    </row>
    <row r="567" spans="28:45" x14ac:dyDescent="0.25">
      <c r="AB567" s="14">
        <v>476</v>
      </c>
      <c r="AH567" s="14">
        <v>212</v>
      </c>
      <c r="AM567" s="14">
        <v>134</v>
      </c>
      <c r="AN567" s="14">
        <v>371</v>
      </c>
      <c r="AO567" s="14">
        <v>229</v>
      </c>
      <c r="AP567" s="14">
        <v>1</v>
      </c>
      <c r="AQ567" s="14">
        <v>312</v>
      </c>
      <c r="AS567" s="14">
        <v>13975</v>
      </c>
    </row>
    <row r="568" spans="28:45" x14ac:dyDescent="0.25">
      <c r="AB568" s="14">
        <v>615</v>
      </c>
      <c r="AH568" s="14">
        <v>937</v>
      </c>
      <c r="AM568" s="14">
        <v>149</v>
      </c>
      <c r="AN568" s="14">
        <v>501</v>
      </c>
      <c r="AO568" s="14">
        <v>214</v>
      </c>
      <c r="AP568" s="14">
        <v>122</v>
      </c>
      <c r="AQ568" s="14">
        <v>357</v>
      </c>
      <c r="AS568" s="14">
        <v>11464</v>
      </c>
    </row>
    <row r="569" spans="28:45" x14ac:dyDescent="0.25">
      <c r="AB569" s="14">
        <v>300</v>
      </c>
      <c r="AH569" s="14">
        <v>839</v>
      </c>
      <c r="AM569" s="14">
        <v>132</v>
      </c>
      <c r="AN569" s="14">
        <v>535</v>
      </c>
      <c r="AO569" s="14">
        <v>341</v>
      </c>
      <c r="AP569" s="14">
        <v>269</v>
      </c>
      <c r="AQ569" s="14">
        <v>254</v>
      </c>
      <c r="AS569" s="14">
        <v>8905</v>
      </c>
    </row>
    <row r="570" spans="28:45" x14ac:dyDescent="0.25">
      <c r="AB570" s="14">
        <v>702</v>
      </c>
      <c r="AH570" s="14">
        <v>850</v>
      </c>
      <c r="AM570" s="14">
        <v>483</v>
      </c>
      <c r="AN570" s="14">
        <v>519</v>
      </c>
      <c r="AO570" s="14">
        <v>179</v>
      </c>
      <c r="AP570" s="14">
        <v>22</v>
      </c>
      <c r="AQ570" s="14">
        <v>524</v>
      </c>
    </row>
    <row r="571" spans="28:45" x14ac:dyDescent="0.25">
      <c r="AB571" s="14">
        <v>108</v>
      </c>
      <c r="AH571" s="14">
        <v>119</v>
      </c>
      <c r="AM571" s="14">
        <v>131</v>
      </c>
      <c r="AN571" s="14">
        <v>605</v>
      </c>
      <c r="AO571" s="14">
        <v>416</v>
      </c>
      <c r="AP571" s="14">
        <v>132</v>
      </c>
      <c r="AQ571" s="14">
        <v>650</v>
      </c>
    </row>
    <row r="572" spans="28:45" x14ac:dyDescent="0.25">
      <c r="AB572" s="14">
        <v>154</v>
      </c>
      <c r="AH572" s="14">
        <v>164</v>
      </c>
      <c r="AM572" s="14">
        <v>180</v>
      </c>
      <c r="AN572" s="14">
        <v>561</v>
      </c>
      <c r="AO572" s="14">
        <v>444</v>
      </c>
      <c r="AP572" s="14">
        <v>2</v>
      </c>
      <c r="AQ572" s="14">
        <v>479</v>
      </c>
    </row>
    <row r="573" spans="28:45" x14ac:dyDescent="0.25">
      <c r="AB573" s="14">
        <v>584</v>
      </c>
      <c r="AH573" s="14">
        <v>269</v>
      </c>
      <c r="AM573" s="14">
        <v>193</v>
      </c>
      <c r="AN573" s="14">
        <v>693</v>
      </c>
      <c r="AO573" s="14">
        <v>364</v>
      </c>
      <c r="AP573" s="14">
        <v>391</v>
      </c>
      <c r="AQ573" s="14">
        <v>636</v>
      </c>
    </row>
    <row r="574" spans="28:45" x14ac:dyDescent="0.25">
      <c r="AB574" s="14">
        <v>435</v>
      </c>
      <c r="AH574" s="14">
        <v>453</v>
      </c>
      <c r="AM574" s="14">
        <v>133</v>
      </c>
      <c r="AN574" s="14">
        <v>614</v>
      </c>
      <c r="AO574" s="14">
        <v>175</v>
      </c>
      <c r="AP574" s="14">
        <v>10</v>
      </c>
      <c r="AQ574" s="14">
        <v>178</v>
      </c>
    </row>
    <row r="575" spans="28:45" x14ac:dyDescent="0.25">
      <c r="AB575" s="14">
        <v>828</v>
      </c>
      <c r="AH575" s="14">
        <v>157</v>
      </c>
      <c r="AM575" s="14">
        <v>167</v>
      </c>
      <c r="AN575" s="14">
        <v>703</v>
      </c>
      <c r="AO575" s="14">
        <v>560</v>
      </c>
      <c r="AP575" s="14">
        <v>191</v>
      </c>
      <c r="AQ575" s="14">
        <v>127</v>
      </c>
    </row>
    <row r="576" spans="28:45" x14ac:dyDescent="0.25">
      <c r="AB576" s="14">
        <v>230</v>
      </c>
      <c r="AH576" s="14">
        <v>137</v>
      </c>
      <c r="AM576" s="14">
        <v>979</v>
      </c>
      <c r="AN576" s="14">
        <v>287</v>
      </c>
      <c r="AO576" s="14">
        <v>343</v>
      </c>
      <c r="AP576" s="14">
        <v>4</v>
      </c>
      <c r="AQ576" s="14">
        <v>580</v>
      </c>
    </row>
    <row r="577" spans="28:43" x14ac:dyDescent="0.25">
      <c r="AB577" s="14">
        <v>474</v>
      </c>
      <c r="AH577" s="14">
        <v>148</v>
      </c>
      <c r="AM577" s="14">
        <v>327</v>
      </c>
      <c r="AN577" s="14">
        <v>287</v>
      </c>
      <c r="AO577" s="14">
        <v>982</v>
      </c>
      <c r="AP577" s="14">
        <v>648</v>
      </c>
      <c r="AQ577" s="14">
        <v>283</v>
      </c>
    </row>
    <row r="578" spans="28:43" x14ac:dyDescent="0.25">
      <c r="AB578" s="14">
        <v>313</v>
      </c>
      <c r="AH578" s="14">
        <v>278</v>
      </c>
      <c r="AM578" s="14">
        <v>290</v>
      </c>
      <c r="AN578" s="14">
        <v>287</v>
      </c>
      <c r="AO578" s="14">
        <v>308</v>
      </c>
      <c r="AP578" s="14">
        <v>18</v>
      </c>
      <c r="AQ578" s="14">
        <v>590</v>
      </c>
    </row>
    <row r="579" spans="28:43" x14ac:dyDescent="0.25">
      <c r="AB579" s="14">
        <v>187</v>
      </c>
      <c r="AH579" s="14">
        <v>735</v>
      </c>
      <c r="AM579" s="14">
        <v>756</v>
      </c>
      <c r="AN579" s="14">
        <v>292</v>
      </c>
      <c r="AO579" s="14">
        <v>508</v>
      </c>
      <c r="AP579" s="14">
        <v>178</v>
      </c>
      <c r="AQ579" s="14">
        <v>65</v>
      </c>
    </row>
    <row r="580" spans="28:43" x14ac:dyDescent="0.25">
      <c r="AB580" s="14">
        <v>234</v>
      </c>
      <c r="AH580" s="14">
        <v>943</v>
      </c>
      <c r="AM580" s="14">
        <v>112</v>
      </c>
      <c r="AN580" s="14">
        <v>295</v>
      </c>
      <c r="AO580" s="14">
        <v>438</v>
      </c>
      <c r="AP580" s="14">
        <v>23</v>
      </c>
      <c r="AQ580" s="14">
        <v>139</v>
      </c>
    </row>
    <row r="581" spans="28:43" x14ac:dyDescent="0.25">
      <c r="AB581" s="14">
        <v>353</v>
      </c>
      <c r="AH581" s="14">
        <v>803</v>
      </c>
      <c r="AM581" s="14">
        <v>112</v>
      </c>
      <c r="AN581" s="14">
        <v>297</v>
      </c>
      <c r="AO581" s="14">
        <v>195</v>
      </c>
      <c r="AP581" s="14">
        <v>119</v>
      </c>
      <c r="AQ581" s="14">
        <v>64</v>
      </c>
    </row>
    <row r="582" spans="28:43" x14ac:dyDescent="0.25">
      <c r="AB582" s="14">
        <v>590</v>
      </c>
      <c r="AH582" s="14">
        <v>566</v>
      </c>
      <c r="AM582" s="14">
        <v>753</v>
      </c>
      <c r="AN582" s="14">
        <v>300</v>
      </c>
      <c r="AO582" s="14">
        <v>279</v>
      </c>
      <c r="AP582" s="14">
        <v>31</v>
      </c>
      <c r="AQ582" s="14">
        <v>11</v>
      </c>
    </row>
    <row r="583" spans="28:43" x14ac:dyDescent="0.25">
      <c r="AB583" s="14">
        <v>495</v>
      </c>
      <c r="AH583" s="14">
        <v>445</v>
      </c>
      <c r="AM583" s="14">
        <v>695</v>
      </c>
      <c r="AN583" s="14">
        <v>871</v>
      </c>
      <c r="AO583" s="14">
        <v>594</v>
      </c>
      <c r="AP583" s="14">
        <v>145</v>
      </c>
      <c r="AQ583" s="14">
        <v>31</v>
      </c>
    </row>
    <row r="584" spans="28:43" x14ac:dyDescent="0.25">
      <c r="AB584" s="14">
        <v>192</v>
      </c>
      <c r="AH584" s="14">
        <v>453</v>
      </c>
      <c r="AM584" s="14">
        <v>957</v>
      </c>
      <c r="AN584" s="14">
        <v>130</v>
      </c>
      <c r="AO584" s="14">
        <v>140</v>
      </c>
      <c r="AP584" s="14">
        <v>15</v>
      </c>
      <c r="AQ584" s="14">
        <v>623</v>
      </c>
    </row>
    <row r="585" spans="28:43" x14ac:dyDescent="0.25">
      <c r="AB585" s="14">
        <v>117</v>
      </c>
      <c r="AH585" s="14">
        <v>297</v>
      </c>
      <c r="AM585" s="14">
        <v>682</v>
      </c>
      <c r="AN585" s="14">
        <v>200</v>
      </c>
      <c r="AO585" s="14">
        <v>359</v>
      </c>
      <c r="AP585" s="14">
        <v>719</v>
      </c>
      <c r="AQ585" s="14">
        <v>656</v>
      </c>
    </row>
    <row r="586" spans="28:43" x14ac:dyDescent="0.25">
      <c r="AB586" s="14">
        <v>171</v>
      </c>
      <c r="AH586" s="14">
        <v>647</v>
      </c>
      <c r="AM586" s="14">
        <v>348</v>
      </c>
      <c r="AN586" s="14">
        <v>227</v>
      </c>
      <c r="AO586" s="14">
        <v>176</v>
      </c>
      <c r="AP586" s="14">
        <v>149</v>
      </c>
      <c r="AQ586" s="14">
        <v>45</v>
      </c>
    </row>
    <row r="587" spans="28:43" x14ac:dyDescent="0.25">
      <c r="AB587" s="14">
        <v>239</v>
      </c>
      <c r="AH587" s="14">
        <v>115</v>
      </c>
      <c r="AM587" s="14">
        <v>779</v>
      </c>
      <c r="AN587" s="14">
        <v>211</v>
      </c>
      <c r="AO587" s="14">
        <v>158</v>
      </c>
      <c r="AP587" s="14">
        <v>19</v>
      </c>
      <c r="AQ587" s="14">
        <v>81</v>
      </c>
    </row>
    <row r="588" spans="28:43" x14ac:dyDescent="0.25">
      <c r="AB588" s="14">
        <v>189</v>
      </c>
      <c r="AH588" s="14">
        <v>231</v>
      </c>
      <c r="AM588" s="14">
        <v>850</v>
      </c>
      <c r="AN588" s="14">
        <v>259</v>
      </c>
      <c r="AO588" s="14">
        <v>337</v>
      </c>
      <c r="AP588" s="14">
        <v>172</v>
      </c>
      <c r="AQ588" s="14">
        <v>70</v>
      </c>
    </row>
    <row r="589" spans="28:43" x14ac:dyDescent="0.25">
      <c r="AB589" s="14">
        <v>57</v>
      </c>
      <c r="AH589" s="14">
        <v>600</v>
      </c>
      <c r="AM589" s="14">
        <v>714</v>
      </c>
      <c r="AN589" s="14">
        <v>228</v>
      </c>
      <c r="AO589" s="14">
        <v>367</v>
      </c>
      <c r="AP589" s="14">
        <v>41</v>
      </c>
      <c r="AQ589" s="14">
        <v>45</v>
      </c>
    </row>
    <row r="590" spans="28:43" x14ac:dyDescent="0.25">
      <c r="AB590" s="14">
        <v>13</v>
      </c>
      <c r="AH590" s="14">
        <v>441</v>
      </c>
      <c r="AM590" s="14">
        <v>346</v>
      </c>
      <c r="AN590" s="14">
        <v>270</v>
      </c>
      <c r="AO590" s="14">
        <v>334</v>
      </c>
      <c r="AP590" s="14">
        <v>63</v>
      </c>
      <c r="AQ590" s="14">
        <v>147</v>
      </c>
    </row>
    <row r="591" spans="28:43" x14ac:dyDescent="0.25">
      <c r="AB591" s="14">
        <v>341</v>
      </c>
      <c r="AH591" s="14">
        <v>607</v>
      </c>
      <c r="AM591" s="14">
        <v>453</v>
      </c>
      <c r="AN591" s="14">
        <v>225</v>
      </c>
      <c r="AO591" s="14">
        <v>538</v>
      </c>
      <c r="AP591" s="14">
        <v>692</v>
      </c>
      <c r="AQ591" s="14">
        <v>131</v>
      </c>
    </row>
    <row r="592" spans="28:43" x14ac:dyDescent="0.25">
      <c r="AB592" s="14">
        <v>266</v>
      </c>
      <c r="AH592" s="14">
        <v>143</v>
      </c>
      <c r="AM592" s="14">
        <v>339</v>
      </c>
      <c r="AN592" s="14">
        <v>275</v>
      </c>
      <c r="AO592" s="14">
        <v>424</v>
      </c>
      <c r="AP592" s="14">
        <v>8</v>
      </c>
      <c r="AQ592" s="14">
        <v>423</v>
      </c>
    </row>
    <row r="593" spans="28:43" x14ac:dyDescent="0.25">
      <c r="AB593" s="14">
        <v>493</v>
      </c>
      <c r="AH593" s="14">
        <v>652</v>
      </c>
      <c r="AM593" s="14">
        <v>14</v>
      </c>
      <c r="AN593" s="14">
        <v>468</v>
      </c>
      <c r="AO593" s="14">
        <v>335</v>
      </c>
      <c r="AP593" s="14">
        <v>445</v>
      </c>
      <c r="AQ593" s="14">
        <v>776</v>
      </c>
    </row>
    <row r="594" spans="28:43" x14ac:dyDescent="0.25">
      <c r="AB594" s="14">
        <v>121</v>
      </c>
      <c r="AH594" s="14">
        <v>788</v>
      </c>
      <c r="AM594" s="14">
        <v>2</v>
      </c>
      <c r="AN594" s="14">
        <v>460</v>
      </c>
      <c r="AO594" s="14">
        <v>360</v>
      </c>
      <c r="AP594" s="14">
        <v>806</v>
      </c>
      <c r="AQ594" s="14">
        <v>88</v>
      </c>
    </row>
    <row r="595" spans="28:43" x14ac:dyDescent="0.25">
      <c r="AB595" s="14">
        <v>256</v>
      </c>
      <c r="AH595" s="14">
        <v>930</v>
      </c>
      <c r="AM595" s="14">
        <v>471</v>
      </c>
      <c r="AN595" s="14">
        <v>459</v>
      </c>
      <c r="AO595" s="14">
        <v>278</v>
      </c>
      <c r="AP595" s="14">
        <v>160</v>
      </c>
      <c r="AQ595" s="14">
        <v>185</v>
      </c>
    </row>
    <row r="596" spans="28:43" x14ac:dyDescent="0.25">
      <c r="AB596" s="14">
        <v>173</v>
      </c>
      <c r="AH596" s="14">
        <v>427</v>
      </c>
      <c r="AM596" s="14">
        <v>461</v>
      </c>
      <c r="AN596" s="14">
        <v>462</v>
      </c>
      <c r="AO596" s="14">
        <v>244</v>
      </c>
      <c r="AP596" s="14">
        <v>897</v>
      </c>
      <c r="AQ596" s="14">
        <v>129</v>
      </c>
    </row>
    <row r="597" spans="28:43" x14ac:dyDescent="0.25">
      <c r="AB597" s="14">
        <v>937</v>
      </c>
      <c r="AH597" s="14">
        <v>343</v>
      </c>
      <c r="AM597" s="14">
        <v>125</v>
      </c>
      <c r="AN597" s="14">
        <v>463</v>
      </c>
      <c r="AO597" s="14">
        <v>405</v>
      </c>
      <c r="AP597" s="14">
        <v>560</v>
      </c>
      <c r="AQ597" s="14">
        <v>12</v>
      </c>
    </row>
    <row r="598" spans="28:43" x14ac:dyDescent="0.25">
      <c r="AB598" s="14">
        <v>984</v>
      </c>
      <c r="AH598" s="14">
        <v>354</v>
      </c>
      <c r="AM598" s="14">
        <v>136</v>
      </c>
      <c r="AN598" s="14">
        <v>465</v>
      </c>
      <c r="AO598" s="14">
        <v>351</v>
      </c>
      <c r="AP598" s="14">
        <v>329</v>
      </c>
      <c r="AQ598" s="14">
        <v>36</v>
      </c>
    </row>
    <row r="599" spans="28:43" x14ac:dyDescent="0.25">
      <c r="AB599" s="14">
        <v>234</v>
      </c>
      <c r="AH599" s="14">
        <v>383</v>
      </c>
      <c r="AM599" s="14">
        <v>123</v>
      </c>
      <c r="AN599" s="14">
        <v>468</v>
      </c>
      <c r="AO599" s="14">
        <v>399</v>
      </c>
      <c r="AP599" s="14">
        <v>616</v>
      </c>
      <c r="AQ599" s="14">
        <v>109</v>
      </c>
    </row>
    <row r="600" spans="28:43" x14ac:dyDescent="0.25">
      <c r="AB600" s="14">
        <v>338</v>
      </c>
      <c r="AH600" s="14">
        <v>544</v>
      </c>
      <c r="AM600" s="14">
        <v>119</v>
      </c>
      <c r="AN600" s="14">
        <v>384</v>
      </c>
      <c r="AO600" s="14">
        <v>286</v>
      </c>
      <c r="AP600" s="14">
        <v>243</v>
      </c>
      <c r="AQ600" s="14">
        <v>109</v>
      </c>
    </row>
    <row r="601" spans="28:43" x14ac:dyDescent="0.25">
      <c r="AB601" s="14">
        <v>241</v>
      </c>
      <c r="AH601" s="14">
        <v>107</v>
      </c>
      <c r="AM601" s="14">
        <v>124</v>
      </c>
      <c r="AN601" s="14">
        <v>179</v>
      </c>
      <c r="AO601" s="14">
        <v>578</v>
      </c>
      <c r="AP601" s="14">
        <v>502</v>
      </c>
      <c r="AQ601" s="14">
        <v>72</v>
      </c>
    </row>
    <row r="602" spans="28:43" x14ac:dyDescent="0.25">
      <c r="AB602" s="14">
        <v>967</v>
      </c>
      <c r="AH602" s="14">
        <v>189</v>
      </c>
      <c r="AM602" s="14">
        <v>117</v>
      </c>
      <c r="AN602" s="14">
        <v>122</v>
      </c>
      <c r="AO602" s="14">
        <v>460</v>
      </c>
      <c r="AP602" s="14">
        <v>556</v>
      </c>
      <c r="AQ602" s="14">
        <v>57</v>
      </c>
    </row>
    <row r="603" spans="28:43" x14ac:dyDescent="0.25">
      <c r="AB603" s="14">
        <v>548</v>
      </c>
      <c r="AH603" s="14">
        <v>673</v>
      </c>
      <c r="AM603" s="14">
        <v>1</v>
      </c>
      <c r="AN603" s="14">
        <v>133</v>
      </c>
      <c r="AO603" s="14">
        <v>112</v>
      </c>
      <c r="AP603" s="14">
        <v>993</v>
      </c>
      <c r="AQ603" s="14">
        <v>121</v>
      </c>
    </row>
    <row r="604" spans="28:43" x14ac:dyDescent="0.25">
      <c r="AB604" s="14">
        <v>107</v>
      </c>
      <c r="AH604" s="14">
        <v>373</v>
      </c>
      <c r="AM604" s="14">
        <v>201</v>
      </c>
      <c r="AN604" s="14">
        <v>126</v>
      </c>
      <c r="AO604" s="14">
        <v>318</v>
      </c>
      <c r="AP604" s="14">
        <v>655</v>
      </c>
      <c r="AQ604" s="14">
        <v>36</v>
      </c>
    </row>
    <row r="605" spans="28:43" x14ac:dyDescent="0.25">
      <c r="AB605" s="14">
        <v>141</v>
      </c>
      <c r="AH605" s="14">
        <v>714</v>
      </c>
      <c r="AM605" s="14">
        <v>199</v>
      </c>
      <c r="AN605" s="14">
        <v>140</v>
      </c>
      <c r="AO605" s="14">
        <v>552</v>
      </c>
      <c r="AP605" s="14">
        <v>693</v>
      </c>
      <c r="AQ605" s="14">
        <v>271</v>
      </c>
    </row>
    <row r="606" spans="28:43" x14ac:dyDescent="0.25">
      <c r="AB606" s="14">
        <v>13</v>
      </c>
      <c r="AH606" s="14">
        <v>149</v>
      </c>
      <c r="AM606" s="14">
        <v>187</v>
      </c>
      <c r="AN606" s="14">
        <v>134</v>
      </c>
      <c r="AO606" s="14">
        <v>561</v>
      </c>
      <c r="AP606" s="14">
        <v>549</v>
      </c>
      <c r="AQ606" s="14">
        <v>160</v>
      </c>
    </row>
    <row r="607" spans="28:43" x14ac:dyDescent="0.25">
      <c r="AB607" s="14">
        <v>104</v>
      </c>
      <c r="AH607" s="14">
        <v>814</v>
      </c>
      <c r="AM607" s="14">
        <v>187</v>
      </c>
      <c r="AN607" s="14">
        <v>146</v>
      </c>
      <c r="AO607" s="14">
        <v>284</v>
      </c>
      <c r="AP607" s="14">
        <v>488</v>
      </c>
      <c r="AQ607" s="14">
        <v>633</v>
      </c>
    </row>
    <row r="608" spans="28:43" x14ac:dyDescent="0.25">
      <c r="AB608" s="14">
        <v>35</v>
      </c>
      <c r="AH608" s="14">
        <v>3</v>
      </c>
      <c r="AM608" s="14">
        <v>132</v>
      </c>
      <c r="AN608" s="14">
        <v>141</v>
      </c>
      <c r="AO608" s="14">
        <v>428</v>
      </c>
      <c r="AP608" s="14">
        <v>887</v>
      </c>
      <c r="AQ608" s="14">
        <v>164</v>
      </c>
    </row>
    <row r="609" spans="28:43" x14ac:dyDescent="0.25">
      <c r="AB609" s="14">
        <v>7</v>
      </c>
      <c r="AH609" s="14">
        <v>681</v>
      </c>
      <c r="AM609" s="14">
        <v>208</v>
      </c>
      <c r="AN609" s="14">
        <v>157</v>
      </c>
      <c r="AO609" s="14">
        <v>621</v>
      </c>
      <c r="AP609" s="14">
        <v>546</v>
      </c>
      <c r="AQ609" s="14">
        <v>176</v>
      </c>
    </row>
    <row r="610" spans="28:43" x14ac:dyDescent="0.25">
      <c r="AB610" s="14">
        <v>134</v>
      </c>
      <c r="AH610" s="14">
        <v>10</v>
      </c>
      <c r="AM610" s="14">
        <v>194</v>
      </c>
      <c r="AN610" s="14">
        <v>270</v>
      </c>
      <c r="AO610" s="14">
        <v>210</v>
      </c>
      <c r="AP610" s="14">
        <v>191</v>
      </c>
      <c r="AQ610" s="14">
        <v>343</v>
      </c>
    </row>
    <row r="611" spans="28:43" x14ac:dyDescent="0.25">
      <c r="AB611" s="14">
        <v>103</v>
      </c>
      <c r="AH611" s="14">
        <v>678</v>
      </c>
      <c r="AM611" s="14">
        <v>145</v>
      </c>
      <c r="AN611" s="14">
        <v>258</v>
      </c>
      <c r="AO611" s="14">
        <v>409</v>
      </c>
      <c r="AP611" s="14">
        <v>424</v>
      </c>
      <c r="AQ611" s="14">
        <v>324</v>
      </c>
    </row>
    <row r="612" spans="28:43" x14ac:dyDescent="0.25">
      <c r="AB612" s="14">
        <v>190</v>
      </c>
      <c r="AH612" s="14">
        <v>191</v>
      </c>
      <c r="AM612" s="14">
        <v>136</v>
      </c>
      <c r="AN612" s="14">
        <v>255</v>
      </c>
      <c r="AO612" s="14">
        <v>151</v>
      </c>
      <c r="AP612" s="14">
        <v>5</v>
      </c>
      <c r="AQ612" s="14">
        <v>26</v>
      </c>
    </row>
    <row r="613" spans="28:43" x14ac:dyDescent="0.25">
      <c r="AB613" s="14">
        <v>425</v>
      </c>
      <c r="AH613" s="14">
        <v>27</v>
      </c>
      <c r="AM613" s="14">
        <v>146</v>
      </c>
      <c r="AN613" s="14">
        <v>250</v>
      </c>
      <c r="AO613" s="14">
        <v>155</v>
      </c>
      <c r="AP613" s="14">
        <v>300</v>
      </c>
      <c r="AQ613" s="14">
        <v>72</v>
      </c>
    </row>
    <row r="614" spans="28:43" x14ac:dyDescent="0.25">
      <c r="AB614" s="14">
        <v>897</v>
      </c>
      <c r="AH614" s="14">
        <v>530</v>
      </c>
      <c r="AM614" s="14">
        <v>127</v>
      </c>
      <c r="AN614" s="14">
        <v>253</v>
      </c>
      <c r="AO614" s="14">
        <v>171</v>
      </c>
      <c r="AP614" s="14">
        <v>520</v>
      </c>
      <c r="AQ614" s="14">
        <v>143</v>
      </c>
    </row>
    <row r="615" spans="28:43" x14ac:dyDescent="0.25">
      <c r="AB615" s="14">
        <v>606</v>
      </c>
      <c r="AH615" s="14">
        <v>666</v>
      </c>
      <c r="AM615" s="14">
        <v>124</v>
      </c>
      <c r="AN615" s="14">
        <v>242</v>
      </c>
      <c r="AO615" s="14">
        <v>160</v>
      </c>
      <c r="AP615" s="14">
        <v>139</v>
      </c>
      <c r="AQ615" s="14">
        <v>118</v>
      </c>
    </row>
    <row r="616" spans="28:43" x14ac:dyDescent="0.25">
      <c r="AB616" s="14">
        <v>314</v>
      </c>
      <c r="AH616" s="14">
        <v>287</v>
      </c>
      <c r="AM616" s="14">
        <v>144</v>
      </c>
      <c r="AN616" s="14">
        <v>242</v>
      </c>
      <c r="AO616" s="14">
        <v>152</v>
      </c>
      <c r="AP616" s="14">
        <v>944</v>
      </c>
      <c r="AQ616" s="14">
        <v>184</v>
      </c>
    </row>
    <row r="617" spans="28:43" x14ac:dyDescent="0.25">
      <c r="AB617" s="14">
        <v>329</v>
      </c>
      <c r="AH617" s="14">
        <v>10</v>
      </c>
      <c r="AM617" s="14">
        <v>117</v>
      </c>
      <c r="AN617" s="14">
        <v>815</v>
      </c>
      <c r="AO617" s="14">
        <v>153</v>
      </c>
      <c r="AP617" s="14">
        <v>405</v>
      </c>
      <c r="AQ617" s="14">
        <v>162</v>
      </c>
    </row>
    <row r="618" spans="28:43" x14ac:dyDescent="0.25">
      <c r="AB618" s="14">
        <v>694</v>
      </c>
      <c r="AH618" s="14">
        <v>596</v>
      </c>
      <c r="AM618" s="14">
        <v>210</v>
      </c>
      <c r="AN618" s="14">
        <v>846</v>
      </c>
      <c r="AO618" s="14">
        <v>132</v>
      </c>
      <c r="AP618" s="14">
        <v>223</v>
      </c>
      <c r="AQ618" s="14">
        <v>260</v>
      </c>
    </row>
    <row r="619" spans="28:43" x14ac:dyDescent="0.25">
      <c r="AB619" s="14">
        <v>119</v>
      </c>
      <c r="AH619" s="14">
        <v>3</v>
      </c>
      <c r="AM619" s="14">
        <v>1</v>
      </c>
      <c r="AN619" s="14">
        <v>844</v>
      </c>
      <c r="AO619" s="14">
        <v>307</v>
      </c>
      <c r="AP619" s="14">
        <v>593</v>
      </c>
      <c r="AQ619" s="14">
        <v>76</v>
      </c>
    </row>
    <row r="620" spans="28:43" x14ac:dyDescent="0.25">
      <c r="AB620" s="14">
        <v>733</v>
      </c>
      <c r="AH620" s="14">
        <v>641</v>
      </c>
      <c r="AM620" s="14">
        <v>519</v>
      </c>
      <c r="AN620" s="14">
        <v>842</v>
      </c>
      <c r="AO620" s="14">
        <v>305</v>
      </c>
      <c r="AP620" s="14">
        <v>157</v>
      </c>
      <c r="AQ620" s="14">
        <v>675</v>
      </c>
    </row>
    <row r="621" spans="28:43" x14ac:dyDescent="0.25">
      <c r="AB621" s="14">
        <v>349</v>
      </c>
      <c r="AH621" s="14">
        <v>6</v>
      </c>
      <c r="AM621" s="14">
        <v>186</v>
      </c>
      <c r="AN621" s="14">
        <v>849</v>
      </c>
      <c r="AO621" s="14">
        <v>248</v>
      </c>
      <c r="AP621" s="14">
        <v>320</v>
      </c>
      <c r="AQ621" s="14">
        <v>376</v>
      </c>
    </row>
    <row r="622" spans="28:43" x14ac:dyDescent="0.25">
      <c r="AB622" s="14">
        <v>175</v>
      </c>
      <c r="AH622" s="14">
        <v>770</v>
      </c>
      <c r="AM622" s="14">
        <v>797</v>
      </c>
      <c r="AN622" s="14">
        <v>645</v>
      </c>
      <c r="AO622" s="14">
        <v>323</v>
      </c>
      <c r="AP622" s="14">
        <v>337</v>
      </c>
      <c r="AQ622" s="14">
        <v>120</v>
      </c>
    </row>
    <row r="623" spans="28:43" x14ac:dyDescent="0.25">
      <c r="AB623" s="14">
        <v>406</v>
      </c>
      <c r="AH623" s="14">
        <v>161</v>
      </c>
      <c r="AM623" s="14">
        <v>302</v>
      </c>
      <c r="AN623" s="14">
        <v>547</v>
      </c>
      <c r="AO623" s="14">
        <v>336</v>
      </c>
      <c r="AP623" s="14">
        <v>532</v>
      </c>
      <c r="AQ623" s="14">
        <v>346</v>
      </c>
    </row>
    <row r="624" spans="28:43" x14ac:dyDescent="0.25">
      <c r="AB624" s="14">
        <v>440</v>
      </c>
      <c r="AH624" s="14">
        <v>21</v>
      </c>
      <c r="AM624" s="14">
        <v>671</v>
      </c>
      <c r="AN624" s="14">
        <v>333</v>
      </c>
      <c r="AO624" s="14">
        <v>227</v>
      </c>
      <c r="AP624" s="14">
        <v>418</v>
      </c>
      <c r="AQ624" s="14">
        <v>367</v>
      </c>
    </row>
    <row r="625" spans="28:43" x14ac:dyDescent="0.25">
      <c r="AB625" s="14">
        <v>33</v>
      </c>
      <c r="AH625" s="14">
        <v>435</v>
      </c>
      <c r="AM625" s="14">
        <v>150</v>
      </c>
      <c r="AN625" s="14">
        <v>249</v>
      </c>
      <c r="AO625" s="14">
        <v>251</v>
      </c>
      <c r="AP625" s="14">
        <v>719</v>
      </c>
      <c r="AQ625" s="14">
        <v>108</v>
      </c>
    </row>
    <row r="626" spans="28:43" x14ac:dyDescent="0.25">
      <c r="AB626" s="14">
        <v>359</v>
      </c>
      <c r="AH626" s="14">
        <v>801</v>
      </c>
      <c r="AM626" s="14">
        <v>147</v>
      </c>
      <c r="AN626" s="14">
        <v>377</v>
      </c>
      <c r="AO626" s="14">
        <v>270</v>
      </c>
      <c r="AP626" s="14">
        <v>332</v>
      </c>
      <c r="AQ626" s="14">
        <v>849</v>
      </c>
    </row>
    <row r="627" spans="28:43" x14ac:dyDescent="0.25">
      <c r="AB627" s="14">
        <v>111</v>
      </c>
      <c r="AH627" s="14">
        <v>246</v>
      </c>
      <c r="AM627" s="14">
        <v>137</v>
      </c>
      <c r="AN627" s="14">
        <v>403</v>
      </c>
      <c r="AO627" s="14">
        <v>293</v>
      </c>
      <c r="AP627" s="14">
        <v>322</v>
      </c>
      <c r="AQ627" s="14">
        <v>155</v>
      </c>
    </row>
    <row r="628" spans="28:43" x14ac:dyDescent="0.25">
      <c r="AB628" s="14">
        <v>26</v>
      </c>
      <c r="AH628" s="14">
        <v>16</v>
      </c>
      <c r="AM628" s="14">
        <v>152</v>
      </c>
      <c r="AN628" s="14">
        <v>462</v>
      </c>
      <c r="AO628" s="14">
        <v>282</v>
      </c>
      <c r="AP628" s="14">
        <v>569</v>
      </c>
      <c r="AQ628" s="14">
        <v>196</v>
      </c>
    </row>
    <row r="629" spans="28:43" x14ac:dyDescent="0.25">
      <c r="AB629" s="14">
        <v>863</v>
      </c>
      <c r="AH629" s="14">
        <v>757</v>
      </c>
      <c r="AM629" s="14">
        <v>135</v>
      </c>
      <c r="AN629" s="14">
        <v>103</v>
      </c>
      <c r="AO629" s="14">
        <v>284</v>
      </c>
      <c r="AP629" s="14">
        <v>334</v>
      </c>
      <c r="AQ629" s="14">
        <v>239</v>
      </c>
    </row>
    <row r="630" spans="28:43" x14ac:dyDescent="0.25">
      <c r="AB630" s="14">
        <v>749</v>
      </c>
      <c r="AH630" s="14">
        <v>3</v>
      </c>
      <c r="AM630" s="14">
        <v>494</v>
      </c>
      <c r="AN630" s="14">
        <v>266</v>
      </c>
      <c r="AO630" s="14">
        <v>299</v>
      </c>
      <c r="AP630" s="14">
        <v>140</v>
      </c>
      <c r="AQ630" s="14">
        <v>225</v>
      </c>
    </row>
    <row r="631" spans="28:43" x14ac:dyDescent="0.25">
      <c r="AB631" s="14">
        <v>150</v>
      </c>
      <c r="AH631" s="14">
        <v>653</v>
      </c>
      <c r="AM631" s="14">
        <v>134</v>
      </c>
      <c r="AN631" s="14">
        <v>638</v>
      </c>
      <c r="AO631" s="14">
        <v>310</v>
      </c>
      <c r="AP631" s="14">
        <v>208</v>
      </c>
      <c r="AQ631" s="14">
        <v>413</v>
      </c>
    </row>
    <row r="632" spans="28:43" x14ac:dyDescent="0.25">
      <c r="AB632" s="14">
        <v>358</v>
      </c>
      <c r="AH632" s="14">
        <v>6</v>
      </c>
      <c r="AM632" s="14">
        <v>184</v>
      </c>
      <c r="AN632" s="14">
        <v>463</v>
      </c>
      <c r="AO632" s="14">
        <v>320</v>
      </c>
      <c r="AP632" s="14">
        <v>337</v>
      </c>
      <c r="AQ632" s="14">
        <v>310</v>
      </c>
    </row>
    <row r="633" spans="28:43" x14ac:dyDescent="0.25">
      <c r="AB633" s="14">
        <v>771</v>
      </c>
      <c r="AH633" s="14">
        <v>771</v>
      </c>
      <c r="AM633" s="14">
        <v>197</v>
      </c>
      <c r="AN633" s="14">
        <v>465</v>
      </c>
      <c r="AO633" s="14">
        <v>378</v>
      </c>
      <c r="AP633" s="14">
        <v>396</v>
      </c>
      <c r="AQ633" s="14">
        <v>443</v>
      </c>
    </row>
    <row r="634" spans="28:43" x14ac:dyDescent="0.25">
      <c r="AB634" s="14">
        <v>529</v>
      </c>
      <c r="AH634" s="14">
        <v>166</v>
      </c>
      <c r="AM634" s="14">
        <v>137</v>
      </c>
      <c r="AN634" s="14">
        <v>468</v>
      </c>
      <c r="AO634" s="14">
        <v>550</v>
      </c>
      <c r="AP634" s="14">
        <v>308</v>
      </c>
      <c r="AQ634" s="14">
        <v>76</v>
      </c>
    </row>
    <row r="635" spans="28:43" x14ac:dyDescent="0.25">
      <c r="AB635" s="14">
        <v>261</v>
      </c>
      <c r="AH635" s="14">
        <v>21</v>
      </c>
      <c r="AM635" s="14">
        <v>171</v>
      </c>
      <c r="AN635" s="14">
        <v>470</v>
      </c>
      <c r="AO635" s="14">
        <v>233</v>
      </c>
      <c r="AP635" s="14">
        <v>474</v>
      </c>
      <c r="AQ635" s="14">
        <v>129</v>
      </c>
    </row>
    <row r="636" spans="28:43" x14ac:dyDescent="0.25">
      <c r="AB636" s="14">
        <v>266</v>
      </c>
      <c r="AH636" s="14">
        <v>428</v>
      </c>
      <c r="AM636" s="14">
        <v>989</v>
      </c>
      <c r="AN636" s="14">
        <v>473</v>
      </c>
      <c r="AO636" s="14">
        <v>256</v>
      </c>
      <c r="AP636" s="14">
        <v>271</v>
      </c>
      <c r="AQ636" s="14">
        <v>892</v>
      </c>
    </row>
    <row r="637" spans="28:43" x14ac:dyDescent="0.25">
      <c r="AB637" s="14">
        <v>536</v>
      </c>
      <c r="AH637" s="14">
        <v>824</v>
      </c>
      <c r="AM637" s="14">
        <v>334</v>
      </c>
      <c r="AN637" s="14">
        <v>106</v>
      </c>
      <c r="AO637" s="14">
        <v>285</v>
      </c>
      <c r="AP637" s="14">
        <v>294</v>
      </c>
      <c r="AQ637" s="14">
        <v>288</v>
      </c>
    </row>
    <row r="638" spans="28:43" x14ac:dyDescent="0.25">
      <c r="AB638" s="14">
        <v>113</v>
      </c>
      <c r="AH638" s="14">
        <v>281</v>
      </c>
      <c r="AM638" s="14">
        <v>297</v>
      </c>
      <c r="AN638" s="14">
        <v>106</v>
      </c>
      <c r="AO638" s="14">
        <v>318</v>
      </c>
      <c r="AP638" s="14">
        <v>137</v>
      </c>
      <c r="AQ638" s="14">
        <v>131</v>
      </c>
    </row>
    <row r="639" spans="28:43" x14ac:dyDescent="0.25">
      <c r="AB639" s="14">
        <v>639</v>
      </c>
      <c r="AH639" s="14">
        <v>16</v>
      </c>
      <c r="AM639" s="14">
        <v>774</v>
      </c>
      <c r="AN639" s="14">
        <v>107</v>
      </c>
      <c r="AO639" s="14">
        <v>313</v>
      </c>
      <c r="AP639" s="14">
        <v>110</v>
      </c>
      <c r="AQ639" s="14">
        <v>134</v>
      </c>
    </row>
    <row r="640" spans="28:43" x14ac:dyDescent="0.25">
      <c r="AB640" s="14">
        <v>298</v>
      </c>
      <c r="AH640" s="14">
        <v>641</v>
      </c>
      <c r="AM640" s="14">
        <v>114</v>
      </c>
      <c r="AN640" s="14">
        <v>107</v>
      </c>
      <c r="AO640" s="14">
        <v>323</v>
      </c>
      <c r="AP640" s="14">
        <v>197</v>
      </c>
      <c r="AQ640" s="14">
        <v>197</v>
      </c>
    </row>
    <row r="641" spans="28:43" x14ac:dyDescent="0.25">
      <c r="AB641" s="14">
        <v>129</v>
      </c>
      <c r="AH641" s="14">
        <v>7</v>
      </c>
      <c r="AM641" s="14">
        <v>114</v>
      </c>
      <c r="AN641" s="14">
        <v>108</v>
      </c>
      <c r="AO641" s="14">
        <v>353</v>
      </c>
      <c r="AP641" s="14">
        <v>162</v>
      </c>
      <c r="AQ641" s="14">
        <v>274</v>
      </c>
    </row>
    <row r="642" spans="28:43" x14ac:dyDescent="0.25">
      <c r="AB642" s="14">
        <v>341</v>
      </c>
      <c r="AH642" s="14">
        <v>745</v>
      </c>
      <c r="AM642" s="14">
        <v>771</v>
      </c>
      <c r="AN642" s="14">
        <v>167</v>
      </c>
      <c r="AO642" s="14">
        <v>381</v>
      </c>
      <c r="AP642" s="14">
        <v>939</v>
      </c>
      <c r="AQ642" s="14">
        <v>480</v>
      </c>
    </row>
    <row r="643" spans="28:43" x14ac:dyDescent="0.25">
      <c r="AB643" s="14">
        <v>347</v>
      </c>
      <c r="AH643" s="14">
        <v>31</v>
      </c>
      <c r="AM643" s="14">
        <v>711</v>
      </c>
      <c r="AN643" s="14">
        <v>169</v>
      </c>
      <c r="AO643" s="14">
        <v>325</v>
      </c>
      <c r="AP643" s="14">
        <v>52</v>
      </c>
      <c r="AQ643" s="14">
        <v>914</v>
      </c>
    </row>
    <row r="644" spans="28:43" x14ac:dyDescent="0.25">
      <c r="AB644" s="14">
        <v>29</v>
      </c>
      <c r="AH644" s="14">
        <v>460</v>
      </c>
      <c r="AM644" s="14">
        <v>980</v>
      </c>
      <c r="AN644" s="14">
        <v>172</v>
      </c>
      <c r="AO644" s="14">
        <v>12</v>
      </c>
      <c r="AP644" s="14">
        <v>520</v>
      </c>
      <c r="AQ644" s="14">
        <v>907</v>
      </c>
    </row>
    <row r="645" spans="28:43" x14ac:dyDescent="0.25">
      <c r="AB645" s="14">
        <v>306</v>
      </c>
      <c r="AH645" s="14">
        <v>395</v>
      </c>
      <c r="AM645" s="14">
        <v>698</v>
      </c>
      <c r="AN645" s="14">
        <v>172</v>
      </c>
      <c r="AO645" s="14">
        <v>9</v>
      </c>
      <c r="AP645" s="14">
        <v>298</v>
      </c>
      <c r="AQ645" s="14">
        <v>134</v>
      </c>
    </row>
    <row r="646" spans="28:43" x14ac:dyDescent="0.25">
      <c r="AB646" s="14">
        <v>89</v>
      </c>
      <c r="AH646" s="14">
        <v>97</v>
      </c>
      <c r="AM646" s="14">
        <v>356</v>
      </c>
      <c r="AN646" s="14">
        <v>174</v>
      </c>
      <c r="AO646" s="14">
        <v>89</v>
      </c>
      <c r="AP646" s="14">
        <v>213</v>
      </c>
      <c r="AQ646" s="14">
        <v>225</v>
      </c>
    </row>
    <row r="647" spans="28:43" x14ac:dyDescent="0.25">
      <c r="AB647" s="14">
        <v>21</v>
      </c>
      <c r="AH647" s="14">
        <v>448</v>
      </c>
      <c r="AM647" s="14">
        <v>798</v>
      </c>
      <c r="AN647" s="14">
        <v>305</v>
      </c>
      <c r="AO647" s="14">
        <v>13</v>
      </c>
      <c r="AP647" s="14">
        <v>102</v>
      </c>
      <c r="AQ647" s="14">
        <v>120</v>
      </c>
    </row>
    <row r="648" spans="28:43" x14ac:dyDescent="0.25">
      <c r="AB648" s="14">
        <v>108</v>
      </c>
      <c r="AH648" s="14">
        <v>781</v>
      </c>
      <c r="AM648" s="14">
        <v>870</v>
      </c>
      <c r="AN648" s="14">
        <v>311</v>
      </c>
      <c r="AO648" s="14">
        <v>10</v>
      </c>
      <c r="AP648" s="14">
        <v>640</v>
      </c>
      <c r="AQ648" s="14">
        <v>134</v>
      </c>
    </row>
    <row r="649" spans="28:43" x14ac:dyDescent="0.25">
      <c r="AB649" s="14">
        <v>101</v>
      </c>
      <c r="AH649" s="14">
        <v>339</v>
      </c>
      <c r="AM649" s="14">
        <v>731</v>
      </c>
      <c r="AN649" s="14">
        <v>321</v>
      </c>
      <c r="AO649" s="14">
        <v>85</v>
      </c>
      <c r="AP649" s="14">
        <v>519</v>
      </c>
      <c r="AQ649" s="14">
        <v>356</v>
      </c>
    </row>
    <row r="650" spans="28:43" x14ac:dyDescent="0.25">
      <c r="AB650" s="14">
        <v>210</v>
      </c>
      <c r="AH650" s="14">
        <v>16</v>
      </c>
      <c r="AM650" s="14">
        <v>354</v>
      </c>
      <c r="AN650" s="14">
        <v>324</v>
      </c>
      <c r="AO650" s="14">
        <v>93</v>
      </c>
      <c r="AP650" s="14">
        <v>646</v>
      </c>
      <c r="AQ650" s="14">
        <v>380</v>
      </c>
    </row>
    <row r="651" spans="28:43" x14ac:dyDescent="0.25">
      <c r="AB651" s="14">
        <v>578</v>
      </c>
      <c r="AH651" s="14">
        <v>458</v>
      </c>
      <c r="AM651" s="14">
        <v>464</v>
      </c>
      <c r="AN651" s="14">
        <v>331</v>
      </c>
      <c r="AO651" s="14">
        <v>100</v>
      </c>
      <c r="AP651" s="14">
        <v>798</v>
      </c>
      <c r="AQ651" s="14">
        <v>351</v>
      </c>
    </row>
    <row r="652" spans="28:43" x14ac:dyDescent="0.25">
      <c r="AB652" s="14">
        <v>126</v>
      </c>
      <c r="AH652" s="14">
        <v>8</v>
      </c>
      <c r="AM652" s="14">
        <v>347</v>
      </c>
      <c r="AN652" s="14">
        <v>470</v>
      </c>
      <c r="AO652" s="14">
        <v>106</v>
      </c>
      <c r="AP652" s="14">
        <v>646</v>
      </c>
      <c r="AQ652" s="14">
        <v>108</v>
      </c>
    </row>
    <row r="653" spans="28:43" x14ac:dyDescent="0.25">
      <c r="AB653" s="14">
        <v>886</v>
      </c>
      <c r="AH653" s="14">
        <v>704</v>
      </c>
      <c r="AM653" s="14">
        <v>14</v>
      </c>
      <c r="AN653" s="14">
        <v>243</v>
      </c>
      <c r="AO653" s="14">
        <v>101</v>
      </c>
      <c r="AP653" s="14">
        <v>34</v>
      </c>
      <c r="AQ653" s="14">
        <v>231</v>
      </c>
    </row>
    <row r="654" spans="28:43" x14ac:dyDescent="0.25">
      <c r="AB654" s="14">
        <v>497</v>
      </c>
      <c r="AH654" s="14">
        <v>21</v>
      </c>
      <c r="AM654" s="14">
        <v>2</v>
      </c>
      <c r="AN654" s="14">
        <v>245</v>
      </c>
      <c r="AO654" s="14">
        <v>102</v>
      </c>
      <c r="AP654" s="14">
        <v>358</v>
      </c>
      <c r="AQ654" s="14">
        <v>278</v>
      </c>
    </row>
    <row r="655" spans="28:43" x14ac:dyDescent="0.25">
      <c r="AB655" s="14">
        <v>503</v>
      </c>
      <c r="AH655" s="14">
        <v>531</v>
      </c>
      <c r="AM655" s="14">
        <v>482</v>
      </c>
      <c r="AN655" s="14">
        <v>246</v>
      </c>
      <c r="AO655" s="14">
        <v>108</v>
      </c>
      <c r="AP655" s="14">
        <v>494</v>
      </c>
      <c r="AQ655" s="14">
        <v>107</v>
      </c>
    </row>
    <row r="656" spans="28:43" x14ac:dyDescent="0.25">
      <c r="AB656" s="14">
        <v>774</v>
      </c>
      <c r="AH656" s="14">
        <v>337</v>
      </c>
      <c r="AM656" s="14">
        <v>472</v>
      </c>
      <c r="AN656" s="14">
        <v>247</v>
      </c>
      <c r="AO656" s="14">
        <v>111</v>
      </c>
      <c r="AP656" s="14">
        <v>272</v>
      </c>
      <c r="AQ656" s="14">
        <v>198</v>
      </c>
    </row>
    <row r="657" spans="28:43" x14ac:dyDescent="0.25">
      <c r="AB657" s="14">
        <v>197</v>
      </c>
      <c r="AH657" s="14">
        <v>81</v>
      </c>
      <c r="AM657" s="14">
        <v>128</v>
      </c>
      <c r="AN657" s="14">
        <v>248</v>
      </c>
      <c r="AO657" s="14">
        <v>114</v>
      </c>
      <c r="AP657" s="14">
        <v>343</v>
      </c>
      <c r="AQ657" s="14">
        <v>102</v>
      </c>
    </row>
    <row r="658" spans="28:43" x14ac:dyDescent="0.25">
      <c r="AB658" s="14">
        <v>125</v>
      </c>
      <c r="AH658" s="14">
        <v>392</v>
      </c>
      <c r="AM658" s="14">
        <v>140</v>
      </c>
      <c r="AN658" s="14">
        <v>985</v>
      </c>
      <c r="AO658" s="14">
        <v>14</v>
      </c>
      <c r="AP658" s="14">
        <v>110</v>
      </c>
      <c r="AQ658" s="14">
        <v>495</v>
      </c>
    </row>
    <row r="659" spans="28:43" x14ac:dyDescent="0.25">
      <c r="AB659" s="14">
        <v>603</v>
      </c>
      <c r="AH659" s="14">
        <v>902</v>
      </c>
      <c r="AM659" s="14">
        <v>127</v>
      </c>
      <c r="AN659" s="14">
        <v>37</v>
      </c>
      <c r="AO659" s="14">
        <v>18</v>
      </c>
      <c r="AP659" s="14">
        <v>367</v>
      </c>
      <c r="AQ659" s="14">
        <v>756</v>
      </c>
    </row>
    <row r="660" spans="28:43" x14ac:dyDescent="0.25">
      <c r="AB660" s="14">
        <v>219</v>
      </c>
      <c r="AH660" s="14">
        <v>305</v>
      </c>
      <c r="AM660" s="14">
        <v>122</v>
      </c>
      <c r="AN660" s="14">
        <v>97</v>
      </c>
      <c r="AO660" s="14">
        <v>86</v>
      </c>
      <c r="AP660" s="14">
        <v>767</v>
      </c>
      <c r="AQ660" s="14">
        <v>323</v>
      </c>
    </row>
    <row r="661" spans="28:43" x14ac:dyDescent="0.25">
      <c r="AB661" s="14">
        <v>605</v>
      </c>
      <c r="AH661" s="14">
        <v>22</v>
      </c>
      <c r="AM661" s="14">
        <v>127</v>
      </c>
      <c r="AN661" s="14">
        <v>117</v>
      </c>
      <c r="AO661" s="14">
        <v>93</v>
      </c>
      <c r="AP661" s="14">
        <v>232</v>
      </c>
      <c r="AQ661" s="14">
        <v>147</v>
      </c>
    </row>
    <row r="662" spans="28:43" x14ac:dyDescent="0.25">
      <c r="AB662" s="14">
        <v>580</v>
      </c>
      <c r="AH662" s="14">
        <v>873</v>
      </c>
      <c r="AM662" s="14">
        <v>120</v>
      </c>
      <c r="AN662" s="14">
        <v>107</v>
      </c>
      <c r="AO662" s="14">
        <v>103</v>
      </c>
      <c r="AP662" s="14">
        <v>144</v>
      </c>
      <c r="AQ662" s="14">
        <v>21</v>
      </c>
    </row>
    <row r="663" spans="28:43" x14ac:dyDescent="0.25">
      <c r="AB663" s="14">
        <v>24</v>
      </c>
      <c r="AH663" s="14">
        <v>9</v>
      </c>
      <c r="AM663" s="14">
        <v>1</v>
      </c>
      <c r="AN663" s="14">
        <v>90</v>
      </c>
      <c r="AO663" s="14">
        <v>113</v>
      </c>
      <c r="AP663" s="14">
        <v>102</v>
      </c>
      <c r="AQ663" s="14">
        <v>110</v>
      </c>
    </row>
    <row r="664" spans="28:43" x14ac:dyDescent="0.25">
      <c r="AB664" s="14">
        <v>560</v>
      </c>
      <c r="AH664" s="14">
        <v>708</v>
      </c>
      <c r="AM664" s="14">
        <v>206</v>
      </c>
      <c r="AN664" s="14">
        <v>88</v>
      </c>
      <c r="AO664" s="14">
        <v>110</v>
      </c>
      <c r="AP664" s="14">
        <v>106</v>
      </c>
      <c r="AQ664" s="14">
        <v>253</v>
      </c>
    </row>
    <row r="665" spans="28:43" x14ac:dyDescent="0.25">
      <c r="AB665" s="14">
        <v>163</v>
      </c>
      <c r="AH665" s="14">
        <v>20</v>
      </c>
      <c r="AM665" s="14">
        <v>204</v>
      </c>
      <c r="AN665" s="14">
        <v>92</v>
      </c>
      <c r="AO665" s="14">
        <v>115</v>
      </c>
      <c r="AP665" s="14">
        <v>382</v>
      </c>
      <c r="AQ665" s="14">
        <v>620</v>
      </c>
    </row>
    <row r="666" spans="28:43" x14ac:dyDescent="0.25">
      <c r="AB666" s="14">
        <v>39</v>
      </c>
      <c r="AH666" s="14">
        <v>512</v>
      </c>
      <c r="AM666" s="14">
        <v>191</v>
      </c>
      <c r="AN666" s="14">
        <v>93</v>
      </c>
      <c r="AO666" s="14">
        <v>127</v>
      </c>
      <c r="AP666" s="14">
        <v>419</v>
      </c>
      <c r="AQ666" s="14">
        <v>628</v>
      </c>
    </row>
    <row r="667" spans="28:43" x14ac:dyDescent="0.25">
      <c r="AB667" s="14">
        <v>35</v>
      </c>
      <c r="AH667" s="14">
        <v>337</v>
      </c>
      <c r="AM667" s="14">
        <v>191</v>
      </c>
      <c r="AN667" s="14">
        <v>93</v>
      </c>
      <c r="AO667" s="14">
        <v>136</v>
      </c>
      <c r="AP667" s="14">
        <v>179</v>
      </c>
      <c r="AQ667" s="14">
        <v>243</v>
      </c>
    </row>
    <row r="668" spans="28:43" x14ac:dyDescent="0.25">
      <c r="AB668" s="14">
        <v>347</v>
      </c>
      <c r="AH668" s="14">
        <v>76</v>
      </c>
      <c r="AM668" s="14">
        <v>135</v>
      </c>
      <c r="AN668" s="14">
        <v>93</v>
      </c>
      <c r="AO668" s="14">
        <v>118</v>
      </c>
      <c r="AP668" s="14">
        <v>225</v>
      </c>
      <c r="AQ668" s="14">
        <v>445</v>
      </c>
    </row>
    <row r="669" spans="28:43" x14ac:dyDescent="0.25">
      <c r="AB669" s="14">
        <v>249</v>
      </c>
      <c r="AH669" s="14">
        <v>389</v>
      </c>
      <c r="AM669" s="14">
        <v>213</v>
      </c>
      <c r="AN669" s="14">
        <v>94</v>
      </c>
      <c r="AO669" s="14">
        <v>368</v>
      </c>
      <c r="AP669" s="14">
        <v>119</v>
      </c>
      <c r="AQ669" s="14">
        <v>235</v>
      </c>
    </row>
    <row r="670" spans="28:43" x14ac:dyDescent="0.25">
      <c r="AB670" s="14">
        <v>232</v>
      </c>
      <c r="AH670" s="14">
        <v>935</v>
      </c>
      <c r="AM670" s="14">
        <v>198</v>
      </c>
      <c r="AN670" s="14">
        <v>34</v>
      </c>
      <c r="AO670" s="14">
        <v>638</v>
      </c>
      <c r="AP670" s="14">
        <v>753</v>
      </c>
      <c r="AQ670" s="14">
        <v>143</v>
      </c>
    </row>
    <row r="671" spans="28:43" x14ac:dyDescent="0.25">
      <c r="AB671" s="14">
        <v>367</v>
      </c>
      <c r="AH671" s="14">
        <v>384</v>
      </c>
      <c r="AM671" s="14">
        <v>148</v>
      </c>
      <c r="AN671" s="14">
        <v>37</v>
      </c>
      <c r="AO671" s="14">
        <v>538</v>
      </c>
      <c r="AP671" s="14">
        <v>559</v>
      </c>
      <c r="AQ671" s="14">
        <v>184</v>
      </c>
    </row>
    <row r="672" spans="28:43" x14ac:dyDescent="0.25">
      <c r="AB672" s="14">
        <v>300</v>
      </c>
      <c r="AH672" s="14">
        <v>23</v>
      </c>
      <c r="AM672" s="14">
        <v>139</v>
      </c>
      <c r="AN672" s="14">
        <v>144</v>
      </c>
      <c r="AO672" s="14">
        <v>14</v>
      </c>
      <c r="AP672" s="14">
        <v>934</v>
      </c>
      <c r="AQ672" s="14">
        <v>698</v>
      </c>
    </row>
    <row r="673" spans="28:43" x14ac:dyDescent="0.25">
      <c r="AB673" s="14">
        <v>339</v>
      </c>
      <c r="AH673" s="14">
        <v>71</v>
      </c>
      <c r="AM673" s="14">
        <v>149</v>
      </c>
      <c r="AN673" s="14">
        <v>168</v>
      </c>
      <c r="AO673" s="14">
        <v>23</v>
      </c>
      <c r="AP673" s="14">
        <v>275</v>
      </c>
      <c r="AQ673" s="14">
        <v>307</v>
      </c>
    </row>
    <row r="674" spans="28:43" x14ac:dyDescent="0.25">
      <c r="AB674" s="14">
        <v>502</v>
      </c>
      <c r="AH674" s="14">
        <v>16</v>
      </c>
      <c r="AM674" s="14">
        <v>130</v>
      </c>
      <c r="AN674" s="14">
        <v>56</v>
      </c>
      <c r="AO674" s="14">
        <v>20</v>
      </c>
      <c r="AP674" s="14">
        <v>338</v>
      </c>
      <c r="AQ674" s="14">
        <v>37</v>
      </c>
    </row>
    <row r="675" spans="28:43" x14ac:dyDescent="0.25">
      <c r="AB675" s="14">
        <v>472</v>
      </c>
      <c r="AH675" s="14">
        <v>139</v>
      </c>
      <c r="AM675" s="14">
        <v>127</v>
      </c>
      <c r="AN675" s="14">
        <v>483</v>
      </c>
      <c r="AO675" s="14">
        <v>193</v>
      </c>
      <c r="AP675" s="14">
        <v>424</v>
      </c>
      <c r="AQ675" s="14">
        <v>262</v>
      </c>
    </row>
    <row r="676" spans="28:43" x14ac:dyDescent="0.25">
      <c r="AB676" s="14">
        <v>394</v>
      </c>
      <c r="AH676" s="14">
        <v>111</v>
      </c>
      <c r="AM676" s="14">
        <v>147</v>
      </c>
      <c r="AN676" s="14">
        <v>538</v>
      </c>
      <c r="AO676" s="14">
        <v>185</v>
      </c>
      <c r="AP676" s="14">
        <v>5</v>
      </c>
      <c r="AQ676" s="14">
        <v>532</v>
      </c>
    </row>
    <row r="677" spans="28:43" x14ac:dyDescent="0.25">
      <c r="AB677" s="14">
        <v>318</v>
      </c>
      <c r="AH677" s="14">
        <v>333</v>
      </c>
      <c r="AM677" s="14">
        <v>120</v>
      </c>
      <c r="AN677" s="14">
        <v>589</v>
      </c>
      <c r="AO677" s="14">
        <v>267</v>
      </c>
      <c r="AP677" s="14">
        <v>300</v>
      </c>
      <c r="AQ677" s="14">
        <v>129</v>
      </c>
    </row>
    <row r="678" spans="28:43" x14ac:dyDescent="0.25">
      <c r="AB678" s="14">
        <v>342</v>
      </c>
      <c r="AH678" s="14">
        <v>389</v>
      </c>
      <c r="AM678" s="14">
        <v>123</v>
      </c>
      <c r="AN678" s="14">
        <v>638</v>
      </c>
      <c r="AO678" s="14">
        <v>220</v>
      </c>
      <c r="AP678" s="14">
        <v>520</v>
      </c>
      <c r="AQ678" s="14">
        <v>115</v>
      </c>
    </row>
    <row r="679" spans="28:43" x14ac:dyDescent="0.25">
      <c r="AB679" s="14">
        <v>410</v>
      </c>
      <c r="AH679" s="14">
        <v>228</v>
      </c>
      <c r="AM679" s="14">
        <v>108</v>
      </c>
      <c r="AN679" s="14">
        <v>103</v>
      </c>
      <c r="AO679" s="14">
        <v>215</v>
      </c>
      <c r="AP679" s="14">
        <v>139</v>
      </c>
      <c r="AQ679" s="14">
        <v>502</v>
      </c>
    </row>
    <row r="680" spans="28:43" x14ac:dyDescent="0.25">
      <c r="AB680" s="14">
        <v>266</v>
      </c>
      <c r="AH680" s="14">
        <v>732</v>
      </c>
      <c r="AM680" s="14">
        <v>149</v>
      </c>
      <c r="AN680" s="14">
        <v>102</v>
      </c>
      <c r="AO680" s="14">
        <v>280</v>
      </c>
      <c r="AP680" s="14">
        <v>944</v>
      </c>
      <c r="AQ680" s="14">
        <v>917</v>
      </c>
    </row>
    <row r="681" spans="28:43" x14ac:dyDescent="0.25">
      <c r="AB681" s="14">
        <v>398</v>
      </c>
      <c r="AH681" s="14">
        <v>173</v>
      </c>
      <c r="AM681" s="14">
        <v>119</v>
      </c>
      <c r="AN681" s="14">
        <v>102</v>
      </c>
      <c r="AO681" s="14">
        <v>8</v>
      </c>
      <c r="AP681" s="14">
        <v>405</v>
      </c>
      <c r="AQ681" s="14">
        <v>470</v>
      </c>
    </row>
    <row r="682" spans="28:43" x14ac:dyDescent="0.25">
      <c r="AB682" s="14">
        <v>444</v>
      </c>
      <c r="AH682" s="14">
        <v>273</v>
      </c>
      <c r="AM682" s="14">
        <v>106</v>
      </c>
      <c r="AN682" s="14">
        <v>103</v>
      </c>
      <c r="AO682" s="14">
        <v>6</v>
      </c>
      <c r="AP682" s="14">
        <v>223</v>
      </c>
      <c r="AQ682" s="14">
        <v>373</v>
      </c>
    </row>
    <row r="683" spans="28:43" x14ac:dyDescent="0.25">
      <c r="AB683" s="14">
        <v>168</v>
      </c>
      <c r="AH683" s="14">
        <v>771</v>
      </c>
      <c r="AM683" s="14">
        <v>105</v>
      </c>
      <c r="AN683" s="14">
        <v>104</v>
      </c>
      <c r="AO683" s="14">
        <v>97</v>
      </c>
      <c r="AP683" s="14">
        <v>593</v>
      </c>
      <c r="AQ683" s="14">
        <v>390</v>
      </c>
    </row>
    <row r="684" spans="28:43" x14ac:dyDescent="0.25">
      <c r="AB684" s="14">
        <v>192</v>
      </c>
      <c r="AH684" s="14">
        <v>13</v>
      </c>
      <c r="AM684" s="14">
        <v>195</v>
      </c>
      <c r="AN684" s="14">
        <v>104</v>
      </c>
      <c r="AO684" s="14">
        <v>9</v>
      </c>
      <c r="AP684" s="14">
        <v>157</v>
      </c>
      <c r="AQ684" s="14">
        <v>142</v>
      </c>
    </row>
    <row r="685" spans="28:43" x14ac:dyDescent="0.25">
      <c r="AB685" s="14">
        <v>117</v>
      </c>
      <c r="AH685" s="14">
        <v>130</v>
      </c>
      <c r="AM685" s="14">
        <v>105</v>
      </c>
      <c r="AN685" s="14">
        <v>104</v>
      </c>
      <c r="AO685" s="14">
        <v>7</v>
      </c>
      <c r="AP685" s="14">
        <v>320</v>
      </c>
      <c r="AQ685" s="14">
        <v>647</v>
      </c>
    </row>
    <row r="686" spans="28:43" x14ac:dyDescent="0.25">
      <c r="AB686" s="14">
        <v>144</v>
      </c>
      <c r="AH686" s="14">
        <v>120</v>
      </c>
      <c r="AM686" s="14">
        <v>107</v>
      </c>
      <c r="AN686" s="14">
        <v>105</v>
      </c>
      <c r="AO686" s="14">
        <v>102</v>
      </c>
      <c r="AP686" s="14">
        <v>337</v>
      </c>
      <c r="AQ686" s="14">
        <v>64</v>
      </c>
    </row>
    <row r="687" spans="28:43" x14ac:dyDescent="0.25">
      <c r="AB687" s="14">
        <v>173</v>
      </c>
      <c r="AH687" s="14">
        <v>199</v>
      </c>
      <c r="AM687" s="14">
        <v>115</v>
      </c>
      <c r="AN687" s="14">
        <v>106</v>
      </c>
      <c r="AO687" s="14">
        <v>327</v>
      </c>
      <c r="AP687" s="14">
        <v>532</v>
      </c>
      <c r="AQ687" s="14">
        <v>624</v>
      </c>
    </row>
    <row r="688" spans="28:43" x14ac:dyDescent="0.25">
      <c r="AB688" s="14">
        <v>148</v>
      </c>
      <c r="AH688" s="14">
        <v>425</v>
      </c>
      <c r="AM688" s="14">
        <v>157</v>
      </c>
      <c r="AN688" s="14">
        <v>106</v>
      </c>
      <c r="AO688" s="14">
        <v>535</v>
      </c>
      <c r="AP688" s="14">
        <v>418</v>
      </c>
      <c r="AQ688" s="14">
        <v>270</v>
      </c>
    </row>
    <row r="689" spans="28:43" x14ac:dyDescent="0.25">
      <c r="AB689" s="14">
        <v>159</v>
      </c>
      <c r="AH689" s="14">
        <v>195</v>
      </c>
      <c r="AM689" s="14">
        <v>118</v>
      </c>
      <c r="AN689" s="14">
        <v>107</v>
      </c>
      <c r="AO689" s="14">
        <v>284</v>
      </c>
      <c r="AP689" s="14">
        <v>719</v>
      </c>
      <c r="AQ689" s="14">
        <v>768</v>
      </c>
    </row>
    <row r="690" spans="28:43" x14ac:dyDescent="0.25">
      <c r="AB690" s="14">
        <v>214</v>
      </c>
      <c r="AH690" s="14">
        <v>711</v>
      </c>
      <c r="AM690" s="14">
        <v>106</v>
      </c>
      <c r="AN690" s="14">
        <v>107</v>
      </c>
      <c r="AO690" s="14">
        <v>345</v>
      </c>
      <c r="AP690" s="14">
        <v>332</v>
      </c>
      <c r="AQ690" s="14">
        <v>526</v>
      </c>
    </row>
    <row r="691" spans="28:43" x14ac:dyDescent="0.25">
      <c r="AB691" s="14">
        <v>191</v>
      </c>
      <c r="AH691" s="14">
        <v>190</v>
      </c>
      <c r="AM691" s="14">
        <v>105</v>
      </c>
      <c r="AN691" s="14">
        <v>33</v>
      </c>
      <c r="AO691" s="14">
        <v>606</v>
      </c>
      <c r="AP691" s="14">
        <v>322</v>
      </c>
      <c r="AQ691" s="14">
        <v>255</v>
      </c>
    </row>
    <row r="692" spans="28:43" x14ac:dyDescent="0.25">
      <c r="AB692" s="14">
        <v>183</v>
      </c>
      <c r="AH692" s="14">
        <v>390</v>
      </c>
      <c r="AM692" s="14">
        <v>142</v>
      </c>
      <c r="AN692" s="14">
        <v>41</v>
      </c>
      <c r="AO692" s="14">
        <v>272</v>
      </c>
      <c r="AP692" s="14">
        <v>601</v>
      </c>
      <c r="AQ692" s="14">
        <v>489</v>
      </c>
    </row>
    <row r="693" spans="28:43" x14ac:dyDescent="0.25">
      <c r="AB693" s="14">
        <v>163</v>
      </c>
      <c r="AH693" s="14">
        <v>170</v>
      </c>
      <c r="AM693" s="14">
        <v>115</v>
      </c>
      <c r="AN693" s="14">
        <v>242</v>
      </c>
      <c r="AO693" s="14">
        <v>301</v>
      </c>
      <c r="AP693" s="14">
        <v>569</v>
      </c>
      <c r="AQ693" s="14">
        <v>251</v>
      </c>
    </row>
    <row r="694" spans="28:43" x14ac:dyDescent="0.25">
      <c r="AB694" s="14">
        <v>155</v>
      </c>
      <c r="AH694" s="14">
        <v>11</v>
      </c>
      <c r="AM694" s="14">
        <v>952</v>
      </c>
      <c r="AN694" s="14">
        <v>279</v>
      </c>
      <c r="AO694" s="14">
        <v>321</v>
      </c>
      <c r="AP694" s="14">
        <v>148</v>
      </c>
      <c r="AQ694" s="14">
        <v>205</v>
      </c>
    </row>
    <row r="695" spans="28:43" x14ac:dyDescent="0.25">
      <c r="AB695" s="14">
        <v>184</v>
      </c>
      <c r="AH695" s="14">
        <v>101</v>
      </c>
      <c r="AM695" s="14">
        <v>115</v>
      </c>
      <c r="AN695" s="14">
        <v>236</v>
      </c>
      <c r="AO695" s="14">
        <v>349</v>
      </c>
      <c r="AP695" s="14">
        <v>458</v>
      </c>
      <c r="AQ695" s="14">
        <v>224</v>
      </c>
    </row>
    <row r="696" spans="28:43" x14ac:dyDescent="0.25">
      <c r="AB696" s="14">
        <v>155</v>
      </c>
      <c r="AH696" s="14">
        <v>139</v>
      </c>
      <c r="AM696" s="14">
        <v>141</v>
      </c>
      <c r="AN696" s="14">
        <v>79</v>
      </c>
      <c r="AO696" s="14">
        <v>342</v>
      </c>
      <c r="AP696" s="14">
        <v>5</v>
      </c>
      <c r="AQ696" s="14">
        <v>774</v>
      </c>
    </row>
    <row r="697" spans="28:43" x14ac:dyDescent="0.25">
      <c r="AB697" s="14">
        <v>204</v>
      </c>
      <c r="AH697" s="14">
        <v>254</v>
      </c>
      <c r="AM697" s="14">
        <v>117</v>
      </c>
      <c r="AN697" s="14">
        <v>456</v>
      </c>
      <c r="AO697" s="14">
        <v>339</v>
      </c>
      <c r="AP697" s="14">
        <v>305</v>
      </c>
      <c r="AQ697" s="14">
        <v>311</v>
      </c>
    </row>
    <row r="698" spans="28:43" x14ac:dyDescent="0.25">
      <c r="AB698" s="14">
        <v>198</v>
      </c>
      <c r="AH698" s="14">
        <v>349</v>
      </c>
      <c r="AM698" s="14">
        <v>100</v>
      </c>
      <c r="AN698" s="14">
        <v>571</v>
      </c>
      <c r="AO698" s="14">
        <v>362</v>
      </c>
      <c r="AP698" s="14">
        <v>540</v>
      </c>
      <c r="AQ698" s="14">
        <v>151</v>
      </c>
    </row>
    <row r="699" spans="28:43" x14ac:dyDescent="0.25">
      <c r="AB699" s="14">
        <v>538</v>
      </c>
      <c r="AH699" s="14">
        <v>202</v>
      </c>
      <c r="AM699" s="14">
        <v>100</v>
      </c>
      <c r="AN699" s="14">
        <v>571</v>
      </c>
      <c r="AO699" s="14">
        <v>376</v>
      </c>
      <c r="AP699" s="14">
        <v>107</v>
      </c>
      <c r="AQ699" s="14">
        <v>361</v>
      </c>
    </row>
    <row r="700" spans="28:43" x14ac:dyDescent="0.25">
      <c r="AB700" s="14">
        <v>676</v>
      </c>
      <c r="AH700" s="14">
        <v>719</v>
      </c>
      <c r="AM700" s="14">
        <v>148</v>
      </c>
      <c r="AN700" s="14">
        <v>635</v>
      </c>
      <c r="AO700" s="14">
        <v>373</v>
      </c>
      <c r="AP700" s="14">
        <v>685</v>
      </c>
      <c r="AQ700" s="14">
        <v>403</v>
      </c>
    </row>
    <row r="701" spans="28:43" x14ac:dyDescent="0.25">
      <c r="AB701" s="14">
        <v>393</v>
      </c>
      <c r="AH701" s="14">
        <v>720</v>
      </c>
      <c r="AM701" s="14">
        <v>104</v>
      </c>
      <c r="AN701" s="14">
        <v>175</v>
      </c>
      <c r="AO701" s="14">
        <v>407</v>
      </c>
      <c r="AP701" s="14">
        <v>403</v>
      </c>
      <c r="AQ701" s="14">
        <v>552</v>
      </c>
    </row>
    <row r="702" spans="28:43" x14ac:dyDescent="0.25">
      <c r="AB702" s="14">
        <v>482</v>
      </c>
      <c r="AH702" s="14">
        <v>406</v>
      </c>
      <c r="AM702" s="14">
        <v>104</v>
      </c>
      <c r="AN702" s="14">
        <v>176</v>
      </c>
      <c r="AO702" s="14">
        <v>811</v>
      </c>
      <c r="AP702" s="14">
        <v>228</v>
      </c>
      <c r="AQ702" s="14">
        <v>107</v>
      </c>
    </row>
    <row r="703" spans="28:43" x14ac:dyDescent="0.25">
      <c r="AB703" s="14">
        <v>607</v>
      </c>
      <c r="AH703" s="14">
        <v>204</v>
      </c>
      <c r="AM703" s="14">
        <v>102</v>
      </c>
      <c r="AN703" s="14">
        <v>177</v>
      </c>
      <c r="AO703" s="14">
        <v>280</v>
      </c>
      <c r="AP703" s="14">
        <v>618</v>
      </c>
      <c r="AQ703" s="14">
        <v>401</v>
      </c>
    </row>
    <row r="704" spans="28:43" x14ac:dyDescent="0.25">
      <c r="AB704" s="14">
        <v>511</v>
      </c>
      <c r="AH704" s="14">
        <v>48</v>
      </c>
      <c r="AM704" s="14">
        <v>139</v>
      </c>
      <c r="AN704" s="14">
        <v>178</v>
      </c>
      <c r="AO704" s="14">
        <v>309</v>
      </c>
      <c r="AP704" s="14">
        <v>165</v>
      </c>
      <c r="AQ704" s="14">
        <v>938</v>
      </c>
    </row>
    <row r="705" spans="28:43" x14ac:dyDescent="0.25">
      <c r="AB705" s="14">
        <v>624</v>
      </c>
      <c r="AH705" s="14">
        <v>89</v>
      </c>
      <c r="AM705" s="14">
        <v>106</v>
      </c>
      <c r="AN705" s="14">
        <v>179</v>
      </c>
      <c r="AO705" s="14">
        <v>340</v>
      </c>
      <c r="AP705" s="14">
        <v>337</v>
      </c>
      <c r="AQ705" s="14">
        <v>525</v>
      </c>
    </row>
    <row r="706" spans="28:43" x14ac:dyDescent="0.25">
      <c r="AB706" s="14">
        <v>725</v>
      </c>
      <c r="AH706" s="14">
        <v>176</v>
      </c>
      <c r="AM706" s="14">
        <v>984</v>
      </c>
      <c r="AN706" s="14">
        <v>179</v>
      </c>
      <c r="AO706" s="14">
        <v>379</v>
      </c>
      <c r="AP706" s="14">
        <v>346</v>
      </c>
      <c r="AQ706" s="14">
        <v>256</v>
      </c>
    </row>
    <row r="707" spans="28:43" x14ac:dyDescent="0.25">
      <c r="AB707" s="14">
        <v>646</v>
      </c>
      <c r="AH707" s="14">
        <v>299</v>
      </c>
      <c r="AM707" s="14">
        <v>103</v>
      </c>
      <c r="AN707" s="14">
        <v>180</v>
      </c>
      <c r="AO707" s="14">
        <v>375</v>
      </c>
      <c r="AP707" s="14">
        <v>520</v>
      </c>
      <c r="AQ707" s="14">
        <v>279</v>
      </c>
    </row>
    <row r="708" spans="28:43" x14ac:dyDescent="0.25">
      <c r="AB708" s="14">
        <v>767</v>
      </c>
      <c r="AH708" s="14">
        <v>660</v>
      </c>
      <c r="AM708" s="14">
        <v>121</v>
      </c>
      <c r="AN708" s="14">
        <v>181</v>
      </c>
      <c r="AO708" s="14">
        <v>374</v>
      </c>
      <c r="AP708" s="14">
        <v>419</v>
      </c>
      <c r="AQ708" s="14">
        <v>947</v>
      </c>
    </row>
    <row r="709" spans="28:43" x14ac:dyDescent="0.25">
      <c r="AB709" s="14">
        <v>629</v>
      </c>
      <c r="AH709" s="14">
        <v>311</v>
      </c>
      <c r="AM709" s="14">
        <v>104</v>
      </c>
      <c r="AN709" s="14">
        <v>182</v>
      </c>
      <c r="AO709" s="14">
        <v>414</v>
      </c>
      <c r="AP709" s="14">
        <v>763</v>
      </c>
      <c r="AQ709" s="14">
        <v>209</v>
      </c>
    </row>
    <row r="710" spans="28:43" x14ac:dyDescent="0.25">
      <c r="AB710" s="14">
        <v>536</v>
      </c>
      <c r="AH710" s="14">
        <v>721</v>
      </c>
      <c r="AM710" s="14">
        <v>931</v>
      </c>
      <c r="AN710" s="14">
        <v>183</v>
      </c>
      <c r="AO710" s="14">
        <v>444</v>
      </c>
      <c r="AP710" s="14">
        <v>336</v>
      </c>
      <c r="AQ710" s="14">
        <v>908</v>
      </c>
    </row>
    <row r="711" spans="28:43" x14ac:dyDescent="0.25">
      <c r="AB711" s="14">
        <v>622</v>
      </c>
      <c r="AH711" s="14">
        <v>331</v>
      </c>
      <c r="AM711" s="14">
        <v>914</v>
      </c>
      <c r="AN711" s="14">
        <v>47</v>
      </c>
      <c r="AO711" s="14">
        <v>378</v>
      </c>
      <c r="AP711" s="14">
        <v>328</v>
      </c>
      <c r="AQ711" s="14">
        <v>303</v>
      </c>
    </row>
    <row r="712" spans="28:43" x14ac:dyDescent="0.25">
      <c r="AB712" s="14">
        <v>520</v>
      </c>
      <c r="AH712" s="14">
        <v>289</v>
      </c>
      <c r="AM712" s="14">
        <v>120</v>
      </c>
      <c r="AN712" s="14">
        <v>74</v>
      </c>
      <c r="AO712" s="14">
        <v>13</v>
      </c>
      <c r="AP712" s="14">
        <v>615</v>
      </c>
      <c r="AQ712" s="14">
        <v>152</v>
      </c>
    </row>
    <row r="713" spans="28:43" x14ac:dyDescent="0.25">
      <c r="AB713" s="14">
        <v>642</v>
      </c>
      <c r="AH713" s="14">
        <v>760</v>
      </c>
      <c r="AM713" s="14">
        <v>957</v>
      </c>
      <c r="AN713" s="14">
        <v>574</v>
      </c>
      <c r="AO713" s="14">
        <v>18</v>
      </c>
      <c r="AP713" s="14">
        <v>573</v>
      </c>
      <c r="AQ713" s="14">
        <v>401</v>
      </c>
    </row>
    <row r="714" spans="28:43" x14ac:dyDescent="0.25">
      <c r="AB714" s="14">
        <v>655</v>
      </c>
      <c r="AH714" s="14">
        <v>35</v>
      </c>
      <c r="AM714" s="14">
        <v>907</v>
      </c>
      <c r="AN714" s="14">
        <v>655</v>
      </c>
      <c r="AO714" s="14">
        <v>102</v>
      </c>
      <c r="AP714" s="14">
        <v>155</v>
      </c>
      <c r="AQ714" s="14">
        <v>521</v>
      </c>
    </row>
    <row r="715" spans="28:43" x14ac:dyDescent="0.25">
      <c r="AB715" s="14">
        <v>446</v>
      </c>
      <c r="AH715" s="14">
        <v>82</v>
      </c>
      <c r="AM715" s="14">
        <v>914</v>
      </c>
      <c r="AN715" s="14">
        <v>169</v>
      </c>
      <c r="AO715" s="14">
        <v>14</v>
      </c>
      <c r="AP715" s="14">
        <v>3</v>
      </c>
      <c r="AQ715" s="14">
        <v>836</v>
      </c>
    </row>
    <row r="716" spans="28:43" x14ac:dyDescent="0.25">
      <c r="AB716" s="14">
        <v>658</v>
      </c>
      <c r="AH716" s="14">
        <v>168</v>
      </c>
      <c r="AM716" s="14">
        <v>123</v>
      </c>
      <c r="AN716" s="14">
        <v>60</v>
      </c>
      <c r="AO716" s="14">
        <v>21</v>
      </c>
      <c r="AP716" s="14">
        <v>5</v>
      </c>
      <c r="AQ716" s="14">
        <v>124</v>
      </c>
    </row>
    <row r="717" spans="28:43" x14ac:dyDescent="0.25">
      <c r="AB717" s="14">
        <v>320</v>
      </c>
      <c r="AH717" s="14">
        <v>196</v>
      </c>
      <c r="AM717" s="14">
        <v>930</v>
      </c>
      <c r="AN717" s="14">
        <v>680</v>
      </c>
      <c r="AO717" s="14">
        <v>104</v>
      </c>
      <c r="AP717" s="14">
        <v>10</v>
      </c>
      <c r="AQ717" s="14">
        <v>477</v>
      </c>
    </row>
    <row r="718" spans="28:43" x14ac:dyDescent="0.25">
      <c r="AB718" s="14">
        <v>445</v>
      </c>
      <c r="AH718" s="14">
        <v>657</v>
      </c>
      <c r="AM718" s="14">
        <v>962</v>
      </c>
      <c r="AN718" s="14">
        <v>750</v>
      </c>
      <c r="AO718" s="14">
        <v>114</v>
      </c>
      <c r="AP718" s="14">
        <v>5</v>
      </c>
      <c r="AQ718" s="14">
        <v>109</v>
      </c>
    </row>
    <row r="719" spans="28:43" x14ac:dyDescent="0.25">
      <c r="AB719" s="14">
        <v>514</v>
      </c>
      <c r="AH719" s="14">
        <v>280</v>
      </c>
      <c r="AM719" s="14">
        <v>939</v>
      </c>
      <c r="AN719" s="14">
        <v>820</v>
      </c>
      <c r="AO719" s="14">
        <v>122</v>
      </c>
      <c r="AP719" s="14">
        <v>3</v>
      </c>
      <c r="AQ719" s="14">
        <v>619</v>
      </c>
    </row>
    <row r="720" spans="28:43" x14ac:dyDescent="0.25">
      <c r="AB720" s="14">
        <v>455</v>
      </c>
      <c r="AH720" s="14">
        <v>707</v>
      </c>
      <c r="AM720" s="14">
        <v>114</v>
      </c>
      <c r="AN720" s="14">
        <v>880</v>
      </c>
      <c r="AO720" s="14">
        <v>129</v>
      </c>
      <c r="AP720" s="14">
        <v>2</v>
      </c>
      <c r="AQ720" s="14">
        <v>375</v>
      </c>
    </row>
    <row r="721" spans="28:43" x14ac:dyDescent="0.25">
      <c r="AB721" s="14">
        <v>430</v>
      </c>
      <c r="AH721" s="14">
        <v>338</v>
      </c>
      <c r="AM721" s="14">
        <v>943</v>
      </c>
      <c r="AN721" s="14">
        <v>419</v>
      </c>
      <c r="AO721" s="14">
        <v>126</v>
      </c>
      <c r="AP721" s="14">
        <v>4</v>
      </c>
      <c r="AQ721" s="14">
        <v>378</v>
      </c>
    </row>
    <row r="722" spans="28:43" x14ac:dyDescent="0.25">
      <c r="AB722" s="14">
        <v>617</v>
      </c>
      <c r="AH722" s="14">
        <v>495</v>
      </c>
      <c r="AM722" s="14">
        <v>954</v>
      </c>
      <c r="AN722" s="14">
        <v>409</v>
      </c>
      <c r="AO722" s="14">
        <v>136</v>
      </c>
      <c r="AP722" s="14">
        <v>1</v>
      </c>
      <c r="AQ722" s="14">
        <v>115</v>
      </c>
    </row>
    <row r="723" spans="28:43" x14ac:dyDescent="0.25">
      <c r="AB723" s="14">
        <v>540</v>
      </c>
      <c r="AH723" s="14">
        <v>139</v>
      </c>
      <c r="AM723" s="14">
        <v>981</v>
      </c>
      <c r="AN723" s="14">
        <v>403</v>
      </c>
      <c r="AO723" s="14">
        <v>140</v>
      </c>
      <c r="AP723" s="14">
        <v>3</v>
      </c>
      <c r="AQ723" s="14">
        <v>278</v>
      </c>
    </row>
    <row r="724" spans="28:43" x14ac:dyDescent="0.25">
      <c r="AB724" s="14">
        <v>614</v>
      </c>
      <c r="AH724" s="14">
        <v>35</v>
      </c>
      <c r="AM724" s="14">
        <v>118</v>
      </c>
      <c r="AN724" s="14">
        <v>308</v>
      </c>
      <c r="AO724" s="14">
        <v>136</v>
      </c>
      <c r="AP724" s="14">
        <v>3</v>
      </c>
      <c r="AQ724" s="14">
        <v>384</v>
      </c>
    </row>
    <row r="725" spans="28:43" x14ac:dyDescent="0.25">
      <c r="AB725" s="14">
        <v>595</v>
      </c>
      <c r="AH725" s="14">
        <v>70</v>
      </c>
      <c r="AM725" s="14">
        <v>923</v>
      </c>
      <c r="AN725" s="14">
        <v>410</v>
      </c>
      <c r="AO725" s="14">
        <v>15</v>
      </c>
      <c r="AP725" s="14">
        <v>6</v>
      </c>
      <c r="AQ725" s="14">
        <v>202</v>
      </c>
    </row>
    <row r="726" spans="28:43" x14ac:dyDescent="0.25">
      <c r="AB726" s="14">
        <v>475</v>
      </c>
      <c r="AH726" s="14">
        <v>209</v>
      </c>
      <c r="AM726" s="14">
        <v>101</v>
      </c>
      <c r="AN726" s="14">
        <v>409</v>
      </c>
      <c r="AO726" s="14">
        <v>27</v>
      </c>
      <c r="AP726" s="14">
        <v>4</v>
      </c>
      <c r="AQ726" s="14">
        <v>461</v>
      </c>
    </row>
    <row r="727" spans="28:43" x14ac:dyDescent="0.25">
      <c r="AB727" s="14">
        <v>535</v>
      </c>
      <c r="AH727" s="14">
        <v>278</v>
      </c>
      <c r="AM727" s="14">
        <v>933</v>
      </c>
      <c r="AN727" s="14">
        <v>411</v>
      </c>
      <c r="AO727" s="14">
        <v>106</v>
      </c>
      <c r="AP727" s="14">
        <v>4</v>
      </c>
      <c r="AQ727" s="14">
        <v>965</v>
      </c>
    </row>
    <row r="728" spans="28:43" x14ac:dyDescent="0.25">
      <c r="AB728" s="14">
        <v>434</v>
      </c>
      <c r="AH728" s="14">
        <v>557</v>
      </c>
      <c r="AM728" s="14">
        <v>125</v>
      </c>
      <c r="AN728" s="14">
        <v>415</v>
      </c>
      <c r="AO728" s="14">
        <v>115</v>
      </c>
      <c r="AP728" s="14">
        <v>3</v>
      </c>
      <c r="AQ728" s="14">
        <v>149</v>
      </c>
    </row>
    <row r="729" spans="28:43" x14ac:dyDescent="0.25">
      <c r="AB729" s="14">
        <v>582</v>
      </c>
      <c r="AH729" s="14">
        <v>320</v>
      </c>
      <c r="AM729" s="14">
        <v>947</v>
      </c>
      <c r="AN729" s="14">
        <v>420</v>
      </c>
      <c r="AO729" s="14">
        <v>127</v>
      </c>
      <c r="AP729" s="14">
        <v>3</v>
      </c>
      <c r="AQ729" s="14">
        <v>232</v>
      </c>
    </row>
    <row r="730" spans="28:43" x14ac:dyDescent="0.25">
      <c r="AB730" s="14">
        <v>574</v>
      </c>
      <c r="AH730" s="14">
        <v>743</v>
      </c>
      <c r="AM730" s="14">
        <v>962</v>
      </c>
      <c r="AN730" s="14">
        <v>427</v>
      </c>
      <c r="AO730" s="14">
        <v>137</v>
      </c>
      <c r="AP730" s="14">
        <v>6</v>
      </c>
      <c r="AQ730" s="14">
        <v>790</v>
      </c>
    </row>
    <row r="731" spans="28:43" x14ac:dyDescent="0.25">
      <c r="AB731" s="14">
        <v>701</v>
      </c>
      <c r="AH731" s="14">
        <v>985</v>
      </c>
      <c r="AM731" s="14">
        <v>994</v>
      </c>
      <c r="AN731" s="14">
        <v>429</v>
      </c>
      <c r="AO731" s="14">
        <v>133</v>
      </c>
      <c r="AP731" s="14">
        <v>5</v>
      </c>
      <c r="AQ731" s="14">
        <v>207</v>
      </c>
    </row>
    <row r="732" spans="28:43" x14ac:dyDescent="0.25">
      <c r="AB732" s="14">
        <v>846</v>
      </c>
      <c r="AH732" s="14">
        <v>477</v>
      </c>
      <c r="AM732" s="14">
        <v>131</v>
      </c>
      <c r="AN732" s="14">
        <v>432</v>
      </c>
      <c r="AO732" s="14">
        <v>136</v>
      </c>
      <c r="AP732" s="14">
        <v>12</v>
      </c>
      <c r="AQ732" s="14">
        <v>117</v>
      </c>
    </row>
    <row r="733" spans="28:43" x14ac:dyDescent="0.25">
      <c r="AB733" s="14">
        <v>557</v>
      </c>
      <c r="AH733" s="14">
        <v>190</v>
      </c>
      <c r="AM733" s="14">
        <v>104</v>
      </c>
      <c r="AN733" s="14">
        <v>49</v>
      </c>
      <c r="AO733" s="14">
        <v>151</v>
      </c>
      <c r="AP733" s="14">
        <v>2</v>
      </c>
      <c r="AQ733" s="14">
        <v>744</v>
      </c>
    </row>
    <row r="734" spans="28:43" x14ac:dyDescent="0.25">
      <c r="AB734" s="14">
        <v>886</v>
      </c>
      <c r="AH734" s="14">
        <v>4</v>
      </c>
      <c r="AM734" s="14">
        <v>960</v>
      </c>
      <c r="AN734" s="14">
        <v>57</v>
      </c>
      <c r="AO734" s="14">
        <v>161</v>
      </c>
      <c r="AP734" s="14">
        <v>3</v>
      </c>
      <c r="AQ734" s="14">
        <v>698</v>
      </c>
    </row>
    <row r="735" spans="28:43" x14ac:dyDescent="0.25">
      <c r="AB735" s="14">
        <v>105</v>
      </c>
      <c r="AH735" s="14">
        <v>802</v>
      </c>
      <c r="AM735" s="14">
        <v>961</v>
      </c>
      <c r="AN735" s="14">
        <v>878</v>
      </c>
      <c r="AO735" s="14">
        <v>138</v>
      </c>
      <c r="AP735" s="14">
        <v>9</v>
      </c>
      <c r="AQ735" s="14">
        <v>212</v>
      </c>
    </row>
    <row r="736" spans="28:43" x14ac:dyDescent="0.25">
      <c r="AB736" s="14">
        <v>801</v>
      </c>
      <c r="AH736" s="14">
        <v>15</v>
      </c>
      <c r="AM736" s="14">
        <v>121</v>
      </c>
      <c r="AN736" s="14">
        <v>891</v>
      </c>
      <c r="AO736" s="14">
        <v>282</v>
      </c>
      <c r="AP736" s="14">
        <v>3</v>
      </c>
      <c r="AQ736" s="14">
        <v>391</v>
      </c>
    </row>
    <row r="737" spans="28:43" x14ac:dyDescent="0.25">
      <c r="AB737" s="14">
        <v>786</v>
      </c>
      <c r="AH737" s="14">
        <v>213</v>
      </c>
      <c r="AM737" s="14">
        <v>104</v>
      </c>
      <c r="AN737" s="14">
        <v>239</v>
      </c>
      <c r="AO737" s="14">
        <v>292</v>
      </c>
      <c r="AP737" s="14">
        <v>1</v>
      </c>
      <c r="AQ737" s="14">
        <v>217</v>
      </c>
    </row>
    <row r="738" spans="28:43" x14ac:dyDescent="0.25">
      <c r="AB738" s="14">
        <v>109</v>
      </c>
      <c r="AH738" s="14">
        <v>90</v>
      </c>
      <c r="AM738" s="14">
        <v>133</v>
      </c>
      <c r="AN738" s="14">
        <v>66</v>
      </c>
      <c r="AO738" s="14">
        <v>229</v>
      </c>
      <c r="AP738" s="14">
        <v>4</v>
      </c>
      <c r="AQ738" s="14">
        <v>772</v>
      </c>
    </row>
    <row r="739" spans="28:43" x14ac:dyDescent="0.25">
      <c r="AB739" s="14">
        <v>115</v>
      </c>
      <c r="AH739" s="14">
        <v>429</v>
      </c>
      <c r="AM739" s="14">
        <v>117</v>
      </c>
      <c r="AN739" s="14">
        <v>515</v>
      </c>
      <c r="AO739" s="14">
        <v>300</v>
      </c>
      <c r="AP739" s="14">
        <v>1</v>
      </c>
      <c r="AQ739" s="14">
        <v>519</v>
      </c>
    </row>
    <row r="740" spans="28:43" x14ac:dyDescent="0.25">
      <c r="AB740" s="14">
        <v>106</v>
      </c>
      <c r="AH740" s="14">
        <v>977</v>
      </c>
      <c r="AM740" s="14">
        <v>160</v>
      </c>
      <c r="AN740" s="14">
        <v>570</v>
      </c>
      <c r="AO740" s="14">
        <v>325</v>
      </c>
      <c r="AP740" s="14">
        <v>2</v>
      </c>
      <c r="AQ740" s="14">
        <v>108</v>
      </c>
    </row>
    <row r="741" spans="28:43" x14ac:dyDescent="0.25">
      <c r="AB741" s="14">
        <v>113</v>
      </c>
      <c r="AH741" s="14">
        <v>246</v>
      </c>
      <c r="AM741" s="14">
        <v>130</v>
      </c>
      <c r="AN741" s="14">
        <v>630</v>
      </c>
      <c r="AO741" s="14">
        <v>211</v>
      </c>
      <c r="AP741" s="14">
        <v>3</v>
      </c>
      <c r="AQ741" s="14">
        <v>302</v>
      </c>
    </row>
    <row r="742" spans="28:43" x14ac:dyDescent="0.25">
      <c r="AB742" s="14">
        <v>768</v>
      </c>
      <c r="AH742" s="14">
        <v>25</v>
      </c>
      <c r="AM742" s="14">
        <v>115</v>
      </c>
      <c r="AN742" s="14">
        <v>694</v>
      </c>
      <c r="AO742" s="14">
        <v>228</v>
      </c>
      <c r="AP742" s="14">
        <v>3</v>
      </c>
      <c r="AQ742" s="14">
        <v>480</v>
      </c>
    </row>
    <row r="743" spans="28:43" x14ac:dyDescent="0.25">
      <c r="AB743" s="14">
        <v>110</v>
      </c>
      <c r="AH743" s="14">
        <v>907</v>
      </c>
      <c r="AM743" s="14">
        <v>115</v>
      </c>
      <c r="AN743" s="14">
        <v>429</v>
      </c>
      <c r="AO743" s="14">
        <v>245</v>
      </c>
      <c r="AP743" s="14">
        <v>5</v>
      </c>
      <c r="AQ743" s="14">
        <v>556</v>
      </c>
    </row>
    <row r="744" spans="28:43" x14ac:dyDescent="0.25">
      <c r="AB744" s="14">
        <v>773</v>
      </c>
      <c r="AH744" s="14">
        <v>158</v>
      </c>
      <c r="AM744" s="14">
        <v>214</v>
      </c>
      <c r="AN744" s="14">
        <v>430</v>
      </c>
      <c r="AO744" s="14">
        <v>271</v>
      </c>
      <c r="AP744" s="14">
        <v>2</v>
      </c>
      <c r="AQ744" s="14">
        <v>273</v>
      </c>
    </row>
    <row r="745" spans="28:43" x14ac:dyDescent="0.25">
      <c r="AB745" s="14">
        <v>933</v>
      </c>
      <c r="AH745" s="14">
        <v>395</v>
      </c>
      <c r="AM745" s="14">
        <v>114</v>
      </c>
      <c r="AN745" s="14">
        <v>427</v>
      </c>
      <c r="AO745" s="14">
        <v>265</v>
      </c>
      <c r="AP745" s="14">
        <v>2</v>
      </c>
      <c r="AQ745" s="14">
        <v>544</v>
      </c>
    </row>
    <row r="746" spans="28:43" x14ac:dyDescent="0.25">
      <c r="AB746" s="14">
        <v>954</v>
      </c>
      <c r="AH746" s="14">
        <v>145</v>
      </c>
      <c r="AM746" s="14">
        <v>116</v>
      </c>
      <c r="AN746" s="14">
        <v>432</v>
      </c>
      <c r="AO746" s="14">
        <v>272</v>
      </c>
      <c r="AP746" s="14">
        <v>4</v>
      </c>
      <c r="AQ746" s="14">
        <v>306</v>
      </c>
    </row>
    <row r="747" spans="28:43" x14ac:dyDescent="0.25">
      <c r="AB747" s="14">
        <v>160</v>
      </c>
      <c r="AH747" s="14">
        <v>37</v>
      </c>
      <c r="AM747" s="14">
        <v>124</v>
      </c>
      <c r="AN747" s="14">
        <v>435</v>
      </c>
      <c r="AO747" s="14">
        <v>281</v>
      </c>
      <c r="AP747" s="14">
        <v>4</v>
      </c>
      <c r="AQ747" s="14">
        <v>243</v>
      </c>
    </row>
    <row r="748" spans="28:43" x14ac:dyDescent="0.25">
      <c r="AB748" s="14">
        <v>104</v>
      </c>
      <c r="AH748" s="14">
        <v>81</v>
      </c>
      <c r="AM748" s="14">
        <v>167</v>
      </c>
      <c r="AN748" s="14">
        <v>436</v>
      </c>
      <c r="AO748" s="14">
        <v>294</v>
      </c>
      <c r="AP748" s="14">
        <v>13</v>
      </c>
      <c r="AQ748" s="14">
        <v>229</v>
      </c>
    </row>
    <row r="749" spans="28:43" x14ac:dyDescent="0.25">
      <c r="AB749" s="14">
        <v>102</v>
      </c>
      <c r="AH749" s="14">
        <v>21</v>
      </c>
      <c r="AM749" s="14">
        <v>128</v>
      </c>
      <c r="AN749" s="14">
        <v>437</v>
      </c>
      <c r="AO749" s="14">
        <v>306</v>
      </c>
      <c r="AP749" s="14">
        <v>7</v>
      </c>
      <c r="AQ749" s="14">
        <v>605</v>
      </c>
    </row>
    <row r="750" spans="28:43" x14ac:dyDescent="0.25">
      <c r="AB750" s="14">
        <v>217</v>
      </c>
      <c r="AH750" s="14">
        <v>55</v>
      </c>
      <c r="AM750" s="14">
        <v>115</v>
      </c>
      <c r="AN750" s="14">
        <v>442</v>
      </c>
      <c r="AO750" s="14">
        <v>359</v>
      </c>
      <c r="AP750" s="14">
        <v>7</v>
      </c>
      <c r="AQ750" s="14">
        <v>693</v>
      </c>
    </row>
    <row r="751" spans="28:43" x14ac:dyDescent="0.25">
      <c r="AB751" s="14">
        <v>101</v>
      </c>
      <c r="AH751" s="14">
        <v>278</v>
      </c>
      <c r="AM751" s="14">
        <v>114</v>
      </c>
      <c r="AN751" s="14">
        <v>447</v>
      </c>
      <c r="AO751" s="14">
        <v>521</v>
      </c>
      <c r="AP751" s="14">
        <v>5</v>
      </c>
      <c r="AQ751" s="14">
        <v>745</v>
      </c>
    </row>
    <row r="752" spans="28:43" x14ac:dyDescent="0.25">
      <c r="AB752" s="14">
        <v>220</v>
      </c>
      <c r="AH752" s="14">
        <v>158</v>
      </c>
      <c r="AM752" s="14">
        <v>153</v>
      </c>
      <c r="AN752" s="14">
        <v>456</v>
      </c>
      <c r="AO752" s="14">
        <v>211</v>
      </c>
      <c r="AP752" s="14">
        <v>14</v>
      </c>
      <c r="AQ752" s="14">
        <v>210</v>
      </c>
    </row>
    <row r="753" spans="28:43" x14ac:dyDescent="0.25">
      <c r="AB753" s="14">
        <v>834</v>
      </c>
      <c r="AH753" s="14">
        <v>700</v>
      </c>
      <c r="AM753" s="14">
        <v>126</v>
      </c>
      <c r="AN753" s="14">
        <v>457</v>
      </c>
      <c r="AO753" s="14">
        <v>232</v>
      </c>
      <c r="AP753" s="14">
        <v>7</v>
      </c>
      <c r="AQ753" s="14">
        <v>140</v>
      </c>
    </row>
    <row r="754" spans="28:43" x14ac:dyDescent="0.25">
      <c r="AB754" s="14">
        <v>178</v>
      </c>
      <c r="AH754" s="14">
        <v>93</v>
      </c>
      <c r="AM754" s="14">
        <v>103</v>
      </c>
      <c r="AN754" s="14">
        <v>462</v>
      </c>
      <c r="AO754" s="14">
        <v>253</v>
      </c>
      <c r="AP754" s="14">
        <v>8</v>
      </c>
      <c r="AQ754" s="14">
        <v>324</v>
      </c>
    </row>
    <row r="755" spans="28:43" x14ac:dyDescent="0.25">
      <c r="AB755" s="14">
        <v>120</v>
      </c>
      <c r="AH755" s="14">
        <v>292</v>
      </c>
      <c r="AM755" s="14">
        <v>124</v>
      </c>
      <c r="AN755" s="14">
        <v>111</v>
      </c>
      <c r="AO755" s="14">
        <v>288</v>
      </c>
      <c r="AP755" s="14">
        <v>22</v>
      </c>
      <c r="AQ755" s="14">
        <v>569</v>
      </c>
    </row>
    <row r="756" spans="28:43" x14ac:dyDescent="0.25">
      <c r="AB756" s="14">
        <v>837</v>
      </c>
      <c r="AH756" s="14">
        <v>139</v>
      </c>
      <c r="AM756" s="14">
        <v>153</v>
      </c>
      <c r="AN756" s="14">
        <v>106</v>
      </c>
      <c r="AO756" s="14">
        <v>294</v>
      </c>
      <c r="AP756" s="14">
        <v>13</v>
      </c>
      <c r="AQ756" s="14">
        <v>991</v>
      </c>
    </row>
    <row r="757" spans="28:43" x14ac:dyDescent="0.25">
      <c r="AB757" s="14">
        <v>179</v>
      </c>
      <c r="AH757" s="14">
        <v>908</v>
      </c>
      <c r="AM757" s="14">
        <v>126</v>
      </c>
      <c r="AN757" s="14">
        <v>850</v>
      </c>
      <c r="AO757" s="14">
        <v>306</v>
      </c>
      <c r="AP757" s="14">
        <v>7</v>
      </c>
      <c r="AQ757" s="14">
        <v>824</v>
      </c>
    </row>
    <row r="758" spans="28:43" x14ac:dyDescent="0.25">
      <c r="AB758" s="14">
        <v>121</v>
      </c>
      <c r="AH758" s="14">
        <v>251</v>
      </c>
      <c r="AM758" s="14">
        <v>108</v>
      </c>
      <c r="AN758" s="14">
        <v>83</v>
      </c>
      <c r="AO758" s="14">
        <v>332</v>
      </c>
      <c r="AP758" s="14">
        <v>7</v>
      </c>
      <c r="AQ758" s="14">
        <v>517</v>
      </c>
    </row>
    <row r="759" spans="28:43" x14ac:dyDescent="0.25">
      <c r="AB759" s="14">
        <v>950</v>
      </c>
      <c r="AH759" s="14">
        <v>60</v>
      </c>
      <c r="AM759" s="14">
        <v>109</v>
      </c>
      <c r="AN759" s="14">
        <v>460</v>
      </c>
      <c r="AO759" s="14">
        <v>360</v>
      </c>
      <c r="AP759" s="14">
        <v>5</v>
      </c>
      <c r="AQ759" s="14">
        <v>998</v>
      </c>
    </row>
    <row r="760" spans="28:43" x14ac:dyDescent="0.25">
      <c r="AB760" s="14">
        <v>827</v>
      </c>
      <c r="AH760" s="14">
        <v>297</v>
      </c>
      <c r="AM760" s="14">
        <v>161</v>
      </c>
      <c r="AN760" s="14">
        <v>459</v>
      </c>
      <c r="AO760" s="14">
        <v>245</v>
      </c>
      <c r="AP760" s="14">
        <v>14</v>
      </c>
      <c r="AQ760" s="14">
        <v>575</v>
      </c>
    </row>
    <row r="761" spans="28:43" x14ac:dyDescent="0.25">
      <c r="AB761" s="14">
        <v>102</v>
      </c>
      <c r="AH761" s="14">
        <v>52</v>
      </c>
      <c r="AM761" s="14">
        <v>112</v>
      </c>
      <c r="AN761" s="14">
        <v>462</v>
      </c>
      <c r="AO761" s="14">
        <v>5</v>
      </c>
      <c r="AP761" s="14">
        <v>7</v>
      </c>
      <c r="AQ761" s="14">
        <v>450</v>
      </c>
    </row>
    <row r="762" spans="28:43" x14ac:dyDescent="0.25">
      <c r="AB762" s="14">
        <v>213</v>
      </c>
      <c r="AH762" s="14">
        <v>961</v>
      </c>
      <c r="AM762" s="14">
        <v>112</v>
      </c>
      <c r="AN762" s="14">
        <v>469</v>
      </c>
      <c r="AO762" s="14">
        <v>5</v>
      </c>
      <c r="AP762" s="14">
        <v>8</v>
      </c>
      <c r="AQ762" s="14">
        <v>428</v>
      </c>
    </row>
    <row r="763" spans="28:43" x14ac:dyDescent="0.25">
      <c r="AB763" s="14">
        <v>136</v>
      </c>
      <c r="AH763" s="14">
        <v>982</v>
      </c>
      <c r="AM763" s="14">
        <v>110</v>
      </c>
      <c r="AN763" s="14">
        <v>258</v>
      </c>
      <c r="AO763" s="14">
        <v>39</v>
      </c>
      <c r="AP763" s="14">
        <v>22</v>
      </c>
      <c r="AQ763" s="14">
        <v>115</v>
      </c>
    </row>
    <row r="764" spans="28:43" x14ac:dyDescent="0.25">
      <c r="AB764" s="14">
        <v>211</v>
      </c>
      <c r="AH764" s="14">
        <v>532</v>
      </c>
      <c r="AM764" s="14">
        <v>150</v>
      </c>
      <c r="AN764" s="14">
        <v>247</v>
      </c>
      <c r="AO764" s="14">
        <v>5</v>
      </c>
      <c r="AP764" s="14">
        <v>15</v>
      </c>
      <c r="AQ764" s="14">
        <v>163</v>
      </c>
    </row>
    <row r="765" spans="28:43" x14ac:dyDescent="0.25">
      <c r="AB765" s="14">
        <v>114</v>
      </c>
      <c r="AH765" s="14">
        <v>254</v>
      </c>
      <c r="AM765" s="14">
        <v>115</v>
      </c>
      <c r="AN765" s="14">
        <v>254</v>
      </c>
      <c r="AO765" s="14">
        <v>5</v>
      </c>
      <c r="AP765" s="14">
        <v>7</v>
      </c>
      <c r="AQ765" s="14">
        <v>921</v>
      </c>
    </row>
    <row r="766" spans="28:43" x14ac:dyDescent="0.25">
      <c r="AB766" s="14">
        <v>643</v>
      </c>
      <c r="AH766" s="14">
        <v>277</v>
      </c>
      <c r="AM766" s="14">
        <v>106</v>
      </c>
      <c r="AN766" s="14">
        <v>263</v>
      </c>
      <c r="AO766" s="14">
        <v>41</v>
      </c>
      <c r="AP766" s="14">
        <v>5</v>
      </c>
      <c r="AQ766" s="14">
        <v>333</v>
      </c>
    </row>
    <row r="767" spans="28:43" x14ac:dyDescent="0.25">
      <c r="AB767" s="14">
        <v>258</v>
      </c>
      <c r="AH767" s="14">
        <v>275</v>
      </c>
      <c r="AM767" s="14">
        <v>112</v>
      </c>
      <c r="AN767" s="14">
        <v>259</v>
      </c>
      <c r="AO767" s="14">
        <v>43</v>
      </c>
      <c r="AP767" s="14">
        <v>15</v>
      </c>
      <c r="AQ767" s="14">
        <v>219</v>
      </c>
    </row>
    <row r="768" spans="28:43" x14ac:dyDescent="0.25">
      <c r="AB768" s="14">
        <v>554</v>
      </c>
      <c r="AH768" s="14">
        <v>402</v>
      </c>
      <c r="AM768" s="14">
        <v>132</v>
      </c>
      <c r="AN768" s="14">
        <v>253</v>
      </c>
      <c r="AO768" s="14">
        <v>47</v>
      </c>
      <c r="AP768" s="14">
        <v>8</v>
      </c>
      <c r="AQ768" s="14">
        <v>688</v>
      </c>
    </row>
    <row r="769" spans="28:43" x14ac:dyDescent="0.25">
      <c r="AB769" s="14">
        <v>151</v>
      </c>
      <c r="AH769" s="14">
        <v>281</v>
      </c>
      <c r="AM769" s="14">
        <v>113</v>
      </c>
      <c r="AN769" s="14">
        <v>257</v>
      </c>
      <c r="AO769" s="14">
        <v>50</v>
      </c>
      <c r="AP769" s="14">
        <v>8</v>
      </c>
      <c r="AQ769" s="14">
        <v>185</v>
      </c>
    </row>
    <row r="770" spans="28:43" x14ac:dyDescent="0.25">
      <c r="AB770" s="14">
        <v>102</v>
      </c>
      <c r="AH770" s="14">
        <v>107</v>
      </c>
      <c r="AM770" s="14">
        <v>101</v>
      </c>
      <c r="AN770" s="14">
        <v>263</v>
      </c>
      <c r="AO770" s="14">
        <v>48</v>
      </c>
      <c r="AP770" s="14">
        <v>23</v>
      </c>
      <c r="AQ770" s="14">
        <v>846</v>
      </c>
    </row>
    <row r="771" spans="28:43" x14ac:dyDescent="0.25">
      <c r="AB771" s="14">
        <v>952</v>
      </c>
      <c r="AH771" s="14">
        <v>610</v>
      </c>
      <c r="AM771" s="14">
        <v>992</v>
      </c>
      <c r="AN771" s="14">
        <v>270</v>
      </c>
      <c r="AO771" s="14">
        <v>49</v>
      </c>
      <c r="AP771" s="14">
        <v>10</v>
      </c>
      <c r="AQ771" s="14">
        <v>836</v>
      </c>
    </row>
    <row r="772" spans="28:43" x14ac:dyDescent="0.25">
      <c r="AB772" s="14">
        <v>211</v>
      </c>
      <c r="AH772" s="14">
        <v>253</v>
      </c>
      <c r="AM772" s="14">
        <v>128</v>
      </c>
      <c r="AN772" s="14">
        <v>277</v>
      </c>
      <c r="AO772" s="14">
        <v>50</v>
      </c>
      <c r="AQ772" s="14">
        <v>151</v>
      </c>
    </row>
    <row r="773" spans="28:43" x14ac:dyDescent="0.25">
      <c r="AB773" s="14">
        <v>100</v>
      </c>
      <c r="AH773" s="14">
        <v>276</v>
      </c>
      <c r="AM773" s="14">
        <v>103</v>
      </c>
      <c r="AN773" s="14">
        <v>269</v>
      </c>
      <c r="AO773" s="14">
        <v>52</v>
      </c>
      <c r="AQ773" s="14">
        <v>26</v>
      </c>
    </row>
    <row r="774" spans="28:43" x14ac:dyDescent="0.25">
      <c r="AB774" s="14">
        <v>232</v>
      </c>
      <c r="AH774" s="14">
        <v>274</v>
      </c>
      <c r="AM774" s="14">
        <v>986</v>
      </c>
      <c r="AN774" s="14">
        <v>265</v>
      </c>
      <c r="AO774" s="14">
        <v>53</v>
      </c>
      <c r="AQ774" s="14">
        <v>22</v>
      </c>
    </row>
    <row r="775" spans="28:43" x14ac:dyDescent="0.25">
      <c r="AB775" s="14">
        <v>936</v>
      </c>
      <c r="AH775" s="14">
        <v>401</v>
      </c>
      <c r="AM775" s="14">
        <v>992</v>
      </c>
      <c r="AN775" s="14">
        <v>54</v>
      </c>
      <c r="AO775" s="14">
        <v>6</v>
      </c>
      <c r="AQ775" s="14">
        <v>11</v>
      </c>
    </row>
    <row r="776" spans="28:43" x14ac:dyDescent="0.25">
      <c r="AB776" s="14">
        <v>195</v>
      </c>
      <c r="AH776" s="14">
        <v>280</v>
      </c>
      <c r="AM776" s="14">
        <v>133</v>
      </c>
      <c r="AN776" s="14">
        <v>75</v>
      </c>
      <c r="AO776" s="14">
        <v>9</v>
      </c>
      <c r="AQ776" s="14">
        <v>112</v>
      </c>
    </row>
    <row r="777" spans="28:43" x14ac:dyDescent="0.25">
      <c r="AB777" s="14">
        <v>130</v>
      </c>
      <c r="AH777" s="14">
        <v>455</v>
      </c>
      <c r="AM777" s="14">
        <v>100</v>
      </c>
      <c r="AN777" s="14">
        <v>435</v>
      </c>
      <c r="AO777" s="14">
        <v>39</v>
      </c>
      <c r="AQ777" s="14">
        <v>132</v>
      </c>
    </row>
    <row r="778" spans="28:43" x14ac:dyDescent="0.25">
      <c r="AB778" s="14">
        <v>899</v>
      </c>
      <c r="AH778" s="14">
        <v>109</v>
      </c>
      <c r="AM778" s="14">
        <v>104</v>
      </c>
      <c r="AN778" s="14">
        <v>465</v>
      </c>
      <c r="AO778" s="14">
        <v>42</v>
      </c>
      <c r="AQ778" s="14">
        <v>5</v>
      </c>
    </row>
    <row r="779" spans="28:43" x14ac:dyDescent="0.25">
      <c r="AB779" s="14">
        <v>189</v>
      </c>
      <c r="AH779" s="14">
        <v>592</v>
      </c>
      <c r="AM779" s="14">
        <v>101</v>
      </c>
      <c r="AN779" s="14">
        <v>244</v>
      </c>
      <c r="AO779" s="14">
        <v>47</v>
      </c>
      <c r="AQ779" s="14">
        <v>26</v>
      </c>
    </row>
    <row r="780" spans="28:43" x14ac:dyDescent="0.25">
      <c r="AB780" s="14">
        <v>126</v>
      </c>
      <c r="AH780" s="14">
        <v>282</v>
      </c>
      <c r="AM780" s="14">
        <v>124</v>
      </c>
      <c r="AN780" s="14">
        <v>86</v>
      </c>
      <c r="AO780" s="14">
        <v>52</v>
      </c>
      <c r="AQ780" s="14">
        <v>343</v>
      </c>
    </row>
    <row r="781" spans="28:43" x14ac:dyDescent="0.25">
      <c r="AB781" s="14">
        <v>893</v>
      </c>
      <c r="AH781" s="14">
        <v>309</v>
      </c>
      <c r="AM781" s="14">
        <v>102</v>
      </c>
      <c r="AN781" s="14">
        <v>509</v>
      </c>
      <c r="AO781" s="14">
        <v>52</v>
      </c>
      <c r="AQ781" s="14">
        <v>277</v>
      </c>
    </row>
    <row r="782" spans="28:43" x14ac:dyDescent="0.25">
      <c r="AB782" s="14">
        <v>700</v>
      </c>
      <c r="AH782" s="14">
        <v>306</v>
      </c>
      <c r="AM782" s="14">
        <v>103</v>
      </c>
      <c r="AN782" s="14">
        <v>491</v>
      </c>
      <c r="AO782" s="14">
        <v>53</v>
      </c>
      <c r="AQ782" s="14">
        <v>20</v>
      </c>
    </row>
    <row r="783" spans="28:43" x14ac:dyDescent="0.25">
      <c r="AB783" s="14">
        <v>950</v>
      </c>
      <c r="AH783" s="14">
        <v>446</v>
      </c>
      <c r="AM783" s="14">
        <v>106</v>
      </c>
      <c r="AN783" s="14">
        <v>493</v>
      </c>
      <c r="AO783" s="14">
        <v>58</v>
      </c>
      <c r="AQ783" s="14">
        <v>16</v>
      </c>
    </row>
    <row r="784" spans="28:43" x14ac:dyDescent="0.25">
      <c r="AB784" s="14">
        <v>211</v>
      </c>
      <c r="AH784" s="14">
        <v>313136</v>
      </c>
      <c r="AM784" s="14">
        <v>127</v>
      </c>
      <c r="AN784" s="14">
        <v>512</v>
      </c>
      <c r="AO784" s="14">
        <v>63</v>
      </c>
      <c r="AQ784" s="14">
        <v>33</v>
      </c>
    </row>
    <row r="785" spans="28:43" x14ac:dyDescent="0.25">
      <c r="AB785" s="14">
        <v>117</v>
      </c>
      <c r="AH785" s="14">
        <v>20</v>
      </c>
      <c r="AM785" s="14">
        <v>998</v>
      </c>
      <c r="AN785" s="14">
        <v>331</v>
      </c>
      <c r="AO785" s="14">
        <v>44</v>
      </c>
      <c r="AQ785" s="14">
        <v>34</v>
      </c>
    </row>
    <row r="786" spans="28:43" x14ac:dyDescent="0.25">
      <c r="AB786" s="14">
        <v>213</v>
      </c>
      <c r="AH786" s="14">
        <v>123</v>
      </c>
      <c r="AM786" s="14">
        <v>109</v>
      </c>
      <c r="AN786" s="14">
        <v>316</v>
      </c>
      <c r="AO786" s="14">
        <v>303</v>
      </c>
      <c r="AQ786" s="14">
        <v>279</v>
      </c>
    </row>
    <row r="787" spans="28:43" x14ac:dyDescent="0.25">
      <c r="AB787" s="14">
        <v>117</v>
      </c>
      <c r="AH787" s="14">
        <v>114</v>
      </c>
      <c r="AM787" s="14">
        <v>100</v>
      </c>
      <c r="AN787" s="14">
        <v>313</v>
      </c>
      <c r="AO787" s="14">
        <v>316</v>
      </c>
      <c r="AQ787" s="14">
        <v>117</v>
      </c>
    </row>
    <row r="788" spans="28:43" x14ac:dyDescent="0.25">
      <c r="AB788" s="14">
        <v>650</v>
      </c>
      <c r="AH788" s="14">
        <v>123</v>
      </c>
      <c r="AM788" s="14">
        <v>134</v>
      </c>
      <c r="AN788" s="14">
        <v>306</v>
      </c>
      <c r="AO788" s="14">
        <v>251</v>
      </c>
      <c r="AQ788" s="14">
        <v>121</v>
      </c>
    </row>
    <row r="789" spans="28:43" x14ac:dyDescent="0.25">
      <c r="AB789" s="14">
        <v>248</v>
      </c>
      <c r="AH789" s="14">
        <v>118</v>
      </c>
      <c r="AM789" s="14">
        <v>101</v>
      </c>
      <c r="AN789" s="14">
        <v>310</v>
      </c>
      <c r="AO789" s="14">
        <v>319</v>
      </c>
      <c r="AQ789" s="14">
        <v>177</v>
      </c>
    </row>
    <row r="790" spans="28:43" x14ac:dyDescent="0.25">
      <c r="AB790" s="14">
        <v>536</v>
      </c>
      <c r="AH790" s="14">
        <v>136</v>
      </c>
      <c r="AM790" s="14">
        <v>103</v>
      </c>
      <c r="AN790" s="14">
        <v>296</v>
      </c>
      <c r="AO790" s="14">
        <v>348</v>
      </c>
      <c r="AQ790" s="14">
        <v>56</v>
      </c>
    </row>
    <row r="791" spans="28:43" x14ac:dyDescent="0.25">
      <c r="AB791" s="14">
        <v>243</v>
      </c>
      <c r="AH791" s="14">
        <v>20</v>
      </c>
      <c r="AM791" s="14">
        <v>107</v>
      </c>
      <c r="AN791" s="14">
        <v>297</v>
      </c>
      <c r="AO791" s="14">
        <v>225</v>
      </c>
      <c r="AQ791" s="14">
        <v>12</v>
      </c>
    </row>
    <row r="792" spans="28:43" x14ac:dyDescent="0.25">
      <c r="AB792" s="14">
        <v>165</v>
      </c>
      <c r="AH792" s="14">
        <v>122</v>
      </c>
      <c r="AM792" s="14">
        <v>140</v>
      </c>
      <c r="AN792" s="14">
        <v>298</v>
      </c>
      <c r="AO792" s="14">
        <v>246</v>
      </c>
      <c r="AQ792" s="14">
        <v>13</v>
      </c>
    </row>
    <row r="793" spans="28:43" x14ac:dyDescent="0.25">
      <c r="AB793" s="14">
        <v>156</v>
      </c>
      <c r="AH793" s="14">
        <v>113</v>
      </c>
      <c r="AM793" s="14">
        <v>111</v>
      </c>
      <c r="AN793" s="14">
        <v>299</v>
      </c>
      <c r="AO793" s="14">
        <v>262</v>
      </c>
      <c r="AQ793" s="14">
        <v>308</v>
      </c>
    </row>
    <row r="794" spans="28:43" x14ac:dyDescent="0.25">
      <c r="AB794" s="14">
        <v>343</v>
      </c>
      <c r="AH794" s="14">
        <v>120</v>
      </c>
      <c r="AM794" s="14">
        <v>103</v>
      </c>
      <c r="AN794" s="14">
        <v>301</v>
      </c>
      <c r="AO794" s="14">
        <v>283</v>
      </c>
      <c r="AQ794" s="14">
        <v>306</v>
      </c>
    </row>
    <row r="795" spans="28:43" x14ac:dyDescent="0.25">
      <c r="AB795" s="14">
        <v>163</v>
      </c>
      <c r="AH795" s="14">
        <v>115</v>
      </c>
      <c r="AM795" s="14">
        <v>103</v>
      </c>
      <c r="AN795" s="14">
        <v>302</v>
      </c>
      <c r="AO795" s="14">
        <v>271</v>
      </c>
      <c r="AQ795" s="14">
        <v>25</v>
      </c>
    </row>
    <row r="796" spans="28:43" x14ac:dyDescent="0.25">
      <c r="AB796" s="14">
        <v>367</v>
      </c>
      <c r="AH796" s="14">
        <v>1</v>
      </c>
      <c r="AM796" s="14">
        <v>129</v>
      </c>
      <c r="AN796" s="14">
        <v>303</v>
      </c>
      <c r="AO796" s="14">
        <v>276</v>
      </c>
      <c r="AQ796" s="14">
        <v>36</v>
      </c>
    </row>
    <row r="797" spans="28:43" x14ac:dyDescent="0.25">
      <c r="AB797" s="14">
        <v>150</v>
      </c>
      <c r="AH797" s="14">
        <v>135</v>
      </c>
      <c r="AM797" s="14">
        <v>112</v>
      </c>
      <c r="AN797" s="14">
        <v>145</v>
      </c>
      <c r="AO797" s="14">
        <v>292</v>
      </c>
      <c r="AQ797" s="14">
        <v>348</v>
      </c>
    </row>
    <row r="798" spans="28:43" x14ac:dyDescent="0.25">
      <c r="AB798" s="14">
        <v>316</v>
      </c>
      <c r="AH798" s="14">
        <v>19</v>
      </c>
      <c r="AM798" s="14">
        <v>136</v>
      </c>
      <c r="AN798" s="14">
        <v>160</v>
      </c>
      <c r="AO798" s="14">
        <v>303</v>
      </c>
      <c r="AQ798" s="14">
        <v>225</v>
      </c>
    </row>
    <row r="799" spans="28:43" x14ac:dyDescent="0.25">
      <c r="AB799" s="14">
        <v>214</v>
      </c>
      <c r="AH799" s="14">
        <v>120</v>
      </c>
      <c r="AM799" s="14">
        <v>120</v>
      </c>
      <c r="AN799" s="14">
        <v>130</v>
      </c>
      <c r="AO799" s="14">
        <v>317</v>
      </c>
      <c r="AQ799" s="14">
        <v>42</v>
      </c>
    </row>
    <row r="800" spans="28:43" x14ac:dyDescent="0.25">
      <c r="AB800" s="14">
        <v>147</v>
      </c>
      <c r="AH800" s="14">
        <v>111</v>
      </c>
      <c r="AM800" s="14">
        <v>163</v>
      </c>
      <c r="AN800" s="14">
        <v>148</v>
      </c>
      <c r="AO800" s="14">
        <v>369</v>
      </c>
      <c r="AQ800" s="14">
        <v>9</v>
      </c>
    </row>
    <row r="801" spans="28:43" x14ac:dyDescent="0.25">
      <c r="AB801" s="14">
        <v>310</v>
      </c>
      <c r="AH801" s="14">
        <v>121</v>
      </c>
      <c r="AM801" s="14">
        <v>133</v>
      </c>
      <c r="AN801" s="14">
        <v>35</v>
      </c>
      <c r="AO801" s="14">
        <v>539</v>
      </c>
      <c r="AQ801" s="14">
        <v>42</v>
      </c>
    </row>
    <row r="802" spans="28:43" x14ac:dyDescent="0.25">
      <c r="AB802" s="14">
        <v>209</v>
      </c>
      <c r="AH802" s="14">
        <v>117</v>
      </c>
      <c r="AM802" s="14">
        <v>118</v>
      </c>
      <c r="AN802" s="14">
        <v>105</v>
      </c>
      <c r="AO802" s="14">
        <v>232</v>
      </c>
      <c r="AQ802" s="14">
        <v>112</v>
      </c>
    </row>
    <row r="803" spans="28:43" x14ac:dyDescent="0.25">
      <c r="AB803" s="14">
        <v>128</v>
      </c>
      <c r="AH803" s="14">
        <v>11</v>
      </c>
      <c r="AM803" s="14">
        <v>117</v>
      </c>
      <c r="AN803" s="14">
        <v>52</v>
      </c>
      <c r="AO803" s="14">
        <v>252</v>
      </c>
      <c r="AQ803" s="14">
        <v>450</v>
      </c>
    </row>
    <row r="804" spans="28:43" x14ac:dyDescent="0.25">
      <c r="AB804" s="14">
        <v>117</v>
      </c>
      <c r="AH804" s="14">
        <v>152</v>
      </c>
      <c r="AM804" s="14">
        <v>219</v>
      </c>
      <c r="AN804" s="14">
        <v>51</v>
      </c>
      <c r="AO804" s="14">
        <v>276</v>
      </c>
      <c r="AQ804" s="14">
        <v>241</v>
      </c>
    </row>
    <row r="805" spans="28:43" x14ac:dyDescent="0.25">
      <c r="AB805" s="14">
        <v>150</v>
      </c>
      <c r="AH805" s="14">
        <v>20</v>
      </c>
      <c r="AM805" s="14">
        <v>117</v>
      </c>
      <c r="AN805" s="14">
        <v>52</v>
      </c>
      <c r="AO805" s="14">
        <v>305</v>
      </c>
      <c r="AQ805" s="14">
        <v>245</v>
      </c>
    </row>
    <row r="806" spans="28:43" x14ac:dyDescent="0.25">
      <c r="AB806" s="14">
        <v>353</v>
      </c>
      <c r="AH806" s="14">
        <v>120</v>
      </c>
      <c r="AM806" s="14">
        <v>119</v>
      </c>
      <c r="AN806" s="14">
        <v>53</v>
      </c>
      <c r="AO806" s="14">
        <v>297</v>
      </c>
      <c r="AQ806" s="14">
        <v>353</v>
      </c>
    </row>
    <row r="807" spans="28:43" x14ac:dyDescent="0.25">
      <c r="AB807" s="14">
        <v>187</v>
      </c>
      <c r="AH807" s="14">
        <v>112</v>
      </c>
      <c r="AM807" s="14">
        <v>128</v>
      </c>
      <c r="AN807" s="14">
        <v>52</v>
      </c>
      <c r="AO807" s="14">
        <v>310</v>
      </c>
      <c r="AQ807" s="14">
        <v>148</v>
      </c>
    </row>
    <row r="808" spans="28:43" x14ac:dyDescent="0.25">
      <c r="AB808" s="14">
        <v>353</v>
      </c>
      <c r="AH808" s="14">
        <v>122</v>
      </c>
      <c r="AM808" s="14">
        <v>172</v>
      </c>
      <c r="AN808" s="14">
        <v>51</v>
      </c>
      <c r="AO808" s="14">
        <v>340</v>
      </c>
      <c r="AQ808" s="14">
        <v>43</v>
      </c>
    </row>
    <row r="809" spans="28:43" x14ac:dyDescent="0.25">
      <c r="AB809" s="14">
        <v>189</v>
      </c>
      <c r="AH809" s="14">
        <v>119</v>
      </c>
      <c r="AM809" s="14">
        <v>131</v>
      </c>
      <c r="AN809" s="14">
        <v>52</v>
      </c>
      <c r="AO809" s="14">
        <v>366</v>
      </c>
      <c r="AQ809" s="14">
        <v>23</v>
      </c>
    </row>
    <row r="810" spans="28:43" x14ac:dyDescent="0.25">
      <c r="AB810" s="14">
        <v>101</v>
      </c>
      <c r="AH810" s="14">
        <v>11</v>
      </c>
      <c r="AM810" s="14">
        <v>118</v>
      </c>
      <c r="AN810" s="14">
        <v>75</v>
      </c>
      <c r="AO810" s="14">
        <v>313</v>
      </c>
      <c r="AQ810" s="14">
        <v>712</v>
      </c>
    </row>
    <row r="811" spans="28:43" x14ac:dyDescent="0.25">
      <c r="AB811" s="14">
        <v>382</v>
      </c>
      <c r="AH811" s="14">
        <v>23</v>
      </c>
      <c r="AM811" s="14">
        <v>117</v>
      </c>
      <c r="AN811" s="14">
        <v>240</v>
      </c>
      <c r="AO811" s="14">
        <v>12</v>
      </c>
      <c r="AQ811" s="14">
        <v>683</v>
      </c>
    </row>
    <row r="812" spans="28:43" x14ac:dyDescent="0.25">
      <c r="AB812" s="14">
        <v>927</v>
      </c>
      <c r="AH812" s="14">
        <v>145</v>
      </c>
      <c r="AM812" s="14">
        <v>157</v>
      </c>
      <c r="AN812" s="14">
        <v>418</v>
      </c>
      <c r="AO812" s="14">
        <v>9</v>
      </c>
      <c r="AQ812" s="14">
        <v>42</v>
      </c>
    </row>
    <row r="813" spans="28:43" x14ac:dyDescent="0.25">
      <c r="AB813" s="14">
        <v>459</v>
      </c>
      <c r="AH813" s="14">
        <v>20</v>
      </c>
      <c r="AM813" s="14">
        <v>129</v>
      </c>
      <c r="AN813" s="14">
        <v>537</v>
      </c>
      <c r="AO813" s="14">
        <v>92</v>
      </c>
      <c r="AQ813" s="14">
        <v>98</v>
      </c>
    </row>
    <row r="814" spans="28:43" x14ac:dyDescent="0.25">
      <c r="AB814" s="14">
        <v>316</v>
      </c>
      <c r="AH814" s="14">
        <v>120</v>
      </c>
      <c r="AM814" s="14">
        <v>106</v>
      </c>
      <c r="AN814" s="14">
        <v>19</v>
      </c>
      <c r="AO814" s="14">
        <v>13</v>
      </c>
      <c r="AQ814" s="14">
        <v>358</v>
      </c>
    </row>
    <row r="815" spans="28:43" x14ac:dyDescent="0.25">
      <c r="AB815" s="14">
        <v>283</v>
      </c>
      <c r="AH815" s="14">
        <v>111</v>
      </c>
      <c r="AM815" s="14">
        <v>127</v>
      </c>
      <c r="AN815" s="14">
        <v>107</v>
      </c>
      <c r="AO815" s="14">
        <v>10</v>
      </c>
      <c r="AQ815" s="14">
        <v>182</v>
      </c>
    </row>
    <row r="816" spans="28:43" x14ac:dyDescent="0.25">
      <c r="AB816" s="14">
        <v>604</v>
      </c>
      <c r="AH816" s="14">
        <v>122</v>
      </c>
      <c r="AM816" s="14">
        <v>157</v>
      </c>
      <c r="AN816" s="14">
        <v>11</v>
      </c>
      <c r="AO816" s="14">
        <v>85</v>
      </c>
      <c r="AQ816" s="14">
        <v>84</v>
      </c>
    </row>
    <row r="817" spans="28:43" x14ac:dyDescent="0.25">
      <c r="AB817" s="14">
        <v>314</v>
      </c>
      <c r="AH817" s="14">
        <v>128</v>
      </c>
      <c r="AM817" s="14">
        <v>129</v>
      </c>
      <c r="AN817" s="14">
        <v>44</v>
      </c>
      <c r="AO817" s="14">
        <v>94</v>
      </c>
      <c r="AQ817" s="14">
        <v>10</v>
      </c>
    </row>
    <row r="818" spans="28:43" x14ac:dyDescent="0.25">
      <c r="AB818" s="14">
        <v>689</v>
      </c>
      <c r="AH818" s="14">
        <v>11</v>
      </c>
      <c r="AM818" s="14">
        <v>111</v>
      </c>
      <c r="AN818" s="14">
        <v>50</v>
      </c>
      <c r="AO818" s="14">
        <v>100</v>
      </c>
      <c r="AQ818" s="14">
        <v>67</v>
      </c>
    </row>
    <row r="819" spans="28:43" x14ac:dyDescent="0.25">
      <c r="AB819" s="14">
        <v>280</v>
      </c>
      <c r="AH819" s="14">
        <v>779</v>
      </c>
      <c r="AM819" s="14">
        <v>112</v>
      </c>
      <c r="AN819" s="14">
        <v>47</v>
      </c>
      <c r="AO819" s="14">
        <v>105</v>
      </c>
      <c r="AQ819" s="14">
        <v>154</v>
      </c>
    </row>
    <row r="820" spans="28:43" x14ac:dyDescent="0.25">
      <c r="AB820" s="14">
        <v>602</v>
      </c>
      <c r="AH820" s="14">
        <v>154</v>
      </c>
      <c r="AM820" s="14">
        <v>166</v>
      </c>
      <c r="AN820" s="14">
        <v>57</v>
      </c>
      <c r="AO820" s="14">
        <v>101</v>
      </c>
      <c r="AQ820" s="14">
        <v>858</v>
      </c>
    </row>
    <row r="821" spans="28:43" x14ac:dyDescent="0.25">
      <c r="AB821" s="14">
        <v>413</v>
      </c>
      <c r="AH821" s="14">
        <v>209</v>
      </c>
      <c r="AM821" s="14">
        <v>115</v>
      </c>
      <c r="AN821" s="14">
        <v>50</v>
      </c>
      <c r="AO821" s="14">
        <v>102</v>
      </c>
      <c r="AQ821" s="14">
        <v>498</v>
      </c>
    </row>
    <row r="822" spans="28:43" x14ac:dyDescent="0.25">
      <c r="AB822" s="14">
        <v>274</v>
      </c>
      <c r="AH822" s="14">
        <v>195</v>
      </c>
      <c r="AM822" s="14">
        <v>116</v>
      </c>
      <c r="AN822" s="14">
        <v>60</v>
      </c>
      <c r="AO822" s="14">
        <v>108</v>
      </c>
      <c r="AQ822" s="14">
        <v>505</v>
      </c>
    </row>
    <row r="823" spans="28:43" x14ac:dyDescent="0.25">
      <c r="AB823" s="14">
        <v>582</v>
      </c>
      <c r="AH823" s="14">
        <v>206</v>
      </c>
      <c r="AM823" s="14">
        <v>113</v>
      </c>
      <c r="AN823" s="14">
        <v>50</v>
      </c>
      <c r="AO823" s="14">
        <v>111</v>
      </c>
      <c r="AQ823" s="14">
        <v>827</v>
      </c>
    </row>
    <row r="824" spans="28:43" x14ac:dyDescent="0.25">
      <c r="AB824" s="14">
        <v>395</v>
      </c>
      <c r="AH824" s="14">
        <v>196</v>
      </c>
      <c r="AM824" s="14">
        <v>154</v>
      </c>
      <c r="AN824" s="14">
        <v>61</v>
      </c>
      <c r="AO824" s="14">
        <v>117</v>
      </c>
      <c r="AQ824" s="14">
        <v>435</v>
      </c>
    </row>
    <row r="825" spans="28:43" x14ac:dyDescent="0.25">
      <c r="AB825" s="14">
        <v>238</v>
      </c>
      <c r="AH825" s="14">
        <v>1</v>
      </c>
      <c r="AM825" s="14">
        <v>118</v>
      </c>
      <c r="AN825" s="14">
        <v>573</v>
      </c>
      <c r="AO825" s="14">
        <v>14</v>
      </c>
      <c r="AQ825" s="14">
        <v>108</v>
      </c>
    </row>
    <row r="826" spans="28:43" x14ac:dyDescent="0.25">
      <c r="AB826" s="14">
        <v>220</v>
      </c>
      <c r="AH826" s="14">
        <v>151</v>
      </c>
      <c r="AM826" s="14">
        <v>109</v>
      </c>
      <c r="AN826" s="14">
        <v>755</v>
      </c>
      <c r="AO826" s="14">
        <v>87</v>
      </c>
      <c r="AQ826" s="14">
        <v>66</v>
      </c>
    </row>
    <row r="827" spans="28:43" x14ac:dyDescent="0.25">
      <c r="AB827" s="14">
        <v>285</v>
      </c>
      <c r="AH827" s="14">
        <v>208</v>
      </c>
      <c r="AM827" s="14">
        <v>115</v>
      </c>
      <c r="AN827" s="14">
        <v>579</v>
      </c>
      <c r="AO827" s="14">
        <v>95</v>
      </c>
      <c r="AQ827" s="14">
        <v>167</v>
      </c>
    </row>
    <row r="828" spans="28:43" x14ac:dyDescent="0.25">
      <c r="AB828" s="14">
        <v>674</v>
      </c>
      <c r="AH828" s="14">
        <v>192</v>
      </c>
      <c r="AM828" s="14">
        <v>135</v>
      </c>
      <c r="AN828" s="14">
        <v>17</v>
      </c>
      <c r="AO828" s="14">
        <v>104</v>
      </c>
      <c r="AQ828" s="14">
        <v>137</v>
      </c>
    </row>
    <row r="829" spans="28:43" x14ac:dyDescent="0.25">
      <c r="AB829" s="14">
        <v>357</v>
      </c>
      <c r="AH829" s="14">
        <v>210</v>
      </c>
      <c r="AM829" s="14">
        <v>117</v>
      </c>
      <c r="AN829" s="14">
        <v>86</v>
      </c>
      <c r="AO829" s="14">
        <v>112</v>
      </c>
      <c r="AQ829" s="14">
        <v>60</v>
      </c>
    </row>
    <row r="830" spans="28:43" x14ac:dyDescent="0.25">
      <c r="AB830" s="14">
        <v>689</v>
      </c>
      <c r="AH830" s="14">
        <v>201</v>
      </c>
      <c r="AM830" s="14">
        <v>104</v>
      </c>
      <c r="AN830" s="14">
        <v>5</v>
      </c>
      <c r="AO830" s="14">
        <v>109</v>
      </c>
      <c r="AQ830" s="14">
        <v>143</v>
      </c>
    </row>
    <row r="831" spans="28:43" x14ac:dyDescent="0.25">
      <c r="AB831" s="14">
        <v>367</v>
      </c>
      <c r="AH831" s="14">
        <v>18</v>
      </c>
      <c r="AM831" s="14">
        <v>102</v>
      </c>
      <c r="AN831" s="14">
        <v>72</v>
      </c>
      <c r="AO831" s="14">
        <v>114</v>
      </c>
      <c r="AQ831" s="14">
        <v>865</v>
      </c>
    </row>
    <row r="832" spans="28:43" x14ac:dyDescent="0.25">
      <c r="AB832" s="14">
        <v>189</v>
      </c>
      <c r="AH832" s="14">
        <v>147</v>
      </c>
      <c r="AM832" s="14">
        <v>132</v>
      </c>
      <c r="AN832" s="14">
        <v>79</v>
      </c>
      <c r="AO832" s="14">
        <v>126</v>
      </c>
      <c r="AQ832" s="14">
        <v>106</v>
      </c>
    </row>
    <row r="833" spans="28:43" x14ac:dyDescent="0.25">
      <c r="AB833" s="14">
        <v>750</v>
      </c>
      <c r="AH833" s="14">
        <v>20</v>
      </c>
      <c r="AM833" s="14">
        <v>106</v>
      </c>
      <c r="AN833" s="14">
        <v>74</v>
      </c>
      <c r="AO833" s="14">
        <v>134</v>
      </c>
      <c r="AQ833" s="14">
        <v>111</v>
      </c>
    </row>
    <row r="834" spans="28:43" x14ac:dyDescent="0.25">
      <c r="AB834" s="14">
        <v>187</v>
      </c>
      <c r="AH834" s="14">
        <v>121</v>
      </c>
      <c r="AM834" s="14">
        <v>102</v>
      </c>
      <c r="AN834" s="14">
        <v>85</v>
      </c>
      <c r="AO834" s="14">
        <v>119</v>
      </c>
      <c r="AQ834" s="14">
        <v>58</v>
      </c>
    </row>
    <row r="835" spans="28:43" x14ac:dyDescent="0.25">
      <c r="AB835" s="14">
        <v>543</v>
      </c>
      <c r="AH835" s="14">
        <v>114</v>
      </c>
      <c r="AM835" s="14">
        <v>102</v>
      </c>
      <c r="AN835" s="14">
        <v>76</v>
      </c>
      <c r="AO835" s="14">
        <v>937</v>
      </c>
      <c r="AQ835" s="14">
        <v>10</v>
      </c>
    </row>
    <row r="836" spans="28:43" x14ac:dyDescent="0.25">
      <c r="AB836" s="14">
        <v>392</v>
      </c>
      <c r="AH836" s="14">
        <v>124</v>
      </c>
      <c r="AM836" s="14">
        <v>137</v>
      </c>
      <c r="AN836" s="14">
        <v>91</v>
      </c>
      <c r="AO836" s="14">
        <v>56</v>
      </c>
      <c r="AQ836" s="14">
        <v>319</v>
      </c>
    </row>
    <row r="837" spans="28:43" x14ac:dyDescent="0.25">
      <c r="AB837" s="14">
        <v>276</v>
      </c>
      <c r="AH837" s="14">
        <v>120</v>
      </c>
      <c r="AM837" s="14">
        <v>103</v>
      </c>
      <c r="AN837" s="14">
        <v>78</v>
      </c>
      <c r="AO837" s="14">
        <v>723</v>
      </c>
      <c r="AQ837" s="14">
        <v>200</v>
      </c>
    </row>
    <row r="838" spans="28:43" x14ac:dyDescent="0.25">
      <c r="AB838" s="14">
        <v>577</v>
      </c>
      <c r="AH838" s="14">
        <v>23</v>
      </c>
      <c r="AM838" s="14">
        <v>108</v>
      </c>
      <c r="AN838" s="14">
        <v>93</v>
      </c>
      <c r="AO838" s="14">
        <v>43</v>
      </c>
      <c r="AQ838" s="14">
        <v>885</v>
      </c>
    </row>
    <row r="839" spans="28:43" x14ac:dyDescent="0.25">
      <c r="AB839" s="14">
        <v>363</v>
      </c>
      <c r="AM839" s="14">
        <v>105</v>
      </c>
      <c r="AN839" s="14">
        <v>879</v>
      </c>
      <c r="AO839" s="14">
        <v>326</v>
      </c>
      <c r="AQ839" s="14">
        <v>908</v>
      </c>
    </row>
    <row r="840" spans="28:43" x14ac:dyDescent="0.25">
      <c r="AB840" s="14">
        <v>776</v>
      </c>
      <c r="AM840" s="14">
        <v>127</v>
      </c>
      <c r="AN840" s="14">
        <v>988</v>
      </c>
      <c r="AO840" s="14">
        <v>107</v>
      </c>
      <c r="AQ840" s="14">
        <v>152</v>
      </c>
    </row>
    <row r="841" spans="28:43" x14ac:dyDescent="0.25">
      <c r="AB841" s="14">
        <v>343</v>
      </c>
      <c r="AM841" s="14">
        <v>105</v>
      </c>
      <c r="AN841" s="14">
        <v>975</v>
      </c>
      <c r="AO841" s="14">
        <v>63</v>
      </c>
      <c r="AQ841" s="14">
        <v>678</v>
      </c>
    </row>
    <row r="842" spans="28:43" x14ac:dyDescent="0.25">
      <c r="AB842" s="14">
        <v>737</v>
      </c>
      <c r="AM842" s="14">
        <v>106</v>
      </c>
      <c r="AN842" s="14">
        <v>28</v>
      </c>
      <c r="AO842" s="14">
        <v>772</v>
      </c>
      <c r="AQ842" s="14">
        <v>124</v>
      </c>
    </row>
    <row r="843" spans="28:43" x14ac:dyDescent="0.25">
      <c r="AB843" s="14">
        <v>505</v>
      </c>
      <c r="AM843" s="14">
        <v>110</v>
      </c>
      <c r="AN843" s="14">
        <v>60</v>
      </c>
      <c r="AO843" s="14">
        <v>45</v>
      </c>
      <c r="AQ843" s="14">
        <v>163</v>
      </c>
    </row>
    <row r="844" spans="28:43" x14ac:dyDescent="0.25">
      <c r="AB844" s="14">
        <v>318</v>
      </c>
      <c r="AM844" s="14">
        <v>131</v>
      </c>
      <c r="AN844" s="14">
        <v>57</v>
      </c>
      <c r="AO844" s="14">
        <v>226</v>
      </c>
      <c r="AQ844" s="14">
        <v>205</v>
      </c>
    </row>
    <row r="845" spans="28:43" x14ac:dyDescent="0.25">
      <c r="AB845" s="14">
        <v>678</v>
      </c>
      <c r="AM845" s="14">
        <v>103</v>
      </c>
      <c r="AN845" s="14">
        <v>64</v>
      </c>
      <c r="AO845" s="14">
        <v>251</v>
      </c>
      <c r="AQ845" s="14">
        <v>203</v>
      </c>
    </row>
    <row r="846" spans="28:43" x14ac:dyDescent="0.25">
      <c r="AB846" s="14">
        <v>460</v>
      </c>
      <c r="AM846" s="14">
        <v>113</v>
      </c>
      <c r="AN846" s="14">
        <v>60</v>
      </c>
      <c r="AO846" s="14">
        <v>273</v>
      </c>
      <c r="AQ846" s="14">
        <v>168</v>
      </c>
    </row>
    <row r="847" spans="28:43" x14ac:dyDescent="0.25">
      <c r="AB847" s="14">
        <v>269</v>
      </c>
      <c r="AM847" s="14">
        <v>104</v>
      </c>
      <c r="AN847" s="14">
        <v>65</v>
      </c>
      <c r="AO847" s="14">
        <v>295</v>
      </c>
      <c r="AQ847" s="14">
        <v>145</v>
      </c>
    </row>
    <row r="848" spans="28:43" x14ac:dyDescent="0.25">
      <c r="AB848" s="14">
        <v>292</v>
      </c>
      <c r="AM848" s="14">
        <v>138</v>
      </c>
      <c r="AN848" s="14">
        <v>79</v>
      </c>
      <c r="AO848" s="14">
        <v>293</v>
      </c>
      <c r="AQ848" s="14">
        <v>315</v>
      </c>
    </row>
    <row r="849" spans="28:43" x14ac:dyDescent="0.25">
      <c r="AB849" s="14">
        <v>364</v>
      </c>
      <c r="AM849" s="14">
        <v>106</v>
      </c>
      <c r="AN849" s="14">
        <v>68</v>
      </c>
      <c r="AO849" s="14">
        <v>305</v>
      </c>
      <c r="AQ849" s="14">
        <v>399</v>
      </c>
    </row>
    <row r="850" spans="28:43" x14ac:dyDescent="0.25">
      <c r="AB850" s="14">
        <v>840</v>
      </c>
      <c r="AM850" s="14">
        <v>108</v>
      </c>
      <c r="AN850" s="14">
        <v>74</v>
      </c>
      <c r="AO850" s="14">
        <v>322</v>
      </c>
      <c r="AQ850" s="14">
        <v>229</v>
      </c>
    </row>
    <row r="851" spans="28:43" x14ac:dyDescent="0.25">
      <c r="AB851" s="14">
        <v>386</v>
      </c>
      <c r="AM851" s="14">
        <v>111</v>
      </c>
      <c r="AN851" s="14">
        <v>24</v>
      </c>
      <c r="AO851" s="14">
        <v>337</v>
      </c>
      <c r="AQ851" s="14">
        <v>67</v>
      </c>
    </row>
    <row r="852" spans="28:43" x14ac:dyDescent="0.25">
      <c r="AB852" s="14">
        <v>918</v>
      </c>
      <c r="AM852" s="14">
        <v>145</v>
      </c>
      <c r="AN852" s="14">
        <v>128</v>
      </c>
      <c r="AO852" s="14">
        <v>453</v>
      </c>
      <c r="AQ852" s="14">
        <v>87</v>
      </c>
    </row>
    <row r="853" spans="28:43" x14ac:dyDescent="0.25">
      <c r="AB853" s="14">
        <v>436</v>
      </c>
      <c r="AM853" s="14">
        <v>115</v>
      </c>
      <c r="AN853" s="14">
        <v>8</v>
      </c>
      <c r="AO853" s="14">
        <v>115</v>
      </c>
      <c r="AQ853" s="14">
        <v>93</v>
      </c>
    </row>
    <row r="854" spans="28:43" x14ac:dyDescent="0.25">
      <c r="AB854" s="14">
        <v>199</v>
      </c>
      <c r="AM854" s="14">
        <v>108</v>
      </c>
      <c r="AN854" s="14">
        <v>70</v>
      </c>
      <c r="AO854" s="14">
        <v>65</v>
      </c>
      <c r="AQ854" s="14">
        <v>459</v>
      </c>
    </row>
    <row r="855" spans="28:43" x14ac:dyDescent="0.25">
      <c r="AB855" s="14">
        <v>933</v>
      </c>
      <c r="AM855" s="14">
        <v>109</v>
      </c>
      <c r="AN855" s="14">
        <v>75</v>
      </c>
      <c r="AO855" s="14">
        <v>963</v>
      </c>
      <c r="AQ855" s="14">
        <v>961</v>
      </c>
    </row>
    <row r="856" spans="28:43" x14ac:dyDescent="0.25">
      <c r="AB856" s="14">
        <v>225</v>
      </c>
      <c r="AM856" s="14">
        <v>134</v>
      </c>
      <c r="AN856" s="14">
        <v>73</v>
      </c>
      <c r="AO856" s="14">
        <v>41</v>
      </c>
      <c r="AQ856" s="14">
        <v>106</v>
      </c>
    </row>
    <row r="857" spans="28:43" x14ac:dyDescent="0.25">
      <c r="AB857" s="14">
        <v>668</v>
      </c>
      <c r="AM857" s="14">
        <v>117</v>
      </c>
      <c r="AN857" s="14">
        <v>84</v>
      </c>
      <c r="AO857" s="14">
        <v>233</v>
      </c>
      <c r="AQ857" s="14">
        <v>211</v>
      </c>
    </row>
    <row r="858" spans="28:43" x14ac:dyDescent="0.25">
      <c r="AB858" s="14">
        <v>43</v>
      </c>
      <c r="AM858" s="14">
        <v>929</v>
      </c>
      <c r="AN858" s="14">
        <v>78</v>
      </c>
      <c r="AO858" s="14">
        <v>256</v>
      </c>
      <c r="AQ858" s="14">
        <v>63</v>
      </c>
    </row>
    <row r="859" spans="28:43" x14ac:dyDescent="0.25">
      <c r="AB859" s="14">
        <v>504</v>
      </c>
      <c r="AM859" s="14">
        <v>102</v>
      </c>
      <c r="AN859" s="14">
        <v>97</v>
      </c>
      <c r="AO859" s="14">
        <v>288</v>
      </c>
      <c r="AQ859" s="14">
        <v>58</v>
      </c>
    </row>
    <row r="860" spans="28:43" x14ac:dyDescent="0.25">
      <c r="AB860" s="14">
        <v>92</v>
      </c>
      <c r="AM860" s="14">
        <v>129</v>
      </c>
      <c r="AN860" s="14">
        <v>86</v>
      </c>
      <c r="AO860" s="14">
        <v>318</v>
      </c>
      <c r="AQ860" s="14">
        <v>48</v>
      </c>
    </row>
    <row r="861" spans="28:43" x14ac:dyDescent="0.25">
      <c r="AB861" s="14">
        <v>15</v>
      </c>
      <c r="AM861" s="14">
        <v>106</v>
      </c>
      <c r="AN861" s="14">
        <v>98</v>
      </c>
      <c r="AO861" s="14">
        <v>318</v>
      </c>
      <c r="AQ861" s="14">
        <v>120</v>
      </c>
    </row>
    <row r="862" spans="28:43" x14ac:dyDescent="0.25">
      <c r="AB862" s="14">
        <v>627</v>
      </c>
      <c r="AM862" s="14">
        <v>994</v>
      </c>
      <c r="AN862" s="14">
        <v>434</v>
      </c>
      <c r="AO862" s="14">
        <v>339</v>
      </c>
      <c r="AQ862" s="14">
        <v>115</v>
      </c>
    </row>
    <row r="863" spans="28:43" x14ac:dyDescent="0.25">
      <c r="AB863" s="14">
        <v>127</v>
      </c>
      <c r="AM863" s="14">
        <v>992</v>
      </c>
      <c r="AN863" s="14">
        <v>452</v>
      </c>
      <c r="AO863" s="14">
        <v>372</v>
      </c>
      <c r="AQ863" s="14">
        <v>55</v>
      </c>
    </row>
    <row r="864" spans="28:43" x14ac:dyDescent="0.25">
      <c r="AB864" s="14">
        <v>113</v>
      </c>
      <c r="AM864" s="14">
        <v>100</v>
      </c>
      <c r="AN864" s="14">
        <v>570</v>
      </c>
      <c r="AO864" s="14">
        <v>408</v>
      </c>
      <c r="AQ864" s="14">
        <v>73</v>
      </c>
    </row>
    <row r="865" spans="28:43" x14ac:dyDescent="0.25">
      <c r="AB865" s="14">
        <v>729</v>
      </c>
      <c r="AM865" s="14">
        <v>110</v>
      </c>
      <c r="AN865" s="14">
        <v>46</v>
      </c>
      <c r="AO865" s="14">
        <v>563</v>
      </c>
      <c r="AQ865" s="14">
        <v>131</v>
      </c>
    </row>
    <row r="866" spans="28:43" x14ac:dyDescent="0.25">
      <c r="AB866" s="14">
        <v>114</v>
      </c>
      <c r="AM866" s="14">
        <v>138</v>
      </c>
      <c r="AN866" s="14">
        <v>64</v>
      </c>
      <c r="AO866" s="14">
        <v>35</v>
      </c>
      <c r="AQ866" s="14">
        <v>118</v>
      </c>
    </row>
    <row r="867" spans="28:43" x14ac:dyDescent="0.25">
      <c r="AB867" s="14">
        <v>964</v>
      </c>
      <c r="AM867" s="14">
        <v>114</v>
      </c>
      <c r="AN867" s="14">
        <v>80</v>
      </c>
      <c r="AO867" s="14">
        <v>2</v>
      </c>
      <c r="AQ867" s="14">
        <v>58</v>
      </c>
    </row>
    <row r="868" spans="28:43" x14ac:dyDescent="0.25">
      <c r="AB868" s="14">
        <v>949</v>
      </c>
      <c r="AM868" s="14">
        <v>107</v>
      </c>
      <c r="AN868" s="14">
        <v>91</v>
      </c>
      <c r="AO868" s="14">
        <v>24</v>
      </c>
      <c r="AQ868" s="14">
        <v>49</v>
      </c>
    </row>
    <row r="869" spans="28:43" x14ac:dyDescent="0.25">
      <c r="AB869" s="14">
        <v>132</v>
      </c>
      <c r="AM869" s="14">
        <v>106</v>
      </c>
      <c r="AN869" s="14">
        <v>112</v>
      </c>
      <c r="AO869" s="14">
        <v>1</v>
      </c>
      <c r="AQ869" s="14">
        <v>85</v>
      </c>
    </row>
    <row r="870" spans="28:43" x14ac:dyDescent="0.25">
      <c r="AB870" s="14">
        <v>115</v>
      </c>
      <c r="AM870" s="14">
        <v>159</v>
      </c>
      <c r="AN870" s="14">
        <v>99</v>
      </c>
      <c r="AO870" s="14">
        <v>118</v>
      </c>
      <c r="AQ870" s="14">
        <v>235</v>
      </c>
    </row>
    <row r="871" spans="28:43" x14ac:dyDescent="0.25">
      <c r="AB871" s="14">
        <v>101</v>
      </c>
      <c r="AM871" s="14">
        <v>259</v>
      </c>
      <c r="AN871" s="14">
        <v>121</v>
      </c>
      <c r="AO871" s="14">
        <v>41</v>
      </c>
      <c r="AQ871" s="14">
        <v>634</v>
      </c>
    </row>
    <row r="872" spans="28:43" x14ac:dyDescent="0.25">
      <c r="AB872" s="14">
        <v>958</v>
      </c>
      <c r="AM872" s="14">
        <v>104</v>
      </c>
      <c r="AN872" s="14">
        <v>106</v>
      </c>
      <c r="AO872" s="14">
        <v>2</v>
      </c>
      <c r="AQ872" s="14">
        <v>126</v>
      </c>
    </row>
    <row r="873" spans="28:43" x14ac:dyDescent="0.25">
      <c r="AB873" s="14">
        <v>857</v>
      </c>
      <c r="AM873" s="14">
        <v>115</v>
      </c>
      <c r="AN873" s="14">
        <v>128</v>
      </c>
      <c r="AO873" s="14">
        <v>26</v>
      </c>
      <c r="AQ873" s="14">
        <v>141</v>
      </c>
    </row>
    <row r="874" spans="28:43" x14ac:dyDescent="0.25">
      <c r="AB874" s="14">
        <v>973</v>
      </c>
      <c r="AM874" s="14">
        <v>143</v>
      </c>
      <c r="AN874" s="14">
        <v>130</v>
      </c>
      <c r="AO874" s="14">
        <v>1</v>
      </c>
      <c r="AQ874" s="14">
        <v>283</v>
      </c>
    </row>
    <row r="875" spans="28:43" x14ac:dyDescent="0.25">
      <c r="AB875" s="14">
        <v>790</v>
      </c>
      <c r="AM875" s="14">
        <v>118</v>
      </c>
      <c r="AN875" s="14">
        <v>182</v>
      </c>
      <c r="AO875" s="14">
        <v>85</v>
      </c>
      <c r="AQ875" s="14">
        <v>130</v>
      </c>
    </row>
    <row r="876" spans="28:43" x14ac:dyDescent="0.25">
      <c r="AB876" s="14">
        <v>990</v>
      </c>
      <c r="AM876" s="14">
        <v>112</v>
      </c>
      <c r="AN876" s="14">
        <v>270</v>
      </c>
      <c r="AO876" s="14">
        <v>93</v>
      </c>
      <c r="AQ876" s="14">
        <v>44</v>
      </c>
    </row>
    <row r="877" spans="28:43" x14ac:dyDescent="0.25">
      <c r="AB877" s="14">
        <v>117</v>
      </c>
      <c r="AM877" s="14">
        <v>112</v>
      </c>
      <c r="AN877" s="14">
        <v>47</v>
      </c>
      <c r="AO877" s="14">
        <v>101</v>
      </c>
      <c r="AQ877" s="14">
        <v>53</v>
      </c>
    </row>
    <row r="878" spans="28:43" x14ac:dyDescent="0.25">
      <c r="AB878" s="14">
        <v>603</v>
      </c>
      <c r="AM878" s="14">
        <v>160</v>
      </c>
      <c r="AN878" s="14">
        <v>15</v>
      </c>
      <c r="AO878" s="14">
        <v>107</v>
      </c>
      <c r="AQ878" s="14">
        <v>133</v>
      </c>
    </row>
    <row r="879" spans="28:43" x14ac:dyDescent="0.25">
      <c r="AB879" s="14">
        <v>36</v>
      </c>
      <c r="AM879" s="14">
        <v>257</v>
      </c>
      <c r="AN879" s="14">
        <v>149</v>
      </c>
      <c r="AO879" s="14">
        <v>106</v>
      </c>
      <c r="AQ879" s="14">
        <v>128</v>
      </c>
    </row>
    <row r="880" spans="28:43" x14ac:dyDescent="0.25">
      <c r="AB880" s="14">
        <v>505</v>
      </c>
      <c r="AM880" s="14">
        <v>5331</v>
      </c>
      <c r="AN880" s="14">
        <v>163</v>
      </c>
      <c r="AO880" s="14">
        <v>111</v>
      </c>
      <c r="AQ880" s="14">
        <v>95</v>
      </c>
    </row>
    <row r="881" spans="28:43" x14ac:dyDescent="0.25">
      <c r="AB881" s="14">
        <v>85</v>
      </c>
      <c r="AM881" s="14">
        <v>1</v>
      </c>
      <c r="AN881" s="14">
        <v>155</v>
      </c>
      <c r="AO881" s="14">
        <v>119</v>
      </c>
      <c r="AQ881" s="14">
        <v>94</v>
      </c>
    </row>
    <row r="882" spans="28:43" x14ac:dyDescent="0.25">
      <c r="AB882" s="14">
        <v>14</v>
      </c>
      <c r="AM882" s="14">
        <v>367</v>
      </c>
      <c r="AN882" s="14">
        <v>173</v>
      </c>
      <c r="AO882" s="14">
        <v>123</v>
      </c>
      <c r="AQ882" s="14">
        <v>134</v>
      </c>
    </row>
    <row r="883" spans="28:43" x14ac:dyDescent="0.25">
      <c r="AB883" s="14">
        <v>630</v>
      </c>
      <c r="AM883" s="14">
        <v>164</v>
      </c>
      <c r="AN883" s="14">
        <v>165</v>
      </c>
      <c r="AO883" s="14">
        <v>167</v>
      </c>
      <c r="AQ883" s="14">
        <v>115</v>
      </c>
    </row>
    <row r="884" spans="28:43" x14ac:dyDescent="0.25">
      <c r="AB884" s="14">
        <v>122</v>
      </c>
      <c r="AM884" s="14">
        <v>755</v>
      </c>
      <c r="AN884" s="14">
        <v>180</v>
      </c>
      <c r="AO884" s="14">
        <v>40</v>
      </c>
      <c r="AQ884" s="14">
        <v>118</v>
      </c>
    </row>
    <row r="885" spans="28:43" x14ac:dyDescent="0.25">
      <c r="AB885" s="14">
        <v>111</v>
      </c>
      <c r="AM885" s="14">
        <v>197</v>
      </c>
      <c r="AN885" s="14">
        <v>173</v>
      </c>
      <c r="AO885" s="14">
        <v>32</v>
      </c>
      <c r="AQ885" s="14">
        <v>37</v>
      </c>
    </row>
    <row r="886" spans="28:43" x14ac:dyDescent="0.25">
      <c r="AB886" s="14">
        <v>714</v>
      </c>
      <c r="AM886" s="14">
        <v>428</v>
      </c>
      <c r="AN886" s="14">
        <v>193</v>
      </c>
      <c r="AO886" s="14">
        <v>1</v>
      </c>
      <c r="AQ886" s="14">
        <v>102</v>
      </c>
    </row>
    <row r="887" spans="28:43" x14ac:dyDescent="0.25">
      <c r="AB887" s="14">
        <v>111</v>
      </c>
      <c r="AM887" s="14">
        <v>114</v>
      </c>
      <c r="AO887" s="14">
        <v>86</v>
      </c>
      <c r="AQ887" s="14">
        <v>358</v>
      </c>
    </row>
    <row r="888" spans="28:43" x14ac:dyDescent="0.25">
      <c r="AB888" s="14">
        <v>963</v>
      </c>
      <c r="AM888" s="14">
        <v>104</v>
      </c>
      <c r="AO888" s="14">
        <v>93</v>
      </c>
      <c r="AQ888" s="14">
        <v>802</v>
      </c>
    </row>
    <row r="889" spans="28:43" x14ac:dyDescent="0.25">
      <c r="AB889" s="14">
        <v>103</v>
      </c>
      <c r="AM889" s="14">
        <v>127</v>
      </c>
      <c r="AO889" s="14">
        <v>105</v>
      </c>
      <c r="AQ889" s="14">
        <v>239</v>
      </c>
    </row>
    <row r="890" spans="28:43" x14ac:dyDescent="0.25">
      <c r="AB890" s="14">
        <v>135</v>
      </c>
      <c r="AM890" s="14">
        <v>110</v>
      </c>
      <c r="AO890" s="14">
        <v>113</v>
      </c>
      <c r="AQ890" s="14">
        <v>253</v>
      </c>
    </row>
    <row r="891" spans="28:43" x14ac:dyDescent="0.25">
      <c r="AB891" s="14">
        <v>111</v>
      </c>
      <c r="AM891" s="14">
        <v>985</v>
      </c>
      <c r="AO891" s="14">
        <v>112</v>
      </c>
      <c r="AQ891" s="14">
        <v>448</v>
      </c>
    </row>
    <row r="892" spans="28:43" x14ac:dyDescent="0.25">
      <c r="AB892" s="14">
        <v>105</v>
      </c>
      <c r="AM892" s="14">
        <v>411</v>
      </c>
      <c r="AO892" s="14">
        <v>121</v>
      </c>
      <c r="AQ892" s="14">
        <v>315</v>
      </c>
    </row>
    <row r="893" spans="28:43" x14ac:dyDescent="0.25">
      <c r="AB893" s="14">
        <v>948</v>
      </c>
      <c r="AM893" s="14">
        <v>989</v>
      </c>
      <c r="AO893" s="14">
        <v>134</v>
      </c>
      <c r="AQ893" s="14">
        <v>102</v>
      </c>
    </row>
    <row r="894" spans="28:43" x14ac:dyDescent="0.25">
      <c r="AB894" s="14">
        <v>797</v>
      </c>
      <c r="AM894" s="14">
        <v>150</v>
      </c>
      <c r="AO894" s="14">
        <v>146</v>
      </c>
      <c r="AQ894" s="14">
        <v>93</v>
      </c>
    </row>
    <row r="895" spans="28:43" x14ac:dyDescent="0.25">
      <c r="AB895" s="14">
        <v>916</v>
      </c>
      <c r="AM895" s="14">
        <v>170</v>
      </c>
      <c r="AO895" s="14">
        <v>196</v>
      </c>
      <c r="AQ895" s="14">
        <v>243</v>
      </c>
    </row>
    <row r="896" spans="28:43" x14ac:dyDescent="0.25">
      <c r="AB896" s="14">
        <v>792</v>
      </c>
      <c r="AM896" s="14">
        <v>108</v>
      </c>
      <c r="AO896" s="14">
        <v>468</v>
      </c>
      <c r="AQ896" s="14">
        <v>248</v>
      </c>
    </row>
    <row r="897" spans="28:43" x14ac:dyDescent="0.25">
      <c r="AB897" s="14">
        <v>965</v>
      </c>
      <c r="AM897" s="14">
        <v>135</v>
      </c>
      <c r="AO897" s="14">
        <v>565</v>
      </c>
      <c r="AQ897" s="14">
        <v>183</v>
      </c>
    </row>
    <row r="898" spans="28:43" x14ac:dyDescent="0.25">
      <c r="AB898" s="14">
        <v>110</v>
      </c>
      <c r="AM898" s="14">
        <v>819</v>
      </c>
      <c r="AO898" s="14">
        <v>814</v>
      </c>
      <c r="AQ898" s="14">
        <v>229</v>
      </c>
    </row>
    <row r="899" spans="28:43" x14ac:dyDescent="0.25">
      <c r="AB899" s="14">
        <v>978</v>
      </c>
      <c r="AM899" s="14">
        <v>251</v>
      </c>
      <c r="AO899" s="14">
        <v>838</v>
      </c>
      <c r="AQ899" s="14">
        <v>211</v>
      </c>
    </row>
    <row r="900" spans="28:43" x14ac:dyDescent="0.25">
      <c r="AB900" s="14">
        <v>65</v>
      </c>
      <c r="AM900" s="14">
        <v>195</v>
      </c>
      <c r="AO900" s="14">
        <v>684</v>
      </c>
      <c r="AQ900" s="14">
        <v>202</v>
      </c>
    </row>
    <row r="901" spans="28:43" x14ac:dyDescent="0.25">
      <c r="AB901" s="14">
        <v>820</v>
      </c>
      <c r="AM901" s="14">
        <v>471</v>
      </c>
      <c r="AO901" s="14">
        <v>716</v>
      </c>
      <c r="AQ901" s="14">
        <v>216</v>
      </c>
    </row>
    <row r="902" spans="28:43" x14ac:dyDescent="0.25">
      <c r="AB902" s="14">
        <v>150</v>
      </c>
      <c r="AM902" s="14">
        <v>104</v>
      </c>
      <c r="AO902" s="14">
        <v>727</v>
      </c>
      <c r="AQ902" s="14">
        <v>62</v>
      </c>
    </row>
    <row r="903" spans="28:43" x14ac:dyDescent="0.25">
      <c r="AB903" s="14">
        <v>32</v>
      </c>
      <c r="AM903" s="14">
        <v>104</v>
      </c>
      <c r="AO903" s="14">
        <v>656</v>
      </c>
      <c r="AQ903" s="14">
        <v>150</v>
      </c>
    </row>
    <row r="904" spans="28:43" x14ac:dyDescent="0.25">
      <c r="AB904" s="14">
        <v>979</v>
      </c>
      <c r="AM904" s="14">
        <v>575</v>
      </c>
      <c r="AO904" s="14">
        <v>794</v>
      </c>
      <c r="AQ904" s="14">
        <v>517</v>
      </c>
    </row>
    <row r="905" spans="28:43" x14ac:dyDescent="0.25">
      <c r="AB905" s="14">
        <v>195</v>
      </c>
      <c r="AM905" s="14">
        <v>705</v>
      </c>
      <c r="AO905" s="14">
        <v>772</v>
      </c>
      <c r="AQ905" s="14">
        <v>162</v>
      </c>
    </row>
    <row r="906" spans="28:43" x14ac:dyDescent="0.25">
      <c r="AB906" s="14">
        <v>166</v>
      </c>
      <c r="AM906" s="14">
        <v>742</v>
      </c>
      <c r="AO906" s="14">
        <v>593</v>
      </c>
      <c r="AQ906" s="14">
        <v>506</v>
      </c>
    </row>
    <row r="907" spans="28:43" x14ac:dyDescent="0.25">
      <c r="AB907" s="14">
        <v>110</v>
      </c>
      <c r="AM907" s="14">
        <v>543</v>
      </c>
      <c r="AO907" s="14">
        <v>262</v>
      </c>
      <c r="AQ907" s="14">
        <v>532</v>
      </c>
    </row>
    <row r="908" spans="28:43" x14ac:dyDescent="0.25">
      <c r="AB908" s="14">
        <v>194</v>
      </c>
      <c r="AM908" s="14">
        <v>234</v>
      </c>
      <c r="AO908" s="14">
        <v>273</v>
      </c>
      <c r="AQ908" s="14">
        <v>191</v>
      </c>
    </row>
    <row r="909" spans="28:43" x14ac:dyDescent="0.25">
      <c r="AB909" s="14">
        <v>152</v>
      </c>
      <c r="AM909" s="14">
        <v>581</v>
      </c>
      <c r="AO909" s="14">
        <v>486</v>
      </c>
      <c r="AQ909" s="14">
        <v>945</v>
      </c>
    </row>
    <row r="910" spans="28:43" x14ac:dyDescent="0.25">
      <c r="AB910" s="14">
        <v>163</v>
      </c>
      <c r="AM910" s="14">
        <v>660</v>
      </c>
      <c r="AO910" s="14">
        <v>527</v>
      </c>
      <c r="AQ910" s="14">
        <v>244</v>
      </c>
    </row>
    <row r="911" spans="28:43" x14ac:dyDescent="0.25">
      <c r="AB911" s="14">
        <v>227</v>
      </c>
      <c r="AM911" s="14">
        <v>545</v>
      </c>
      <c r="AO911" s="14">
        <v>481</v>
      </c>
      <c r="AQ911" s="14">
        <v>236</v>
      </c>
    </row>
    <row r="912" spans="28:43" x14ac:dyDescent="0.25">
      <c r="AB912" s="14">
        <v>170</v>
      </c>
      <c r="AM912" s="14">
        <v>281</v>
      </c>
      <c r="AO912" s="14">
        <v>565</v>
      </c>
      <c r="AQ912" s="14">
        <v>534</v>
      </c>
    </row>
    <row r="913" spans="28:43" x14ac:dyDescent="0.25">
      <c r="AB913" s="14">
        <v>172</v>
      </c>
      <c r="AM913" s="14">
        <v>343</v>
      </c>
      <c r="AO913" s="14">
        <v>455</v>
      </c>
      <c r="AQ913" s="14">
        <v>555</v>
      </c>
    </row>
    <row r="914" spans="28:43" x14ac:dyDescent="0.25">
      <c r="AB914" s="14">
        <v>158</v>
      </c>
      <c r="AM914" s="14">
        <v>280</v>
      </c>
      <c r="AO914" s="14">
        <v>599</v>
      </c>
      <c r="AQ914" s="14">
        <v>418</v>
      </c>
    </row>
    <row r="915" spans="28:43" x14ac:dyDescent="0.25">
      <c r="AB915" s="14">
        <v>129</v>
      </c>
      <c r="AM915" s="14">
        <v>12</v>
      </c>
      <c r="AO915" s="14">
        <v>479</v>
      </c>
      <c r="AQ915" s="14">
        <v>362</v>
      </c>
    </row>
    <row r="916" spans="28:43" x14ac:dyDescent="0.25">
      <c r="AB916" s="14">
        <v>151</v>
      </c>
      <c r="AM916" s="14">
        <v>3</v>
      </c>
      <c r="AO916" s="14">
        <v>514</v>
      </c>
      <c r="AQ916" s="14">
        <v>455</v>
      </c>
    </row>
    <row r="917" spans="28:43" x14ac:dyDescent="0.25">
      <c r="AB917" s="14">
        <v>128</v>
      </c>
      <c r="AM917" s="14">
        <v>374</v>
      </c>
      <c r="AO917" s="14">
        <v>421</v>
      </c>
      <c r="AQ917" s="14">
        <v>513</v>
      </c>
    </row>
    <row r="918" spans="28:43" x14ac:dyDescent="0.25">
      <c r="AB918" s="14">
        <v>156</v>
      </c>
      <c r="AM918" s="14">
        <v>367</v>
      </c>
      <c r="AO918" s="14">
        <v>209</v>
      </c>
      <c r="AQ918" s="14">
        <v>285</v>
      </c>
    </row>
    <row r="919" spans="28:43" x14ac:dyDescent="0.25">
      <c r="AB919" s="14">
        <v>178</v>
      </c>
      <c r="AM919" s="14">
        <v>700</v>
      </c>
      <c r="AO919" s="14">
        <v>157</v>
      </c>
      <c r="AQ919" s="14">
        <v>188</v>
      </c>
    </row>
    <row r="920" spans="28:43" x14ac:dyDescent="0.25">
      <c r="AB920" s="14">
        <v>188</v>
      </c>
      <c r="AM920" s="14">
        <v>433</v>
      </c>
      <c r="AO920" s="14">
        <v>335</v>
      </c>
      <c r="AQ920" s="14">
        <v>20</v>
      </c>
    </row>
    <row r="921" spans="28:43" x14ac:dyDescent="0.25">
      <c r="AB921" s="14">
        <v>116</v>
      </c>
      <c r="AM921" s="14">
        <v>401</v>
      </c>
      <c r="AO921" s="14">
        <v>331</v>
      </c>
      <c r="AQ921" s="14">
        <v>111</v>
      </c>
    </row>
    <row r="922" spans="28:43" x14ac:dyDescent="0.25">
      <c r="AB922" s="14">
        <v>163</v>
      </c>
      <c r="AM922" s="14">
        <v>480</v>
      </c>
      <c r="AO922" s="14">
        <v>342</v>
      </c>
      <c r="AQ922" s="14">
        <v>415</v>
      </c>
    </row>
    <row r="923" spans="28:43" x14ac:dyDescent="0.25">
      <c r="AB923" s="14">
        <v>299</v>
      </c>
      <c r="AM923" s="14">
        <v>537</v>
      </c>
      <c r="AO923" s="14">
        <v>342</v>
      </c>
      <c r="AQ923" s="14">
        <v>925</v>
      </c>
    </row>
    <row r="924" spans="28:43" x14ac:dyDescent="0.25">
      <c r="AB924" s="14">
        <v>51</v>
      </c>
      <c r="AM924" s="14">
        <v>1</v>
      </c>
      <c r="AO924" s="14">
        <v>304</v>
      </c>
      <c r="AQ924" s="14">
        <v>101</v>
      </c>
    </row>
    <row r="925" spans="28:43" x14ac:dyDescent="0.25">
      <c r="AB925" s="14">
        <v>184</v>
      </c>
      <c r="AM925" s="14">
        <v>367</v>
      </c>
      <c r="AO925" s="14">
        <v>313</v>
      </c>
      <c r="AQ925" s="14">
        <v>318</v>
      </c>
    </row>
    <row r="926" spans="28:43" x14ac:dyDescent="0.25">
      <c r="AB926" s="14">
        <v>413</v>
      </c>
      <c r="AM926" s="14">
        <v>164</v>
      </c>
      <c r="AO926" s="14">
        <v>315</v>
      </c>
      <c r="AQ926" s="14">
        <v>151</v>
      </c>
    </row>
    <row r="927" spans="28:43" x14ac:dyDescent="0.25">
      <c r="AB927" s="14">
        <v>295</v>
      </c>
      <c r="AM927" s="14">
        <v>736</v>
      </c>
      <c r="AO927" s="14">
        <v>300</v>
      </c>
      <c r="AQ927" s="14">
        <v>324</v>
      </c>
    </row>
    <row r="928" spans="28:43" x14ac:dyDescent="0.25">
      <c r="AB928" s="14">
        <v>208</v>
      </c>
      <c r="AM928" s="14">
        <v>197</v>
      </c>
      <c r="AO928" s="14">
        <v>258</v>
      </c>
      <c r="AQ928" s="14">
        <v>545</v>
      </c>
    </row>
    <row r="929" spans="28:43" x14ac:dyDescent="0.25">
      <c r="AB929" s="14">
        <v>391</v>
      </c>
      <c r="AM929" s="14">
        <v>428</v>
      </c>
      <c r="AO929" s="14">
        <v>277</v>
      </c>
      <c r="AQ929" s="14">
        <v>106</v>
      </c>
    </row>
    <row r="930" spans="28:43" x14ac:dyDescent="0.25">
      <c r="AB930" s="14">
        <v>297</v>
      </c>
      <c r="AM930" s="14">
        <v>114</v>
      </c>
      <c r="AO930" s="14">
        <v>246</v>
      </c>
      <c r="AQ930" s="14">
        <v>117</v>
      </c>
    </row>
    <row r="931" spans="28:43" x14ac:dyDescent="0.25">
      <c r="AB931" s="14">
        <v>313</v>
      </c>
      <c r="AM931" s="14">
        <v>104</v>
      </c>
      <c r="AO931" s="14">
        <v>384</v>
      </c>
      <c r="AQ931" s="14">
        <v>892</v>
      </c>
    </row>
    <row r="932" spans="28:43" x14ac:dyDescent="0.25">
      <c r="AB932" s="14">
        <v>482</v>
      </c>
      <c r="AM932" s="14">
        <v>127</v>
      </c>
      <c r="AO932" s="14">
        <v>406</v>
      </c>
      <c r="AQ932" s="14">
        <v>472</v>
      </c>
    </row>
    <row r="933" spans="28:43" x14ac:dyDescent="0.25">
      <c r="AB933" s="14">
        <v>338</v>
      </c>
      <c r="AM933" s="14">
        <v>110</v>
      </c>
      <c r="AO933" s="14">
        <v>372</v>
      </c>
      <c r="AQ933" s="14">
        <v>114</v>
      </c>
    </row>
    <row r="934" spans="28:43" x14ac:dyDescent="0.25">
      <c r="AB934" s="14">
        <v>354</v>
      </c>
      <c r="AM934" s="14">
        <v>984</v>
      </c>
      <c r="AO934" s="14">
        <v>336</v>
      </c>
      <c r="AQ934" s="14">
        <v>136</v>
      </c>
    </row>
    <row r="935" spans="28:43" x14ac:dyDescent="0.25">
      <c r="AB935" s="14">
        <v>323</v>
      </c>
      <c r="AM935" s="14">
        <v>411</v>
      </c>
      <c r="AO935" s="14">
        <v>365</v>
      </c>
      <c r="AQ935" s="14">
        <v>609</v>
      </c>
    </row>
    <row r="936" spans="28:43" x14ac:dyDescent="0.25">
      <c r="AB936" s="14">
        <v>255</v>
      </c>
      <c r="AM936" s="14">
        <v>986</v>
      </c>
      <c r="AO936" s="14">
        <v>380</v>
      </c>
      <c r="AQ936" s="14">
        <v>320</v>
      </c>
    </row>
    <row r="937" spans="28:43" x14ac:dyDescent="0.25">
      <c r="AB937" s="14">
        <v>310</v>
      </c>
      <c r="AM937" s="14">
        <v>150</v>
      </c>
      <c r="AO937" s="14">
        <v>418</v>
      </c>
      <c r="AQ937" s="14">
        <v>201</v>
      </c>
    </row>
    <row r="938" spans="28:43" x14ac:dyDescent="0.25">
      <c r="AB938" s="14">
        <v>251</v>
      </c>
      <c r="AM938" s="14">
        <v>170</v>
      </c>
      <c r="AO938" s="14">
        <v>497</v>
      </c>
      <c r="AQ938" s="14">
        <v>197</v>
      </c>
    </row>
    <row r="939" spans="28:43" x14ac:dyDescent="0.25">
      <c r="AB939" s="14">
        <v>311</v>
      </c>
      <c r="AM939" s="14">
        <v>108</v>
      </c>
      <c r="AO939" s="14">
        <v>307</v>
      </c>
      <c r="AQ939" s="14">
        <v>14</v>
      </c>
    </row>
    <row r="940" spans="28:43" x14ac:dyDescent="0.25">
      <c r="AB940" s="14">
        <v>350</v>
      </c>
      <c r="AM940" s="14">
        <v>135</v>
      </c>
      <c r="AO940" s="14">
        <v>176</v>
      </c>
      <c r="AQ940" s="14">
        <v>135</v>
      </c>
    </row>
    <row r="941" spans="28:43" x14ac:dyDescent="0.25">
      <c r="AB941" s="14">
        <v>236</v>
      </c>
      <c r="AM941" s="14">
        <v>810</v>
      </c>
      <c r="AO941" s="14">
        <v>203</v>
      </c>
      <c r="AQ941" s="14">
        <v>192</v>
      </c>
    </row>
    <row r="942" spans="28:43" x14ac:dyDescent="0.25">
      <c r="AB942" s="14">
        <v>115</v>
      </c>
      <c r="AM942" s="14">
        <v>251</v>
      </c>
      <c r="AO942" s="14">
        <v>385</v>
      </c>
      <c r="AQ942" s="14">
        <v>449</v>
      </c>
    </row>
    <row r="943" spans="28:43" x14ac:dyDescent="0.25">
      <c r="AB943" s="14">
        <v>198</v>
      </c>
      <c r="AM943" s="14">
        <v>195</v>
      </c>
      <c r="AO943" s="14">
        <v>348</v>
      </c>
      <c r="AQ943" s="14">
        <v>162</v>
      </c>
    </row>
    <row r="944" spans="28:43" x14ac:dyDescent="0.25">
      <c r="AB944" s="14">
        <v>382</v>
      </c>
      <c r="AM944" s="14">
        <v>471</v>
      </c>
      <c r="AO944" s="14">
        <v>310</v>
      </c>
      <c r="AQ944" s="14">
        <v>645</v>
      </c>
    </row>
    <row r="945" spans="28:43" x14ac:dyDescent="0.25">
      <c r="AB945" s="14">
        <v>59</v>
      </c>
      <c r="AM945" s="14">
        <v>104</v>
      </c>
      <c r="AO945" s="14">
        <v>416</v>
      </c>
      <c r="AQ945" s="14">
        <v>316</v>
      </c>
    </row>
    <row r="946" spans="28:43" x14ac:dyDescent="0.25">
      <c r="AB946" s="14">
        <v>215</v>
      </c>
      <c r="AM946" s="14">
        <v>104</v>
      </c>
      <c r="AO946" s="14">
        <v>347</v>
      </c>
      <c r="AQ946" s="14">
        <v>633</v>
      </c>
    </row>
    <row r="947" spans="28:43" x14ac:dyDescent="0.25">
      <c r="AB947" s="14">
        <v>478</v>
      </c>
      <c r="AM947" s="14">
        <v>575</v>
      </c>
      <c r="AO947" s="14">
        <v>359</v>
      </c>
      <c r="AQ947" s="14">
        <v>911</v>
      </c>
    </row>
    <row r="948" spans="28:43" x14ac:dyDescent="0.25">
      <c r="AB948" s="14">
        <v>355</v>
      </c>
      <c r="AM948" s="14">
        <v>706</v>
      </c>
      <c r="AO948" s="14">
        <v>341</v>
      </c>
      <c r="AQ948" s="14">
        <v>567</v>
      </c>
    </row>
    <row r="949" spans="28:43" x14ac:dyDescent="0.25">
      <c r="AB949" s="14">
        <v>240</v>
      </c>
      <c r="AM949" s="14">
        <v>745</v>
      </c>
      <c r="AO949" s="14">
        <v>445</v>
      </c>
      <c r="AQ949" s="14">
        <v>266</v>
      </c>
    </row>
    <row r="950" spans="28:43" x14ac:dyDescent="0.25">
      <c r="AB950" s="14">
        <v>436</v>
      </c>
      <c r="AM950" s="14">
        <v>543</v>
      </c>
      <c r="AO950" s="14">
        <v>309</v>
      </c>
      <c r="AQ950" s="14">
        <v>639</v>
      </c>
    </row>
    <row r="951" spans="28:43" x14ac:dyDescent="0.25">
      <c r="AB951" s="14">
        <v>376</v>
      </c>
      <c r="AM951" s="14">
        <v>234</v>
      </c>
      <c r="AO951" s="14">
        <v>167</v>
      </c>
      <c r="AQ951" s="14">
        <v>882</v>
      </c>
    </row>
    <row r="952" spans="28:43" x14ac:dyDescent="0.25">
      <c r="AB952" s="14">
        <v>359</v>
      </c>
      <c r="AM952" s="14">
        <v>580</v>
      </c>
      <c r="AO952" s="14">
        <v>164</v>
      </c>
      <c r="AQ952" s="14">
        <v>145</v>
      </c>
    </row>
    <row r="953" spans="28:43" x14ac:dyDescent="0.25">
      <c r="AB953" s="14">
        <v>698</v>
      </c>
      <c r="AM953" s="14">
        <v>660</v>
      </c>
      <c r="AO953" s="14">
        <v>298</v>
      </c>
      <c r="AQ953" s="14">
        <v>47</v>
      </c>
    </row>
    <row r="954" spans="28:43" x14ac:dyDescent="0.25">
      <c r="AB954" s="14">
        <v>415</v>
      </c>
      <c r="AM954" s="14">
        <v>545</v>
      </c>
      <c r="AO954" s="14">
        <v>296</v>
      </c>
      <c r="AQ954" s="14">
        <v>158</v>
      </c>
    </row>
    <row r="955" spans="28:43" x14ac:dyDescent="0.25">
      <c r="AB955" s="14">
        <v>477</v>
      </c>
      <c r="AM955" s="14">
        <v>281</v>
      </c>
      <c r="AO955" s="14">
        <v>296</v>
      </c>
      <c r="AQ955" s="14">
        <v>308</v>
      </c>
    </row>
    <row r="956" spans="28:43" x14ac:dyDescent="0.25">
      <c r="AB956" s="14">
        <v>382</v>
      </c>
      <c r="AM956" s="14">
        <v>343</v>
      </c>
      <c r="AO956" s="14">
        <v>298</v>
      </c>
      <c r="AQ956" s="14">
        <v>493</v>
      </c>
    </row>
    <row r="957" spans="28:43" x14ac:dyDescent="0.25">
      <c r="AB957" s="14">
        <v>302</v>
      </c>
      <c r="AM957" s="14">
        <v>280</v>
      </c>
      <c r="AO957" s="14">
        <v>296</v>
      </c>
      <c r="AQ957" s="14">
        <v>179</v>
      </c>
    </row>
    <row r="958" spans="28:43" x14ac:dyDescent="0.25">
      <c r="AB958" s="14">
        <v>426</v>
      </c>
      <c r="AM958" s="14">
        <v>12</v>
      </c>
      <c r="AO958" s="14">
        <v>296</v>
      </c>
      <c r="AQ958" s="14">
        <v>657</v>
      </c>
    </row>
    <row r="959" spans="28:43" x14ac:dyDescent="0.25">
      <c r="AB959" s="14">
        <v>322</v>
      </c>
      <c r="AM959" s="14">
        <v>3</v>
      </c>
      <c r="AO959" s="14">
        <v>296</v>
      </c>
      <c r="AQ959" s="14">
        <v>318</v>
      </c>
    </row>
    <row r="960" spans="28:43" x14ac:dyDescent="0.25">
      <c r="AB960" s="14">
        <v>383</v>
      </c>
      <c r="AM960" s="14">
        <v>374</v>
      </c>
      <c r="AO960" s="14">
        <v>300</v>
      </c>
      <c r="AQ960" s="14">
        <v>884</v>
      </c>
    </row>
    <row r="961" spans="28:43" x14ac:dyDescent="0.25">
      <c r="AB961" s="14">
        <v>430</v>
      </c>
      <c r="AM961" s="14">
        <v>367</v>
      </c>
      <c r="AO961" s="14">
        <v>241</v>
      </c>
      <c r="AQ961" s="14">
        <v>105</v>
      </c>
    </row>
    <row r="962" spans="28:43" x14ac:dyDescent="0.25">
      <c r="AB962" s="14">
        <v>3</v>
      </c>
      <c r="AM962" s="14">
        <v>700</v>
      </c>
      <c r="AO962" s="14">
        <v>7</v>
      </c>
      <c r="AQ962" s="14">
        <v>599</v>
      </c>
    </row>
    <row r="963" spans="28:43" x14ac:dyDescent="0.25">
      <c r="AB963" s="14">
        <v>33</v>
      </c>
      <c r="AM963" s="14">
        <v>434</v>
      </c>
      <c r="AO963" s="14">
        <v>7</v>
      </c>
      <c r="AQ963" s="14">
        <v>284</v>
      </c>
    </row>
    <row r="964" spans="28:43" x14ac:dyDescent="0.25">
      <c r="AB964" s="14">
        <v>39</v>
      </c>
      <c r="AM964" s="14">
        <v>401</v>
      </c>
      <c r="AO964" s="14">
        <v>143</v>
      </c>
      <c r="AQ964" s="14">
        <v>915</v>
      </c>
    </row>
    <row r="965" spans="28:43" x14ac:dyDescent="0.25">
      <c r="AB965" s="14">
        <v>25</v>
      </c>
      <c r="AM965" s="14">
        <v>480</v>
      </c>
      <c r="AO965" s="14">
        <v>138</v>
      </c>
      <c r="AQ965" s="14">
        <v>101</v>
      </c>
    </row>
    <row r="966" spans="28:43" x14ac:dyDescent="0.25">
      <c r="AB966" s="14">
        <v>6</v>
      </c>
      <c r="AM966" s="14">
        <v>384</v>
      </c>
      <c r="AO966" s="14">
        <v>136</v>
      </c>
      <c r="AQ966" s="14">
        <v>230</v>
      </c>
    </row>
    <row r="967" spans="28:43" x14ac:dyDescent="0.25">
      <c r="AB967" s="14">
        <v>12</v>
      </c>
      <c r="AM967" s="14">
        <v>1</v>
      </c>
      <c r="AO967" s="14">
        <v>123</v>
      </c>
      <c r="AQ967" s="14">
        <v>41</v>
      </c>
    </row>
    <row r="968" spans="28:43" x14ac:dyDescent="0.25">
      <c r="AB968" s="14">
        <v>3</v>
      </c>
      <c r="AM968" s="14">
        <v>453</v>
      </c>
      <c r="AO968" s="14">
        <v>129</v>
      </c>
      <c r="AQ968" s="14">
        <v>317</v>
      </c>
    </row>
    <row r="969" spans="28:43" x14ac:dyDescent="0.25">
      <c r="AB969" s="14">
        <v>31</v>
      </c>
      <c r="AM969" s="14">
        <v>903</v>
      </c>
      <c r="AO969" s="14">
        <v>118</v>
      </c>
      <c r="AQ969" s="14">
        <v>682</v>
      </c>
    </row>
    <row r="970" spans="28:43" x14ac:dyDescent="0.25">
      <c r="AB970" s="14">
        <v>3</v>
      </c>
      <c r="AM970" s="14">
        <v>623</v>
      </c>
      <c r="AO970" s="14">
        <v>134</v>
      </c>
      <c r="AQ970" s="14">
        <v>949</v>
      </c>
    </row>
    <row r="971" spans="28:43" x14ac:dyDescent="0.25">
      <c r="AB971" s="14">
        <v>1</v>
      </c>
      <c r="AM971" s="14">
        <v>565</v>
      </c>
      <c r="AO971" s="14">
        <v>128</v>
      </c>
      <c r="AQ971" s="14">
        <v>336</v>
      </c>
    </row>
    <row r="972" spans="28:43" x14ac:dyDescent="0.25">
      <c r="AB972" s="14">
        <v>5</v>
      </c>
      <c r="AM972" s="14">
        <v>577</v>
      </c>
      <c r="AO972" s="14">
        <v>109</v>
      </c>
      <c r="AQ972" s="14">
        <v>123</v>
      </c>
    </row>
    <row r="973" spans="28:43" x14ac:dyDescent="0.25">
      <c r="AB973" s="14">
        <v>11</v>
      </c>
      <c r="AM973" s="14">
        <v>621</v>
      </c>
      <c r="AO973" s="14">
        <v>3</v>
      </c>
      <c r="AQ973" s="14">
        <v>656</v>
      </c>
    </row>
    <row r="974" spans="28:43" x14ac:dyDescent="0.25">
      <c r="AB974" s="14">
        <v>4</v>
      </c>
      <c r="AM974" s="14">
        <v>109</v>
      </c>
      <c r="AO974" s="14">
        <v>2</v>
      </c>
      <c r="AQ974" s="14">
        <v>208</v>
      </c>
    </row>
    <row r="975" spans="28:43" x14ac:dyDescent="0.25">
      <c r="AB975" s="14">
        <v>5</v>
      </c>
      <c r="AM975" s="14">
        <v>109</v>
      </c>
      <c r="AO975" s="14">
        <v>5</v>
      </c>
      <c r="AQ975" s="14">
        <v>203</v>
      </c>
    </row>
    <row r="976" spans="28:43" x14ac:dyDescent="0.25">
      <c r="AB976" s="14">
        <v>8</v>
      </c>
      <c r="AM976" s="14">
        <v>110</v>
      </c>
      <c r="AO976" s="14">
        <v>56</v>
      </c>
      <c r="AQ976" s="14">
        <v>109</v>
      </c>
    </row>
    <row r="977" spans="28:43" x14ac:dyDescent="0.25">
      <c r="AB977" s="14">
        <v>3</v>
      </c>
      <c r="AM977" s="14">
        <v>109</v>
      </c>
      <c r="AO977" s="14">
        <v>51</v>
      </c>
      <c r="AQ977" s="14">
        <v>570</v>
      </c>
    </row>
    <row r="978" spans="28:43" x14ac:dyDescent="0.25">
      <c r="AB978" s="14">
        <v>3</v>
      </c>
      <c r="AM978" s="14">
        <v>181</v>
      </c>
      <c r="AO978" s="14">
        <v>55</v>
      </c>
      <c r="AQ978" s="14">
        <v>214</v>
      </c>
    </row>
    <row r="979" spans="28:43" x14ac:dyDescent="0.25">
      <c r="AB979" s="14">
        <v>1</v>
      </c>
      <c r="AM979" s="14">
        <v>181</v>
      </c>
      <c r="AO979" s="14">
        <v>48</v>
      </c>
      <c r="AQ979" s="14">
        <v>199</v>
      </c>
    </row>
    <row r="980" spans="28:43" x14ac:dyDescent="0.25">
      <c r="AB980" s="14">
        <v>8</v>
      </c>
      <c r="AM980" s="14">
        <v>181</v>
      </c>
      <c r="AO980" s="14">
        <v>63</v>
      </c>
      <c r="AQ980" s="14">
        <v>516</v>
      </c>
    </row>
    <row r="981" spans="28:43" x14ac:dyDescent="0.25">
      <c r="AB981" s="14">
        <v>63</v>
      </c>
      <c r="AM981" s="14">
        <v>181</v>
      </c>
      <c r="AO981" s="14">
        <v>53</v>
      </c>
      <c r="AQ981" s="14">
        <v>68</v>
      </c>
    </row>
    <row r="982" spans="28:43" x14ac:dyDescent="0.25">
      <c r="AB982" s="14">
        <v>70</v>
      </c>
      <c r="AM982" s="14">
        <v>272</v>
      </c>
      <c r="AO982" s="14">
        <v>48</v>
      </c>
      <c r="AQ982" s="14">
        <v>744</v>
      </c>
    </row>
    <row r="983" spans="28:43" x14ac:dyDescent="0.25">
      <c r="AB983" s="14">
        <v>32</v>
      </c>
      <c r="AM983" s="14">
        <v>272</v>
      </c>
      <c r="AO983" s="14">
        <v>44</v>
      </c>
      <c r="AQ983" s="14">
        <v>203</v>
      </c>
    </row>
    <row r="984" spans="28:43" x14ac:dyDescent="0.25">
      <c r="AB984" s="14">
        <v>10</v>
      </c>
      <c r="AM984" s="14">
        <v>272</v>
      </c>
      <c r="AO984" s="14">
        <v>2</v>
      </c>
      <c r="AQ984" s="14">
        <v>191</v>
      </c>
    </row>
    <row r="985" spans="28:43" x14ac:dyDescent="0.25">
      <c r="AB985" s="14">
        <v>18</v>
      </c>
      <c r="AM985" s="14">
        <v>272</v>
      </c>
      <c r="AO985" s="14">
        <v>2</v>
      </c>
      <c r="AQ985" s="14">
        <v>798</v>
      </c>
    </row>
    <row r="986" spans="28:43" x14ac:dyDescent="0.25">
      <c r="AB986" s="14">
        <v>1</v>
      </c>
      <c r="AM986" s="14">
        <v>381</v>
      </c>
      <c r="AO986" s="14">
        <v>35</v>
      </c>
      <c r="AQ986" s="14">
        <v>251</v>
      </c>
    </row>
    <row r="987" spans="28:43" x14ac:dyDescent="0.25">
      <c r="AB987" s="14">
        <v>8</v>
      </c>
      <c r="AM987" s="14">
        <v>381</v>
      </c>
      <c r="AO987" s="14">
        <v>35</v>
      </c>
      <c r="AQ987" s="14">
        <v>141</v>
      </c>
    </row>
    <row r="988" spans="28:43" x14ac:dyDescent="0.25">
      <c r="AB988" s="14">
        <v>60</v>
      </c>
      <c r="AM988" s="14">
        <v>381</v>
      </c>
      <c r="AO988" s="14">
        <v>39</v>
      </c>
      <c r="AQ988" s="14">
        <v>566</v>
      </c>
    </row>
    <row r="989" spans="28:43" x14ac:dyDescent="0.25">
      <c r="AB989" s="14">
        <v>5</v>
      </c>
      <c r="AM989" s="14">
        <v>381</v>
      </c>
      <c r="AO989" s="14">
        <v>36</v>
      </c>
      <c r="AQ989" s="14">
        <v>507</v>
      </c>
    </row>
    <row r="990" spans="28:43" x14ac:dyDescent="0.25">
      <c r="AB990" s="14">
        <v>1</v>
      </c>
      <c r="AM990" s="14">
        <v>508</v>
      </c>
      <c r="AO990" s="14">
        <v>35</v>
      </c>
      <c r="AQ990" s="14">
        <v>234</v>
      </c>
    </row>
    <row r="991" spans="28:43" x14ac:dyDescent="0.25">
      <c r="AB991" s="14">
        <v>9</v>
      </c>
      <c r="AM991" s="14">
        <v>508</v>
      </c>
      <c r="AO991" s="14">
        <v>35</v>
      </c>
      <c r="AQ991" s="14">
        <v>133</v>
      </c>
    </row>
    <row r="992" spans="28:43" x14ac:dyDescent="0.25">
      <c r="AB992" s="14">
        <v>17</v>
      </c>
      <c r="AM992" s="14">
        <v>508</v>
      </c>
      <c r="AO992" s="14">
        <v>33</v>
      </c>
      <c r="AQ992" s="14">
        <v>522</v>
      </c>
    </row>
    <row r="993" spans="28:43" x14ac:dyDescent="0.25">
      <c r="AB993" s="14">
        <v>1</v>
      </c>
      <c r="AM993" s="14">
        <v>508</v>
      </c>
      <c r="AO993" s="14">
        <v>32</v>
      </c>
      <c r="AQ993" s="14">
        <v>503</v>
      </c>
    </row>
    <row r="994" spans="28:43" x14ac:dyDescent="0.25">
      <c r="AB994" s="14">
        <v>11</v>
      </c>
      <c r="AM994" s="14">
        <v>653</v>
      </c>
      <c r="AO994" s="14">
        <v>31</v>
      </c>
      <c r="AQ994" s="14">
        <v>129</v>
      </c>
    </row>
    <row r="995" spans="28:43" x14ac:dyDescent="0.25">
      <c r="AB995" s="14">
        <v>9</v>
      </c>
      <c r="AM995" s="14">
        <v>653</v>
      </c>
      <c r="AO995" s="14">
        <v>4</v>
      </c>
      <c r="AQ995" s="14">
        <v>260</v>
      </c>
    </row>
    <row r="996" spans="28:43" x14ac:dyDescent="0.25">
      <c r="AB996" s="14">
        <v>13</v>
      </c>
      <c r="AM996" s="14">
        <v>653</v>
      </c>
      <c r="AO996" s="14">
        <v>3</v>
      </c>
      <c r="AQ996" s="14">
        <v>138</v>
      </c>
    </row>
    <row r="997" spans="28:43" x14ac:dyDescent="0.25">
      <c r="AB997" s="14">
        <v>4</v>
      </c>
      <c r="AM997" s="14">
        <v>816</v>
      </c>
      <c r="AO997" s="14">
        <v>58</v>
      </c>
      <c r="AQ997" s="14">
        <v>311</v>
      </c>
    </row>
    <row r="998" spans="28:43" x14ac:dyDescent="0.25">
      <c r="AB998" s="14">
        <v>6</v>
      </c>
      <c r="AM998" s="14">
        <v>816</v>
      </c>
      <c r="AO998" s="14">
        <v>52</v>
      </c>
      <c r="AQ998" s="14">
        <v>304</v>
      </c>
    </row>
    <row r="999" spans="28:43" x14ac:dyDescent="0.25">
      <c r="AB999" s="14">
        <v>1</v>
      </c>
      <c r="AM999" s="14">
        <v>816</v>
      </c>
      <c r="AO999" s="14">
        <v>55</v>
      </c>
      <c r="AQ999" s="14">
        <v>154</v>
      </c>
    </row>
    <row r="1000" spans="28:43" x14ac:dyDescent="0.25">
      <c r="AB1000" s="14">
        <v>1</v>
      </c>
      <c r="AM1000" s="14">
        <v>816</v>
      </c>
      <c r="AO1000" s="14">
        <v>55</v>
      </c>
      <c r="AQ1000" s="14">
        <v>525</v>
      </c>
    </row>
    <row r="1001" spans="28:43" x14ac:dyDescent="0.25">
      <c r="AB1001" s="14">
        <v>6</v>
      </c>
      <c r="AM1001" s="14">
        <v>997</v>
      </c>
      <c r="AO1001" s="14">
        <v>49</v>
      </c>
      <c r="AQ1001" s="14">
        <v>304</v>
      </c>
    </row>
    <row r="1002" spans="28:43" x14ac:dyDescent="0.25">
      <c r="AB1002" s="14">
        <v>74</v>
      </c>
      <c r="AM1002" s="14">
        <v>997</v>
      </c>
      <c r="AO1002" s="14">
        <v>57</v>
      </c>
      <c r="AQ1002" s="14">
        <v>108</v>
      </c>
    </row>
    <row r="1003" spans="28:43" x14ac:dyDescent="0.25">
      <c r="AB1003" s="14">
        <v>68</v>
      </c>
      <c r="AM1003" s="14">
        <v>997</v>
      </c>
      <c r="AO1003" s="14">
        <v>59</v>
      </c>
      <c r="AQ1003" s="14">
        <v>102</v>
      </c>
    </row>
    <row r="1004" spans="28:43" x14ac:dyDescent="0.25">
      <c r="AB1004" s="14">
        <v>27</v>
      </c>
      <c r="AM1004" s="14">
        <v>997</v>
      </c>
      <c r="AO1004" s="14">
        <v>71</v>
      </c>
      <c r="AQ1004" s="14">
        <v>482</v>
      </c>
    </row>
    <row r="1005" spans="28:43" x14ac:dyDescent="0.25">
      <c r="AB1005" s="14">
        <v>8</v>
      </c>
      <c r="AM1005" s="14">
        <v>119</v>
      </c>
      <c r="AO1005" s="14">
        <v>49</v>
      </c>
      <c r="AQ1005" s="14">
        <v>282</v>
      </c>
    </row>
    <row r="1006" spans="28:43" x14ac:dyDescent="0.25">
      <c r="AB1006" s="14">
        <v>17</v>
      </c>
      <c r="AM1006" s="14">
        <v>119</v>
      </c>
      <c r="AO1006" s="14">
        <v>8</v>
      </c>
      <c r="AQ1006" s="14">
        <v>105</v>
      </c>
    </row>
    <row r="1007" spans="28:43" x14ac:dyDescent="0.25">
      <c r="AB1007" s="14">
        <v>11</v>
      </c>
      <c r="AM1007" s="14">
        <v>119</v>
      </c>
      <c r="AO1007" s="14">
        <v>6</v>
      </c>
      <c r="AQ1007" s="14">
        <v>979</v>
      </c>
    </row>
    <row r="1008" spans="28:43" x14ac:dyDescent="0.25">
      <c r="AB1008" s="14">
        <v>119</v>
      </c>
      <c r="AM1008" s="14">
        <v>119</v>
      </c>
      <c r="AO1008" s="14">
        <v>123</v>
      </c>
      <c r="AQ1008" s="14">
        <v>313</v>
      </c>
    </row>
    <row r="1009" spans="28:43" x14ac:dyDescent="0.25">
      <c r="AB1009" s="14">
        <v>100</v>
      </c>
      <c r="AM1009" s="14">
        <v>141</v>
      </c>
      <c r="AO1009" s="14">
        <v>119</v>
      </c>
      <c r="AQ1009" s="14">
        <v>165</v>
      </c>
    </row>
    <row r="1010" spans="28:43" x14ac:dyDescent="0.25">
      <c r="AB1010" s="14">
        <v>37</v>
      </c>
      <c r="AM1010" s="14">
        <v>141</v>
      </c>
      <c r="AO1010" s="14">
        <v>112</v>
      </c>
      <c r="AQ1010" s="14">
        <v>196</v>
      </c>
    </row>
    <row r="1011" spans="28:43" x14ac:dyDescent="0.25">
      <c r="AB1011" s="14">
        <v>11</v>
      </c>
      <c r="AM1011" s="14">
        <v>141</v>
      </c>
      <c r="AO1011" s="14">
        <v>14</v>
      </c>
      <c r="AQ1011" s="14">
        <v>626</v>
      </c>
    </row>
    <row r="1012" spans="28:43" x14ac:dyDescent="0.25">
      <c r="AB1012" s="14">
        <v>4</v>
      </c>
      <c r="AM1012" s="14">
        <v>141</v>
      </c>
      <c r="AO1012" s="14">
        <v>107</v>
      </c>
      <c r="AQ1012" s="14">
        <v>891</v>
      </c>
    </row>
    <row r="1013" spans="28:43" x14ac:dyDescent="0.25">
      <c r="AB1013" s="14">
        <v>34</v>
      </c>
      <c r="AM1013" s="14">
        <v>164</v>
      </c>
      <c r="AO1013" s="14">
        <v>131</v>
      </c>
      <c r="AQ1013" s="14">
        <v>229</v>
      </c>
    </row>
    <row r="1014" spans="28:43" x14ac:dyDescent="0.25">
      <c r="AB1014" s="14">
        <v>41</v>
      </c>
      <c r="AM1014" s="14">
        <v>164</v>
      </c>
      <c r="AO1014" s="14">
        <v>133</v>
      </c>
      <c r="AQ1014" s="14">
        <v>687</v>
      </c>
    </row>
    <row r="1015" spans="28:43" x14ac:dyDescent="0.25">
      <c r="AB1015" s="14">
        <v>25</v>
      </c>
      <c r="AM1015" s="14">
        <v>164</v>
      </c>
      <c r="AO1015" s="14">
        <v>106</v>
      </c>
      <c r="AQ1015" s="14">
        <v>340</v>
      </c>
    </row>
    <row r="1016" spans="28:43" x14ac:dyDescent="0.25">
      <c r="AB1016" s="14">
        <v>6</v>
      </c>
      <c r="AM1016" s="14">
        <v>164</v>
      </c>
      <c r="AO1016" s="14">
        <v>3</v>
      </c>
      <c r="AQ1016" s="14">
        <v>178</v>
      </c>
    </row>
    <row r="1017" spans="28:43" x14ac:dyDescent="0.25">
      <c r="AB1017" s="14">
        <v>12</v>
      </c>
      <c r="AM1017" s="14">
        <v>190</v>
      </c>
      <c r="AO1017" s="14">
        <v>3</v>
      </c>
      <c r="AQ1017" s="14">
        <v>465</v>
      </c>
    </row>
    <row r="1018" spans="28:43" x14ac:dyDescent="0.25">
      <c r="AB1018" s="14">
        <v>9</v>
      </c>
      <c r="AM1018" s="14">
        <v>190</v>
      </c>
      <c r="AO1018" s="14">
        <v>53</v>
      </c>
      <c r="AQ1018" s="14">
        <v>464</v>
      </c>
    </row>
    <row r="1019" spans="28:43" x14ac:dyDescent="0.25">
      <c r="AB1019" s="14">
        <v>64</v>
      </c>
      <c r="AM1019" s="14">
        <v>190</v>
      </c>
      <c r="AO1019" s="14">
        <v>52</v>
      </c>
      <c r="AQ1019" s="14">
        <v>285</v>
      </c>
    </row>
    <row r="1020" spans="28:43" x14ac:dyDescent="0.25">
      <c r="AB1020" s="14">
        <v>73</v>
      </c>
      <c r="AM1020" s="14">
        <v>190</v>
      </c>
      <c r="AO1020" s="14">
        <v>52</v>
      </c>
      <c r="AQ1020" s="14">
        <v>141</v>
      </c>
    </row>
    <row r="1021" spans="28:43" x14ac:dyDescent="0.25">
      <c r="AB1021" s="14">
        <v>34</v>
      </c>
      <c r="AM1021" s="14">
        <v>217</v>
      </c>
      <c r="AO1021" s="14">
        <v>53</v>
      </c>
      <c r="AQ1021" s="14">
        <v>393</v>
      </c>
    </row>
    <row r="1022" spans="28:43" x14ac:dyDescent="0.25">
      <c r="AB1022" s="14">
        <v>10</v>
      </c>
      <c r="AM1022" s="14">
        <v>217</v>
      </c>
      <c r="AO1022" s="14">
        <v>52</v>
      </c>
      <c r="AQ1022" s="14">
        <v>445</v>
      </c>
    </row>
    <row r="1023" spans="28:43" x14ac:dyDescent="0.25">
      <c r="AB1023" s="14">
        <v>19</v>
      </c>
      <c r="AM1023" s="14">
        <v>217</v>
      </c>
      <c r="AO1023" s="14">
        <v>52</v>
      </c>
      <c r="AQ1023" s="14">
        <v>336</v>
      </c>
    </row>
    <row r="1024" spans="28:43" x14ac:dyDescent="0.25">
      <c r="AB1024" s="14">
        <v>3</v>
      </c>
      <c r="AM1024" s="14">
        <v>217</v>
      </c>
      <c r="AO1024" s="14">
        <v>52</v>
      </c>
      <c r="AQ1024" s="14">
        <v>43</v>
      </c>
    </row>
    <row r="1025" spans="28:43" x14ac:dyDescent="0.25">
      <c r="AB1025" s="14">
        <v>33</v>
      </c>
      <c r="AM1025" s="14">
        <v>384</v>
      </c>
      <c r="AO1025" s="14">
        <v>53</v>
      </c>
      <c r="AQ1025" s="14">
        <v>547</v>
      </c>
    </row>
    <row r="1026" spans="28:43" x14ac:dyDescent="0.25">
      <c r="AB1026" s="14">
        <v>40</v>
      </c>
      <c r="AM1026" s="14">
        <v>1</v>
      </c>
      <c r="AO1026" s="14">
        <v>43</v>
      </c>
      <c r="AQ1026" s="14">
        <v>284</v>
      </c>
    </row>
    <row r="1027" spans="28:43" x14ac:dyDescent="0.25">
      <c r="AB1027" s="14">
        <v>25</v>
      </c>
      <c r="AM1027" s="14">
        <v>456</v>
      </c>
      <c r="AO1027" s="14">
        <v>110</v>
      </c>
      <c r="AQ1027" s="14">
        <v>324</v>
      </c>
    </row>
    <row r="1028" spans="28:43" x14ac:dyDescent="0.25">
      <c r="AB1028" s="14">
        <v>6</v>
      </c>
      <c r="AM1028" s="14">
        <v>902</v>
      </c>
      <c r="AO1028" s="14">
        <v>194</v>
      </c>
      <c r="AQ1028" s="14">
        <v>246</v>
      </c>
    </row>
    <row r="1029" spans="28:43" x14ac:dyDescent="0.25">
      <c r="AB1029" s="14">
        <v>12</v>
      </c>
      <c r="AM1029" s="14">
        <v>617</v>
      </c>
      <c r="AO1029" s="14">
        <v>141</v>
      </c>
      <c r="AQ1029" s="14">
        <v>818</v>
      </c>
    </row>
    <row r="1030" spans="28:43" x14ac:dyDescent="0.25">
      <c r="AB1030" s="14">
        <v>9</v>
      </c>
      <c r="AM1030" s="14">
        <v>555</v>
      </c>
      <c r="AO1030" s="14">
        <v>123</v>
      </c>
      <c r="AQ1030" s="14">
        <v>136</v>
      </c>
    </row>
    <row r="1031" spans="28:43" x14ac:dyDescent="0.25">
      <c r="AB1031" s="14">
        <v>64</v>
      </c>
      <c r="AM1031" s="14">
        <v>569</v>
      </c>
      <c r="AO1031" s="14">
        <v>725</v>
      </c>
      <c r="AQ1031" s="14">
        <v>259</v>
      </c>
    </row>
    <row r="1032" spans="28:43" x14ac:dyDescent="0.25">
      <c r="AB1032" s="14">
        <v>71</v>
      </c>
      <c r="AM1032" s="14">
        <v>613</v>
      </c>
      <c r="AO1032" s="14">
        <v>557</v>
      </c>
      <c r="AQ1032" s="14">
        <v>879</v>
      </c>
    </row>
    <row r="1033" spans="28:43" x14ac:dyDescent="0.25">
      <c r="AB1033" s="14">
        <v>32</v>
      </c>
      <c r="AM1033" s="14">
        <v>107</v>
      </c>
      <c r="AO1033" s="14">
        <v>563</v>
      </c>
      <c r="AQ1033" s="14">
        <v>389</v>
      </c>
    </row>
    <row r="1034" spans="28:43" x14ac:dyDescent="0.25">
      <c r="AB1034" s="14">
        <v>10</v>
      </c>
      <c r="AM1034" s="14">
        <v>107</v>
      </c>
      <c r="AO1034" s="14">
        <v>123</v>
      </c>
      <c r="AQ1034" s="14">
        <v>204</v>
      </c>
    </row>
    <row r="1035" spans="28:43" x14ac:dyDescent="0.25">
      <c r="AB1035" s="14">
        <v>19</v>
      </c>
      <c r="AM1035" s="14">
        <v>109</v>
      </c>
      <c r="AO1035" s="14">
        <v>110</v>
      </c>
      <c r="AQ1035" s="14">
        <v>643</v>
      </c>
    </row>
    <row r="1036" spans="28:43" x14ac:dyDescent="0.25">
      <c r="AB1036" s="14">
        <v>6</v>
      </c>
      <c r="AM1036" s="14">
        <v>107</v>
      </c>
      <c r="AO1036" s="14">
        <v>556</v>
      </c>
      <c r="AQ1036" s="14">
        <v>551</v>
      </c>
    </row>
    <row r="1037" spans="28:43" x14ac:dyDescent="0.25">
      <c r="AB1037" s="14">
        <v>12</v>
      </c>
      <c r="AM1037" s="14">
        <v>179</v>
      </c>
      <c r="AO1037" s="14">
        <v>141</v>
      </c>
      <c r="AQ1037" s="14">
        <v>353</v>
      </c>
    </row>
    <row r="1038" spans="28:43" x14ac:dyDescent="0.25">
      <c r="AB1038" s="14">
        <v>22</v>
      </c>
      <c r="AM1038" s="14">
        <v>179</v>
      </c>
      <c r="AO1038" s="14">
        <v>563</v>
      </c>
      <c r="AQ1038" s="14">
        <v>183</v>
      </c>
    </row>
    <row r="1039" spans="28:43" x14ac:dyDescent="0.25">
      <c r="AB1039" s="14">
        <v>10</v>
      </c>
      <c r="AM1039" s="14">
        <v>179</v>
      </c>
      <c r="AO1039" s="14">
        <v>123</v>
      </c>
      <c r="AQ1039" s="14">
        <v>622</v>
      </c>
    </row>
    <row r="1040" spans="28:43" x14ac:dyDescent="0.25">
      <c r="AB1040" s="14">
        <v>1</v>
      </c>
      <c r="AM1040" s="14">
        <v>179</v>
      </c>
      <c r="AO1040" s="14">
        <v>46</v>
      </c>
      <c r="AQ1040" s="14">
        <v>553</v>
      </c>
    </row>
    <row r="1041" spans="28:43" x14ac:dyDescent="0.25">
      <c r="AB1041" s="14">
        <v>14</v>
      </c>
      <c r="AM1041" s="14">
        <v>269</v>
      </c>
      <c r="AO1041" s="14">
        <v>72</v>
      </c>
      <c r="AQ1041" s="14">
        <v>517</v>
      </c>
    </row>
    <row r="1042" spans="28:43" x14ac:dyDescent="0.25">
      <c r="AB1042" s="14">
        <v>23</v>
      </c>
      <c r="AM1042" s="14">
        <v>269</v>
      </c>
      <c r="AO1042" s="14">
        <v>53</v>
      </c>
      <c r="AQ1042" s="14">
        <v>64</v>
      </c>
    </row>
    <row r="1043" spans="28:43" x14ac:dyDescent="0.25">
      <c r="AB1043" s="14">
        <v>31</v>
      </c>
      <c r="AM1043" s="14">
        <v>269</v>
      </c>
      <c r="AO1043" s="14">
        <v>46</v>
      </c>
      <c r="AQ1043" s="14">
        <v>647</v>
      </c>
    </row>
    <row r="1044" spans="28:43" x14ac:dyDescent="0.25">
      <c r="AB1044" s="14">
        <v>15</v>
      </c>
      <c r="AM1044" s="14">
        <v>269</v>
      </c>
      <c r="AO1044" s="14">
        <v>26</v>
      </c>
      <c r="AQ1044" s="14">
        <v>327</v>
      </c>
    </row>
    <row r="1045" spans="28:43" x14ac:dyDescent="0.25">
      <c r="AB1045" s="14">
        <v>7</v>
      </c>
      <c r="AM1045" s="14">
        <v>378</v>
      </c>
      <c r="AO1045" s="14">
        <v>269</v>
      </c>
      <c r="AQ1045" s="14">
        <v>373</v>
      </c>
    </row>
    <row r="1046" spans="28:43" x14ac:dyDescent="0.25">
      <c r="AB1046" s="14">
        <v>1</v>
      </c>
      <c r="AM1046" s="14">
        <v>378</v>
      </c>
      <c r="AO1046" s="14">
        <v>270</v>
      </c>
      <c r="AQ1046" s="14">
        <v>403</v>
      </c>
    </row>
    <row r="1047" spans="28:43" x14ac:dyDescent="0.25">
      <c r="AB1047" s="14">
        <v>1</v>
      </c>
      <c r="AM1047" s="14">
        <v>378</v>
      </c>
      <c r="AO1047" s="14">
        <v>46</v>
      </c>
      <c r="AQ1047" s="14">
        <v>132</v>
      </c>
    </row>
    <row r="1048" spans="28:43" x14ac:dyDescent="0.25">
      <c r="AB1048" s="14">
        <v>7</v>
      </c>
      <c r="AM1048" s="14">
        <v>378</v>
      </c>
      <c r="AO1048" s="14">
        <v>46</v>
      </c>
      <c r="AQ1048" s="14">
        <v>229</v>
      </c>
    </row>
    <row r="1049" spans="28:43" x14ac:dyDescent="0.25">
      <c r="AB1049" s="14">
        <v>10</v>
      </c>
      <c r="AM1049" s="14">
        <v>505</v>
      </c>
      <c r="AO1049" s="14">
        <v>270</v>
      </c>
      <c r="AQ1049" s="14">
        <v>342</v>
      </c>
    </row>
    <row r="1050" spans="28:43" x14ac:dyDescent="0.25">
      <c r="AB1050" s="14">
        <v>22</v>
      </c>
      <c r="AM1050" s="14">
        <v>504</v>
      </c>
      <c r="AO1050" s="14">
        <v>54</v>
      </c>
      <c r="AQ1050" s="14">
        <v>144</v>
      </c>
    </row>
    <row r="1051" spans="28:43" x14ac:dyDescent="0.25">
      <c r="AB1051" s="14">
        <v>5</v>
      </c>
      <c r="AM1051" s="14">
        <v>504</v>
      </c>
      <c r="AO1051" s="14">
        <v>270</v>
      </c>
      <c r="AQ1051" s="14">
        <v>560</v>
      </c>
    </row>
    <row r="1052" spans="28:43" x14ac:dyDescent="0.25">
      <c r="AB1052" s="14">
        <v>3</v>
      </c>
      <c r="AM1052" s="14">
        <v>503</v>
      </c>
      <c r="AO1052" s="14">
        <v>467</v>
      </c>
      <c r="AQ1052" s="14">
        <v>305</v>
      </c>
    </row>
    <row r="1053" spans="28:43" x14ac:dyDescent="0.25">
      <c r="AB1053" s="14">
        <v>1</v>
      </c>
      <c r="AM1053" s="14">
        <v>649</v>
      </c>
      <c r="AO1053" s="14">
        <v>397</v>
      </c>
      <c r="AQ1053" s="14">
        <v>116</v>
      </c>
    </row>
    <row r="1054" spans="28:43" x14ac:dyDescent="0.25">
      <c r="AB1054" s="14">
        <v>16</v>
      </c>
      <c r="AM1054" s="14">
        <v>649</v>
      </c>
      <c r="AO1054" s="14">
        <v>224</v>
      </c>
      <c r="AQ1054" s="14">
        <v>982</v>
      </c>
    </row>
    <row r="1055" spans="28:43" x14ac:dyDescent="0.25">
      <c r="AB1055" s="14">
        <v>20</v>
      </c>
      <c r="AM1055" s="14">
        <v>649</v>
      </c>
      <c r="AO1055" s="14">
        <v>375</v>
      </c>
      <c r="AQ1055" s="14">
        <v>533</v>
      </c>
    </row>
    <row r="1056" spans="28:43" x14ac:dyDescent="0.25">
      <c r="AB1056" s="14">
        <v>27</v>
      </c>
      <c r="AM1056" s="14">
        <v>649</v>
      </c>
      <c r="AO1056" s="14">
        <v>501</v>
      </c>
      <c r="AQ1056" s="14">
        <v>288</v>
      </c>
    </row>
    <row r="1057" spans="28:43" x14ac:dyDescent="0.25">
      <c r="AB1057" s="14">
        <v>9</v>
      </c>
      <c r="AM1057" s="14">
        <v>811</v>
      </c>
      <c r="AO1057" s="14">
        <v>226</v>
      </c>
      <c r="AQ1057" s="14">
        <v>109</v>
      </c>
    </row>
    <row r="1058" spans="28:43" x14ac:dyDescent="0.25">
      <c r="AB1058" s="14">
        <v>5</v>
      </c>
      <c r="AM1058" s="14">
        <v>811</v>
      </c>
      <c r="AO1058" s="14">
        <v>574</v>
      </c>
      <c r="AQ1058" s="14">
        <v>932</v>
      </c>
    </row>
    <row r="1059" spans="28:43" x14ac:dyDescent="0.25">
      <c r="AB1059" s="14">
        <v>1</v>
      </c>
      <c r="AM1059" s="14">
        <v>811</v>
      </c>
      <c r="AO1059" s="14">
        <v>573</v>
      </c>
      <c r="AQ1059" s="14">
        <v>787</v>
      </c>
    </row>
    <row r="1060" spans="28:43" x14ac:dyDescent="0.25">
      <c r="AB1060" s="14">
        <v>1</v>
      </c>
      <c r="AM1060" s="14">
        <v>811</v>
      </c>
      <c r="AO1060" s="14">
        <v>598</v>
      </c>
      <c r="AQ1060" s="14">
        <v>79</v>
      </c>
    </row>
    <row r="1061" spans="28:43" x14ac:dyDescent="0.25">
      <c r="AB1061" s="14">
        <v>5</v>
      </c>
      <c r="AM1061" s="14">
        <v>992</v>
      </c>
      <c r="AO1061" s="14">
        <v>617</v>
      </c>
      <c r="AQ1061" s="14">
        <v>103</v>
      </c>
    </row>
    <row r="1062" spans="28:43" x14ac:dyDescent="0.25">
      <c r="AB1062" s="14">
        <v>10</v>
      </c>
      <c r="AM1062" s="14">
        <v>992</v>
      </c>
      <c r="AO1062" s="14">
        <v>662</v>
      </c>
      <c r="AQ1062" s="14">
        <v>649</v>
      </c>
    </row>
    <row r="1063" spans="28:43" x14ac:dyDescent="0.25">
      <c r="AB1063" s="14">
        <v>20</v>
      </c>
      <c r="AM1063" s="14">
        <v>992</v>
      </c>
      <c r="AO1063" s="14">
        <v>692</v>
      </c>
      <c r="AQ1063" s="14">
        <v>586</v>
      </c>
    </row>
    <row r="1064" spans="28:43" x14ac:dyDescent="0.25">
      <c r="AB1064" s="14">
        <v>5</v>
      </c>
      <c r="AM1064" s="14">
        <v>992</v>
      </c>
      <c r="AO1064" s="14">
        <v>734</v>
      </c>
      <c r="AQ1064" s="14">
        <v>961</v>
      </c>
    </row>
    <row r="1065" spans="28:43" x14ac:dyDescent="0.25">
      <c r="AB1065" s="14">
        <v>3</v>
      </c>
      <c r="AM1065" s="14">
        <v>119</v>
      </c>
      <c r="AO1065" s="14">
        <v>385</v>
      </c>
      <c r="AQ1065" s="14">
        <v>545</v>
      </c>
    </row>
    <row r="1066" spans="28:43" x14ac:dyDescent="0.25">
      <c r="AB1066" s="14">
        <v>13</v>
      </c>
      <c r="AM1066" s="14">
        <v>119</v>
      </c>
      <c r="AO1066" s="14">
        <v>874</v>
      </c>
      <c r="AQ1066" s="14">
        <v>983</v>
      </c>
    </row>
    <row r="1067" spans="28:43" x14ac:dyDescent="0.25">
      <c r="AB1067" s="14">
        <v>20</v>
      </c>
      <c r="AM1067" s="14">
        <v>119</v>
      </c>
      <c r="AO1067" s="14">
        <v>422</v>
      </c>
      <c r="AQ1067" s="14">
        <v>129</v>
      </c>
    </row>
    <row r="1068" spans="28:43" x14ac:dyDescent="0.25">
      <c r="AB1068" s="14">
        <v>29</v>
      </c>
      <c r="AM1068" s="14">
        <v>119</v>
      </c>
      <c r="AO1068" s="14">
        <v>638</v>
      </c>
      <c r="AQ1068" s="14">
        <v>621</v>
      </c>
    </row>
    <row r="1069" spans="28:43" x14ac:dyDescent="0.25">
      <c r="AB1069" s="14">
        <v>10</v>
      </c>
      <c r="AM1069" s="14">
        <v>140</v>
      </c>
      <c r="AO1069" s="14">
        <v>630</v>
      </c>
      <c r="AQ1069" s="14">
        <v>211</v>
      </c>
    </row>
    <row r="1070" spans="28:43" x14ac:dyDescent="0.25">
      <c r="AB1070" s="14">
        <v>5</v>
      </c>
      <c r="AM1070" s="14">
        <v>140</v>
      </c>
      <c r="AO1070" s="14">
        <v>669</v>
      </c>
      <c r="AQ1070" s="14">
        <v>123</v>
      </c>
    </row>
    <row r="1071" spans="28:43" x14ac:dyDescent="0.25">
      <c r="AB1071" s="14">
        <v>1</v>
      </c>
      <c r="AM1071" s="14">
        <v>140</v>
      </c>
      <c r="AO1071" s="14">
        <v>688</v>
      </c>
      <c r="AQ1071" s="14">
        <v>479</v>
      </c>
    </row>
    <row r="1072" spans="28:43" x14ac:dyDescent="0.25">
      <c r="AB1072" s="14">
        <v>1</v>
      </c>
      <c r="AM1072" s="14">
        <v>140</v>
      </c>
      <c r="AO1072" s="14">
        <v>787</v>
      </c>
      <c r="AQ1072" s="14">
        <v>397</v>
      </c>
    </row>
    <row r="1073" spans="28:43" x14ac:dyDescent="0.25">
      <c r="AB1073" s="14">
        <v>832</v>
      </c>
      <c r="AM1073" s="14">
        <v>164</v>
      </c>
      <c r="AO1073" s="14">
        <v>870</v>
      </c>
      <c r="AQ1073" s="14">
        <v>199</v>
      </c>
    </row>
    <row r="1074" spans="28:43" x14ac:dyDescent="0.25">
      <c r="AB1074" s="14">
        <v>574</v>
      </c>
      <c r="AM1074" s="14">
        <v>164</v>
      </c>
      <c r="AO1074" s="14">
        <v>974</v>
      </c>
      <c r="AQ1074" s="14">
        <v>115</v>
      </c>
    </row>
    <row r="1075" spans="28:43" x14ac:dyDescent="0.25">
      <c r="AB1075" s="14">
        <v>413</v>
      </c>
      <c r="AM1075" s="14">
        <v>164</v>
      </c>
      <c r="AO1075" s="14">
        <v>549</v>
      </c>
      <c r="AQ1075" s="14">
        <v>459</v>
      </c>
    </row>
    <row r="1076" spans="28:43" x14ac:dyDescent="0.25">
      <c r="AB1076" s="14">
        <v>198</v>
      </c>
      <c r="AM1076" s="14">
        <v>164</v>
      </c>
      <c r="AO1076" s="14">
        <v>17</v>
      </c>
      <c r="AQ1076" s="14">
        <v>412</v>
      </c>
    </row>
    <row r="1077" spans="28:43" x14ac:dyDescent="0.25">
      <c r="AB1077" s="14">
        <v>601</v>
      </c>
      <c r="AM1077" s="14">
        <v>189</v>
      </c>
      <c r="AO1077" s="14">
        <v>102</v>
      </c>
      <c r="AQ1077" s="14">
        <v>487</v>
      </c>
    </row>
    <row r="1078" spans="28:43" x14ac:dyDescent="0.25">
      <c r="AB1078" s="14">
        <v>476</v>
      </c>
      <c r="AM1078" s="14">
        <v>189</v>
      </c>
      <c r="AO1078" s="14">
        <v>171</v>
      </c>
      <c r="AQ1078" s="14">
        <v>154</v>
      </c>
    </row>
    <row r="1079" spans="28:43" x14ac:dyDescent="0.25">
      <c r="AB1079" s="14">
        <v>246</v>
      </c>
      <c r="AM1079" s="14">
        <v>189</v>
      </c>
      <c r="AO1079" s="14">
        <v>21</v>
      </c>
      <c r="AQ1079" s="14">
        <v>372</v>
      </c>
    </row>
    <row r="1080" spans="28:43" x14ac:dyDescent="0.25">
      <c r="AB1080" s="14">
        <v>418</v>
      </c>
      <c r="AM1080" s="14">
        <v>189</v>
      </c>
      <c r="AO1080" s="14">
        <v>103</v>
      </c>
      <c r="AQ1080" s="14">
        <v>254</v>
      </c>
    </row>
    <row r="1081" spans="28:43" x14ac:dyDescent="0.25">
      <c r="AB1081" s="14">
        <v>330</v>
      </c>
      <c r="AM1081" s="14">
        <v>216</v>
      </c>
      <c r="AO1081" s="14">
        <v>222</v>
      </c>
      <c r="AQ1081" s="14">
        <v>258</v>
      </c>
    </row>
    <row r="1082" spans="28:43" x14ac:dyDescent="0.25">
      <c r="AB1082" s="14">
        <v>139</v>
      </c>
      <c r="AM1082" s="14">
        <v>216</v>
      </c>
      <c r="AO1082" s="14">
        <v>226</v>
      </c>
      <c r="AQ1082" s="14">
        <v>247</v>
      </c>
    </row>
    <row r="1083" spans="28:43" x14ac:dyDescent="0.25">
      <c r="AB1083" s="14">
        <v>123</v>
      </c>
      <c r="AM1083" s="14">
        <v>216</v>
      </c>
      <c r="AO1083" s="14">
        <v>231</v>
      </c>
      <c r="AQ1083" s="14">
        <v>934</v>
      </c>
    </row>
    <row r="1084" spans="28:43" x14ac:dyDescent="0.25">
      <c r="AB1084" s="14">
        <v>413</v>
      </c>
      <c r="AM1084" s="14">
        <v>216</v>
      </c>
      <c r="AO1084" s="14">
        <v>242</v>
      </c>
      <c r="AQ1084" s="14">
        <v>170</v>
      </c>
    </row>
    <row r="1085" spans="28:43" x14ac:dyDescent="0.25">
      <c r="AB1085" s="14">
        <v>318</v>
      </c>
      <c r="AM1085" s="14">
        <v>246</v>
      </c>
      <c r="AO1085" s="14">
        <v>263</v>
      </c>
      <c r="AQ1085" s="14">
        <v>171</v>
      </c>
    </row>
    <row r="1086" spans="28:43" x14ac:dyDescent="0.25">
      <c r="AB1086" s="14">
        <v>343</v>
      </c>
      <c r="AM1086" s="14">
        <v>246</v>
      </c>
      <c r="AO1086" s="14">
        <v>275</v>
      </c>
      <c r="AQ1086" s="14">
        <v>118</v>
      </c>
    </row>
    <row r="1087" spans="28:43" x14ac:dyDescent="0.25">
      <c r="AB1087" s="14">
        <v>337</v>
      </c>
      <c r="AM1087" s="14">
        <v>246</v>
      </c>
      <c r="AO1087" s="14">
        <v>297</v>
      </c>
      <c r="AQ1087" s="14">
        <v>332</v>
      </c>
    </row>
    <row r="1088" spans="28:43" x14ac:dyDescent="0.25">
      <c r="AB1088" s="14">
        <v>953</v>
      </c>
      <c r="AM1088" s="14">
        <v>246</v>
      </c>
      <c r="AO1088" s="14">
        <v>174</v>
      </c>
      <c r="AQ1088" s="14">
        <v>210</v>
      </c>
    </row>
    <row r="1089" spans="28:43" x14ac:dyDescent="0.25">
      <c r="AB1089" s="14">
        <v>566</v>
      </c>
      <c r="AM1089" s="14">
        <v>277</v>
      </c>
      <c r="AO1089" s="14">
        <v>36</v>
      </c>
      <c r="AQ1089" s="14">
        <v>757</v>
      </c>
    </row>
    <row r="1090" spans="28:43" x14ac:dyDescent="0.25">
      <c r="AB1090" s="14">
        <v>198</v>
      </c>
      <c r="AM1090" s="14">
        <v>277</v>
      </c>
      <c r="AO1090" s="14">
        <v>171</v>
      </c>
      <c r="AQ1090" s="14">
        <v>708</v>
      </c>
    </row>
    <row r="1091" spans="28:43" x14ac:dyDescent="0.25">
      <c r="AB1091" s="14">
        <v>241</v>
      </c>
      <c r="AM1091" s="14">
        <v>277</v>
      </c>
      <c r="AO1091" s="14">
        <v>242</v>
      </c>
      <c r="AQ1091" s="14">
        <v>335</v>
      </c>
    </row>
    <row r="1092" spans="28:43" x14ac:dyDescent="0.25">
      <c r="AB1092" s="14">
        <v>695</v>
      </c>
      <c r="AM1092" s="14">
        <v>277</v>
      </c>
      <c r="AO1092" s="14">
        <v>243</v>
      </c>
      <c r="AQ1092" s="14">
        <v>212</v>
      </c>
    </row>
    <row r="1093" spans="28:43" x14ac:dyDescent="0.25">
      <c r="AB1093" s="14">
        <v>681</v>
      </c>
      <c r="AM1093" s="14">
        <v>309</v>
      </c>
      <c r="AO1093" s="14">
        <v>250</v>
      </c>
      <c r="AQ1093" s="14">
        <v>782</v>
      </c>
    </row>
    <row r="1094" spans="28:43" x14ac:dyDescent="0.25">
      <c r="AB1094" s="14">
        <v>614</v>
      </c>
      <c r="AM1094" s="14">
        <v>309</v>
      </c>
      <c r="AO1094" s="14">
        <v>257</v>
      </c>
      <c r="AQ1094" s="14">
        <v>764</v>
      </c>
    </row>
    <row r="1095" spans="28:43" x14ac:dyDescent="0.25">
      <c r="AB1095" s="14">
        <v>524</v>
      </c>
      <c r="AM1095" s="14">
        <v>309</v>
      </c>
      <c r="AO1095" s="14">
        <v>304</v>
      </c>
      <c r="AQ1095" s="14">
        <v>325</v>
      </c>
    </row>
    <row r="1096" spans="28:43" x14ac:dyDescent="0.25">
      <c r="AB1096" s="14">
        <v>744</v>
      </c>
      <c r="AM1096" s="14">
        <v>309</v>
      </c>
      <c r="AO1096" s="14">
        <v>341</v>
      </c>
      <c r="AQ1096" s="14">
        <v>427</v>
      </c>
    </row>
    <row r="1097" spans="28:43" x14ac:dyDescent="0.25">
      <c r="AB1097" s="14">
        <v>608</v>
      </c>
      <c r="AM1097" s="14">
        <v>344</v>
      </c>
      <c r="AO1097" s="14">
        <v>386</v>
      </c>
      <c r="AQ1097" s="14">
        <v>674</v>
      </c>
    </row>
    <row r="1098" spans="28:43" x14ac:dyDescent="0.25">
      <c r="AB1098" s="14">
        <v>114</v>
      </c>
      <c r="AM1098" s="14">
        <v>344</v>
      </c>
      <c r="AO1098" s="14">
        <v>223</v>
      </c>
      <c r="AQ1098" s="14">
        <v>498</v>
      </c>
    </row>
    <row r="1099" spans="28:43" x14ac:dyDescent="0.25">
      <c r="AB1099" s="14">
        <v>929</v>
      </c>
      <c r="AM1099" s="14">
        <v>344</v>
      </c>
      <c r="AO1099" s="14">
        <v>956</v>
      </c>
      <c r="AQ1099" s="14">
        <v>372</v>
      </c>
    </row>
    <row r="1100" spans="28:43" x14ac:dyDescent="0.25">
      <c r="AB1100" s="14">
        <v>163</v>
      </c>
      <c r="AM1100" s="14">
        <v>344</v>
      </c>
      <c r="AO1100" s="14">
        <v>345</v>
      </c>
      <c r="AQ1100" s="14">
        <v>19</v>
      </c>
    </row>
    <row r="1101" spans="28:43" x14ac:dyDescent="0.25">
      <c r="AB1101" s="14">
        <v>141</v>
      </c>
      <c r="AM1101" s="14">
        <v>380</v>
      </c>
      <c r="AO1101" s="14">
        <v>169</v>
      </c>
      <c r="AQ1101" s="14">
        <v>18</v>
      </c>
    </row>
    <row r="1102" spans="28:43" x14ac:dyDescent="0.25">
      <c r="AB1102" s="14">
        <v>157</v>
      </c>
      <c r="AM1102" s="14">
        <v>380</v>
      </c>
      <c r="AO1102" s="14">
        <v>39</v>
      </c>
      <c r="AQ1102" s="14">
        <v>20</v>
      </c>
    </row>
    <row r="1103" spans="28:43" x14ac:dyDescent="0.25">
      <c r="AB1103" s="14">
        <v>134</v>
      </c>
      <c r="AM1103" s="14">
        <v>380</v>
      </c>
      <c r="AO1103" s="14">
        <v>312</v>
      </c>
      <c r="AQ1103" s="14">
        <v>19</v>
      </c>
    </row>
    <row r="1104" spans="28:43" x14ac:dyDescent="0.25">
      <c r="AB1104" s="14">
        <v>166</v>
      </c>
      <c r="AM1104" s="14">
        <v>380</v>
      </c>
      <c r="AO1104" s="14">
        <v>66</v>
      </c>
      <c r="AQ1104" s="14">
        <v>4</v>
      </c>
    </row>
    <row r="1105" spans="28:43" x14ac:dyDescent="0.25">
      <c r="AB1105" s="14">
        <v>133</v>
      </c>
      <c r="AM1105" s="14">
        <v>418</v>
      </c>
      <c r="AO1105" s="14">
        <v>441</v>
      </c>
      <c r="AQ1105" s="14">
        <v>4</v>
      </c>
    </row>
    <row r="1106" spans="28:43" x14ac:dyDescent="0.25">
      <c r="AB1106" s="14">
        <v>598</v>
      </c>
      <c r="AM1106" s="14">
        <v>418</v>
      </c>
      <c r="AO1106" s="14">
        <v>333</v>
      </c>
      <c r="AQ1106" s="14">
        <v>7</v>
      </c>
    </row>
    <row r="1107" spans="28:43" x14ac:dyDescent="0.25">
      <c r="AB1107" s="14">
        <v>509</v>
      </c>
      <c r="AM1107" s="14">
        <v>418</v>
      </c>
      <c r="AO1107" s="14">
        <v>561</v>
      </c>
      <c r="AQ1107" s="14">
        <v>5</v>
      </c>
    </row>
    <row r="1108" spans="28:43" x14ac:dyDescent="0.25">
      <c r="AB1108" s="14">
        <v>725</v>
      </c>
      <c r="AM1108" s="14">
        <v>418</v>
      </c>
      <c r="AO1108" s="14">
        <v>561</v>
      </c>
      <c r="AQ1108" s="14">
        <v>8</v>
      </c>
    </row>
    <row r="1109" spans="28:43" x14ac:dyDescent="0.25">
      <c r="AB1109" s="14">
        <v>592</v>
      </c>
      <c r="AM1109" s="14">
        <v>245</v>
      </c>
      <c r="AO1109" s="14">
        <v>334</v>
      </c>
      <c r="AQ1109" s="14">
        <v>3</v>
      </c>
    </row>
    <row r="1110" spans="28:43" x14ac:dyDescent="0.25">
      <c r="AB1110" s="14">
        <v>110</v>
      </c>
      <c r="AM1110" s="14">
        <v>245</v>
      </c>
      <c r="AO1110" s="14">
        <v>612</v>
      </c>
      <c r="AQ1110" s="14">
        <v>18</v>
      </c>
    </row>
    <row r="1111" spans="28:43" x14ac:dyDescent="0.25">
      <c r="AB1111" s="14">
        <v>852</v>
      </c>
      <c r="AM1111" s="14">
        <v>245</v>
      </c>
      <c r="AO1111" s="14">
        <v>608</v>
      </c>
      <c r="AQ1111" s="14">
        <v>18</v>
      </c>
    </row>
    <row r="1112" spans="28:43" x14ac:dyDescent="0.25">
      <c r="AB1112" s="14">
        <v>108</v>
      </c>
      <c r="AM1112" s="14">
        <v>245</v>
      </c>
      <c r="AO1112" s="14">
        <v>638</v>
      </c>
      <c r="AQ1112" s="14">
        <v>19</v>
      </c>
    </row>
    <row r="1113" spans="28:43" x14ac:dyDescent="0.25">
      <c r="AB1113" s="14">
        <v>106</v>
      </c>
      <c r="AM1113" s="14">
        <v>276</v>
      </c>
      <c r="AO1113" s="14">
        <v>655</v>
      </c>
      <c r="AQ1113" s="14">
        <v>19</v>
      </c>
    </row>
    <row r="1114" spans="28:43" x14ac:dyDescent="0.25">
      <c r="AB1114" s="14">
        <v>108</v>
      </c>
      <c r="AM1114" s="14">
        <v>276</v>
      </c>
      <c r="AO1114" s="14">
        <v>703</v>
      </c>
      <c r="AQ1114" s="14">
        <v>3</v>
      </c>
    </row>
    <row r="1115" spans="28:43" x14ac:dyDescent="0.25">
      <c r="AB1115" s="14">
        <v>106</v>
      </c>
      <c r="AM1115" s="14">
        <v>276</v>
      </c>
      <c r="AO1115" s="14">
        <v>739</v>
      </c>
      <c r="AQ1115" s="14">
        <v>3</v>
      </c>
    </row>
    <row r="1116" spans="28:43" x14ac:dyDescent="0.25">
      <c r="AB1116" s="14">
        <v>65</v>
      </c>
      <c r="AM1116" s="14">
        <v>276</v>
      </c>
      <c r="AO1116" s="14">
        <v>786</v>
      </c>
      <c r="AQ1116" s="14">
        <v>3</v>
      </c>
    </row>
    <row r="1117" spans="28:43" x14ac:dyDescent="0.25">
      <c r="AB1117" s="14">
        <v>47</v>
      </c>
      <c r="AM1117" s="14">
        <v>308</v>
      </c>
      <c r="AO1117" s="14">
        <v>564</v>
      </c>
      <c r="AQ1117" s="14">
        <v>3</v>
      </c>
    </row>
    <row r="1118" spans="28:43" x14ac:dyDescent="0.25">
      <c r="AB1118" s="14">
        <v>65</v>
      </c>
      <c r="AM1118" s="14">
        <v>308</v>
      </c>
      <c r="AO1118" s="14">
        <v>981</v>
      </c>
      <c r="AQ1118" s="14">
        <v>148</v>
      </c>
    </row>
    <row r="1119" spans="28:43" x14ac:dyDescent="0.25">
      <c r="AB1119" s="14">
        <v>47</v>
      </c>
      <c r="AM1119" s="14">
        <v>308</v>
      </c>
      <c r="AO1119" s="14">
        <v>533</v>
      </c>
      <c r="AQ1119" s="14">
        <v>142</v>
      </c>
    </row>
    <row r="1120" spans="28:43" x14ac:dyDescent="0.25">
      <c r="AB1120" s="14">
        <v>47</v>
      </c>
      <c r="AM1120" s="14">
        <v>308</v>
      </c>
      <c r="AO1120" s="14">
        <v>685</v>
      </c>
      <c r="AQ1120" s="14">
        <v>143</v>
      </c>
    </row>
    <row r="1121" spans="28:43" x14ac:dyDescent="0.25">
      <c r="AB1121" s="14">
        <v>43</v>
      </c>
      <c r="AM1121" s="14">
        <v>342</v>
      </c>
      <c r="AO1121" s="14">
        <v>673</v>
      </c>
      <c r="AQ1121" s="14">
        <v>142</v>
      </c>
    </row>
    <row r="1122" spans="28:43" x14ac:dyDescent="0.25">
      <c r="AB1122" s="14">
        <v>48</v>
      </c>
      <c r="AM1122" s="14">
        <v>342</v>
      </c>
      <c r="AO1122" s="14">
        <v>72</v>
      </c>
      <c r="AQ1122" s="14">
        <v>4</v>
      </c>
    </row>
    <row r="1123" spans="28:43" x14ac:dyDescent="0.25">
      <c r="AB1123" s="14">
        <v>44</v>
      </c>
      <c r="AM1123" s="14">
        <v>342</v>
      </c>
      <c r="AO1123" s="14">
        <v>736</v>
      </c>
      <c r="AQ1123" s="14">
        <v>4</v>
      </c>
    </row>
    <row r="1124" spans="28:43" x14ac:dyDescent="0.25">
      <c r="AB1124" s="14">
        <v>11</v>
      </c>
      <c r="AM1124" s="14">
        <v>342</v>
      </c>
      <c r="AO1124" s="14">
        <v>844</v>
      </c>
      <c r="AQ1124" s="14">
        <v>7</v>
      </c>
    </row>
    <row r="1125" spans="28:43" x14ac:dyDescent="0.25">
      <c r="AB1125" s="14">
        <v>11</v>
      </c>
      <c r="AM1125" s="14">
        <v>379</v>
      </c>
      <c r="AO1125" s="14">
        <v>936</v>
      </c>
      <c r="AQ1125" s="14">
        <v>5</v>
      </c>
    </row>
    <row r="1126" spans="28:43" x14ac:dyDescent="0.25">
      <c r="AB1126" s="14">
        <v>11</v>
      </c>
      <c r="AM1126" s="14">
        <v>379</v>
      </c>
      <c r="AO1126" s="14">
        <v>104</v>
      </c>
      <c r="AQ1126" s="14">
        <v>7</v>
      </c>
    </row>
    <row r="1127" spans="28:43" x14ac:dyDescent="0.25">
      <c r="AB1127" s="14">
        <v>11</v>
      </c>
      <c r="AM1127" s="14">
        <v>379</v>
      </c>
      <c r="AO1127" s="14">
        <v>692</v>
      </c>
      <c r="AQ1127" s="14">
        <v>3</v>
      </c>
    </row>
    <row r="1128" spans="28:43" x14ac:dyDescent="0.25">
      <c r="AB1128" s="14">
        <v>106</v>
      </c>
      <c r="AM1128" s="14">
        <v>379</v>
      </c>
      <c r="AO1128" s="14">
        <v>18</v>
      </c>
      <c r="AQ1128" s="14">
        <v>32</v>
      </c>
    </row>
    <row r="1129" spans="28:43" x14ac:dyDescent="0.25">
      <c r="AB1129" s="14">
        <v>105</v>
      </c>
      <c r="AM1129" s="14">
        <v>416</v>
      </c>
      <c r="AO1129" s="14">
        <v>147</v>
      </c>
      <c r="AQ1129" s="14">
        <v>19</v>
      </c>
    </row>
    <row r="1130" spans="28:43" x14ac:dyDescent="0.25">
      <c r="AB1130" s="14">
        <v>105</v>
      </c>
      <c r="AM1130" s="14">
        <v>416</v>
      </c>
      <c r="AO1130" s="14">
        <v>247</v>
      </c>
      <c r="AQ1130" s="14">
        <v>29</v>
      </c>
    </row>
    <row r="1131" spans="28:43" x14ac:dyDescent="0.25">
      <c r="AB1131" s="14">
        <v>105</v>
      </c>
      <c r="AM1131" s="14">
        <v>416</v>
      </c>
      <c r="AO1131" s="14">
        <v>24</v>
      </c>
      <c r="AQ1131" s="14">
        <v>20</v>
      </c>
    </row>
    <row r="1132" spans="28:43" x14ac:dyDescent="0.25">
      <c r="AB1132" s="14">
        <v>106</v>
      </c>
      <c r="AM1132" s="14">
        <v>416</v>
      </c>
      <c r="AO1132" s="14">
        <v>148</v>
      </c>
      <c r="AQ1132" s="14">
        <v>8</v>
      </c>
    </row>
    <row r="1133" spans="28:43" x14ac:dyDescent="0.25">
      <c r="AB1133" s="14">
        <v>105</v>
      </c>
      <c r="AM1133" s="14">
        <v>144</v>
      </c>
      <c r="AO1133" s="14">
        <v>235</v>
      </c>
      <c r="AQ1133" s="14">
        <v>3</v>
      </c>
    </row>
    <row r="1134" spans="28:43" x14ac:dyDescent="0.25">
      <c r="AB1134" s="14">
        <v>106</v>
      </c>
      <c r="AM1134" s="14">
        <v>291</v>
      </c>
      <c r="AO1134" s="14">
        <v>238</v>
      </c>
      <c r="AQ1134" s="14">
        <v>3</v>
      </c>
    </row>
    <row r="1135" spans="28:43" x14ac:dyDescent="0.25">
      <c r="AB1135" s="14">
        <v>105</v>
      </c>
      <c r="AM1135" s="14">
        <v>627</v>
      </c>
      <c r="AO1135" s="14">
        <v>245</v>
      </c>
      <c r="AQ1135" s="14">
        <v>3</v>
      </c>
    </row>
    <row r="1136" spans="28:43" x14ac:dyDescent="0.25">
      <c r="AB1136" s="14">
        <v>104</v>
      </c>
      <c r="AM1136" s="14">
        <v>156</v>
      </c>
      <c r="AO1136" s="14">
        <v>256</v>
      </c>
      <c r="AQ1136" s="14">
        <v>405</v>
      </c>
    </row>
    <row r="1137" spans="28:43" x14ac:dyDescent="0.25">
      <c r="AB1137" s="14">
        <v>103</v>
      </c>
      <c r="AM1137" s="14">
        <v>516</v>
      </c>
      <c r="AO1137" s="14">
        <v>279</v>
      </c>
      <c r="AQ1137" s="14">
        <v>142</v>
      </c>
    </row>
    <row r="1138" spans="28:43" x14ac:dyDescent="0.25">
      <c r="AB1138" s="14">
        <v>103</v>
      </c>
      <c r="AM1138" s="14">
        <v>465</v>
      </c>
      <c r="AO1138" s="14">
        <v>293</v>
      </c>
      <c r="AQ1138" s="14">
        <v>143</v>
      </c>
    </row>
    <row r="1139" spans="28:43" x14ac:dyDescent="0.25">
      <c r="AB1139" s="14">
        <v>103</v>
      </c>
      <c r="AM1139" s="14">
        <v>645</v>
      </c>
      <c r="AO1139" s="14">
        <v>318</v>
      </c>
      <c r="AQ1139" s="14">
        <v>142</v>
      </c>
    </row>
    <row r="1140" spans="28:43" x14ac:dyDescent="0.25">
      <c r="AB1140" s="14">
        <v>99</v>
      </c>
      <c r="AM1140" s="14">
        <v>328</v>
      </c>
      <c r="AO1140" s="14">
        <v>249</v>
      </c>
      <c r="AQ1140" s="14">
        <v>83</v>
      </c>
    </row>
    <row r="1141" spans="28:43" x14ac:dyDescent="0.25">
      <c r="AB1141" s="14">
        <v>110</v>
      </c>
      <c r="AM1141" s="14">
        <v>798</v>
      </c>
      <c r="AO1141" s="14">
        <v>39</v>
      </c>
      <c r="AQ1141" s="14">
        <v>22</v>
      </c>
    </row>
    <row r="1142" spans="28:43" x14ac:dyDescent="0.25">
      <c r="AB1142" s="14">
        <v>99</v>
      </c>
      <c r="AM1142" s="14">
        <v>658</v>
      </c>
      <c r="AO1142" s="14">
        <v>189</v>
      </c>
      <c r="AQ1142" s="14">
        <v>23</v>
      </c>
    </row>
    <row r="1143" spans="28:43" x14ac:dyDescent="0.25">
      <c r="AB1143" s="14">
        <v>110</v>
      </c>
      <c r="AM1143" s="14">
        <v>553</v>
      </c>
      <c r="AO1143" s="14">
        <v>257</v>
      </c>
      <c r="AQ1143" s="14">
        <v>23</v>
      </c>
    </row>
    <row r="1144" spans="28:43" x14ac:dyDescent="0.25">
      <c r="AB1144" s="14">
        <v>341</v>
      </c>
      <c r="AM1144" s="14">
        <v>480</v>
      </c>
      <c r="AO1144" s="14">
        <v>256</v>
      </c>
      <c r="AQ1144" s="14">
        <v>4</v>
      </c>
    </row>
    <row r="1145" spans="28:43" x14ac:dyDescent="0.25">
      <c r="AB1145" s="14">
        <v>460</v>
      </c>
      <c r="AM1145" s="14">
        <v>691</v>
      </c>
      <c r="AO1145" s="14">
        <v>266</v>
      </c>
      <c r="AQ1145" s="14">
        <v>4</v>
      </c>
    </row>
    <row r="1146" spans="28:43" x14ac:dyDescent="0.25">
      <c r="AB1146" s="14">
        <v>307</v>
      </c>
      <c r="AM1146" s="14">
        <v>348</v>
      </c>
      <c r="AO1146" s="14">
        <v>273</v>
      </c>
      <c r="AQ1146" s="14">
        <v>7</v>
      </c>
    </row>
    <row r="1147" spans="28:43" x14ac:dyDescent="0.25">
      <c r="AB1147" s="14">
        <v>260</v>
      </c>
      <c r="AM1147" s="14">
        <v>856</v>
      </c>
      <c r="AO1147" s="14">
        <v>324</v>
      </c>
      <c r="AQ1147" s="14">
        <v>5</v>
      </c>
    </row>
    <row r="1148" spans="28:43" x14ac:dyDescent="0.25">
      <c r="AB1148" s="14">
        <v>76</v>
      </c>
      <c r="AM1148" s="14">
        <v>650</v>
      </c>
      <c r="AO1148" s="14">
        <v>364</v>
      </c>
      <c r="AQ1148" s="14">
        <v>7</v>
      </c>
    </row>
    <row r="1149" spans="28:43" x14ac:dyDescent="0.25">
      <c r="AB1149" s="14">
        <v>71</v>
      </c>
      <c r="AM1149" s="14">
        <v>149</v>
      </c>
      <c r="AO1149" s="14">
        <v>412</v>
      </c>
      <c r="AQ1149" s="14">
        <v>3</v>
      </c>
    </row>
    <row r="1150" spans="28:43" x14ac:dyDescent="0.25">
      <c r="AB1150" s="14">
        <v>53</v>
      </c>
      <c r="AM1150" s="14">
        <v>456</v>
      </c>
      <c r="AO1150" s="14">
        <v>246</v>
      </c>
    </row>
    <row r="1151" spans="28:43" x14ac:dyDescent="0.25">
      <c r="AB1151" s="14">
        <v>53</v>
      </c>
      <c r="AM1151" s="14">
        <v>121</v>
      </c>
      <c r="AO1151" s="14">
        <v>472</v>
      </c>
    </row>
    <row r="1152" spans="28:43" x14ac:dyDescent="0.25">
      <c r="AB1152" s="14">
        <v>35</v>
      </c>
      <c r="AM1152" s="14">
        <v>155</v>
      </c>
      <c r="AO1152" s="14">
        <v>207</v>
      </c>
    </row>
    <row r="1153" spans="28:41" x14ac:dyDescent="0.25">
      <c r="AB1153" s="14">
        <v>28</v>
      </c>
      <c r="AM1153" s="14">
        <v>807</v>
      </c>
      <c r="AO1153" s="14">
        <v>343</v>
      </c>
    </row>
    <row r="1154" spans="28:41" x14ac:dyDescent="0.25">
      <c r="AB1154" s="14">
        <v>28</v>
      </c>
      <c r="AM1154" s="14">
        <v>716</v>
      </c>
      <c r="AO1154" s="14">
        <v>579</v>
      </c>
    </row>
    <row r="1155" spans="28:41" x14ac:dyDescent="0.25">
      <c r="AB1155" s="14">
        <v>27</v>
      </c>
      <c r="AM1155" s="14">
        <v>101</v>
      </c>
      <c r="AO1155" s="14">
        <v>207</v>
      </c>
    </row>
    <row r="1156" spans="28:41" x14ac:dyDescent="0.25">
      <c r="AM1156" s="14">
        <v>513</v>
      </c>
      <c r="AO1156" s="14">
        <v>700</v>
      </c>
    </row>
    <row r="1157" spans="28:41" x14ac:dyDescent="0.25">
      <c r="AM1157" s="14">
        <v>125</v>
      </c>
      <c r="AO1157" s="14">
        <v>708</v>
      </c>
    </row>
    <row r="1158" spans="28:41" x14ac:dyDescent="0.25">
      <c r="AM1158" s="14">
        <v>125</v>
      </c>
      <c r="AO1158" s="14">
        <v>749</v>
      </c>
    </row>
    <row r="1159" spans="28:41" x14ac:dyDescent="0.25">
      <c r="AM1159" s="14">
        <v>897</v>
      </c>
      <c r="AO1159" s="14">
        <v>755</v>
      </c>
    </row>
    <row r="1160" spans="28:41" x14ac:dyDescent="0.25">
      <c r="AM1160" s="14">
        <v>779</v>
      </c>
      <c r="AO1160" s="14">
        <v>806</v>
      </c>
    </row>
    <row r="1161" spans="28:41" x14ac:dyDescent="0.25">
      <c r="AM1161" s="14">
        <v>112</v>
      </c>
      <c r="AO1161" s="14">
        <v>806</v>
      </c>
    </row>
    <row r="1162" spans="28:41" x14ac:dyDescent="0.25">
      <c r="AM1162" s="14">
        <v>565</v>
      </c>
      <c r="AO1162" s="14">
        <v>856</v>
      </c>
    </row>
    <row r="1163" spans="28:41" x14ac:dyDescent="0.25">
      <c r="AM1163" s="14">
        <v>139</v>
      </c>
      <c r="AO1163" s="14">
        <v>351</v>
      </c>
    </row>
    <row r="1164" spans="28:41" x14ac:dyDescent="0.25">
      <c r="AM1164" s="14">
        <v>106</v>
      </c>
      <c r="AO1164" s="14">
        <v>122</v>
      </c>
    </row>
    <row r="1165" spans="28:41" x14ac:dyDescent="0.25">
      <c r="AM1165" s="14">
        <v>155</v>
      </c>
      <c r="AO1165" s="14">
        <v>328</v>
      </c>
    </row>
    <row r="1166" spans="28:41" x14ac:dyDescent="0.25">
      <c r="AM1166" s="14">
        <v>279</v>
      </c>
      <c r="AO1166" s="14">
        <v>817</v>
      </c>
    </row>
    <row r="1167" spans="28:41" x14ac:dyDescent="0.25">
      <c r="AM1167" s="14">
        <v>256</v>
      </c>
      <c r="AO1167" s="14">
        <v>863</v>
      </c>
    </row>
    <row r="1168" spans="28:41" x14ac:dyDescent="0.25">
      <c r="AM1168" s="14">
        <v>599</v>
      </c>
      <c r="AO1168" s="14">
        <v>915</v>
      </c>
    </row>
    <row r="1169" spans="39:41" x14ac:dyDescent="0.25">
      <c r="AM1169" s="14">
        <v>928</v>
      </c>
      <c r="AO1169" s="14">
        <v>935</v>
      </c>
    </row>
    <row r="1170" spans="39:41" x14ac:dyDescent="0.25">
      <c r="AM1170" s="14">
        <v>167</v>
      </c>
      <c r="AO1170" s="14">
        <v>105</v>
      </c>
    </row>
    <row r="1171" spans="39:41" x14ac:dyDescent="0.25">
      <c r="AM1171" s="14">
        <v>279</v>
      </c>
      <c r="AO1171" s="14">
        <v>115</v>
      </c>
    </row>
    <row r="1172" spans="39:41" x14ac:dyDescent="0.25">
      <c r="AM1172" s="14">
        <v>454</v>
      </c>
      <c r="AO1172" s="14">
        <v>130</v>
      </c>
    </row>
    <row r="1173" spans="39:41" x14ac:dyDescent="0.25">
      <c r="AM1173" s="14">
        <v>460</v>
      </c>
      <c r="AO1173" s="14">
        <v>475</v>
      </c>
    </row>
    <row r="1174" spans="39:41" x14ac:dyDescent="0.25">
      <c r="AM1174" s="14">
        <v>645</v>
      </c>
      <c r="AO1174" s="14">
        <v>10</v>
      </c>
    </row>
    <row r="1175" spans="39:41" x14ac:dyDescent="0.25">
      <c r="AM1175" s="14">
        <v>722</v>
      </c>
      <c r="AO1175" s="14">
        <v>37</v>
      </c>
    </row>
    <row r="1176" spans="39:41" x14ac:dyDescent="0.25">
      <c r="AM1176" s="14">
        <v>291</v>
      </c>
      <c r="AO1176" s="14">
        <v>617</v>
      </c>
    </row>
    <row r="1177" spans="39:41" x14ac:dyDescent="0.25">
      <c r="AM1177" s="14">
        <v>638</v>
      </c>
      <c r="AO1177" s="14">
        <v>12</v>
      </c>
    </row>
    <row r="1178" spans="39:41" x14ac:dyDescent="0.25">
      <c r="AM1178" s="14">
        <v>941</v>
      </c>
      <c r="AO1178" s="14">
        <v>38</v>
      </c>
    </row>
    <row r="1179" spans="39:41" x14ac:dyDescent="0.25">
      <c r="AM1179" s="14">
        <v>151</v>
      </c>
      <c r="AO1179" s="14">
        <v>144</v>
      </c>
    </row>
    <row r="1180" spans="39:41" x14ac:dyDescent="0.25">
      <c r="AM1180" s="14">
        <v>235</v>
      </c>
      <c r="AO1180" s="14">
        <v>146</v>
      </c>
    </row>
    <row r="1181" spans="39:41" x14ac:dyDescent="0.25">
      <c r="AM1181" s="14">
        <v>417</v>
      </c>
      <c r="AO1181" s="14">
        <v>157</v>
      </c>
    </row>
    <row r="1182" spans="39:41" x14ac:dyDescent="0.25">
      <c r="AM1182" s="14">
        <v>116</v>
      </c>
      <c r="AO1182" s="14">
        <v>159</v>
      </c>
    </row>
    <row r="1183" spans="39:41" x14ac:dyDescent="0.25">
      <c r="AM1183" s="14">
        <v>413</v>
      </c>
      <c r="AO1183" s="14">
        <v>166</v>
      </c>
    </row>
    <row r="1184" spans="39:41" x14ac:dyDescent="0.25">
      <c r="AM1184" s="14">
        <v>162</v>
      </c>
      <c r="AO1184" s="14">
        <v>162</v>
      </c>
    </row>
    <row r="1185" spans="39:41" x14ac:dyDescent="0.25">
      <c r="AM1185" s="14">
        <v>232</v>
      </c>
      <c r="AO1185" s="14">
        <v>173</v>
      </c>
    </row>
    <row r="1186" spans="39:41" x14ac:dyDescent="0.25">
      <c r="AM1186" s="14">
        <v>730</v>
      </c>
      <c r="AO1186" s="14">
        <v>647</v>
      </c>
    </row>
    <row r="1187" spans="39:41" x14ac:dyDescent="0.25">
      <c r="AM1187" s="14">
        <v>668</v>
      </c>
      <c r="AO1187" s="14">
        <v>24</v>
      </c>
    </row>
    <row r="1188" spans="39:41" x14ac:dyDescent="0.25">
      <c r="AM1188" s="14">
        <v>936</v>
      </c>
      <c r="AO1188" s="14">
        <v>67</v>
      </c>
    </row>
    <row r="1189" spans="39:41" x14ac:dyDescent="0.25">
      <c r="AM1189" s="14">
        <v>115</v>
      </c>
      <c r="AO1189" s="14">
        <v>166</v>
      </c>
    </row>
    <row r="1190" spans="39:41" x14ac:dyDescent="0.25">
      <c r="AM1190" s="14">
        <v>452</v>
      </c>
      <c r="AO1190" s="14">
        <v>175</v>
      </c>
    </row>
    <row r="1191" spans="39:41" x14ac:dyDescent="0.25">
      <c r="AM1191" s="14">
        <v>124</v>
      </c>
      <c r="AO1191" s="14">
        <v>190</v>
      </c>
    </row>
    <row r="1192" spans="39:41" x14ac:dyDescent="0.25">
      <c r="AM1192" s="14">
        <v>416</v>
      </c>
      <c r="AO1192" s="14">
        <v>195</v>
      </c>
    </row>
    <row r="1193" spans="39:41" x14ac:dyDescent="0.25">
      <c r="AM1193" s="14">
        <v>21</v>
      </c>
      <c r="AO1193" s="14">
        <v>216</v>
      </c>
    </row>
    <row r="1194" spans="39:41" x14ac:dyDescent="0.25">
      <c r="AM1194" s="14">
        <v>277</v>
      </c>
      <c r="AO1194" s="14">
        <v>233</v>
      </c>
    </row>
    <row r="1195" spans="39:41" x14ac:dyDescent="0.25">
      <c r="AM1195" s="14">
        <v>66</v>
      </c>
      <c r="AO1195" s="14">
        <v>259</v>
      </c>
    </row>
    <row r="1196" spans="39:41" x14ac:dyDescent="0.25">
      <c r="AM1196" s="14">
        <v>128</v>
      </c>
      <c r="AO1196" s="14">
        <v>972</v>
      </c>
    </row>
    <row r="1197" spans="39:41" x14ac:dyDescent="0.25">
      <c r="AM1197" s="14">
        <v>56</v>
      </c>
      <c r="AO1197" s="14">
        <v>545</v>
      </c>
    </row>
    <row r="1198" spans="39:41" x14ac:dyDescent="0.25">
      <c r="AM1198" s="14">
        <v>164</v>
      </c>
      <c r="AO1198" s="14">
        <v>222</v>
      </c>
    </row>
    <row r="1199" spans="39:41" x14ac:dyDescent="0.25">
      <c r="AM1199" s="14">
        <v>55</v>
      </c>
      <c r="AO1199" s="14">
        <v>213</v>
      </c>
    </row>
    <row r="1200" spans="39:41" x14ac:dyDescent="0.25">
      <c r="AM1200" s="14">
        <v>25</v>
      </c>
      <c r="AO1200" s="14">
        <v>212</v>
      </c>
    </row>
    <row r="1201" spans="39:41" x14ac:dyDescent="0.25">
      <c r="AM1201" s="14">
        <v>436</v>
      </c>
      <c r="AO1201" s="14">
        <v>155</v>
      </c>
    </row>
    <row r="1202" spans="39:41" x14ac:dyDescent="0.25">
      <c r="AM1202" s="14">
        <v>84</v>
      </c>
      <c r="AO1202" s="14">
        <v>186</v>
      </c>
    </row>
    <row r="1203" spans="39:41" x14ac:dyDescent="0.25">
      <c r="AM1203" s="14">
        <v>226</v>
      </c>
      <c r="AO1203" s="14">
        <v>181</v>
      </c>
    </row>
    <row r="1204" spans="39:41" x14ac:dyDescent="0.25">
      <c r="AM1204" s="14">
        <v>77</v>
      </c>
      <c r="AO1204" s="14">
        <v>400</v>
      </c>
    </row>
    <row r="1205" spans="39:41" x14ac:dyDescent="0.25">
      <c r="AM1205" s="14">
        <v>22</v>
      </c>
      <c r="AO1205" s="14">
        <v>324</v>
      </c>
    </row>
    <row r="1206" spans="39:41" x14ac:dyDescent="0.25">
      <c r="AM1206" s="14">
        <v>64</v>
      </c>
      <c r="AO1206" s="14">
        <v>219</v>
      </c>
    </row>
    <row r="1207" spans="39:41" x14ac:dyDescent="0.25">
      <c r="AM1207" s="14">
        <v>32</v>
      </c>
      <c r="AO1207" s="14">
        <v>526</v>
      </c>
    </row>
    <row r="1208" spans="39:41" x14ac:dyDescent="0.25">
      <c r="AM1208" s="14">
        <v>893</v>
      </c>
      <c r="AO1208" s="14">
        <v>215</v>
      </c>
    </row>
    <row r="1209" spans="39:41" x14ac:dyDescent="0.25">
      <c r="AM1209" s="14">
        <v>46</v>
      </c>
      <c r="AO1209" s="14">
        <v>201</v>
      </c>
    </row>
    <row r="1210" spans="39:41" x14ac:dyDescent="0.25">
      <c r="AM1210" s="14">
        <v>920</v>
      </c>
      <c r="AO1210" s="14">
        <v>218</v>
      </c>
    </row>
    <row r="1211" spans="39:41" x14ac:dyDescent="0.25">
      <c r="AM1211" s="14">
        <v>72</v>
      </c>
      <c r="AO1211" s="14">
        <v>156</v>
      </c>
    </row>
    <row r="1212" spans="39:41" x14ac:dyDescent="0.25">
      <c r="AM1212" s="14">
        <v>68</v>
      </c>
      <c r="AO1212" s="14">
        <v>118</v>
      </c>
    </row>
    <row r="1213" spans="39:41" x14ac:dyDescent="0.25">
      <c r="AM1213" s="14">
        <v>93</v>
      </c>
      <c r="AO1213" s="14">
        <v>136</v>
      </c>
    </row>
    <row r="1214" spans="39:41" x14ac:dyDescent="0.25">
      <c r="AM1214" s="14">
        <v>45</v>
      </c>
      <c r="AO1214" s="14">
        <v>140</v>
      </c>
    </row>
    <row r="1215" spans="39:41" x14ac:dyDescent="0.25">
      <c r="AM1215" s="14">
        <v>133</v>
      </c>
      <c r="AO1215" s="14">
        <v>295</v>
      </c>
    </row>
    <row r="1216" spans="39:41" x14ac:dyDescent="0.25">
      <c r="AM1216" s="14">
        <v>141</v>
      </c>
      <c r="AO1216" s="14">
        <v>292</v>
      </c>
    </row>
    <row r="1217" spans="39:41" x14ac:dyDescent="0.25">
      <c r="AM1217" s="14">
        <v>42</v>
      </c>
      <c r="AO1217" s="14">
        <v>204</v>
      </c>
    </row>
    <row r="1218" spans="39:41" x14ac:dyDescent="0.25">
      <c r="AM1218" s="14">
        <v>162</v>
      </c>
      <c r="AO1218" s="14">
        <v>501</v>
      </c>
    </row>
    <row r="1219" spans="39:41" x14ac:dyDescent="0.25">
      <c r="AM1219" s="14">
        <v>232</v>
      </c>
      <c r="AO1219" s="14">
        <v>219</v>
      </c>
    </row>
    <row r="1220" spans="39:41" x14ac:dyDescent="0.25">
      <c r="AM1220" s="14">
        <v>466</v>
      </c>
      <c r="AO1220" s="14">
        <v>210</v>
      </c>
    </row>
    <row r="1221" spans="39:41" x14ac:dyDescent="0.25">
      <c r="AM1221" s="14">
        <v>657</v>
      </c>
      <c r="AO1221" s="14">
        <v>184</v>
      </c>
    </row>
    <row r="1222" spans="39:41" x14ac:dyDescent="0.25">
      <c r="AM1222" s="14">
        <v>937</v>
      </c>
      <c r="AO1222" s="14">
        <v>134</v>
      </c>
    </row>
    <row r="1223" spans="39:41" x14ac:dyDescent="0.25">
      <c r="AM1223" s="14">
        <v>451</v>
      </c>
      <c r="AO1223" s="14">
        <v>158</v>
      </c>
    </row>
    <row r="1224" spans="39:41" x14ac:dyDescent="0.25">
      <c r="AM1224" s="14">
        <v>123</v>
      </c>
      <c r="AO1224" s="14">
        <v>161</v>
      </c>
    </row>
    <row r="1225" spans="39:41" x14ac:dyDescent="0.25">
      <c r="AM1225" s="14">
        <v>416</v>
      </c>
      <c r="AO1225" s="14">
        <v>350</v>
      </c>
    </row>
    <row r="1226" spans="39:41" x14ac:dyDescent="0.25">
      <c r="AM1226" s="14">
        <v>162</v>
      </c>
      <c r="AO1226" s="14">
        <v>302</v>
      </c>
    </row>
    <row r="1227" spans="39:41" x14ac:dyDescent="0.25">
      <c r="AM1227" s="14">
        <v>232</v>
      </c>
      <c r="AO1227" s="14">
        <v>214</v>
      </c>
    </row>
    <row r="1228" spans="39:41" x14ac:dyDescent="0.25">
      <c r="AM1228" s="14">
        <v>551</v>
      </c>
      <c r="AO1228" s="14">
        <v>493</v>
      </c>
    </row>
    <row r="1229" spans="39:41" x14ac:dyDescent="0.25">
      <c r="AM1229" s="14">
        <v>667</v>
      </c>
      <c r="AO1229" s="14">
        <v>216</v>
      </c>
    </row>
    <row r="1230" spans="39:41" x14ac:dyDescent="0.25">
      <c r="AM1230" s="14">
        <v>951</v>
      </c>
      <c r="AO1230" s="14">
        <v>205</v>
      </c>
    </row>
    <row r="1231" spans="39:41" x14ac:dyDescent="0.25">
      <c r="AM1231" s="14">
        <v>451</v>
      </c>
      <c r="AO1231" s="14">
        <v>263</v>
      </c>
    </row>
    <row r="1232" spans="39:41" x14ac:dyDescent="0.25">
      <c r="AM1232" s="14">
        <v>882</v>
      </c>
      <c r="AO1232" s="14">
        <v>156</v>
      </c>
    </row>
    <row r="1233" spans="39:41" x14ac:dyDescent="0.25">
      <c r="AM1233" s="14">
        <v>508</v>
      </c>
      <c r="AO1233" s="14">
        <v>118</v>
      </c>
    </row>
    <row r="1234" spans="39:41" x14ac:dyDescent="0.25">
      <c r="AM1234" s="14">
        <v>128</v>
      </c>
      <c r="AO1234" s="14">
        <v>136</v>
      </c>
    </row>
    <row r="1235" spans="39:41" x14ac:dyDescent="0.25">
      <c r="AM1235" s="14">
        <v>416</v>
      </c>
      <c r="AO1235" s="14">
        <v>139</v>
      </c>
    </row>
    <row r="1236" spans="39:41" x14ac:dyDescent="0.25">
      <c r="AM1236" s="14">
        <v>162</v>
      </c>
      <c r="AO1236" s="14">
        <v>294</v>
      </c>
    </row>
    <row r="1237" spans="39:41" x14ac:dyDescent="0.25">
      <c r="AM1237" s="14">
        <v>232</v>
      </c>
      <c r="AO1237" s="14">
        <v>292</v>
      </c>
    </row>
    <row r="1238" spans="39:41" x14ac:dyDescent="0.25">
      <c r="AM1238" s="14">
        <v>539</v>
      </c>
      <c r="AO1238" s="14">
        <v>208</v>
      </c>
    </row>
    <row r="1239" spans="39:41" x14ac:dyDescent="0.25">
      <c r="AM1239" s="14">
        <v>661</v>
      </c>
      <c r="AO1239" s="14">
        <v>361</v>
      </c>
    </row>
    <row r="1240" spans="39:41" x14ac:dyDescent="0.25">
      <c r="AM1240" s="14">
        <v>936</v>
      </c>
      <c r="AO1240" s="14">
        <v>146</v>
      </c>
    </row>
    <row r="1241" spans="39:41" x14ac:dyDescent="0.25">
      <c r="AM1241" s="14">
        <v>451</v>
      </c>
      <c r="AO1241" s="14">
        <v>140</v>
      </c>
    </row>
    <row r="1242" spans="39:41" x14ac:dyDescent="0.25">
      <c r="AM1242" s="14">
        <v>348</v>
      </c>
      <c r="AO1242" s="14">
        <v>139</v>
      </c>
    </row>
    <row r="1243" spans="39:41" x14ac:dyDescent="0.25">
      <c r="AM1243" s="14">
        <v>161</v>
      </c>
      <c r="AO1243" s="14">
        <v>101</v>
      </c>
    </row>
    <row r="1244" spans="39:41" x14ac:dyDescent="0.25">
      <c r="AM1244" s="14">
        <v>416</v>
      </c>
      <c r="AO1244" s="14">
        <v>121</v>
      </c>
    </row>
    <row r="1245" spans="39:41" x14ac:dyDescent="0.25">
      <c r="AM1245" s="14">
        <v>162</v>
      </c>
      <c r="AO1245" s="14">
        <v>117</v>
      </c>
    </row>
    <row r="1246" spans="39:41" x14ac:dyDescent="0.25">
      <c r="AM1246" s="14">
        <v>232</v>
      </c>
      <c r="AO1246" s="14">
        <v>264</v>
      </c>
    </row>
    <row r="1247" spans="39:41" x14ac:dyDescent="0.25">
      <c r="AM1247" s="14">
        <v>639</v>
      </c>
      <c r="AO1247" s="14">
        <v>215</v>
      </c>
    </row>
    <row r="1248" spans="39:41" x14ac:dyDescent="0.25">
      <c r="AM1248" s="14">
        <v>453</v>
      </c>
      <c r="AO1248" s="14">
        <v>143</v>
      </c>
    </row>
    <row r="1249" spans="39:41" x14ac:dyDescent="0.25">
      <c r="AM1249" s="14">
        <v>107</v>
      </c>
      <c r="AO1249" s="14">
        <v>438</v>
      </c>
    </row>
    <row r="1250" spans="39:41" x14ac:dyDescent="0.25">
      <c r="AM1250" s="14">
        <v>111</v>
      </c>
      <c r="AO1250" s="14">
        <v>177</v>
      </c>
    </row>
    <row r="1251" spans="39:41" x14ac:dyDescent="0.25">
      <c r="AM1251" s="14">
        <v>571</v>
      </c>
      <c r="AO1251" s="14">
        <v>170</v>
      </c>
    </row>
    <row r="1252" spans="39:41" x14ac:dyDescent="0.25">
      <c r="AM1252" s="14">
        <v>124</v>
      </c>
      <c r="AO1252" s="14">
        <v>169</v>
      </c>
    </row>
    <row r="1253" spans="39:41" x14ac:dyDescent="0.25">
      <c r="AM1253" s="14">
        <v>415</v>
      </c>
      <c r="AO1253" s="14">
        <v>123</v>
      </c>
    </row>
    <row r="1254" spans="39:41" x14ac:dyDescent="0.25">
      <c r="AM1254" s="14">
        <v>421</v>
      </c>
      <c r="AO1254" s="14">
        <v>147</v>
      </c>
    </row>
    <row r="1255" spans="39:41" x14ac:dyDescent="0.25">
      <c r="AM1255" s="14">
        <v>85</v>
      </c>
      <c r="AO1255" s="14">
        <v>143</v>
      </c>
    </row>
    <row r="1256" spans="39:41" x14ac:dyDescent="0.25">
      <c r="AM1256" s="14">
        <v>121</v>
      </c>
      <c r="AO1256" s="14">
        <v>321</v>
      </c>
    </row>
    <row r="1257" spans="39:41" x14ac:dyDescent="0.25">
      <c r="AM1257" s="14">
        <v>174</v>
      </c>
      <c r="AO1257" s="14">
        <v>262</v>
      </c>
    </row>
    <row r="1258" spans="39:41" x14ac:dyDescent="0.25">
      <c r="AM1258" s="14">
        <v>84</v>
      </c>
      <c r="AO1258" s="14">
        <v>174</v>
      </c>
    </row>
    <row r="1259" spans="39:41" x14ac:dyDescent="0.25">
      <c r="AM1259" s="14">
        <v>126</v>
      </c>
      <c r="AO1259" s="14">
        <v>460</v>
      </c>
    </row>
    <row r="1260" spans="39:41" x14ac:dyDescent="0.25">
      <c r="AM1260" s="14">
        <v>165</v>
      </c>
      <c r="AO1260" s="14">
        <v>186</v>
      </c>
    </row>
    <row r="1261" spans="39:41" x14ac:dyDescent="0.25">
      <c r="AM1261" s="14">
        <v>62</v>
      </c>
      <c r="AO1261" s="14">
        <v>178</v>
      </c>
    </row>
    <row r="1262" spans="39:41" x14ac:dyDescent="0.25">
      <c r="AM1262" s="14">
        <v>663</v>
      </c>
      <c r="AO1262" s="14">
        <v>177</v>
      </c>
    </row>
    <row r="1263" spans="39:41" x14ac:dyDescent="0.25">
      <c r="AM1263" s="14">
        <v>946</v>
      </c>
      <c r="AO1263" s="14">
        <v>129</v>
      </c>
    </row>
    <row r="1264" spans="39:41" x14ac:dyDescent="0.25">
      <c r="AM1264" s="14">
        <v>229</v>
      </c>
      <c r="AO1264" s="14">
        <v>155</v>
      </c>
    </row>
    <row r="1265" spans="39:41" x14ac:dyDescent="0.25">
      <c r="AM1265" s="14">
        <v>382</v>
      </c>
      <c r="AO1265" s="14">
        <v>150</v>
      </c>
    </row>
    <row r="1266" spans="39:41" x14ac:dyDescent="0.25">
      <c r="AM1266" s="14">
        <v>160</v>
      </c>
      <c r="AO1266" s="14">
        <v>337</v>
      </c>
    </row>
    <row r="1267" spans="39:41" x14ac:dyDescent="0.25">
      <c r="AM1267" s="14">
        <v>473</v>
      </c>
      <c r="AO1267" s="14">
        <v>275</v>
      </c>
    </row>
    <row r="1268" spans="39:41" x14ac:dyDescent="0.25">
      <c r="AM1268" s="14">
        <v>110</v>
      </c>
      <c r="AO1268" s="14">
        <v>183</v>
      </c>
    </row>
    <row r="1269" spans="39:41" x14ac:dyDescent="0.25">
      <c r="AM1269" s="14">
        <v>453</v>
      </c>
      <c r="AO1269" s="14">
        <v>332</v>
      </c>
    </row>
    <row r="1270" spans="39:41" x14ac:dyDescent="0.25">
      <c r="AM1270" s="14">
        <v>158</v>
      </c>
      <c r="AO1270" s="14">
        <v>144</v>
      </c>
    </row>
    <row r="1271" spans="39:41" x14ac:dyDescent="0.25">
      <c r="AM1271" s="14">
        <v>257</v>
      </c>
      <c r="AO1271" s="14">
        <v>138</v>
      </c>
    </row>
    <row r="1272" spans="39:41" x14ac:dyDescent="0.25">
      <c r="AM1272" s="14">
        <v>108</v>
      </c>
      <c r="AO1272" s="14">
        <v>121</v>
      </c>
    </row>
    <row r="1273" spans="39:41" x14ac:dyDescent="0.25">
      <c r="AM1273" s="14">
        <v>277</v>
      </c>
      <c r="AO1273" s="14">
        <v>881</v>
      </c>
    </row>
    <row r="1274" spans="39:41" x14ac:dyDescent="0.25">
      <c r="AM1274" s="14">
        <v>108</v>
      </c>
      <c r="AO1274" s="14">
        <v>103</v>
      </c>
    </row>
    <row r="1275" spans="39:41" x14ac:dyDescent="0.25">
      <c r="AM1275" s="14">
        <v>336</v>
      </c>
      <c r="AO1275" s="14">
        <v>104</v>
      </c>
    </row>
    <row r="1276" spans="39:41" x14ac:dyDescent="0.25">
      <c r="AM1276" s="14">
        <v>133</v>
      </c>
      <c r="AO1276" s="14">
        <v>232</v>
      </c>
    </row>
    <row r="1277" spans="39:41" x14ac:dyDescent="0.25">
      <c r="AM1277" s="14">
        <v>222</v>
      </c>
      <c r="AO1277" s="14">
        <v>201</v>
      </c>
    </row>
    <row r="1278" spans="39:41" x14ac:dyDescent="0.25">
      <c r="AM1278" s="14">
        <v>935</v>
      </c>
      <c r="AO1278" s="14">
        <v>141</v>
      </c>
    </row>
    <row r="1279" spans="39:41" x14ac:dyDescent="0.25">
      <c r="AM1279" s="14">
        <v>231</v>
      </c>
      <c r="AO1279" s="14">
        <v>405</v>
      </c>
    </row>
    <row r="1280" spans="39:41" x14ac:dyDescent="0.25">
      <c r="AM1280" s="14">
        <v>103</v>
      </c>
      <c r="AO1280" s="14">
        <v>176</v>
      </c>
    </row>
    <row r="1281" spans="39:41" x14ac:dyDescent="0.25">
      <c r="AM1281" s="14">
        <v>424</v>
      </c>
      <c r="AO1281" s="14">
        <v>169</v>
      </c>
    </row>
    <row r="1282" spans="39:41" x14ac:dyDescent="0.25">
      <c r="AM1282" s="14">
        <v>236</v>
      </c>
      <c r="AO1282" s="14">
        <v>147</v>
      </c>
    </row>
    <row r="1283" spans="39:41" x14ac:dyDescent="0.25">
      <c r="AM1283" s="14">
        <v>381</v>
      </c>
      <c r="AO1283" s="14">
        <v>107</v>
      </c>
    </row>
    <row r="1284" spans="39:41" x14ac:dyDescent="0.25">
      <c r="AM1284" s="14">
        <v>185</v>
      </c>
      <c r="AO1284" s="14">
        <v>125</v>
      </c>
    </row>
    <row r="1285" spans="39:41" x14ac:dyDescent="0.25">
      <c r="AM1285" s="14">
        <v>245</v>
      </c>
      <c r="AO1285" s="14">
        <v>128</v>
      </c>
    </row>
    <row r="1286" spans="39:41" x14ac:dyDescent="0.25">
      <c r="AM1286" s="14">
        <v>189</v>
      </c>
      <c r="AO1286" s="14">
        <v>283</v>
      </c>
    </row>
    <row r="1287" spans="39:41" x14ac:dyDescent="0.25">
      <c r="AM1287" s="14">
        <v>514</v>
      </c>
      <c r="AO1287" s="14">
        <v>245</v>
      </c>
    </row>
    <row r="1288" spans="39:41" x14ac:dyDescent="0.25">
      <c r="AM1288" s="14">
        <v>142</v>
      </c>
      <c r="AO1288" s="14">
        <v>172</v>
      </c>
    </row>
    <row r="1289" spans="39:41" x14ac:dyDescent="0.25">
      <c r="AM1289" s="14">
        <v>243</v>
      </c>
      <c r="AO1289" s="14">
        <v>188</v>
      </c>
    </row>
    <row r="1290" spans="39:41" x14ac:dyDescent="0.25">
      <c r="AM1290" s="14">
        <v>104</v>
      </c>
      <c r="AO1290" s="14">
        <v>180</v>
      </c>
    </row>
    <row r="1291" spans="39:41" x14ac:dyDescent="0.25">
      <c r="AM1291" s="14">
        <v>309</v>
      </c>
      <c r="AO1291" s="14">
        <v>157</v>
      </c>
    </row>
    <row r="1292" spans="39:41" x14ac:dyDescent="0.25">
      <c r="AM1292" s="14">
        <v>133</v>
      </c>
      <c r="AO1292" s="14">
        <v>114</v>
      </c>
    </row>
    <row r="1293" spans="39:41" x14ac:dyDescent="0.25">
      <c r="AM1293" s="14">
        <v>725</v>
      </c>
      <c r="AO1293" s="14">
        <v>133</v>
      </c>
    </row>
    <row r="1294" spans="39:41" x14ac:dyDescent="0.25">
      <c r="AM1294" s="14">
        <v>416</v>
      </c>
      <c r="AO1294" s="14">
        <v>136</v>
      </c>
    </row>
    <row r="1295" spans="39:41" x14ac:dyDescent="0.25">
      <c r="AM1295" s="14">
        <v>491</v>
      </c>
      <c r="AO1295" s="14">
        <v>301</v>
      </c>
    </row>
    <row r="1296" spans="39:41" x14ac:dyDescent="0.25">
      <c r="AM1296" s="14">
        <v>760</v>
      </c>
      <c r="AO1296" s="14">
        <v>261</v>
      </c>
    </row>
    <row r="1297" spans="39:41" x14ac:dyDescent="0.25">
      <c r="AM1297" s="14">
        <v>319</v>
      </c>
      <c r="AO1297" s="14">
        <v>183</v>
      </c>
    </row>
    <row r="1298" spans="39:41" x14ac:dyDescent="0.25">
      <c r="AM1298" s="14">
        <v>538</v>
      </c>
    </row>
    <row r="1299" spans="39:41" x14ac:dyDescent="0.25">
      <c r="AM1299" s="14">
        <v>468</v>
      </c>
    </row>
    <row r="1300" spans="39:41" x14ac:dyDescent="0.25">
      <c r="AM1300" s="14">
        <v>275</v>
      </c>
    </row>
    <row r="1301" spans="39:41" x14ac:dyDescent="0.25">
      <c r="AM1301" s="14">
        <v>226</v>
      </c>
    </row>
    <row r="1302" spans="39:41" x14ac:dyDescent="0.25">
      <c r="AM1302" s="14">
        <v>380</v>
      </c>
    </row>
    <row r="1303" spans="39:41" x14ac:dyDescent="0.25">
      <c r="AM1303" s="14">
        <v>161</v>
      </c>
    </row>
    <row r="1304" spans="39:41" x14ac:dyDescent="0.25">
      <c r="AM1304" s="14">
        <v>304</v>
      </c>
    </row>
    <row r="1305" spans="39:41" x14ac:dyDescent="0.25">
      <c r="AM1305" s="14">
        <v>133</v>
      </c>
    </row>
    <row r="1306" spans="39:41" x14ac:dyDescent="0.25">
      <c r="AM1306" s="14">
        <v>459</v>
      </c>
    </row>
    <row r="1307" spans="39:41" x14ac:dyDescent="0.25">
      <c r="AM1307" s="14">
        <v>734</v>
      </c>
    </row>
    <row r="1308" spans="39:41" x14ac:dyDescent="0.25">
      <c r="AM1308" s="14">
        <v>183</v>
      </c>
    </row>
    <row r="1309" spans="39:41" x14ac:dyDescent="0.25">
      <c r="AM1309" s="14">
        <v>303</v>
      </c>
    </row>
    <row r="1310" spans="39:41" x14ac:dyDescent="0.25">
      <c r="AM1310" s="14">
        <v>119</v>
      </c>
    </row>
    <row r="1311" spans="39:41" x14ac:dyDescent="0.25">
      <c r="AM1311" s="14">
        <v>288</v>
      </c>
    </row>
    <row r="1312" spans="39:41" x14ac:dyDescent="0.25">
      <c r="AM1312" s="14">
        <v>108</v>
      </c>
    </row>
    <row r="1313" spans="39:39" x14ac:dyDescent="0.25">
      <c r="AM1313" s="14">
        <v>360</v>
      </c>
    </row>
    <row r="1314" spans="39:39" x14ac:dyDescent="0.25">
      <c r="AM1314" s="14">
        <v>622</v>
      </c>
    </row>
    <row r="1315" spans="39:39" x14ac:dyDescent="0.25">
      <c r="AM1315" s="14">
        <v>181</v>
      </c>
    </row>
    <row r="1316" spans="39:39" x14ac:dyDescent="0.25">
      <c r="AM1316" s="14">
        <v>294</v>
      </c>
    </row>
    <row r="1317" spans="39:39" x14ac:dyDescent="0.25">
      <c r="AM1317" s="14">
        <v>124</v>
      </c>
    </row>
    <row r="1318" spans="39:39" x14ac:dyDescent="0.25">
      <c r="AM1318" s="14">
        <v>203</v>
      </c>
    </row>
    <row r="1319" spans="39:39" x14ac:dyDescent="0.25">
      <c r="AM1319" s="14">
        <v>114</v>
      </c>
    </row>
    <row r="1320" spans="39:39" x14ac:dyDescent="0.25">
      <c r="AM1320" s="14">
        <v>44</v>
      </c>
    </row>
    <row r="1321" spans="39:39" x14ac:dyDescent="0.25">
      <c r="AM1321" s="14">
        <v>414</v>
      </c>
    </row>
    <row r="1322" spans="39:39" x14ac:dyDescent="0.25">
      <c r="AM1322" s="14">
        <v>31</v>
      </c>
    </row>
    <row r="1323" spans="39:39" x14ac:dyDescent="0.25">
      <c r="AM1323" s="14">
        <v>398</v>
      </c>
    </row>
    <row r="1324" spans="39:39" x14ac:dyDescent="0.25">
      <c r="AM1324" s="14">
        <v>49</v>
      </c>
    </row>
    <row r="1325" spans="39:39" x14ac:dyDescent="0.25">
      <c r="AM1325" s="14">
        <v>132</v>
      </c>
    </row>
    <row r="1326" spans="39:39" x14ac:dyDescent="0.25">
      <c r="AM1326" s="14">
        <v>19</v>
      </c>
    </row>
    <row r="1327" spans="39:39" x14ac:dyDescent="0.25">
      <c r="AM1327" s="14">
        <v>177</v>
      </c>
    </row>
    <row r="1328" spans="39:39" x14ac:dyDescent="0.25">
      <c r="AM1328" s="14">
        <v>13</v>
      </c>
    </row>
    <row r="1329" spans="39:39" x14ac:dyDescent="0.25">
      <c r="AM1329" s="14">
        <v>171</v>
      </c>
    </row>
    <row r="1330" spans="39:39" x14ac:dyDescent="0.25">
      <c r="AM1330" s="14">
        <v>21</v>
      </c>
    </row>
    <row r="1331" spans="39:39" x14ac:dyDescent="0.25">
      <c r="AM1331" s="14">
        <v>57</v>
      </c>
    </row>
    <row r="1332" spans="39:39" x14ac:dyDescent="0.25">
      <c r="AM1332" s="14">
        <v>13</v>
      </c>
    </row>
    <row r="1333" spans="39:39" x14ac:dyDescent="0.25">
      <c r="AM1333" s="14">
        <v>122</v>
      </c>
    </row>
    <row r="1334" spans="39:39" x14ac:dyDescent="0.25">
      <c r="AM1334" s="14">
        <v>9</v>
      </c>
    </row>
    <row r="1335" spans="39:39" x14ac:dyDescent="0.25">
      <c r="AM1335" s="14">
        <v>117</v>
      </c>
    </row>
    <row r="1336" spans="39:39" x14ac:dyDescent="0.25">
      <c r="AM1336" s="14">
        <v>14</v>
      </c>
    </row>
    <row r="1337" spans="39:39" x14ac:dyDescent="0.25">
      <c r="AM1337" s="14">
        <v>8</v>
      </c>
    </row>
    <row r="1338" spans="39:39" x14ac:dyDescent="0.25">
      <c r="AM1338" s="14">
        <v>41</v>
      </c>
    </row>
    <row r="1339" spans="39:39" x14ac:dyDescent="0.25">
      <c r="AM1339" s="14">
        <v>49</v>
      </c>
    </row>
    <row r="1340" spans="39:39" x14ac:dyDescent="0.25">
      <c r="AM1340" s="14">
        <v>44</v>
      </c>
    </row>
    <row r="1341" spans="39:39" x14ac:dyDescent="0.25">
      <c r="AM1341" s="14">
        <v>233</v>
      </c>
    </row>
    <row r="1342" spans="39:39" x14ac:dyDescent="0.25">
      <c r="AM1342" s="14">
        <v>123</v>
      </c>
    </row>
    <row r="1343" spans="39:39" x14ac:dyDescent="0.25">
      <c r="AM1343" s="14">
        <v>158</v>
      </c>
    </row>
    <row r="1344" spans="39:39" x14ac:dyDescent="0.25">
      <c r="AM1344" s="14">
        <v>464</v>
      </c>
    </row>
    <row r="1345" spans="39:39" x14ac:dyDescent="0.25">
      <c r="AM1345" s="14">
        <v>181</v>
      </c>
    </row>
    <row r="1346" spans="39:39" x14ac:dyDescent="0.25">
      <c r="AM1346" s="14">
        <v>913</v>
      </c>
    </row>
    <row r="1347" spans="39:39" x14ac:dyDescent="0.25">
      <c r="AM1347" s="14">
        <v>913</v>
      </c>
    </row>
    <row r="1348" spans="39:39" x14ac:dyDescent="0.25">
      <c r="AM1348" s="14">
        <v>139</v>
      </c>
    </row>
    <row r="1349" spans="39:39" x14ac:dyDescent="0.25">
      <c r="AM1349" s="14">
        <v>233</v>
      </c>
    </row>
    <row r="1350" spans="39:39" x14ac:dyDescent="0.25">
      <c r="AM1350" s="14">
        <v>134</v>
      </c>
    </row>
    <row r="1351" spans="39:39" x14ac:dyDescent="0.25">
      <c r="AM1351" s="14">
        <v>536</v>
      </c>
    </row>
    <row r="1352" spans="39:39" x14ac:dyDescent="0.25">
      <c r="AM1352" s="14">
        <v>435</v>
      </c>
    </row>
    <row r="1353" spans="39:39" x14ac:dyDescent="0.25">
      <c r="AM1353" s="14">
        <v>409</v>
      </c>
    </row>
    <row r="1354" spans="39:39" x14ac:dyDescent="0.25">
      <c r="AM1354" s="14">
        <v>256</v>
      </c>
    </row>
    <row r="1355" spans="39:39" x14ac:dyDescent="0.25">
      <c r="AM1355" s="14">
        <v>204</v>
      </c>
    </row>
    <row r="1356" spans="39:39" x14ac:dyDescent="0.25">
      <c r="AM1356" s="14">
        <v>674</v>
      </c>
    </row>
    <row r="1357" spans="39:39" x14ac:dyDescent="0.25">
      <c r="AM1357" s="14">
        <v>136</v>
      </c>
    </row>
    <row r="1358" spans="39:39" x14ac:dyDescent="0.25">
      <c r="AM1358" s="14">
        <v>136</v>
      </c>
    </row>
    <row r="1359" spans="39:39" x14ac:dyDescent="0.25">
      <c r="AM1359" s="14">
        <v>981</v>
      </c>
    </row>
    <row r="1360" spans="39:39" x14ac:dyDescent="0.25">
      <c r="AM1360" s="14">
        <v>190</v>
      </c>
    </row>
    <row r="1361" spans="39:39" x14ac:dyDescent="0.25">
      <c r="AM1361" s="14">
        <v>143</v>
      </c>
    </row>
    <row r="1362" spans="39:39" x14ac:dyDescent="0.25">
      <c r="AM1362" s="14">
        <v>220</v>
      </c>
    </row>
    <row r="1363" spans="39:39" x14ac:dyDescent="0.25">
      <c r="AM1363" s="14">
        <v>648</v>
      </c>
    </row>
    <row r="1364" spans="39:39" x14ac:dyDescent="0.25">
      <c r="AM1364" s="14">
        <v>541</v>
      </c>
    </row>
    <row r="1365" spans="39:39" x14ac:dyDescent="0.25">
      <c r="AM1365" s="14">
        <v>541</v>
      </c>
    </row>
    <row r="1366" spans="39:39" x14ac:dyDescent="0.25">
      <c r="AM1366" s="14">
        <v>175</v>
      </c>
    </row>
    <row r="1367" spans="39:39" x14ac:dyDescent="0.25">
      <c r="AM1367" s="14">
        <v>258</v>
      </c>
    </row>
    <row r="1368" spans="39:39" x14ac:dyDescent="0.25">
      <c r="AM1368" s="14">
        <v>243</v>
      </c>
    </row>
    <row r="1369" spans="39:39" x14ac:dyDescent="0.25">
      <c r="AM1369" s="14">
        <v>103</v>
      </c>
    </row>
    <row r="1370" spans="39:39" x14ac:dyDescent="0.25">
      <c r="AM1370" s="14">
        <v>970</v>
      </c>
    </row>
    <row r="1371" spans="39:39" x14ac:dyDescent="0.25">
      <c r="AM1371" s="14">
        <v>725</v>
      </c>
    </row>
    <row r="1372" spans="39:39" x14ac:dyDescent="0.25">
      <c r="AM1372" s="14">
        <v>198</v>
      </c>
    </row>
    <row r="1373" spans="39:39" x14ac:dyDescent="0.25">
      <c r="AM1373" s="14">
        <v>353</v>
      </c>
    </row>
    <row r="1374" spans="39:39" x14ac:dyDescent="0.25">
      <c r="AM1374" s="14">
        <v>410</v>
      </c>
    </row>
    <row r="1375" spans="39:39" x14ac:dyDescent="0.25">
      <c r="AM1375" s="14">
        <v>101</v>
      </c>
    </row>
    <row r="1376" spans="39:39" x14ac:dyDescent="0.25">
      <c r="AM1376" s="14">
        <v>118</v>
      </c>
    </row>
    <row r="1377" spans="39:39" x14ac:dyDescent="0.25">
      <c r="AM1377" s="14">
        <v>967</v>
      </c>
    </row>
    <row r="1378" spans="39:39" x14ac:dyDescent="0.25">
      <c r="AM1378" s="14">
        <v>143</v>
      </c>
    </row>
    <row r="1379" spans="39:39" x14ac:dyDescent="0.25">
      <c r="AM1379" s="14">
        <v>233</v>
      </c>
    </row>
    <row r="1380" spans="39:39" x14ac:dyDescent="0.25">
      <c r="AM1380" s="14">
        <v>385</v>
      </c>
    </row>
    <row r="1381" spans="39:39" x14ac:dyDescent="0.25">
      <c r="AM1381" s="14">
        <v>332</v>
      </c>
    </row>
    <row r="1382" spans="39:39" x14ac:dyDescent="0.25">
      <c r="AM1382" s="14">
        <v>294</v>
      </c>
    </row>
    <row r="1383" spans="39:39" x14ac:dyDescent="0.25">
      <c r="AM1383" s="14">
        <v>299</v>
      </c>
    </row>
    <row r="1384" spans="39:39" x14ac:dyDescent="0.25">
      <c r="AM1384" s="14">
        <v>272</v>
      </c>
    </row>
    <row r="1385" spans="39:39" x14ac:dyDescent="0.25">
      <c r="AM1385" s="14">
        <v>292</v>
      </c>
    </row>
    <row r="1386" spans="39:39" x14ac:dyDescent="0.25">
      <c r="AM1386" s="14">
        <v>215</v>
      </c>
    </row>
    <row r="1387" spans="39:39" x14ac:dyDescent="0.25">
      <c r="AM1387" s="14">
        <v>736</v>
      </c>
    </row>
    <row r="1388" spans="39:39" x14ac:dyDescent="0.25">
      <c r="AM1388" s="14">
        <v>144</v>
      </c>
    </row>
    <row r="1389" spans="39:39" x14ac:dyDescent="0.25">
      <c r="AM1389" s="14">
        <v>235</v>
      </c>
    </row>
    <row r="1390" spans="39:39" x14ac:dyDescent="0.25">
      <c r="AM1390" s="14">
        <v>178</v>
      </c>
    </row>
    <row r="1391" spans="39:39" x14ac:dyDescent="0.25">
      <c r="AM1391" s="14">
        <v>208</v>
      </c>
    </row>
    <row r="1392" spans="39:39" x14ac:dyDescent="0.25">
      <c r="AM1392" s="14">
        <v>267</v>
      </c>
    </row>
    <row r="1393" spans="39:39" x14ac:dyDescent="0.25">
      <c r="AM1393" s="14">
        <v>827</v>
      </c>
    </row>
    <row r="1394" spans="39:39" x14ac:dyDescent="0.25">
      <c r="AM1394" s="14">
        <v>600</v>
      </c>
    </row>
    <row r="1395" spans="39:39" x14ac:dyDescent="0.25">
      <c r="AM1395" s="14">
        <v>558</v>
      </c>
    </row>
    <row r="1396" spans="39:39" x14ac:dyDescent="0.25">
      <c r="AM1396" s="14">
        <v>536</v>
      </c>
    </row>
    <row r="1397" spans="39:39" x14ac:dyDescent="0.25">
      <c r="AM1397" s="14">
        <v>515</v>
      </c>
    </row>
    <row r="1398" spans="39:39" x14ac:dyDescent="0.25">
      <c r="AM1398" s="14">
        <v>213</v>
      </c>
    </row>
    <row r="1399" spans="39:39" x14ac:dyDescent="0.25">
      <c r="AM1399" s="14">
        <v>366</v>
      </c>
    </row>
    <row r="1400" spans="39:39" x14ac:dyDescent="0.25">
      <c r="AM1400" s="14">
        <v>435</v>
      </c>
    </row>
    <row r="1401" spans="39:39" x14ac:dyDescent="0.25">
      <c r="AM1401" s="14">
        <v>156</v>
      </c>
    </row>
    <row r="1402" spans="39:39" x14ac:dyDescent="0.25">
      <c r="AM1402" s="14">
        <v>191</v>
      </c>
    </row>
    <row r="1403" spans="39:39" x14ac:dyDescent="0.25">
      <c r="AM1403" s="14">
        <v>105</v>
      </c>
    </row>
    <row r="1404" spans="39:39" x14ac:dyDescent="0.25">
      <c r="AM1404" s="14">
        <v>16</v>
      </c>
    </row>
    <row r="1405" spans="39:39" x14ac:dyDescent="0.25">
      <c r="AM1405" s="14">
        <v>255</v>
      </c>
    </row>
    <row r="1406" spans="39:39" x14ac:dyDescent="0.25">
      <c r="AM1406" s="14">
        <v>32</v>
      </c>
    </row>
    <row r="1407" spans="39:39" x14ac:dyDescent="0.25">
      <c r="AM1407" s="14">
        <v>33</v>
      </c>
    </row>
    <row r="1408" spans="39:39" x14ac:dyDescent="0.25">
      <c r="AM1408" s="14">
        <v>35</v>
      </c>
    </row>
    <row r="1409" spans="39:39" x14ac:dyDescent="0.25">
      <c r="AM1409" s="14">
        <v>29</v>
      </c>
    </row>
    <row r="1410" spans="39:39" x14ac:dyDescent="0.25">
      <c r="AM1410" s="14">
        <v>33</v>
      </c>
    </row>
    <row r="1411" spans="39:39" x14ac:dyDescent="0.25">
      <c r="AM1411" s="14">
        <v>29</v>
      </c>
    </row>
    <row r="1412" spans="39:39" x14ac:dyDescent="0.25">
      <c r="AM1412" s="14">
        <v>29</v>
      </c>
    </row>
    <row r="1413" spans="39:39" x14ac:dyDescent="0.25">
      <c r="AM1413" s="14">
        <v>50</v>
      </c>
    </row>
    <row r="1414" spans="39:39" x14ac:dyDescent="0.25">
      <c r="AM1414" s="14">
        <v>124</v>
      </c>
    </row>
    <row r="1415" spans="39:39" x14ac:dyDescent="0.25">
      <c r="AM1415" s="14">
        <v>80</v>
      </c>
    </row>
    <row r="1416" spans="39:39" x14ac:dyDescent="0.25">
      <c r="AM1416" s="14">
        <v>192</v>
      </c>
    </row>
    <row r="1417" spans="39:39" x14ac:dyDescent="0.25">
      <c r="AM1417" s="14">
        <v>315</v>
      </c>
    </row>
    <row r="1418" spans="39:39" x14ac:dyDescent="0.25">
      <c r="AM1418" s="14">
        <v>254</v>
      </c>
    </row>
    <row r="1419" spans="39:39" x14ac:dyDescent="0.25">
      <c r="AM1419" s="14">
        <v>22</v>
      </c>
    </row>
    <row r="1420" spans="39:39" x14ac:dyDescent="0.25">
      <c r="AM1420" s="14">
        <v>268</v>
      </c>
    </row>
    <row r="1421" spans="39:39" x14ac:dyDescent="0.25">
      <c r="AM1421" s="14">
        <v>68</v>
      </c>
    </row>
    <row r="1422" spans="39:39" x14ac:dyDescent="0.25">
      <c r="AM1422" s="14">
        <v>74</v>
      </c>
    </row>
    <row r="1423" spans="39:39" x14ac:dyDescent="0.25">
      <c r="AM1423" s="14">
        <v>57</v>
      </c>
    </row>
    <row r="1424" spans="39:39" x14ac:dyDescent="0.25">
      <c r="AM1424" s="14">
        <v>52</v>
      </c>
    </row>
    <row r="1425" spans="39:39" x14ac:dyDescent="0.25">
      <c r="AM1425" s="14">
        <v>61</v>
      </c>
    </row>
    <row r="1426" spans="39:39" x14ac:dyDescent="0.25">
      <c r="AM1426" s="14">
        <v>56</v>
      </c>
    </row>
    <row r="1427" spans="39:39" x14ac:dyDescent="0.25">
      <c r="AM1427" s="14">
        <v>52</v>
      </c>
    </row>
    <row r="1428" spans="39:39" x14ac:dyDescent="0.25">
      <c r="AM1428" s="14">
        <v>84</v>
      </c>
    </row>
    <row r="1429" spans="39:39" x14ac:dyDescent="0.25">
      <c r="AM1429" s="14">
        <v>333</v>
      </c>
    </row>
    <row r="1430" spans="39:39" x14ac:dyDescent="0.25">
      <c r="AM1430" s="14">
        <v>52</v>
      </c>
    </row>
    <row r="1431" spans="39:39" x14ac:dyDescent="0.25">
      <c r="AM1431" s="14">
        <v>96</v>
      </c>
    </row>
    <row r="1432" spans="39:39" x14ac:dyDescent="0.25">
      <c r="AM1432" s="14">
        <v>630</v>
      </c>
    </row>
    <row r="1433" spans="39:39" x14ac:dyDescent="0.25">
      <c r="AM1433" s="14">
        <v>424</v>
      </c>
    </row>
    <row r="1434" spans="39:39" x14ac:dyDescent="0.25">
      <c r="AM1434" s="14">
        <v>26</v>
      </c>
    </row>
    <row r="1435" spans="39:39" x14ac:dyDescent="0.25">
      <c r="AM1435" s="14">
        <v>99</v>
      </c>
    </row>
    <row r="1436" spans="39:39" x14ac:dyDescent="0.25">
      <c r="AM1436" s="14">
        <v>56</v>
      </c>
    </row>
    <row r="1437" spans="39:39" x14ac:dyDescent="0.25">
      <c r="AM1437" s="14">
        <v>8</v>
      </c>
    </row>
    <row r="1438" spans="39:39" x14ac:dyDescent="0.25">
      <c r="AM1438" s="14">
        <v>35</v>
      </c>
    </row>
    <row r="1439" spans="39:39" x14ac:dyDescent="0.25">
      <c r="AM1439" s="14">
        <v>97</v>
      </c>
    </row>
    <row r="1440" spans="39:39" x14ac:dyDescent="0.25">
      <c r="AM1440" s="14">
        <v>53</v>
      </c>
    </row>
    <row r="1441" spans="39:39" x14ac:dyDescent="0.25">
      <c r="AM1441" s="14">
        <v>33</v>
      </c>
    </row>
    <row r="1442" spans="39:39" x14ac:dyDescent="0.25">
      <c r="AM1442" s="14">
        <v>156</v>
      </c>
    </row>
    <row r="1443" spans="39:39" x14ac:dyDescent="0.25">
      <c r="AM1443" s="14">
        <v>51</v>
      </c>
    </row>
    <row r="1444" spans="39:39" x14ac:dyDescent="0.25">
      <c r="AM1444" s="14">
        <v>9</v>
      </c>
    </row>
    <row r="1445" spans="39:39" x14ac:dyDescent="0.25">
      <c r="AM1445" s="14">
        <v>28</v>
      </c>
    </row>
    <row r="1446" spans="39:39" x14ac:dyDescent="0.25">
      <c r="AM1446" s="14">
        <v>109</v>
      </c>
    </row>
    <row r="1447" spans="39:39" x14ac:dyDescent="0.25">
      <c r="AM1447" s="14">
        <v>38</v>
      </c>
    </row>
    <row r="1448" spans="39:39" x14ac:dyDescent="0.25">
      <c r="AM1448" s="14">
        <v>9</v>
      </c>
    </row>
    <row r="1449" spans="39:39" x14ac:dyDescent="0.25">
      <c r="AM1449" s="14">
        <v>33</v>
      </c>
    </row>
    <row r="1450" spans="39:39" x14ac:dyDescent="0.25">
      <c r="AM1450" s="14">
        <v>93</v>
      </c>
    </row>
    <row r="1451" spans="39:39" x14ac:dyDescent="0.25">
      <c r="AM1451" s="14">
        <v>46</v>
      </c>
    </row>
    <row r="1452" spans="39:39" x14ac:dyDescent="0.25">
      <c r="AM1452" s="14">
        <v>12</v>
      </c>
    </row>
    <row r="1453" spans="39:39" x14ac:dyDescent="0.25">
      <c r="AM1453" s="14">
        <v>34</v>
      </c>
    </row>
    <row r="1454" spans="39:39" x14ac:dyDescent="0.25">
      <c r="AM1454" s="14">
        <v>84</v>
      </c>
    </row>
    <row r="1455" spans="39:39" x14ac:dyDescent="0.25">
      <c r="AM1455" s="14">
        <v>44</v>
      </c>
    </row>
    <row r="1456" spans="39:39" x14ac:dyDescent="0.25">
      <c r="AM1456" s="14">
        <v>10</v>
      </c>
    </row>
    <row r="1457" spans="39:39" x14ac:dyDescent="0.25">
      <c r="AM1457" s="14">
        <v>22</v>
      </c>
    </row>
    <row r="1458" spans="39:39" x14ac:dyDescent="0.25">
      <c r="AM1458" s="14">
        <v>79</v>
      </c>
    </row>
    <row r="1459" spans="39:39" x14ac:dyDescent="0.25">
      <c r="AM1459" s="14">
        <v>53</v>
      </c>
    </row>
    <row r="1460" spans="39:39" x14ac:dyDescent="0.25">
      <c r="AM1460" s="14">
        <v>8</v>
      </c>
    </row>
    <row r="1461" spans="39:39" x14ac:dyDescent="0.25">
      <c r="AM1461" s="14">
        <v>236</v>
      </c>
    </row>
    <row r="1462" spans="39:39" x14ac:dyDescent="0.25">
      <c r="AM1462" s="14">
        <v>23</v>
      </c>
    </row>
    <row r="1463" spans="39:39" x14ac:dyDescent="0.25">
      <c r="AM1463" s="14">
        <v>106</v>
      </c>
    </row>
    <row r="1464" spans="39:39" x14ac:dyDescent="0.25">
      <c r="AM1464" s="14">
        <v>34</v>
      </c>
    </row>
    <row r="1465" spans="39:39" x14ac:dyDescent="0.25">
      <c r="AM1465" s="14">
        <v>8</v>
      </c>
    </row>
    <row r="1466" spans="39:39" x14ac:dyDescent="0.25">
      <c r="AM1466" s="14">
        <v>273</v>
      </c>
    </row>
    <row r="1467" spans="39:39" x14ac:dyDescent="0.25">
      <c r="AM1467" s="14">
        <v>17</v>
      </c>
    </row>
    <row r="1468" spans="39:39" x14ac:dyDescent="0.25">
      <c r="AM1468" s="14">
        <v>214</v>
      </c>
    </row>
    <row r="1469" spans="39:39" x14ac:dyDescent="0.25">
      <c r="AM1469" s="14">
        <v>263</v>
      </c>
    </row>
    <row r="1470" spans="39:39" x14ac:dyDescent="0.25">
      <c r="AM1470" s="14">
        <v>215</v>
      </c>
    </row>
    <row r="1471" spans="39:39" x14ac:dyDescent="0.25">
      <c r="AM1471" s="14">
        <v>1</v>
      </c>
    </row>
    <row r="1472" spans="39:39" x14ac:dyDescent="0.25">
      <c r="AM1472" s="14">
        <v>26</v>
      </c>
    </row>
    <row r="1473" spans="39:39" x14ac:dyDescent="0.25">
      <c r="AM1473" s="14">
        <v>15</v>
      </c>
    </row>
    <row r="1474" spans="39:39" x14ac:dyDescent="0.25">
      <c r="AM1474" s="14">
        <v>132</v>
      </c>
    </row>
    <row r="1475" spans="39:39" x14ac:dyDescent="0.25">
      <c r="AM1475" s="14">
        <v>219</v>
      </c>
    </row>
    <row r="1476" spans="39:39" x14ac:dyDescent="0.25">
      <c r="AM1476" s="14">
        <v>250</v>
      </c>
    </row>
    <row r="1477" spans="39:39" x14ac:dyDescent="0.25">
      <c r="AM1477" s="14">
        <v>990</v>
      </c>
    </row>
    <row r="1478" spans="39:39" x14ac:dyDescent="0.25">
      <c r="AM1478" s="14">
        <v>111</v>
      </c>
    </row>
    <row r="1479" spans="39:39" x14ac:dyDescent="0.25">
      <c r="AM1479" s="14">
        <v>190</v>
      </c>
    </row>
    <row r="1480" spans="39:39" x14ac:dyDescent="0.25">
      <c r="AM1480" s="14">
        <v>111</v>
      </c>
    </row>
    <row r="1481" spans="39:39" x14ac:dyDescent="0.25">
      <c r="AM1481" s="14">
        <v>801</v>
      </c>
    </row>
    <row r="1482" spans="39:39" x14ac:dyDescent="0.25">
      <c r="AM1482" s="14">
        <v>17</v>
      </c>
    </row>
    <row r="1483" spans="39:39" x14ac:dyDescent="0.25">
      <c r="AM1483" s="14">
        <v>127</v>
      </c>
    </row>
    <row r="1484" spans="39:39" x14ac:dyDescent="0.25">
      <c r="AM1484" s="14">
        <v>163</v>
      </c>
    </row>
    <row r="1485" spans="39:39" x14ac:dyDescent="0.25">
      <c r="AM1485" s="14">
        <v>862</v>
      </c>
    </row>
    <row r="1486" spans="39:39" x14ac:dyDescent="0.25">
      <c r="AM1486" s="14">
        <v>175</v>
      </c>
    </row>
    <row r="1487" spans="39:39" x14ac:dyDescent="0.25">
      <c r="AM1487" s="14">
        <v>1</v>
      </c>
    </row>
    <row r="1488" spans="39:39" x14ac:dyDescent="0.25">
      <c r="AM1488" s="14">
        <v>23</v>
      </c>
    </row>
    <row r="1489" spans="39:39" x14ac:dyDescent="0.25">
      <c r="AM1489" s="14">
        <v>49</v>
      </c>
    </row>
    <row r="1490" spans="39:39" x14ac:dyDescent="0.25">
      <c r="AM1490" s="14">
        <v>370</v>
      </c>
    </row>
    <row r="1491" spans="39:39" x14ac:dyDescent="0.25">
      <c r="AM1491" s="14">
        <v>1</v>
      </c>
    </row>
    <row r="1492" spans="39:39" x14ac:dyDescent="0.25">
      <c r="AM1492" s="14">
        <v>12</v>
      </c>
    </row>
    <row r="1493" spans="39:39" x14ac:dyDescent="0.25">
      <c r="AM1493" s="14">
        <v>142</v>
      </c>
    </row>
    <row r="1494" spans="39:39" x14ac:dyDescent="0.25">
      <c r="AM1494" s="14">
        <v>8</v>
      </c>
    </row>
    <row r="1495" spans="39:39" x14ac:dyDescent="0.25">
      <c r="AM1495" s="14">
        <v>52</v>
      </c>
    </row>
    <row r="1496" spans="39:39" x14ac:dyDescent="0.25">
      <c r="AM1496" s="14">
        <v>15</v>
      </c>
    </row>
    <row r="1497" spans="39:39" x14ac:dyDescent="0.25">
      <c r="AM1497" s="14">
        <v>153</v>
      </c>
    </row>
    <row r="1498" spans="39:39" x14ac:dyDescent="0.25">
      <c r="AM1498" s="14">
        <v>341</v>
      </c>
    </row>
    <row r="1499" spans="39:39" x14ac:dyDescent="0.25">
      <c r="AM1499" s="14">
        <v>708</v>
      </c>
    </row>
    <row r="1500" spans="39:39" x14ac:dyDescent="0.25">
      <c r="AM1500" s="14">
        <v>1</v>
      </c>
    </row>
    <row r="1501" spans="39:39" x14ac:dyDescent="0.25">
      <c r="AM1501" s="14">
        <v>278</v>
      </c>
    </row>
    <row r="1502" spans="39:39" x14ac:dyDescent="0.25">
      <c r="AM1502" s="14">
        <v>1</v>
      </c>
    </row>
    <row r="1503" spans="39:39" x14ac:dyDescent="0.25">
      <c r="AM1503" s="14">
        <v>1</v>
      </c>
    </row>
    <row r="1504" spans="39:39" x14ac:dyDescent="0.25">
      <c r="AM1504" s="14">
        <v>86</v>
      </c>
    </row>
    <row r="1505" spans="39:39" x14ac:dyDescent="0.25">
      <c r="AM1505" s="14">
        <v>81</v>
      </c>
    </row>
    <row r="1506" spans="39:39" x14ac:dyDescent="0.25">
      <c r="AM1506" s="14">
        <v>277</v>
      </c>
    </row>
    <row r="1507" spans="39:39" x14ac:dyDescent="0.25">
      <c r="AM1507" s="14">
        <v>281</v>
      </c>
    </row>
    <row r="1508" spans="39:39" x14ac:dyDescent="0.25">
      <c r="AM1508" s="14">
        <v>489</v>
      </c>
    </row>
    <row r="1509" spans="39:39" x14ac:dyDescent="0.25">
      <c r="AM1509" s="14">
        <v>304</v>
      </c>
    </row>
    <row r="1510" spans="39:39" x14ac:dyDescent="0.25">
      <c r="AM1510" s="14">
        <v>307</v>
      </c>
    </row>
    <row r="1511" spans="39:39" x14ac:dyDescent="0.25">
      <c r="AM1511" s="14">
        <v>8</v>
      </c>
    </row>
    <row r="1512" spans="39:39" x14ac:dyDescent="0.25">
      <c r="AM1512" s="14">
        <v>32</v>
      </c>
    </row>
    <row r="1513" spans="39:39" x14ac:dyDescent="0.25">
      <c r="AM1513" s="14">
        <v>103</v>
      </c>
    </row>
    <row r="1514" spans="39:39" x14ac:dyDescent="0.25">
      <c r="AM1514" s="14">
        <v>14</v>
      </c>
    </row>
    <row r="1515" spans="39:39" x14ac:dyDescent="0.25">
      <c r="AM1515" s="14">
        <v>126</v>
      </c>
    </row>
    <row r="1516" spans="39:39" x14ac:dyDescent="0.25">
      <c r="AM1516" s="14">
        <v>601</v>
      </c>
    </row>
    <row r="1517" spans="39:39" x14ac:dyDescent="0.25">
      <c r="AM1517" s="14">
        <v>129</v>
      </c>
    </row>
    <row r="1518" spans="39:39" x14ac:dyDescent="0.25">
      <c r="AM1518" s="14">
        <v>2</v>
      </c>
    </row>
    <row r="1519" spans="39:39" x14ac:dyDescent="0.25">
      <c r="AM1519" s="14">
        <v>13</v>
      </c>
    </row>
    <row r="1520" spans="39:39" x14ac:dyDescent="0.25">
      <c r="AM1520" s="14">
        <v>29</v>
      </c>
    </row>
    <row r="1521" spans="39:39" x14ac:dyDescent="0.25">
      <c r="AM1521" s="14">
        <v>308</v>
      </c>
    </row>
    <row r="1522" spans="39:39" x14ac:dyDescent="0.25">
      <c r="AM1522" s="14">
        <v>672</v>
      </c>
    </row>
    <row r="1523" spans="39:39" x14ac:dyDescent="0.25">
      <c r="AM1523" s="14">
        <v>399</v>
      </c>
    </row>
    <row r="1524" spans="39:39" x14ac:dyDescent="0.25">
      <c r="AM1524" s="14">
        <v>301</v>
      </c>
    </row>
    <row r="1525" spans="39:39" x14ac:dyDescent="0.25">
      <c r="AM1525" s="14">
        <v>2</v>
      </c>
    </row>
    <row r="1526" spans="39:39" x14ac:dyDescent="0.25">
      <c r="AM1526" s="14">
        <v>2</v>
      </c>
    </row>
    <row r="1527" spans="39:39" x14ac:dyDescent="0.25">
      <c r="AM1527" s="14">
        <v>144</v>
      </c>
    </row>
    <row r="1528" spans="39:39" x14ac:dyDescent="0.25">
      <c r="AM1528" s="14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27EC-06D4-46C4-9880-37201C80243A}">
  <dimension ref="A1:AR1469"/>
  <sheetViews>
    <sheetView workbookViewId="0">
      <selection activeCell="AP1" sqref="AP1:AP1048576"/>
    </sheetView>
  </sheetViews>
  <sheetFormatPr defaultRowHeight="15" x14ac:dyDescent="0.25"/>
  <cols>
    <col min="1" max="1" width="9.28515625" style="14" customWidth="1"/>
    <col min="2" max="16384" width="9.140625" style="14"/>
  </cols>
  <sheetData>
    <row r="1" spans="1:44" x14ac:dyDescent="0.25">
      <c r="A1" s="90" t="s">
        <v>532</v>
      </c>
      <c r="B1" s="90" t="s">
        <v>533</v>
      </c>
      <c r="C1" s="90" t="s">
        <v>534</v>
      </c>
      <c r="D1" s="90" t="s">
        <v>535</v>
      </c>
      <c r="E1" s="90" t="s">
        <v>536</v>
      </c>
      <c r="F1" s="90" t="s">
        <v>537</v>
      </c>
      <c r="G1" s="90" t="s">
        <v>538</v>
      </c>
      <c r="H1" s="90" t="s">
        <v>539</v>
      </c>
      <c r="I1" s="90" t="s">
        <v>540</v>
      </c>
      <c r="J1" s="90" t="s">
        <v>541</v>
      </c>
      <c r="K1" s="90" t="s">
        <v>542</v>
      </c>
      <c r="L1" s="90" t="s">
        <v>543</v>
      </c>
      <c r="M1" s="90" t="s">
        <v>544</v>
      </c>
      <c r="N1" s="90" t="s">
        <v>545</v>
      </c>
      <c r="O1" s="90" t="s">
        <v>546</v>
      </c>
      <c r="P1" s="90" t="s">
        <v>547</v>
      </c>
      <c r="Q1" s="90" t="s">
        <v>548</v>
      </c>
      <c r="R1" s="90" t="s">
        <v>549</v>
      </c>
      <c r="S1" s="90" t="s">
        <v>550</v>
      </c>
      <c r="T1" s="90" t="s">
        <v>551</v>
      </c>
      <c r="U1" s="90" t="s">
        <v>552</v>
      </c>
      <c r="V1" s="90" t="s">
        <v>553</v>
      </c>
      <c r="W1" s="90" t="s">
        <v>554</v>
      </c>
      <c r="X1" s="90" t="s">
        <v>555</v>
      </c>
      <c r="Y1" s="90" t="s">
        <v>556</v>
      </c>
      <c r="Z1" s="90" t="s">
        <v>557</v>
      </c>
      <c r="AA1" s="90" t="s">
        <v>558</v>
      </c>
      <c r="AB1" s="90" t="s">
        <v>559</v>
      </c>
      <c r="AC1" s="90" t="s">
        <v>560</v>
      </c>
      <c r="AD1" s="90" t="s">
        <v>561</v>
      </c>
      <c r="AE1" s="90" t="s">
        <v>562</v>
      </c>
      <c r="AF1" s="90" t="s">
        <v>563</v>
      </c>
      <c r="AG1" s="90" t="s">
        <v>564</v>
      </c>
      <c r="AH1" s="90" t="s">
        <v>565</v>
      </c>
      <c r="AI1" s="90" t="s">
        <v>566</v>
      </c>
      <c r="AJ1" s="90" t="s">
        <v>567</v>
      </c>
      <c r="AK1" s="90" t="s">
        <v>568</v>
      </c>
      <c r="AL1" s="90" t="s">
        <v>569</v>
      </c>
      <c r="AM1" s="90" t="s">
        <v>570</v>
      </c>
      <c r="AN1" s="90" t="s">
        <v>571</v>
      </c>
      <c r="AO1" s="90" t="s">
        <v>586</v>
      </c>
      <c r="AP1" s="90" t="s">
        <v>572</v>
      </c>
      <c r="AQ1" s="90" t="s">
        <v>573</v>
      </c>
      <c r="AR1" s="90" t="s">
        <v>574</v>
      </c>
    </row>
    <row r="2" spans="1:44" x14ac:dyDescent="0.25">
      <c r="A2" s="14">
        <v>30263</v>
      </c>
      <c r="B2" s="14">
        <v>5896</v>
      </c>
      <c r="C2" s="14">
        <v>280</v>
      </c>
      <c r="D2" s="14">
        <v>272</v>
      </c>
      <c r="E2" s="14">
        <v>846</v>
      </c>
      <c r="F2" s="14">
        <v>221</v>
      </c>
      <c r="G2" s="14">
        <v>46</v>
      </c>
      <c r="H2" s="14">
        <v>725</v>
      </c>
      <c r="I2" s="14">
        <v>114</v>
      </c>
      <c r="J2" s="14">
        <v>977</v>
      </c>
      <c r="K2" s="14">
        <v>53</v>
      </c>
      <c r="L2" s="14">
        <v>452</v>
      </c>
      <c r="M2" s="14">
        <v>285</v>
      </c>
      <c r="N2" s="14">
        <v>190</v>
      </c>
      <c r="O2" s="14">
        <v>310</v>
      </c>
      <c r="P2" s="14">
        <v>302</v>
      </c>
      <c r="Q2" s="14">
        <v>170</v>
      </c>
      <c r="R2" s="14">
        <v>472</v>
      </c>
      <c r="S2" s="14">
        <v>28.89636655</v>
      </c>
      <c r="T2" s="14">
        <v>485</v>
      </c>
      <c r="U2" s="14">
        <v>180</v>
      </c>
      <c r="V2" s="14">
        <v>103</v>
      </c>
      <c r="W2" s="14">
        <v>187</v>
      </c>
      <c r="X2" s="14">
        <v>271</v>
      </c>
      <c r="Y2" s="14">
        <v>208</v>
      </c>
      <c r="Z2" s="14">
        <v>355</v>
      </c>
      <c r="AA2" s="14">
        <v>163</v>
      </c>
      <c r="AB2" s="14">
        <v>377</v>
      </c>
      <c r="AC2" s="14">
        <v>810</v>
      </c>
      <c r="AD2" s="14">
        <v>167</v>
      </c>
      <c r="AE2" s="14">
        <v>515</v>
      </c>
      <c r="AF2" s="14">
        <v>202</v>
      </c>
      <c r="AG2" s="14">
        <v>904</v>
      </c>
      <c r="AH2" s="14">
        <v>3</v>
      </c>
      <c r="AI2" s="14">
        <v>204</v>
      </c>
      <c r="AJ2" s="14">
        <v>834</v>
      </c>
      <c r="AK2" s="14">
        <v>79</v>
      </c>
      <c r="AL2" s="14">
        <v>24</v>
      </c>
      <c r="AM2" s="14">
        <v>129</v>
      </c>
      <c r="AN2" s="14">
        <v>508</v>
      </c>
      <c r="AO2" s="14">
        <v>120</v>
      </c>
      <c r="AP2" s="14">
        <v>442</v>
      </c>
      <c r="AQ2" s="14">
        <v>2575</v>
      </c>
      <c r="AR2" s="14">
        <v>1071</v>
      </c>
    </row>
    <row r="3" spans="1:44" x14ac:dyDescent="0.25">
      <c r="A3" s="14">
        <v>76375</v>
      </c>
      <c r="B3" s="14">
        <v>12367</v>
      </c>
      <c r="C3" s="14">
        <v>387</v>
      </c>
      <c r="D3" s="14">
        <v>124</v>
      </c>
      <c r="E3" s="14">
        <v>299</v>
      </c>
      <c r="F3" s="14">
        <v>70</v>
      </c>
      <c r="G3" s="14">
        <v>460</v>
      </c>
      <c r="H3" s="14">
        <v>107</v>
      </c>
      <c r="I3" s="14">
        <v>211</v>
      </c>
      <c r="J3" s="14">
        <v>977</v>
      </c>
      <c r="K3" s="14">
        <v>5</v>
      </c>
      <c r="L3" s="14">
        <v>435</v>
      </c>
      <c r="M3" s="14">
        <v>580</v>
      </c>
      <c r="N3" s="14">
        <v>160</v>
      </c>
      <c r="O3" s="14">
        <v>22</v>
      </c>
      <c r="P3" s="14">
        <v>378</v>
      </c>
      <c r="Q3" s="14">
        <v>150</v>
      </c>
      <c r="R3" s="14">
        <v>526</v>
      </c>
      <c r="S3" s="14">
        <v>24.454038520000001</v>
      </c>
      <c r="T3" s="14">
        <v>148</v>
      </c>
      <c r="U3" s="14">
        <v>226</v>
      </c>
      <c r="V3" s="14">
        <v>998</v>
      </c>
      <c r="W3" s="14">
        <v>294</v>
      </c>
      <c r="X3" s="14">
        <v>201</v>
      </c>
      <c r="Y3" s="14">
        <v>90</v>
      </c>
      <c r="Z3" s="14">
        <v>737</v>
      </c>
      <c r="AA3" s="14">
        <v>159</v>
      </c>
      <c r="AB3" s="14">
        <v>71</v>
      </c>
      <c r="AC3" s="14">
        <v>814</v>
      </c>
      <c r="AD3" s="14">
        <v>161</v>
      </c>
      <c r="AE3" s="14">
        <v>114</v>
      </c>
      <c r="AF3" s="14">
        <v>136</v>
      </c>
      <c r="AG3" s="14">
        <v>918</v>
      </c>
      <c r="AH3" s="14">
        <v>165</v>
      </c>
      <c r="AI3" s="14">
        <v>76</v>
      </c>
      <c r="AJ3" s="14">
        <v>268</v>
      </c>
      <c r="AK3" s="14">
        <v>191</v>
      </c>
      <c r="AL3" s="14">
        <v>217</v>
      </c>
      <c r="AM3" s="14">
        <v>185</v>
      </c>
      <c r="AN3" s="14">
        <v>915</v>
      </c>
      <c r="AO3" s="14">
        <v>107</v>
      </c>
      <c r="AP3" s="14">
        <v>19</v>
      </c>
      <c r="AQ3" s="14">
        <v>1225</v>
      </c>
      <c r="AR3" s="14">
        <v>956</v>
      </c>
    </row>
    <row r="4" spans="1:44" x14ac:dyDescent="0.25">
      <c r="A4" s="14">
        <v>17</v>
      </c>
      <c r="B4" s="14">
        <v>95</v>
      </c>
      <c r="C4" s="14">
        <v>672</v>
      </c>
      <c r="D4" s="14">
        <v>324</v>
      </c>
      <c r="E4" s="14">
        <v>397</v>
      </c>
      <c r="F4" s="14">
        <v>780</v>
      </c>
      <c r="G4" s="14">
        <v>37</v>
      </c>
      <c r="H4" s="14">
        <v>447</v>
      </c>
      <c r="I4" s="14">
        <v>391</v>
      </c>
      <c r="J4" s="14">
        <v>185</v>
      </c>
      <c r="K4" s="14">
        <v>2</v>
      </c>
      <c r="L4" s="14">
        <v>626</v>
      </c>
      <c r="M4" s="14">
        <v>510</v>
      </c>
      <c r="N4" s="14">
        <v>94</v>
      </c>
      <c r="O4" s="14">
        <v>579</v>
      </c>
      <c r="P4" s="14">
        <v>191</v>
      </c>
      <c r="Q4" s="14">
        <v>109</v>
      </c>
      <c r="R4" s="14">
        <v>406</v>
      </c>
      <c r="S4" s="14">
        <v>9.6953597150000004</v>
      </c>
      <c r="T4" s="14">
        <v>103</v>
      </c>
      <c r="U4" s="14">
        <v>242</v>
      </c>
      <c r="V4" s="14">
        <v>235</v>
      </c>
      <c r="W4" s="14">
        <v>182</v>
      </c>
      <c r="X4" s="14">
        <v>102</v>
      </c>
      <c r="Y4" s="14">
        <v>139</v>
      </c>
      <c r="Z4" s="14">
        <v>975</v>
      </c>
      <c r="AA4" s="14">
        <v>412</v>
      </c>
      <c r="AB4" s="14">
        <v>137</v>
      </c>
      <c r="AC4" s="14">
        <v>681</v>
      </c>
      <c r="AD4" s="14">
        <v>633</v>
      </c>
      <c r="AE4" s="14">
        <v>695</v>
      </c>
      <c r="AF4" s="14">
        <v>456</v>
      </c>
      <c r="AG4" s="14">
        <v>115</v>
      </c>
      <c r="AH4" s="14">
        <v>138</v>
      </c>
      <c r="AI4" s="14">
        <v>165</v>
      </c>
      <c r="AJ4" s="14">
        <v>205</v>
      </c>
      <c r="AK4" s="14">
        <v>351</v>
      </c>
      <c r="AL4" s="14">
        <v>5</v>
      </c>
      <c r="AM4" s="14">
        <v>118</v>
      </c>
      <c r="AN4" s="14">
        <v>216</v>
      </c>
      <c r="AO4" s="14">
        <v>137</v>
      </c>
      <c r="AP4" s="14">
        <v>242</v>
      </c>
      <c r="AQ4" s="14">
        <v>2882</v>
      </c>
      <c r="AR4" s="14">
        <v>146</v>
      </c>
    </row>
    <row r="5" spans="1:44" x14ac:dyDescent="0.25">
      <c r="A5" s="14">
        <v>62</v>
      </c>
      <c r="B5" s="14">
        <v>16</v>
      </c>
      <c r="C5" s="14">
        <v>112</v>
      </c>
      <c r="D5" s="14">
        <v>397</v>
      </c>
      <c r="E5" s="14">
        <v>337</v>
      </c>
      <c r="F5" s="14">
        <v>121</v>
      </c>
      <c r="G5" s="14">
        <v>194</v>
      </c>
      <c r="H5" s="14">
        <v>21</v>
      </c>
      <c r="I5" s="14">
        <v>354</v>
      </c>
      <c r="J5" s="14">
        <v>185</v>
      </c>
      <c r="K5" s="14">
        <v>3</v>
      </c>
      <c r="L5" s="14">
        <v>120</v>
      </c>
      <c r="M5" s="14">
        <v>350</v>
      </c>
      <c r="N5" s="14">
        <v>331</v>
      </c>
      <c r="O5" s="14">
        <v>156</v>
      </c>
      <c r="P5" s="14">
        <v>292</v>
      </c>
      <c r="Q5" s="14">
        <v>49</v>
      </c>
      <c r="R5" s="14">
        <v>538</v>
      </c>
      <c r="S5" s="14">
        <v>22.869193249999999</v>
      </c>
      <c r="T5" s="14">
        <v>113</v>
      </c>
      <c r="U5" s="14">
        <v>95</v>
      </c>
      <c r="V5" s="14">
        <v>660</v>
      </c>
      <c r="W5" s="14">
        <v>456</v>
      </c>
      <c r="X5" s="14">
        <v>376</v>
      </c>
      <c r="Y5" s="14">
        <v>96</v>
      </c>
      <c r="Z5" s="14">
        <v>453</v>
      </c>
      <c r="AA5" s="14">
        <v>283</v>
      </c>
      <c r="AB5" s="14">
        <v>33</v>
      </c>
      <c r="AC5" s="14">
        <v>514</v>
      </c>
      <c r="AD5" s="14">
        <v>410</v>
      </c>
      <c r="AE5" s="14">
        <v>251</v>
      </c>
      <c r="AF5" s="14">
        <v>345</v>
      </c>
      <c r="AG5" s="14">
        <v>394</v>
      </c>
      <c r="AH5" s="14">
        <v>111</v>
      </c>
      <c r="AI5" s="14">
        <v>77</v>
      </c>
      <c r="AJ5" s="14">
        <v>661</v>
      </c>
      <c r="AK5" s="14">
        <v>167</v>
      </c>
      <c r="AL5" s="14">
        <v>51</v>
      </c>
      <c r="AM5" s="14">
        <v>221</v>
      </c>
      <c r="AN5" s="14">
        <v>287</v>
      </c>
      <c r="AO5" s="14">
        <v>977</v>
      </c>
      <c r="AP5" s="14">
        <v>295</v>
      </c>
      <c r="AQ5" s="14">
        <v>1009</v>
      </c>
      <c r="AR5" s="14">
        <v>446</v>
      </c>
    </row>
    <row r="6" spans="1:44" x14ac:dyDescent="0.25">
      <c r="A6" s="14">
        <v>1648</v>
      </c>
      <c r="B6" s="14">
        <v>19</v>
      </c>
      <c r="C6" s="14">
        <v>118</v>
      </c>
      <c r="D6" s="14">
        <v>268</v>
      </c>
      <c r="E6" s="14">
        <v>581</v>
      </c>
      <c r="F6" s="14">
        <v>140</v>
      </c>
      <c r="G6" s="14">
        <v>913</v>
      </c>
      <c r="H6" s="14">
        <v>21</v>
      </c>
      <c r="I6" s="14">
        <v>238</v>
      </c>
      <c r="J6" s="14">
        <v>164</v>
      </c>
      <c r="K6" s="14">
        <v>9</v>
      </c>
      <c r="L6" s="14">
        <v>206</v>
      </c>
      <c r="M6" s="14">
        <v>129</v>
      </c>
      <c r="N6" s="14">
        <v>157</v>
      </c>
      <c r="O6" s="14">
        <v>208</v>
      </c>
      <c r="P6" s="14">
        <v>137</v>
      </c>
      <c r="Q6" s="14">
        <v>181</v>
      </c>
      <c r="R6" s="14">
        <v>486</v>
      </c>
      <c r="S6" s="14">
        <v>30.18277655</v>
      </c>
      <c r="T6" s="14">
        <v>251</v>
      </c>
      <c r="U6" s="14">
        <v>27</v>
      </c>
      <c r="V6" s="14">
        <v>130</v>
      </c>
      <c r="W6" s="14">
        <v>789</v>
      </c>
      <c r="X6" s="14">
        <v>104</v>
      </c>
      <c r="Y6" s="14">
        <v>125</v>
      </c>
      <c r="Z6" s="14">
        <v>191</v>
      </c>
      <c r="AA6" s="14">
        <v>65</v>
      </c>
      <c r="AB6" s="14">
        <v>36</v>
      </c>
      <c r="AC6" s="14">
        <v>170</v>
      </c>
      <c r="AD6" s="14">
        <v>278</v>
      </c>
      <c r="AE6" s="14">
        <v>525</v>
      </c>
      <c r="AF6" s="14">
        <v>381</v>
      </c>
      <c r="AG6" s="14">
        <v>488</v>
      </c>
      <c r="AH6" s="14">
        <v>267</v>
      </c>
      <c r="AI6" s="14">
        <v>20</v>
      </c>
      <c r="AJ6" s="14">
        <v>137</v>
      </c>
      <c r="AK6" s="14">
        <v>315</v>
      </c>
      <c r="AL6" s="14">
        <v>119</v>
      </c>
      <c r="AM6" s="14">
        <v>189</v>
      </c>
      <c r="AN6" s="14">
        <v>41</v>
      </c>
      <c r="AO6" s="14">
        <v>394</v>
      </c>
      <c r="AP6" s="14">
        <v>6</v>
      </c>
      <c r="AQ6" s="14">
        <v>5149</v>
      </c>
      <c r="AR6" s="14">
        <v>4025</v>
      </c>
    </row>
    <row r="7" spans="1:44" x14ac:dyDescent="0.25">
      <c r="A7" s="14">
        <v>102</v>
      </c>
      <c r="B7" s="14">
        <v>36</v>
      </c>
      <c r="C7" s="14">
        <v>236</v>
      </c>
      <c r="D7" s="14">
        <v>180</v>
      </c>
      <c r="E7" s="14">
        <v>250</v>
      </c>
      <c r="F7" s="14">
        <v>743</v>
      </c>
      <c r="G7" s="14">
        <v>360</v>
      </c>
      <c r="H7" s="14">
        <v>635</v>
      </c>
      <c r="I7" s="14">
        <v>179</v>
      </c>
      <c r="J7" s="14">
        <v>163</v>
      </c>
      <c r="K7" s="14">
        <v>87</v>
      </c>
      <c r="L7" s="14">
        <v>48</v>
      </c>
      <c r="M7" s="14">
        <v>214</v>
      </c>
      <c r="N7" s="14">
        <v>200</v>
      </c>
      <c r="O7" s="14">
        <v>271</v>
      </c>
      <c r="P7" s="14">
        <v>295</v>
      </c>
      <c r="Q7" s="14">
        <v>46</v>
      </c>
      <c r="R7" s="14">
        <v>627</v>
      </c>
      <c r="S7" s="14">
        <v>23.89560629</v>
      </c>
      <c r="T7" s="14">
        <v>669</v>
      </c>
      <c r="U7" s="14">
        <v>150</v>
      </c>
      <c r="V7" s="14">
        <v>189</v>
      </c>
      <c r="W7" s="14">
        <v>138</v>
      </c>
      <c r="X7" s="14">
        <v>208</v>
      </c>
      <c r="Y7" s="14">
        <v>154</v>
      </c>
      <c r="Z7" s="14">
        <v>162</v>
      </c>
      <c r="AA7" s="14">
        <v>212</v>
      </c>
      <c r="AB7" s="14">
        <v>88</v>
      </c>
      <c r="AC7" s="14">
        <v>206</v>
      </c>
      <c r="AD7" s="14">
        <v>230</v>
      </c>
      <c r="AE7" s="14">
        <v>317</v>
      </c>
      <c r="AF7" s="14">
        <v>133</v>
      </c>
      <c r="AG7" s="14">
        <v>186</v>
      </c>
      <c r="AH7" s="14">
        <v>143</v>
      </c>
      <c r="AI7" s="14">
        <v>68</v>
      </c>
      <c r="AJ7" s="14">
        <v>131</v>
      </c>
      <c r="AK7" s="14">
        <v>26</v>
      </c>
      <c r="AL7" s="14">
        <v>3</v>
      </c>
      <c r="AM7" s="14">
        <v>130</v>
      </c>
      <c r="AN7" s="14">
        <v>143</v>
      </c>
      <c r="AO7" s="14">
        <v>113</v>
      </c>
      <c r="AP7" s="14">
        <v>47</v>
      </c>
      <c r="AQ7" s="14">
        <v>1331</v>
      </c>
      <c r="AR7" s="14">
        <v>3308</v>
      </c>
    </row>
    <row r="8" spans="1:44" x14ac:dyDescent="0.25">
      <c r="A8" s="14">
        <v>1697</v>
      </c>
      <c r="B8" s="14">
        <v>19</v>
      </c>
      <c r="C8" s="14">
        <v>410</v>
      </c>
      <c r="D8" s="14">
        <v>284</v>
      </c>
      <c r="E8" s="14">
        <v>385</v>
      </c>
      <c r="F8" s="14">
        <v>249</v>
      </c>
      <c r="G8" s="14">
        <v>170</v>
      </c>
      <c r="H8" s="14">
        <v>101</v>
      </c>
      <c r="I8" s="14">
        <v>147</v>
      </c>
      <c r="J8" s="14">
        <v>45</v>
      </c>
      <c r="K8" s="14">
        <v>-1</v>
      </c>
      <c r="L8" s="14">
        <v>28</v>
      </c>
      <c r="M8" s="14">
        <v>1</v>
      </c>
      <c r="N8" s="14">
        <v>127</v>
      </c>
      <c r="O8" s="14">
        <v>138</v>
      </c>
      <c r="P8" s="14">
        <v>257</v>
      </c>
      <c r="Q8" s="14">
        <v>210</v>
      </c>
      <c r="R8" s="14">
        <v>597</v>
      </c>
      <c r="S8" s="14">
        <v>25.865034309999999</v>
      </c>
      <c r="T8" s="14">
        <v>209</v>
      </c>
      <c r="U8" s="14">
        <v>296</v>
      </c>
      <c r="V8" s="14">
        <v>77</v>
      </c>
      <c r="W8" s="14">
        <v>583</v>
      </c>
      <c r="X8" s="14">
        <v>262</v>
      </c>
      <c r="Y8" s="14">
        <v>202</v>
      </c>
      <c r="Z8" s="14">
        <v>150</v>
      </c>
      <c r="AA8" s="14">
        <v>273</v>
      </c>
      <c r="AB8" s="14">
        <v>38</v>
      </c>
      <c r="AC8" s="14">
        <v>208</v>
      </c>
      <c r="AD8" s="14">
        <v>125</v>
      </c>
      <c r="AE8" s="14">
        <v>413</v>
      </c>
      <c r="AF8" s="14">
        <v>425</v>
      </c>
      <c r="AG8" s="14">
        <v>633</v>
      </c>
      <c r="AH8" s="14">
        <v>237</v>
      </c>
      <c r="AI8" s="14">
        <v>113</v>
      </c>
      <c r="AJ8" s="14">
        <v>3</v>
      </c>
      <c r="AK8" s="14">
        <v>60</v>
      </c>
      <c r="AL8" s="14">
        <v>92</v>
      </c>
      <c r="AM8" s="14">
        <v>116</v>
      </c>
      <c r="AN8" s="14">
        <v>120</v>
      </c>
      <c r="AO8" s="14">
        <v>185</v>
      </c>
      <c r="AP8" s="14">
        <v>378</v>
      </c>
      <c r="AQ8" s="14">
        <v>1712</v>
      </c>
      <c r="AR8" s="14">
        <v>-869</v>
      </c>
    </row>
    <row r="9" spans="1:44" x14ac:dyDescent="0.25">
      <c r="A9" s="14">
        <v>82</v>
      </c>
      <c r="B9" s="14">
        <v>14</v>
      </c>
      <c r="C9" s="14">
        <v>383</v>
      </c>
      <c r="D9" s="14">
        <v>114</v>
      </c>
      <c r="E9" s="14">
        <v>100</v>
      </c>
      <c r="F9" s="14">
        <v>70</v>
      </c>
      <c r="G9" s="14">
        <v>167</v>
      </c>
      <c r="H9" s="14">
        <v>990</v>
      </c>
      <c r="I9" s="14">
        <v>127</v>
      </c>
      <c r="J9" s="14">
        <v>45</v>
      </c>
      <c r="K9" s="14">
        <v>-30</v>
      </c>
      <c r="L9" s="14">
        <v>664</v>
      </c>
      <c r="M9" s="14">
        <v>12</v>
      </c>
      <c r="N9" s="14">
        <v>73</v>
      </c>
      <c r="O9" s="14">
        <v>21</v>
      </c>
      <c r="P9" s="14">
        <v>134</v>
      </c>
      <c r="Q9" s="14">
        <v>309</v>
      </c>
      <c r="R9" s="14">
        <v>72</v>
      </c>
      <c r="S9" s="14">
        <v>28.600699290000001</v>
      </c>
      <c r="T9" s="14">
        <v>677</v>
      </c>
      <c r="U9" s="14">
        <v>99</v>
      </c>
      <c r="V9" s="14">
        <v>153</v>
      </c>
      <c r="W9" s="14">
        <v>723</v>
      </c>
      <c r="X9" s="14">
        <v>259</v>
      </c>
      <c r="Y9" s="14">
        <v>99</v>
      </c>
      <c r="Z9" s="14">
        <v>241</v>
      </c>
      <c r="AA9" s="14">
        <v>135</v>
      </c>
      <c r="AB9" s="14">
        <v>36</v>
      </c>
      <c r="AC9" s="14">
        <v>862</v>
      </c>
      <c r="AD9" s="14">
        <v>229</v>
      </c>
      <c r="AE9" s="14">
        <v>490</v>
      </c>
      <c r="AF9" s="14">
        <v>252</v>
      </c>
      <c r="AG9" s="14">
        <v>108</v>
      </c>
      <c r="AH9" s="14">
        <v>65</v>
      </c>
      <c r="AI9" s="14">
        <v>30</v>
      </c>
      <c r="AJ9" s="14">
        <v>3</v>
      </c>
      <c r="AK9" s="14">
        <v>149</v>
      </c>
      <c r="AL9" s="14">
        <v>170</v>
      </c>
      <c r="AM9" s="14">
        <v>40</v>
      </c>
      <c r="AN9" s="14">
        <v>122</v>
      </c>
      <c r="AO9" s="14">
        <v>450</v>
      </c>
      <c r="AP9" s="14">
        <v>164</v>
      </c>
      <c r="AQ9" s="14">
        <v>1752</v>
      </c>
      <c r="AR9" s="14">
        <v>648</v>
      </c>
    </row>
    <row r="10" spans="1:44" x14ac:dyDescent="0.25">
      <c r="A10" s="14">
        <v>2472</v>
      </c>
      <c r="B10" s="14">
        <v>296</v>
      </c>
      <c r="C10" s="14">
        <v>416</v>
      </c>
      <c r="D10" s="14">
        <v>255</v>
      </c>
      <c r="E10" s="14">
        <v>978</v>
      </c>
      <c r="F10" s="14">
        <v>486</v>
      </c>
      <c r="G10" s="14">
        <v>109</v>
      </c>
      <c r="H10" s="14">
        <v>394</v>
      </c>
      <c r="I10" s="14">
        <v>415</v>
      </c>
      <c r="J10" s="14">
        <v>121</v>
      </c>
      <c r="K10" s="14">
        <v>1</v>
      </c>
      <c r="L10" s="14">
        <v>323</v>
      </c>
      <c r="M10" s="14">
        <v>228</v>
      </c>
      <c r="N10" s="14">
        <v>109</v>
      </c>
      <c r="O10" s="14">
        <v>231</v>
      </c>
      <c r="P10" s="14">
        <v>1</v>
      </c>
      <c r="Q10" s="14">
        <v>76</v>
      </c>
      <c r="R10" s="14">
        <v>84</v>
      </c>
      <c r="S10" s="14">
        <v>23.494680249999998</v>
      </c>
      <c r="T10" s="14">
        <v>306</v>
      </c>
      <c r="U10" s="14">
        <v>21</v>
      </c>
      <c r="V10" s="14">
        <v>196</v>
      </c>
      <c r="W10" s="14">
        <v>260</v>
      </c>
      <c r="X10" s="14">
        <v>112</v>
      </c>
      <c r="Y10" s="14">
        <v>145</v>
      </c>
      <c r="Z10" s="14">
        <v>199</v>
      </c>
      <c r="AA10" s="14">
        <v>167</v>
      </c>
      <c r="AB10" s="14">
        <v>123</v>
      </c>
      <c r="AC10" s="14">
        <v>281</v>
      </c>
      <c r="AD10" s="14">
        <v>572</v>
      </c>
      <c r="AE10" s="14">
        <v>148</v>
      </c>
      <c r="AF10" s="14">
        <v>30</v>
      </c>
      <c r="AG10" s="14">
        <v>237</v>
      </c>
      <c r="AH10" s="14">
        <v>85</v>
      </c>
      <c r="AI10" s="14">
        <v>6</v>
      </c>
      <c r="AJ10" s="14">
        <v>614</v>
      </c>
      <c r="AK10" s="14">
        <v>109</v>
      </c>
      <c r="AL10" s="14">
        <v>313</v>
      </c>
      <c r="AM10" s="14">
        <v>91</v>
      </c>
      <c r="AN10" s="14">
        <v>163</v>
      </c>
      <c r="AO10" s="14">
        <v>609</v>
      </c>
      <c r="AP10" s="14">
        <v>370</v>
      </c>
      <c r="AQ10" s="14">
        <v>1740</v>
      </c>
      <c r="AR10" s="14">
        <v>3143</v>
      </c>
    </row>
    <row r="11" spans="1:44" x14ac:dyDescent="0.25">
      <c r="A11" s="14">
        <v>80</v>
      </c>
      <c r="B11" s="14">
        <v>49</v>
      </c>
      <c r="C11" s="14">
        <v>316</v>
      </c>
      <c r="D11" s="14">
        <v>295</v>
      </c>
      <c r="E11" s="14">
        <v>251</v>
      </c>
      <c r="F11" s="14">
        <v>32</v>
      </c>
      <c r="G11" s="14">
        <v>284</v>
      </c>
      <c r="H11" s="14">
        <v>237</v>
      </c>
      <c r="I11" s="14">
        <v>581</v>
      </c>
      <c r="J11" s="14">
        <v>121</v>
      </c>
      <c r="K11" s="14">
        <v>388</v>
      </c>
      <c r="L11" s="14">
        <v>624</v>
      </c>
      <c r="M11" s="14">
        <v>434</v>
      </c>
      <c r="N11" s="14">
        <v>168</v>
      </c>
      <c r="O11" s="14">
        <v>343</v>
      </c>
      <c r="P11" s="14">
        <v>227</v>
      </c>
      <c r="Q11" s="14">
        <v>8</v>
      </c>
      <c r="R11" s="14">
        <v>42</v>
      </c>
      <c r="S11" s="14">
        <v>8.9442719099999994</v>
      </c>
      <c r="T11" s="14">
        <v>554</v>
      </c>
      <c r="U11" s="14">
        <v>83</v>
      </c>
      <c r="V11" s="14">
        <v>386</v>
      </c>
      <c r="W11" s="14">
        <v>306</v>
      </c>
      <c r="X11" s="14">
        <v>63</v>
      </c>
      <c r="Y11" s="14">
        <v>99</v>
      </c>
      <c r="Z11" s="14">
        <v>279</v>
      </c>
      <c r="AA11" s="14">
        <v>130</v>
      </c>
      <c r="AB11" s="14">
        <v>77</v>
      </c>
      <c r="AC11" s="14">
        <v>136</v>
      </c>
      <c r="AD11" s="14">
        <v>215</v>
      </c>
      <c r="AE11" s="14">
        <v>380</v>
      </c>
      <c r="AF11" s="14">
        <v>42</v>
      </c>
      <c r="AG11" s="14">
        <v>166</v>
      </c>
      <c r="AH11" s="14">
        <v>151</v>
      </c>
      <c r="AI11" s="14">
        <v>282</v>
      </c>
      <c r="AJ11" s="14">
        <v>198</v>
      </c>
      <c r="AK11" s="14">
        <v>263</v>
      </c>
      <c r="AL11" s="14">
        <v>946</v>
      </c>
      <c r="AM11" s="14">
        <v>6</v>
      </c>
      <c r="AN11" s="14">
        <v>259</v>
      </c>
      <c r="AO11" s="14">
        <v>109</v>
      </c>
      <c r="AP11" s="14">
        <v>124</v>
      </c>
      <c r="AQ11" s="14">
        <v>1793</v>
      </c>
      <c r="AR11" s="14">
        <v>2945</v>
      </c>
    </row>
    <row r="12" spans="1:44" x14ac:dyDescent="0.25">
      <c r="A12" s="14">
        <v>24.53</v>
      </c>
      <c r="B12" s="14">
        <v>23</v>
      </c>
      <c r="C12" s="14">
        <v>339</v>
      </c>
      <c r="D12" s="14">
        <v>226</v>
      </c>
      <c r="E12" s="14">
        <v>207</v>
      </c>
      <c r="F12" s="14">
        <v>546</v>
      </c>
      <c r="G12" s="14">
        <v>45</v>
      </c>
      <c r="H12" s="14">
        <v>469</v>
      </c>
      <c r="I12" s="14">
        <v>675</v>
      </c>
      <c r="J12" s="14">
        <v>95</v>
      </c>
      <c r="K12" s="14">
        <v>262</v>
      </c>
      <c r="L12" s="14">
        <v>31</v>
      </c>
      <c r="M12" s="14">
        <v>452</v>
      </c>
      <c r="N12" s="14">
        <v>84</v>
      </c>
      <c r="O12" s="14">
        <v>224</v>
      </c>
      <c r="P12" s="14">
        <v>877</v>
      </c>
      <c r="Q12" s="14">
        <v>231</v>
      </c>
      <c r="R12" s="14">
        <v>101</v>
      </c>
      <c r="S12" s="14">
        <v>21.656407829999999</v>
      </c>
      <c r="T12" s="14">
        <v>44</v>
      </c>
      <c r="U12" s="14">
        <v>63</v>
      </c>
      <c r="V12" s="14">
        <v>215</v>
      </c>
      <c r="W12" s="14">
        <v>115</v>
      </c>
      <c r="X12" s="14">
        <v>10</v>
      </c>
      <c r="Y12" s="14">
        <v>123</v>
      </c>
      <c r="Z12" s="14">
        <v>552</v>
      </c>
      <c r="AA12" s="14">
        <v>67</v>
      </c>
      <c r="AB12" s="14">
        <v>32</v>
      </c>
      <c r="AC12" s="14">
        <v>847</v>
      </c>
      <c r="AD12" s="14">
        <v>20</v>
      </c>
      <c r="AE12" s="14">
        <v>529</v>
      </c>
      <c r="AF12" s="14">
        <v>237</v>
      </c>
      <c r="AG12" s="14">
        <v>277</v>
      </c>
      <c r="AH12" s="14">
        <v>120</v>
      </c>
      <c r="AI12" s="14">
        <v>51</v>
      </c>
      <c r="AJ12" s="14">
        <v>248</v>
      </c>
      <c r="AK12" s="14">
        <v>134</v>
      </c>
      <c r="AL12" s="14">
        <v>992</v>
      </c>
      <c r="AM12" s="14">
        <v>434</v>
      </c>
      <c r="AN12" s="14">
        <v>268</v>
      </c>
      <c r="AO12" s="14">
        <v>858</v>
      </c>
      <c r="AP12" s="14">
        <v>132</v>
      </c>
      <c r="AQ12" s="14">
        <v>1291</v>
      </c>
      <c r="AR12" s="14">
        <v>565</v>
      </c>
    </row>
    <row r="13" spans="1:44" x14ac:dyDescent="0.25">
      <c r="A13" s="14">
        <v>144</v>
      </c>
      <c r="B13" s="14">
        <v>59</v>
      </c>
      <c r="C13" s="14">
        <v>348</v>
      </c>
      <c r="D13" s="14">
        <v>197</v>
      </c>
      <c r="E13" s="14">
        <v>525</v>
      </c>
      <c r="F13" s="14">
        <v>173</v>
      </c>
      <c r="G13" s="14">
        <v>225</v>
      </c>
      <c r="H13" s="14">
        <v>627</v>
      </c>
      <c r="I13" s="14">
        <v>600</v>
      </c>
      <c r="J13" s="14">
        <v>94</v>
      </c>
      <c r="K13" s="14">
        <v>225</v>
      </c>
      <c r="L13" s="14">
        <v>173</v>
      </c>
      <c r="M13" s="14">
        <v>502</v>
      </c>
      <c r="N13" s="14">
        <v>147</v>
      </c>
      <c r="O13" s="14">
        <v>203</v>
      </c>
      <c r="P13" s="14">
        <v>85</v>
      </c>
      <c r="Q13" s="14">
        <v>389</v>
      </c>
      <c r="R13" s="14">
        <v>85</v>
      </c>
      <c r="S13" s="14">
        <v>25.884358209999998</v>
      </c>
      <c r="T13" s="14">
        <v>173</v>
      </c>
      <c r="U13" s="14">
        <v>85</v>
      </c>
      <c r="V13" s="14">
        <v>380</v>
      </c>
      <c r="W13" s="14">
        <v>126</v>
      </c>
      <c r="X13" s="14">
        <v>183</v>
      </c>
      <c r="Y13" s="14">
        <v>162</v>
      </c>
      <c r="Z13" s="14">
        <v>703</v>
      </c>
      <c r="AA13" s="14">
        <v>127</v>
      </c>
      <c r="AB13" s="14">
        <v>24</v>
      </c>
      <c r="AC13" s="14">
        <v>311</v>
      </c>
      <c r="AD13" s="14">
        <v>872</v>
      </c>
      <c r="AE13" s="14">
        <v>115</v>
      </c>
      <c r="AF13" s="14">
        <v>25</v>
      </c>
      <c r="AG13" s="14">
        <v>550</v>
      </c>
      <c r="AH13" s="14">
        <v>62</v>
      </c>
      <c r="AI13" s="14">
        <v>8</v>
      </c>
      <c r="AJ13" s="14">
        <v>116</v>
      </c>
      <c r="AK13" s="14">
        <v>99</v>
      </c>
      <c r="AL13" s="14">
        <v>853</v>
      </c>
      <c r="AM13" s="14">
        <v>5</v>
      </c>
      <c r="AN13" s="14">
        <v>104</v>
      </c>
      <c r="AO13" s="14">
        <v>797</v>
      </c>
      <c r="AP13" s="14">
        <v>61</v>
      </c>
      <c r="AQ13" s="14">
        <v>6509</v>
      </c>
      <c r="AR13" s="14">
        <v>2905</v>
      </c>
    </row>
    <row r="14" spans="1:44" x14ac:dyDescent="0.25">
      <c r="A14" s="14">
        <v>2529</v>
      </c>
      <c r="B14" s="14">
        <v>222</v>
      </c>
      <c r="C14" s="14">
        <v>71</v>
      </c>
      <c r="D14" s="14">
        <v>297</v>
      </c>
      <c r="E14" s="14">
        <v>545</v>
      </c>
      <c r="F14" s="14">
        <v>147</v>
      </c>
      <c r="G14" s="14">
        <v>394</v>
      </c>
      <c r="H14" s="14">
        <v>462</v>
      </c>
      <c r="I14" s="14">
        <v>454</v>
      </c>
      <c r="K14" s="14">
        <v>356</v>
      </c>
      <c r="L14" s="14">
        <v>28</v>
      </c>
      <c r="M14" s="14">
        <v>46</v>
      </c>
      <c r="N14" s="14">
        <v>74</v>
      </c>
      <c r="O14" s="14">
        <v>60</v>
      </c>
      <c r="P14" s="14">
        <v>426</v>
      </c>
      <c r="Q14" s="14">
        <v>201</v>
      </c>
      <c r="R14" s="14">
        <v>58</v>
      </c>
      <c r="S14" s="14">
        <v>23.537204590000002</v>
      </c>
      <c r="T14" s="14">
        <v>925</v>
      </c>
      <c r="U14" s="14">
        <v>561</v>
      </c>
      <c r="V14" s="14">
        <v>131</v>
      </c>
      <c r="W14" s="14">
        <v>85</v>
      </c>
      <c r="X14" s="14">
        <v>56</v>
      </c>
      <c r="Y14" s="14">
        <v>179</v>
      </c>
      <c r="Z14" s="14">
        <v>157</v>
      </c>
      <c r="AA14" s="14">
        <v>229</v>
      </c>
      <c r="AB14" s="14">
        <v>35</v>
      </c>
      <c r="AC14" s="14">
        <v>526</v>
      </c>
      <c r="AD14" s="14">
        <v>834</v>
      </c>
      <c r="AE14" s="14">
        <v>695</v>
      </c>
      <c r="AF14" s="14">
        <v>185</v>
      </c>
      <c r="AG14" s="14">
        <v>191</v>
      </c>
      <c r="AH14" s="14">
        <v>35</v>
      </c>
      <c r="AI14" s="14">
        <v>118</v>
      </c>
      <c r="AJ14" s="14">
        <v>197</v>
      </c>
      <c r="AK14" s="14">
        <v>245</v>
      </c>
      <c r="AL14" s="14">
        <v>149</v>
      </c>
      <c r="AM14" s="14">
        <v>184</v>
      </c>
      <c r="AN14" s="14">
        <v>202</v>
      </c>
      <c r="AO14" s="14">
        <v>188</v>
      </c>
      <c r="AP14" s="14">
        <v>132</v>
      </c>
      <c r="AQ14" s="14">
        <v>1464</v>
      </c>
      <c r="AR14" s="14">
        <v>3445</v>
      </c>
    </row>
    <row r="15" spans="1:44" x14ac:dyDescent="0.25">
      <c r="A15" s="14">
        <v>113</v>
      </c>
      <c r="B15" s="14">
        <v>57</v>
      </c>
      <c r="C15" s="14">
        <v>339</v>
      </c>
      <c r="D15" s="14">
        <v>132</v>
      </c>
      <c r="E15" s="14">
        <v>234</v>
      </c>
      <c r="F15" s="14">
        <v>561</v>
      </c>
      <c r="G15" s="14">
        <v>14</v>
      </c>
      <c r="H15" s="14">
        <v>584</v>
      </c>
      <c r="I15" s="14">
        <v>515</v>
      </c>
      <c r="K15" s="14">
        <v>294</v>
      </c>
      <c r="L15" s="14">
        <v>111</v>
      </c>
      <c r="M15" s="14">
        <v>197</v>
      </c>
      <c r="N15" s="14">
        <v>114</v>
      </c>
      <c r="O15" s="14">
        <v>712</v>
      </c>
      <c r="P15" s="14">
        <v>361</v>
      </c>
      <c r="Q15" s="14">
        <v>98</v>
      </c>
      <c r="R15" s="14">
        <v>91</v>
      </c>
      <c r="S15" s="14">
        <v>24</v>
      </c>
      <c r="T15" s="14">
        <v>62</v>
      </c>
      <c r="U15" s="14">
        <v>20</v>
      </c>
      <c r="V15" s="14">
        <v>159</v>
      </c>
      <c r="W15" s="14">
        <v>100</v>
      </c>
      <c r="X15" s="14">
        <v>262</v>
      </c>
      <c r="Y15" s="14">
        <v>94</v>
      </c>
      <c r="Z15" s="14">
        <v>137</v>
      </c>
      <c r="AA15" s="14">
        <v>18</v>
      </c>
      <c r="AB15" s="14">
        <v>29</v>
      </c>
      <c r="AC15" s="14">
        <v>158</v>
      </c>
      <c r="AD15" s="14">
        <v>544</v>
      </c>
      <c r="AE15" s="14">
        <v>248</v>
      </c>
      <c r="AF15" s="14">
        <v>73</v>
      </c>
      <c r="AG15" s="14">
        <v>756</v>
      </c>
      <c r="AH15" s="14">
        <v>562</v>
      </c>
      <c r="AI15" s="14">
        <v>200</v>
      </c>
      <c r="AJ15" s="14">
        <v>254</v>
      </c>
      <c r="AK15" s="14">
        <v>169</v>
      </c>
      <c r="AL15" s="14">
        <v>255</v>
      </c>
      <c r="AM15" s="14">
        <v>137</v>
      </c>
      <c r="AN15" s="14">
        <v>901</v>
      </c>
      <c r="AO15" s="14">
        <v>665</v>
      </c>
      <c r="AP15" s="14">
        <v>34</v>
      </c>
      <c r="AQ15" s="14">
        <v>994</v>
      </c>
      <c r="AR15" s="14">
        <v>520</v>
      </c>
    </row>
    <row r="16" spans="1:44" x14ac:dyDescent="0.25">
      <c r="B16" s="14">
        <v>58</v>
      </c>
      <c r="C16" s="14">
        <v>348</v>
      </c>
      <c r="D16" s="14">
        <v>244</v>
      </c>
      <c r="E16" s="14">
        <v>397</v>
      </c>
      <c r="F16" s="14">
        <v>212</v>
      </c>
      <c r="G16" s="14">
        <v>10</v>
      </c>
      <c r="H16" s="14">
        <v>129</v>
      </c>
      <c r="I16" s="14">
        <v>530</v>
      </c>
      <c r="K16" s="14">
        <v>87</v>
      </c>
      <c r="L16" s="14">
        <v>380</v>
      </c>
      <c r="M16" s="14">
        <v>256</v>
      </c>
      <c r="N16" s="14">
        <v>24</v>
      </c>
      <c r="O16" s="14">
        <v>162</v>
      </c>
      <c r="P16" s="14">
        <v>235</v>
      </c>
      <c r="Q16" s="14">
        <v>96</v>
      </c>
      <c r="R16" s="14">
        <v>113</v>
      </c>
      <c r="S16" s="14">
        <v>6.6332495810000003</v>
      </c>
      <c r="T16" s="14">
        <v>285</v>
      </c>
      <c r="U16" s="14">
        <v>139</v>
      </c>
      <c r="V16" s="14">
        <v>189</v>
      </c>
      <c r="W16" s="14">
        <v>132</v>
      </c>
      <c r="X16" s="14">
        <v>172</v>
      </c>
      <c r="Y16" s="14">
        <v>140</v>
      </c>
      <c r="Z16" s="14">
        <v>165</v>
      </c>
      <c r="AA16" s="14">
        <v>201</v>
      </c>
      <c r="AB16" s="14">
        <v>21</v>
      </c>
      <c r="AC16" s="14">
        <v>416</v>
      </c>
      <c r="AD16" s="14">
        <v>536</v>
      </c>
      <c r="AE16" s="14">
        <v>525</v>
      </c>
      <c r="AF16" s="14">
        <v>92</v>
      </c>
      <c r="AG16" s="14">
        <v>139</v>
      </c>
      <c r="AH16" s="14">
        <v>306</v>
      </c>
      <c r="AI16" s="14">
        <v>20</v>
      </c>
      <c r="AJ16" s="14">
        <v>636</v>
      </c>
      <c r="AK16" s="14">
        <v>317</v>
      </c>
      <c r="AL16" s="14">
        <v>218</v>
      </c>
      <c r="AM16" s="14">
        <v>365</v>
      </c>
      <c r="AN16" s="14">
        <v>206</v>
      </c>
      <c r="AO16" s="14">
        <v>502</v>
      </c>
      <c r="AP16" s="14">
        <v>56</v>
      </c>
      <c r="AQ16" s="14">
        <v>3388</v>
      </c>
      <c r="AR16" s="14">
        <v>2301</v>
      </c>
    </row>
    <row r="17" spans="2:44" x14ac:dyDescent="0.25">
      <c r="B17" s="14">
        <v>52</v>
      </c>
      <c r="C17" s="14">
        <v>163</v>
      </c>
      <c r="D17" s="14">
        <v>236</v>
      </c>
      <c r="E17" s="14">
        <v>451</v>
      </c>
      <c r="F17" s="14">
        <v>97</v>
      </c>
      <c r="G17" s="14">
        <v>245</v>
      </c>
      <c r="H17" s="14">
        <v>341</v>
      </c>
      <c r="I17" s="14">
        <v>536</v>
      </c>
      <c r="K17" s="14">
        <v>389</v>
      </c>
      <c r="L17" s="14">
        <v>157</v>
      </c>
      <c r="M17" s="14">
        <v>159</v>
      </c>
      <c r="N17" s="14">
        <v>36</v>
      </c>
      <c r="O17" s="14">
        <v>200</v>
      </c>
      <c r="P17" s="14">
        <v>107</v>
      </c>
      <c r="Q17" s="14">
        <v>261</v>
      </c>
      <c r="R17" s="14">
        <v>94</v>
      </c>
      <c r="S17" s="14">
        <v>28.053520280000001</v>
      </c>
      <c r="T17" s="14">
        <v>667</v>
      </c>
      <c r="U17" s="14">
        <v>177</v>
      </c>
      <c r="V17" s="14">
        <v>679</v>
      </c>
      <c r="W17" s="14">
        <v>272</v>
      </c>
      <c r="X17" s="14">
        <v>547</v>
      </c>
      <c r="Y17" s="14">
        <v>94</v>
      </c>
      <c r="Z17" s="14">
        <v>142</v>
      </c>
      <c r="AA17" s="14">
        <v>11</v>
      </c>
      <c r="AB17" s="14">
        <v>33</v>
      </c>
      <c r="AC17" s="14">
        <v>463</v>
      </c>
      <c r="AD17" s="14">
        <v>650</v>
      </c>
      <c r="AE17" s="14">
        <v>305</v>
      </c>
      <c r="AF17" s="14">
        <v>121</v>
      </c>
      <c r="AG17" s="14">
        <v>491</v>
      </c>
      <c r="AH17" s="14">
        <v>229</v>
      </c>
      <c r="AI17" s="14">
        <v>125</v>
      </c>
      <c r="AJ17" s="14">
        <v>276</v>
      </c>
      <c r="AK17" s="14">
        <v>586</v>
      </c>
      <c r="AL17" s="14">
        <v>66</v>
      </c>
      <c r="AM17" s="14">
        <v>149</v>
      </c>
      <c r="AN17" s="14">
        <v>280</v>
      </c>
      <c r="AO17" s="14">
        <v>137</v>
      </c>
      <c r="AP17" s="14">
        <v>316</v>
      </c>
      <c r="AQ17" s="14">
        <v>4743</v>
      </c>
      <c r="AR17" s="14">
        <v>1946</v>
      </c>
    </row>
    <row r="18" spans="2:44" x14ac:dyDescent="0.25">
      <c r="B18" s="14">
        <v>3764</v>
      </c>
      <c r="C18" s="14">
        <v>290</v>
      </c>
      <c r="D18" s="14">
        <v>498</v>
      </c>
      <c r="E18" s="14">
        <v>916</v>
      </c>
      <c r="F18" s="14">
        <v>15</v>
      </c>
      <c r="G18" s="14">
        <v>66</v>
      </c>
      <c r="H18" s="14">
        <v>15</v>
      </c>
      <c r="I18" s="14">
        <v>540</v>
      </c>
      <c r="K18" s="14">
        <v>122</v>
      </c>
      <c r="L18" s="14">
        <v>89</v>
      </c>
      <c r="M18" s="14">
        <v>77</v>
      </c>
      <c r="N18" s="14">
        <v>98</v>
      </c>
      <c r="O18" s="14">
        <v>293</v>
      </c>
      <c r="P18" s="14">
        <v>793</v>
      </c>
      <c r="Q18" s="14">
        <v>27</v>
      </c>
      <c r="R18" s="14">
        <v>137</v>
      </c>
      <c r="S18" s="14">
        <v>23.832750579999999</v>
      </c>
      <c r="T18" s="14">
        <v>124</v>
      </c>
      <c r="U18" s="14">
        <v>242</v>
      </c>
      <c r="V18" s="14">
        <v>936</v>
      </c>
      <c r="W18" s="14">
        <v>105</v>
      </c>
      <c r="X18" s="14">
        <v>738</v>
      </c>
      <c r="Y18" s="14">
        <v>114</v>
      </c>
      <c r="Z18" s="14">
        <v>869</v>
      </c>
      <c r="AA18" s="14">
        <v>13</v>
      </c>
      <c r="AB18" s="14">
        <v>26</v>
      </c>
      <c r="AC18" s="14">
        <v>587</v>
      </c>
      <c r="AD18" s="14">
        <v>444</v>
      </c>
      <c r="AE18" s="14">
        <v>139</v>
      </c>
      <c r="AF18" s="14">
        <v>177</v>
      </c>
      <c r="AG18" s="14">
        <v>132</v>
      </c>
      <c r="AH18" s="14">
        <v>217</v>
      </c>
      <c r="AI18" s="14">
        <v>197</v>
      </c>
      <c r="AJ18" s="14">
        <v>280</v>
      </c>
      <c r="AK18" s="14">
        <v>193</v>
      </c>
      <c r="AL18" s="14">
        <v>66</v>
      </c>
      <c r="AM18" s="14">
        <v>17</v>
      </c>
      <c r="AN18" s="14">
        <v>815</v>
      </c>
      <c r="AO18" s="14">
        <v>540</v>
      </c>
      <c r="AP18" s="14">
        <v>102</v>
      </c>
      <c r="AQ18" s="14">
        <v>3853</v>
      </c>
      <c r="AR18" s="14">
        <v>188</v>
      </c>
    </row>
    <row r="19" spans="2:44" x14ac:dyDescent="0.25">
      <c r="B19" s="14">
        <v>3049</v>
      </c>
      <c r="C19" s="14">
        <v>91</v>
      </c>
      <c r="D19" s="14">
        <v>560</v>
      </c>
      <c r="E19" s="14">
        <v>121</v>
      </c>
      <c r="F19" s="14">
        <v>161</v>
      </c>
      <c r="G19" s="14">
        <v>201</v>
      </c>
      <c r="H19" s="14">
        <v>132</v>
      </c>
      <c r="I19" s="14">
        <v>394</v>
      </c>
      <c r="K19" s="14">
        <v>464</v>
      </c>
      <c r="L19" s="14">
        <v>115</v>
      </c>
      <c r="M19" s="14">
        <v>213</v>
      </c>
      <c r="N19" s="14">
        <v>124</v>
      </c>
      <c r="O19" s="14">
        <v>307</v>
      </c>
      <c r="P19" s="14">
        <v>875</v>
      </c>
      <c r="Q19" s="14">
        <v>164</v>
      </c>
      <c r="R19" s="14">
        <v>82</v>
      </c>
      <c r="S19" s="14">
        <v>8.4261497730000006</v>
      </c>
      <c r="T19" s="14">
        <v>128</v>
      </c>
      <c r="U19" s="14">
        <v>449</v>
      </c>
      <c r="V19" s="14">
        <v>159</v>
      </c>
      <c r="W19" s="14">
        <v>336</v>
      </c>
      <c r="X19" s="14">
        <v>880</v>
      </c>
      <c r="Y19" s="14">
        <v>134</v>
      </c>
      <c r="Z19" s="14">
        <v>966</v>
      </c>
      <c r="AA19" s="14">
        <v>162</v>
      </c>
      <c r="AB19" s="14">
        <v>58</v>
      </c>
      <c r="AC19" s="14">
        <v>331</v>
      </c>
      <c r="AD19" s="14">
        <v>415</v>
      </c>
      <c r="AE19" s="14">
        <v>31</v>
      </c>
      <c r="AF19" s="14">
        <v>44</v>
      </c>
      <c r="AG19" s="14">
        <v>323</v>
      </c>
      <c r="AH19" s="14">
        <v>287</v>
      </c>
      <c r="AI19" s="14">
        <v>31</v>
      </c>
      <c r="AJ19" s="14">
        <v>935</v>
      </c>
      <c r="AK19" s="14">
        <v>197</v>
      </c>
      <c r="AL19" s="14">
        <v>136</v>
      </c>
      <c r="AM19" s="14">
        <v>155</v>
      </c>
      <c r="AN19" s="14">
        <v>593</v>
      </c>
      <c r="AO19" s="14">
        <v>108</v>
      </c>
      <c r="AP19" s="14">
        <v>212</v>
      </c>
      <c r="AQ19" s="14">
        <v>2762</v>
      </c>
      <c r="AR19" s="14">
        <v>900</v>
      </c>
    </row>
    <row r="20" spans="2:44" x14ac:dyDescent="0.25">
      <c r="B20" s="14">
        <v>1648</v>
      </c>
      <c r="C20" s="14">
        <v>507</v>
      </c>
      <c r="D20" s="14">
        <v>535</v>
      </c>
      <c r="E20" s="14">
        <v>258</v>
      </c>
      <c r="F20" s="14">
        <v>164</v>
      </c>
      <c r="G20" s="14">
        <v>8</v>
      </c>
      <c r="H20" s="14">
        <v>577</v>
      </c>
      <c r="I20" s="14">
        <v>969</v>
      </c>
      <c r="K20" s="14">
        <v>276</v>
      </c>
      <c r="L20" s="14">
        <v>190</v>
      </c>
      <c r="M20" s="14">
        <v>342</v>
      </c>
      <c r="N20" s="14">
        <v>59</v>
      </c>
      <c r="O20" s="14">
        <v>309</v>
      </c>
      <c r="P20" s="14">
        <v>198</v>
      </c>
      <c r="Q20" s="14">
        <v>25</v>
      </c>
      <c r="R20" s="14">
        <v>117</v>
      </c>
      <c r="S20" s="14">
        <v>20.904544959999999</v>
      </c>
      <c r="T20" s="14">
        <v>302</v>
      </c>
      <c r="U20" s="14">
        <v>606</v>
      </c>
      <c r="V20" s="14">
        <v>998</v>
      </c>
      <c r="W20" s="14">
        <v>791</v>
      </c>
      <c r="X20" s="14">
        <v>869</v>
      </c>
      <c r="Y20" s="14">
        <v>24</v>
      </c>
      <c r="Z20" s="14">
        <v>789</v>
      </c>
      <c r="AA20" s="14">
        <v>158</v>
      </c>
      <c r="AC20" s="14">
        <v>529</v>
      </c>
      <c r="AD20" s="14">
        <v>614</v>
      </c>
      <c r="AE20" s="14">
        <v>457</v>
      </c>
      <c r="AF20" s="14">
        <v>64</v>
      </c>
      <c r="AG20" s="14">
        <v>137</v>
      </c>
      <c r="AH20" s="14">
        <v>10</v>
      </c>
      <c r="AI20" s="14">
        <v>42</v>
      </c>
      <c r="AJ20" s="14">
        <v>211</v>
      </c>
      <c r="AK20" s="14">
        <v>353</v>
      </c>
      <c r="AL20" s="14">
        <v>7</v>
      </c>
      <c r="AM20" s="14">
        <v>99</v>
      </c>
      <c r="AN20" s="14">
        <v>118</v>
      </c>
      <c r="AO20" s="14">
        <v>166</v>
      </c>
      <c r="AP20" s="14">
        <v>292</v>
      </c>
      <c r="AQ20" s="14">
        <v>1647</v>
      </c>
      <c r="AR20" s="14">
        <v>804</v>
      </c>
    </row>
    <row r="21" spans="2:44" x14ac:dyDescent="0.25">
      <c r="B21" s="14">
        <v>1696</v>
      </c>
      <c r="C21" s="14">
        <v>187</v>
      </c>
      <c r="D21" s="14">
        <v>531</v>
      </c>
      <c r="E21" s="14">
        <v>478</v>
      </c>
      <c r="F21" s="14">
        <v>399</v>
      </c>
      <c r="G21" s="14">
        <v>151</v>
      </c>
      <c r="H21" s="14">
        <v>124</v>
      </c>
      <c r="I21" s="14">
        <v>204</v>
      </c>
      <c r="K21" s="14">
        <v>36</v>
      </c>
      <c r="L21" s="14">
        <v>293</v>
      </c>
      <c r="M21" s="14">
        <v>151</v>
      </c>
      <c r="N21" s="14">
        <v>96</v>
      </c>
      <c r="O21" s="14">
        <v>152</v>
      </c>
      <c r="P21" s="14">
        <v>173</v>
      </c>
      <c r="Q21" s="14">
        <v>114</v>
      </c>
      <c r="R21" s="14">
        <v>136</v>
      </c>
      <c r="S21" s="14">
        <v>28.600699290000001</v>
      </c>
      <c r="T21" s="14">
        <v>394</v>
      </c>
      <c r="U21" s="14">
        <v>24</v>
      </c>
      <c r="V21" s="14">
        <v>996</v>
      </c>
      <c r="W21" s="14">
        <v>163</v>
      </c>
      <c r="X21" s="14">
        <v>617</v>
      </c>
      <c r="Y21" s="14">
        <v>234</v>
      </c>
      <c r="Z21" s="14">
        <v>957</v>
      </c>
      <c r="AA21" s="14">
        <v>410</v>
      </c>
      <c r="AC21" s="14">
        <v>674</v>
      </c>
      <c r="AD21" s="14">
        <v>70</v>
      </c>
      <c r="AE21" s="14">
        <v>65</v>
      </c>
      <c r="AF21" s="14">
        <v>588</v>
      </c>
      <c r="AG21" s="14">
        <v>156</v>
      </c>
      <c r="AH21" s="14">
        <v>147</v>
      </c>
      <c r="AI21" s="14">
        <v>136</v>
      </c>
      <c r="AJ21" s="14">
        <v>114</v>
      </c>
      <c r="AK21" s="14">
        <v>188</v>
      </c>
      <c r="AL21" s="14">
        <v>105</v>
      </c>
      <c r="AM21" s="14">
        <v>19</v>
      </c>
      <c r="AN21" s="14">
        <v>352</v>
      </c>
      <c r="AO21" s="14">
        <v>136</v>
      </c>
      <c r="AP21" s="14">
        <v>113</v>
      </c>
      <c r="AQ21" s="14">
        <v>1589</v>
      </c>
      <c r="AR21" s="14">
        <v>274</v>
      </c>
    </row>
    <row r="22" spans="2:44" x14ac:dyDescent="0.25">
      <c r="C22" s="14">
        <v>276</v>
      </c>
      <c r="D22" s="14">
        <v>668</v>
      </c>
      <c r="E22" s="14">
        <v>786</v>
      </c>
      <c r="F22" s="14">
        <v>149</v>
      </c>
      <c r="G22" s="14">
        <v>336</v>
      </c>
      <c r="H22" s="14">
        <v>105</v>
      </c>
      <c r="I22" s="14">
        <v>415</v>
      </c>
      <c r="K22" s="14">
        <v>153</v>
      </c>
      <c r="L22" s="14">
        <v>480</v>
      </c>
      <c r="M22" s="14">
        <v>495</v>
      </c>
      <c r="N22" s="14">
        <v>180</v>
      </c>
      <c r="O22" s="14">
        <v>69</v>
      </c>
      <c r="P22" s="14">
        <v>835</v>
      </c>
      <c r="Q22" s="14">
        <v>34</v>
      </c>
      <c r="R22" s="14">
        <v>110</v>
      </c>
      <c r="S22" s="14">
        <v>23.130067010000001</v>
      </c>
      <c r="T22" s="14">
        <v>612</v>
      </c>
      <c r="U22" s="14">
        <v>121</v>
      </c>
      <c r="V22" s="14">
        <v>235</v>
      </c>
      <c r="W22" s="14">
        <v>389</v>
      </c>
      <c r="X22" s="14">
        <v>494</v>
      </c>
      <c r="Y22" s="14">
        <v>147</v>
      </c>
      <c r="Z22" s="14">
        <v>336</v>
      </c>
      <c r="AA22" s="14">
        <v>281</v>
      </c>
      <c r="AC22" s="14">
        <v>178</v>
      </c>
      <c r="AD22" s="14">
        <v>2</v>
      </c>
      <c r="AE22" s="14">
        <v>172</v>
      </c>
      <c r="AF22" s="14">
        <v>214</v>
      </c>
      <c r="AG22" s="14">
        <v>150</v>
      </c>
      <c r="AH22" s="14">
        <v>103</v>
      </c>
      <c r="AI22" s="14">
        <v>209</v>
      </c>
      <c r="AJ22" s="14">
        <v>247</v>
      </c>
      <c r="AK22" s="14">
        <v>234</v>
      </c>
      <c r="AL22" s="14">
        <v>177</v>
      </c>
      <c r="AM22" s="14">
        <v>251</v>
      </c>
      <c r="AN22" s="14">
        <v>126</v>
      </c>
      <c r="AO22" s="14">
        <v>596</v>
      </c>
      <c r="AP22" s="14">
        <v>220</v>
      </c>
      <c r="AQ22" s="14">
        <v>5527</v>
      </c>
      <c r="AR22" s="14">
        <v>430</v>
      </c>
    </row>
    <row r="23" spans="2:44" x14ac:dyDescent="0.25">
      <c r="C23" s="14">
        <v>449</v>
      </c>
      <c r="D23" s="14">
        <v>485</v>
      </c>
      <c r="E23" s="14">
        <v>450</v>
      </c>
      <c r="F23" s="14">
        <v>365</v>
      </c>
      <c r="G23" s="14">
        <v>169</v>
      </c>
      <c r="H23" s="14">
        <v>447</v>
      </c>
      <c r="I23" s="14">
        <v>401</v>
      </c>
      <c r="K23" s="14">
        <v>335</v>
      </c>
      <c r="L23" s="14">
        <v>59</v>
      </c>
      <c r="M23" s="14">
        <v>76</v>
      </c>
      <c r="N23" s="14">
        <v>78</v>
      </c>
      <c r="O23" s="14">
        <v>292</v>
      </c>
      <c r="P23" s="14">
        <v>313</v>
      </c>
      <c r="Q23" s="14">
        <v>206</v>
      </c>
      <c r="R23" s="14">
        <v>126</v>
      </c>
      <c r="S23" s="14">
        <v>25.980762110000001</v>
      </c>
      <c r="T23" s="14">
        <v>289</v>
      </c>
      <c r="U23" s="14">
        <v>47</v>
      </c>
      <c r="V23" s="14">
        <v>660</v>
      </c>
      <c r="W23" s="14">
        <v>377</v>
      </c>
      <c r="X23" s="14">
        <v>579</v>
      </c>
      <c r="Y23" s="14">
        <v>126</v>
      </c>
      <c r="Z23" s="14">
        <v>167</v>
      </c>
      <c r="AA23" s="14">
        <v>67</v>
      </c>
      <c r="AC23" s="14">
        <v>302</v>
      </c>
      <c r="AD23" s="14">
        <v>267</v>
      </c>
      <c r="AE23" s="14">
        <v>41</v>
      </c>
      <c r="AF23" s="14">
        <v>141</v>
      </c>
      <c r="AG23" s="14">
        <v>271</v>
      </c>
      <c r="AH23" s="14">
        <v>94</v>
      </c>
      <c r="AI23" s="14">
        <v>22</v>
      </c>
      <c r="AJ23" s="14">
        <v>218</v>
      </c>
      <c r="AK23" s="14">
        <v>209</v>
      </c>
      <c r="AL23" s="14">
        <v>349</v>
      </c>
      <c r="AM23" s="14">
        <v>366</v>
      </c>
      <c r="AN23" s="14">
        <v>312</v>
      </c>
      <c r="AO23" s="14">
        <v>96</v>
      </c>
      <c r="AP23" s="14">
        <v>20</v>
      </c>
      <c r="AQ23" s="14">
        <v>6658</v>
      </c>
      <c r="AR23" s="14">
        <v>364</v>
      </c>
    </row>
    <row r="24" spans="2:44" x14ac:dyDescent="0.25">
      <c r="C24" s="14">
        <v>271</v>
      </c>
      <c r="D24" s="14">
        <v>487</v>
      </c>
      <c r="E24" s="14">
        <v>393</v>
      </c>
      <c r="F24" s="14">
        <v>147</v>
      </c>
      <c r="G24" s="14">
        <v>103</v>
      </c>
      <c r="H24" s="14">
        <v>325</v>
      </c>
      <c r="I24" s="14">
        <v>282</v>
      </c>
      <c r="K24" s="14">
        <v>207</v>
      </c>
      <c r="L24" s="14">
        <v>331</v>
      </c>
      <c r="M24" s="14">
        <v>61</v>
      </c>
      <c r="N24" s="14">
        <v>44</v>
      </c>
      <c r="O24" s="14">
        <v>165</v>
      </c>
      <c r="P24" s="14">
        <v>374</v>
      </c>
      <c r="Q24" s="14">
        <v>273</v>
      </c>
      <c r="R24" s="14">
        <v>101</v>
      </c>
      <c r="S24" s="14">
        <v>1.414213562</v>
      </c>
      <c r="T24" s="14">
        <v>215</v>
      </c>
      <c r="U24" s="14">
        <v>15</v>
      </c>
      <c r="V24" s="14">
        <v>130</v>
      </c>
      <c r="W24" s="14">
        <v>345</v>
      </c>
      <c r="X24" s="14">
        <v>816</v>
      </c>
      <c r="Y24" s="14">
        <v>102</v>
      </c>
      <c r="Z24" s="14">
        <v>132</v>
      </c>
      <c r="AA24" s="14">
        <v>216</v>
      </c>
      <c r="AC24" s="14">
        <v>531</v>
      </c>
      <c r="AD24" s="14">
        <v>102</v>
      </c>
      <c r="AE24" s="14">
        <v>91</v>
      </c>
      <c r="AF24" s="14">
        <v>222</v>
      </c>
      <c r="AG24" s="14">
        <v>106</v>
      </c>
      <c r="AH24" s="14">
        <v>240</v>
      </c>
      <c r="AI24" s="14">
        <v>129</v>
      </c>
      <c r="AJ24" s="14">
        <v>205</v>
      </c>
      <c r="AK24" s="14">
        <v>333</v>
      </c>
      <c r="AL24" s="14">
        <v>881</v>
      </c>
      <c r="AM24" s="14">
        <v>68</v>
      </c>
      <c r="AN24" s="14">
        <v>229</v>
      </c>
      <c r="AO24" s="14">
        <v>163</v>
      </c>
      <c r="AP24" s="14">
        <v>70</v>
      </c>
      <c r="AQ24" s="14">
        <v>9557</v>
      </c>
      <c r="AR24" s="14">
        <v>291</v>
      </c>
    </row>
    <row r="25" spans="2:44" x14ac:dyDescent="0.25">
      <c r="C25" s="14">
        <v>796</v>
      </c>
      <c r="D25" s="14">
        <v>393</v>
      </c>
      <c r="E25" s="14">
        <v>668</v>
      </c>
      <c r="F25" s="14">
        <v>580</v>
      </c>
      <c r="G25" s="14">
        <v>2</v>
      </c>
      <c r="H25" s="14">
        <v>620</v>
      </c>
      <c r="I25" s="14">
        <v>221</v>
      </c>
      <c r="K25" s="14">
        <v>460</v>
      </c>
      <c r="L25" s="14">
        <v>413</v>
      </c>
      <c r="M25" s="14">
        <v>303</v>
      </c>
      <c r="N25" s="14">
        <v>191</v>
      </c>
      <c r="O25" s="14">
        <v>44</v>
      </c>
      <c r="P25" s="14">
        <v>173</v>
      </c>
      <c r="Q25" s="14">
        <v>426</v>
      </c>
      <c r="R25" s="14">
        <v>158</v>
      </c>
      <c r="S25" s="14">
        <v>24</v>
      </c>
      <c r="T25" s="14">
        <v>196</v>
      </c>
      <c r="U25" s="14">
        <v>48</v>
      </c>
      <c r="V25" s="14">
        <v>189</v>
      </c>
      <c r="W25" s="14">
        <v>142</v>
      </c>
      <c r="X25" s="14">
        <v>937</v>
      </c>
      <c r="Y25" s="14">
        <v>101</v>
      </c>
      <c r="Z25" s="14">
        <v>136</v>
      </c>
      <c r="AA25" s="14">
        <v>275</v>
      </c>
      <c r="AC25" s="14">
        <v>397</v>
      </c>
      <c r="AD25" s="14">
        <v>114</v>
      </c>
      <c r="AE25" s="14">
        <v>199</v>
      </c>
      <c r="AF25" s="14">
        <v>255</v>
      </c>
      <c r="AG25" s="14">
        <v>144</v>
      </c>
      <c r="AH25" s="14">
        <v>190</v>
      </c>
      <c r="AI25" s="14">
        <v>208</v>
      </c>
      <c r="AJ25" s="14">
        <v>166</v>
      </c>
      <c r="AK25" s="14">
        <v>329</v>
      </c>
      <c r="AL25" s="14">
        <v>100</v>
      </c>
      <c r="AM25" s="14">
        <v>66</v>
      </c>
      <c r="AN25" s="14">
        <v>204</v>
      </c>
      <c r="AO25" s="14">
        <v>784</v>
      </c>
      <c r="AP25" s="14">
        <v>169</v>
      </c>
      <c r="AQ25" s="14">
        <v>1299</v>
      </c>
      <c r="AR25" s="14">
        <v>314</v>
      </c>
    </row>
    <row r="26" spans="2:44" x14ac:dyDescent="0.25">
      <c r="C26" s="14">
        <v>257</v>
      </c>
      <c r="D26" s="14">
        <v>394</v>
      </c>
      <c r="E26" s="14">
        <v>220</v>
      </c>
      <c r="F26" s="14">
        <v>550</v>
      </c>
      <c r="G26" s="14">
        <v>66</v>
      </c>
      <c r="H26" s="14">
        <v>622</v>
      </c>
      <c r="I26" s="14">
        <v>187</v>
      </c>
      <c r="K26" s="14">
        <v>8</v>
      </c>
      <c r="L26" s="14">
        <v>59</v>
      </c>
      <c r="M26" s="14">
        <v>242</v>
      </c>
      <c r="N26" s="14">
        <v>164</v>
      </c>
      <c r="O26" s="14">
        <v>691</v>
      </c>
      <c r="P26" s="14">
        <v>216</v>
      </c>
      <c r="Q26" s="14">
        <v>10</v>
      </c>
      <c r="R26" s="14">
        <v>172</v>
      </c>
      <c r="S26" s="14">
        <v>246</v>
      </c>
      <c r="T26" s="14">
        <v>132</v>
      </c>
      <c r="U26" s="14">
        <v>141</v>
      </c>
      <c r="V26" s="14">
        <v>76</v>
      </c>
      <c r="W26" s="14">
        <v>181</v>
      </c>
      <c r="X26" s="14">
        <v>108</v>
      </c>
      <c r="Y26" s="14">
        <v>212</v>
      </c>
      <c r="Z26" s="14">
        <v>243</v>
      </c>
      <c r="AA26" s="14">
        <v>135</v>
      </c>
      <c r="AC26" s="14">
        <v>452</v>
      </c>
      <c r="AD26" s="14">
        <v>655</v>
      </c>
      <c r="AE26" s="14">
        <v>280</v>
      </c>
      <c r="AF26" s="14">
        <v>177</v>
      </c>
      <c r="AG26" s="14">
        <v>904</v>
      </c>
      <c r="AH26" s="14">
        <v>233</v>
      </c>
      <c r="AI26" s="14">
        <v>28</v>
      </c>
      <c r="AJ26" s="14">
        <v>341</v>
      </c>
      <c r="AK26" s="14">
        <v>225</v>
      </c>
      <c r="AL26" s="14">
        <v>936</v>
      </c>
      <c r="AM26" s="14">
        <v>161</v>
      </c>
      <c r="AN26" s="14">
        <v>158</v>
      </c>
      <c r="AO26" s="14">
        <v>295</v>
      </c>
      <c r="AP26" s="14">
        <v>86</v>
      </c>
      <c r="AQ26" s="14">
        <v>2545</v>
      </c>
      <c r="AR26" s="14">
        <v>154</v>
      </c>
    </row>
    <row r="27" spans="2:44" x14ac:dyDescent="0.25">
      <c r="C27" s="14">
        <v>647</v>
      </c>
      <c r="D27" s="14">
        <v>153</v>
      </c>
      <c r="E27" s="14">
        <v>503</v>
      </c>
      <c r="F27" s="14">
        <v>132</v>
      </c>
      <c r="G27" s="14">
        <v>264</v>
      </c>
      <c r="H27" s="14">
        <v>579</v>
      </c>
      <c r="I27" s="14">
        <v>166</v>
      </c>
      <c r="K27" s="14">
        <v>190</v>
      </c>
      <c r="L27" s="14">
        <v>33</v>
      </c>
      <c r="M27" s="14">
        <v>120</v>
      </c>
      <c r="N27" s="14">
        <v>93</v>
      </c>
      <c r="O27" s="14">
        <v>155</v>
      </c>
      <c r="P27" s="14">
        <v>116</v>
      </c>
      <c r="Q27" s="14">
        <v>206</v>
      </c>
      <c r="R27" s="14">
        <v>126</v>
      </c>
      <c r="S27" s="14">
        <v>244</v>
      </c>
      <c r="T27" s="14">
        <v>101</v>
      </c>
      <c r="U27" s="14">
        <v>155</v>
      </c>
      <c r="V27" s="14">
        <v>153</v>
      </c>
      <c r="W27" s="14">
        <v>971</v>
      </c>
      <c r="Y27" s="14">
        <v>109</v>
      </c>
      <c r="Z27" s="14">
        <v>214</v>
      </c>
      <c r="AA27" s="14">
        <v>200</v>
      </c>
      <c r="AC27" s="14">
        <v>545</v>
      </c>
      <c r="AD27" s="14">
        <v>593</v>
      </c>
      <c r="AE27" s="14">
        <v>38</v>
      </c>
      <c r="AF27" s="14">
        <v>98</v>
      </c>
      <c r="AG27" s="14">
        <v>998</v>
      </c>
      <c r="AH27" s="14">
        <v>52</v>
      </c>
      <c r="AI27" s="14">
        <v>29</v>
      </c>
      <c r="AJ27" s="14">
        <v>576</v>
      </c>
      <c r="AK27" s="14">
        <v>125</v>
      </c>
      <c r="AL27" s="14">
        <v>153</v>
      </c>
      <c r="AM27" s="14">
        <v>83</v>
      </c>
      <c r="AN27" s="14">
        <v>333</v>
      </c>
      <c r="AO27" s="14">
        <v>77</v>
      </c>
      <c r="AP27" s="14">
        <v>11</v>
      </c>
      <c r="AQ27" s="14">
        <v>1209</v>
      </c>
      <c r="AR27" s="14">
        <v>147</v>
      </c>
    </row>
    <row r="28" spans="2:44" x14ac:dyDescent="0.25">
      <c r="C28" s="14">
        <v>487</v>
      </c>
      <c r="D28" s="14">
        <v>418</v>
      </c>
      <c r="E28" s="14">
        <v>223</v>
      </c>
      <c r="F28" s="14">
        <v>609</v>
      </c>
      <c r="G28" s="14">
        <v>123</v>
      </c>
      <c r="H28" s="14">
        <v>120</v>
      </c>
      <c r="I28" s="14">
        <v>157</v>
      </c>
      <c r="K28" s="14">
        <v>60</v>
      </c>
      <c r="L28" s="14">
        <v>385</v>
      </c>
      <c r="M28" s="14">
        <v>536</v>
      </c>
      <c r="N28" s="14">
        <v>93</v>
      </c>
      <c r="O28" s="14">
        <v>187</v>
      </c>
      <c r="P28" s="14">
        <v>254</v>
      </c>
      <c r="Q28" s="14">
        <v>35</v>
      </c>
      <c r="R28" s="14">
        <v>154</v>
      </c>
      <c r="S28" s="14">
        <v>14</v>
      </c>
      <c r="T28" s="14">
        <v>163</v>
      </c>
      <c r="U28" s="14">
        <v>26</v>
      </c>
      <c r="V28" s="14">
        <v>196</v>
      </c>
      <c r="W28" s="14">
        <v>413</v>
      </c>
      <c r="Y28" s="14">
        <v>310</v>
      </c>
      <c r="Z28" s="14">
        <v>868</v>
      </c>
      <c r="AA28" s="14">
        <v>131</v>
      </c>
      <c r="AC28" s="14">
        <v>154</v>
      </c>
      <c r="AD28" s="14">
        <v>603</v>
      </c>
      <c r="AE28" s="14">
        <v>99</v>
      </c>
      <c r="AF28" s="14">
        <v>430</v>
      </c>
      <c r="AG28" s="14">
        <v>63</v>
      </c>
      <c r="AH28" s="14">
        <v>84</v>
      </c>
      <c r="AI28" s="14">
        <v>13</v>
      </c>
      <c r="AJ28" s="14">
        <v>959</v>
      </c>
      <c r="AK28" s="14">
        <v>489</v>
      </c>
      <c r="AL28" s="14">
        <v>94</v>
      </c>
      <c r="AM28" s="14">
        <v>75</v>
      </c>
      <c r="AN28" s="14">
        <v>317</v>
      </c>
      <c r="AO28" s="14">
        <v>165</v>
      </c>
      <c r="AP28" s="14">
        <v>63</v>
      </c>
      <c r="AQ28" s="14">
        <v>1315</v>
      </c>
      <c r="AR28" s="14">
        <v>328</v>
      </c>
    </row>
    <row r="29" spans="2:44" x14ac:dyDescent="0.25">
      <c r="C29" s="14">
        <v>868</v>
      </c>
      <c r="D29" s="14">
        <v>515</v>
      </c>
      <c r="E29" s="14">
        <v>401</v>
      </c>
      <c r="F29" s="14">
        <v>578</v>
      </c>
      <c r="G29" s="14">
        <v>276</v>
      </c>
      <c r="H29" s="14">
        <v>167</v>
      </c>
      <c r="I29" s="14">
        <v>504</v>
      </c>
      <c r="K29" s="14">
        <v>126</v>
      </c>
      <c r="L29" s="14">
        <v>767</v>
      </c>
      <c r="M29" s="14">
        <v>100</v>
      </c>
      <c r="N29" s="14">
        <v>310</v>
      </c>
      <c r="O29" s="14">
        <v>268</v>
      </c>
      <c r="P29" s="14">
        <v>110</v>
      </c>
      <c r="Q29" s="14">
        <v>216</v>
      </c>
      <c r="R29" s="14">
        <v>182</v>
      </c>
      <c r="S29" s="14">
        <v>232</v>
      </c>
      <c r="T29" s="14">
        <v>179</v>
      </c>
      <c r="U29" s="14">
        <v>213</v>
      </c>
      <c r="V29" s="14">
        <v>386</v>
      </c>
      <c r="W29" s="14">
        <v>273</v>
      </c>
      <c r="Y29" s="14">
        <v>179</v>
      </c>
      <c r="Z29" s="14">
        <v>595</v>
      </c>
      <c r="AA29" s="14">
        <v>68</v>
      </c>
      <c r="AC29" s="14">
        <v>613</v>
      </c>
      <c r="AD29" s="14">
        <v>403</v>
      </c>
      <c r="AE29" s="14">
        <v>204</v>
      </c>
      <c r="AF29" s="14">
        <v>820</v>
      </c>
      <c r="AG29" s="14">
        <v>541</v>
      </c>
      <c r="AH29" s="14">
        <v>147</v>
      </c>
      <c r="AI29" s="14">
        <v>20</v>
      </c>
      <c r="AJ29" s="14">
        <v>30</v>
      </c>
      <c r="AK29" s="14">
        <v>345</v>
      </c>
      <c r="AL29" s="14">
        <v>138</v>
      </c>
      <c r="AM29" s="14">
        <v>109</v>
      </c>
      <c r="AN29" s="14">
        <v>220</v>
      </c>
      <c r="AO29" s="14">
        <v>39</v>
      </c>
      <c r="AP29" s="14">
        <v>310</v>
      </c>
      <c r="AQ29" s="14">
        <v>9007</v>
      </c>
      <c r="AR29" s="14">
        <v>354</v>
      </c>
    </row>
    <row r="30" spans="2:44" x14ac:dyDescent="0.25">
      <c r="C30" s="14">
        <v>293</v>
      </c>
      <c r="D30" s="14">
        <v>307</v>
      </c>
      <c r="E30" s="14">
        <v>718</v>
      </c>
      <c r="F30" s="14">
        <v>171</v>
      </c>
      <c r="G30" s="14">
        <v>307</v>
      </c>
      <c r="H30" s="14">
        <v>915</v>
      </c>
      <c r="I30" s="14">
        <v>521</v>
      </c>
      <c r="K30" s="14">
        <v>348</v>
      </c>
      <c r="L30" s="14">
        <v>146</v>
      </c>
      <c r="M30" s="14">
        <v>4312</v>
      </c>
      <c r="N30" s="14">
        <v>200</v>
      </c>
      <c r="O30" s="14">
        <v>270</v>
      </c>
      <c r="P30" s="14">
        <v>350</v>
      </c>
      <c r="Q30" s="14">
        <v>234</v>
      </c>
      <c r="R30" s="14">
        <v>291</v>
      </c>
      <c r="S30" s="14">
        <v>67</v>
      </c>
      <c r="T30" s="14">
        <v>814</v>
      </c>
      <c r="U30" s="14">
        <v>633</v>
      </c>
      <c r="V30" s="14">
        <v>215</v>
      </c>
      <c r="W30" s="14">
        <v>117</v>
      </c>
      <c r="Y30" s="14">
        <v>142</v>
      </c>
      <c r="Z30" s="14">
        <v>742</v>
      </c>
      <c r="AA30" s="14">
        <v>129</v>
      </c>
      <c r="AC30" s="14">
        <v>193</v>
      </c>
      <c r="AD30" s="14">
        <v>85</v>
      </c>
      <c r="AE30" s="14">
        <v>150</v>
      </c>
      <c r="AF30" s="14">
        <v>89</v>
      </c>
      <c r="AG30" s="14">
        <v>904</v>
      </c>
      <c r="AH30" s="14">
        <v>104</v>
      </c>
      <c r="AI30" s="14">
        <v>146</v>
      </c>
      <c r="AJ30" s="14">
        <v>136</v>
      </c>
      <c r="AK30" s="14">
        <v>257</v>
      </c>
      <c r="AL30" s="14">
        <v>11</v>
      </c>
      <c r="AM30" s="14">
        <v>250</v>
      </c>
      <c r="AN30" s="14">
        <v>477</v>
      </c>
      <c r="AO30" s="14">
        <v>247</v>
      </c>
      <c r="AP30" s="14">
        <v>35</v>
      </c>
      <c r="AQ30" s="14">
        <v>7695</v>
      </c>
      <c r="AR30" s="14">
        <v>167</v>
      </c>
    </row>
    <row r="31" spans="2:44" x14ac:dyDescent="0.25">
      <c r="C31" s="14">
        <v>241</v>
      </c>
      <c r="D31" s="14">
        <v>145</v>
      </c>
      <c r="E31" s="14">
        <v>271</v>
      </c>
      <c r="F31" s="14">
        <v>170</v>
      </c>
      <c r="G31" s="14">
        <v>33</v>
      </c>
      <c r="H31" s="14">
        <v>635</v>
      </c>
      <c r="I31" s="14">
        <v>575</v>
      </c>
      <c r="K31" s="14">
        <v>252</v>
      </c>
      <c r="L31" s="14">
        <v>295</v>
      </c>
      <c r="M31" s="14">
        <v>105</v>
      </c>
      <c r="N31" s="14">
        <v>85</v>
      </c>
      <c r="O31" s="14">
        <v>197</v>
      </c>
      <c r="P31" s="14">
        <v>178</v>
      </c>
      <c r="Q31" s="14">
        <v>206</v>
      </c>
      <c r="R31" s="14">
        <v>327</v>
      </c>
      <c r="S31" s="14">
        <v>725</v>
      </c>
      <c r="T31" s="14">
        <v>239</v>
      </c>
      <c r="U31" s="14">
        <v>804</v>
      </c>
      <c r="V31" s="14">
        <v>379</v>
      </c>
      <c r="W31" s="14">
        <v>45</v>
      </c>
      <c r="Y31" s="14">
        <v>107</v>
      </c>
      <c r="Z31" s="14">
        <v>151</v>
      </c>
      <c r="AA31" s="14">
        <v>232</v>
      </c>
      <c r="AC31" s="14">
        <v>929</v>
      </c>
      <c r="AD31" s="14">
        <v>356</v>
      </c>
      <c r="AE31" s="14">
        <v>430</v>
      </c>
      <c r="AF31" s="14">
        <v>476</v>
      </c>
      <c r="AG31" s="14">
        <v>816</v>
      </c>
      <c r="AH31" s="14">
        <v>93</v>
      </c>
      <c r="AI31" s="14">
        <v>5</v>
      </c>
      <c r="AJ31" s="14">
        <v>218</v>
      </c>
      <c r="AK31" s="14">
        <v>1166</v>
      </c>
      <c r="AL31" s="14">
        <v>124</v>
      </c>
      <c r="AM31" s="14">
        <v>3</v>
      </c>
      <c r="AN31" s="14">
        <v>277</v>
      </c>
      <c r="AO31" s="14">
        <v>554</v>
      </c>
      <c r="AP31" s="14">
        <v>104</v>
      </c>
      <c r="AQ31" s="14">
        <v>1559</v>
      </c>
      <c r="AR31" s="14">
        <v>161</v>
      </c>
    </row>
    <row r="32" spans="2:44" x14ac:dyDescent="0.25">
      <c r="C32" s="14">
        <v>493</v>
      </c>
      <c r="D32" s="14">
        <v>435</v>
      </c>
      <c r="E32" s="14">
        <v>324</v>
      </c>
      <c r="F32" s="14">
        <v>527</v>
      </c>
      <c r="G32" s="14">
        <v>1</v>
      </c>
      <c r="H32" s="14">
        <v>224</v>
      </c>
      <c r="I32" s="14">
        <v>387</v>
      </c>
      <c r="K32" s="14">
        <v>177</v>
      </c>
      <c r="L32" s="14">
        <v>222</v>
      </c>
      <c r="M32" s="14">
        <v>989</v>
      </c>
      <c r="N32" s="14">
        <v>173</v>
      </c>
      <c r="O32" s="14">
        <v>207</v>
      </c>
      <c r="P32" s="14">
        <v>284</v>
      </c>
      <c r="Q32" s="14">
        <v>440</v>
      </c>
      <c r="R32" s="14">
        <v>348</v>
      </c>
      <c r="S32" s="14">
        <v>231</v>
      </c>
      <c r="T32" s="14">
        <v>368</v>
      </c>
      <c r="U32" s="14">
        <v>311</v>
      </c>
      <c r="V32" s="14">
        <v>130</v>
      </c>
      <c r="W32" s="14">
        <v>27</v>
      </c>
      <c r="Y32" s="14">
        <v>48</v>
      </c>
      <c r="Z32" s="14">
        <v>139</v>
      </c>
      <c r="AA32" s="14">
        <v>19</v>
      </c>
      <c r="AC32" s="14">
        <v>576</v>
      </c>
      <c r="AD32" s="14">
        <v>107</v>
      </c>
      <c r="AE32" s="14">
        <v>71</v>
      </c>
      <c r="AF32" s="14">
        <v>380</v>
      </c>
      <c r="AG32" s="14">
        <v>403</v>
      </c>
      <c r="AH32" s="14">
        <v>45</v>
      </c>
      <c r="AI32" s="14">
        <v>23</v>
      </c>
      <c r="AJ32" s="14">
        <v>18</v>
      </c>
      <c r="AK32" s="14">
        <v>205</v>
      </c>
      <c r="AL32" s="14">
        <v>235</v>
      </c>
      <c r="AM32" s="14">
        <v>249</v>
      </c>
      <c r="AN32" s="14">
        <v>170</v>
      </c>
      <c r="AO32" s="14">
        <v>16</v>
      </c>
      <c r="AP32" s="14">
        <v>12</v>
      </c>
      <c r="AQ32" s="14">
        <v>3761</v>
      </c>
      <c r="AR32" s="14">
        <v>518</v>
      </c>
    </row>
    <row r="33" spans="3:44" x14ac:dyDescent="0.25">
      <c r="C33" s="14">
        <v>156</v>
      </c>
      <c r="D33" s="14">
        <v>150</v>
      </c>
      <c r="E33" s="14">
        <v>734</v>
      </c>
      <c r="F33" s="14">
        <v>433</v>
      </c>
      <c r="G33" s="14">
        <v>184</v>
      </c>
      <c r="H33" s="14">
        <v>152</v>
      </c>
      <c r="I33" s="14">
        <v>458</v>
      </c>
      <c r="K33" s="14">
        <v>76</v>
      </c>
      <c r="L33" s="14">
        <v>514</v>
      </c>
      <c r="M33" s="14">
        <v>145</v>
      </c>
      <c r="N33" s="14">
        <v>126</v>
      </c>
      <c r="O33" s="14">
        <v>80</v>
      </c>
      <c r="P33" s="14">
        <v>886</v>
      </c>
      <c r="Q33" s="14">
        <v>157</v>
      </c>
      <c r="R33" s="14">
        <v>326</v>
      </c>
      <c r="S33" s="14">
        <v>9</v>
      </c>
      <c r="T33" s="14">
        <v>386</v>
      </c>
      <c r="U33" s="14">
        <v>301</v>
      </c>
      <c r="V33" s="14">
        <v>159</v>
      </c>
      <c r="W33" s="14">
        <v>42</v>
      </c>
      <c r="Y33" s="14">
        <v>200</v>
      </c>
      <c r="Z33" s="14">
        <v>161</v>
      </c>
      <c r="AA33" s="14">
        <v>201</v>
      </c>
      <c r="AC33" s="14">
        <v>216</v>
      </c>
      <c r="AD33" s="14">
        <v>181</v>
      </c>
      <c r="AE33" s="14">
        <v>88</v>
      </c>
      <c r="AF33" s="14">
        <v>49</v>
      </c>
      <c r="AG33" s="14">
        <v>58</v>
      </c>
      <c r="AH33" s="14">
        <v>503</v>
      </c>
      <c r="AI33" s="14">
        <v>43</v>
      </c>
      <c r="AJ33" s="14">
        <v>323</v>
      </c>
      <c r="AK33" s="14">
        <v>155</v>
      </c>
      <c r="AL33" s="14">
        <v>517</v>
      </c>
      <c r="AM33" s="14">
        <v>133</v>
      </c>
      <c r="AN33" s="14">
        <v>133</v>
      </c>
      <c r="AO33" s="14">
        <v>382</v>
      </c>
      <c r="AP33" s="14">
        <v>4</v>
      </c>
      <c r="AQ33" s="14">
        <v>6727</v>
      </c>
      <c r="AR33" s="14">
        <v>490</v>
      </c>
    </row>
    <row r="34" spans="3:44" x14ac:dyDescent="0.25">
      <c r="C34" s="14">
        <v>431</v>
      </c>
      <c r="D34" s="14">
        <v>225</v>
      </c>
      <c r="E34" s="14">
        <v>949</v>
      </c>
      <c r="F34" s="14">
        <v>322</v>
      </c>
      <c r="G34" s="14">
        <v>90</v>
      </c>
      <c r="H34" s="14">
        <v>863</v>
      </c>
      <c r="I34" s="14">
        <v>458</v>
      </c>
      <c r="K34" s="14">
        <v>121</v>
      </c>
      <c r="L34" s="14">
        <v>187</v>
      </c>
      <c r="M34" s="14">
        <v>72</v>
      </c>
      <c r="O34" s="14">
        <v>292</v>
      </c>
      <c r="P34" s="14">
        <v>223</v>
      </c>
      <c r="Q34" s="14">
        <v>53</v>
      </c>
      <c r="R34" s="14">
        <v>84</v>
      </c>
      <c r="S34" s="14">
        <v>187</v>
      </c>
      <c r="T34" s="14">
        <v>202</v>
      </c>
      <c r="U34" s="14">
        <v>275</v>
      </c>
      <c r="V34" s="14">
        <v>187</v>
      </c>
      <c r="W34" s="14">
        <v>94</v>
      </c>
      <c r="Y34" s="14">
        <v>18</v>
      </c>
      <c r="Z34" s="14">
        <v>140</v>
      </c>
      <c r="AA34" s="14">
        <v>13</v>
      </c>
      <c r="AC34" s="14">
        <v>593</v>
      </c>
      <c r="AD34" s="14">
        <v>320</v>
      </c>
      <c r="AE34" s="14">
        <v>14</v>
      </c>
      <c r="AF34" s="14">
        <v>235</v>
      </c>
      <c r="AG34" s="14">
        <v>753</v>
      </c>
      <c r="AH34" s="14">
        <v>294</v>
      </c>
      <c r="AI34" s="14">
        <v>29</v>
      </c>
      <c r="AJ34" s="14">
        <v>875</v>
      </c>
      <c r="AK34" s="14">
        <v>431</v>
      </c>
      <c r="AL34" s="14">
        <v>119</v>
      </c>
      <c r="AM34" s="14">
        <v>151</v>
      </c>
      <c r="AN34" s="14">
        <v>201</v>
      </c>
      <c r="AO34" s="14">
        <v>258</v>
      </c>
      <c r="AP34" s="14">
        <v>70</v>
      </c>
      <c r="AQ34" s="14">
        <v>1115</v>
      </c>
      <c r="AR34" s="14">
        <v>672</v>
      </c>
    </row>
    <row r="35" spans="3:44" x14ac:dyDescent="0.25">
      <c r="C35" s="14">
        <v>233</v>
      </c>
      <c r="D35" s="14">
        <v>39</v>
      </c>
      <c r="E35" s="14">
        <v>572</v>
      </c>
      <c r="F35" s="14">
        <v>147</v>
      </c>
      <c r="G35" s="14">
        <v>266</v>
      </c>
      <c r="H35" s="14">
        <v>26</v>
      </c>
      <c r="I35" s="14">
        <v>464</v>
      </c>
      <c r="K35" s="14">
        <v>672</v>
      </c>
      <c r="L35" s="14">
        <v>133</v>
      </c>
      <c r="M35" s="14">
        <v>399</v>
      </c>
      <c r="P35" s="14">
        <v>77</v>
      </c>
      <c r="Q35" s="14">
        <v>89</v>
      </c>
      <c r="R35" s="14">
        <v>80</v>
      </c>
      <c r="S35" s="14">
        <v>65</v>
      </c>
      <c r="T35" s="14">
        <v>456</v>
      </c>
      <c r="U35" s="14">
        <v>826</v>
      </c>
      <c r="V35" s="14">
        <v>678</v>
      </c>
      <c r="W35" s="14">
        <v>36</v>
      </c>
      <c r="Y35" s="14">
        <v>305</v>
      </c>
      <c r="Z35" s="14">
        <v>831</v>
      </c>
      <c r="AA35" s="14">
        <v>15</v>
      </c>
      <c r="AC35" s="14">
        <v>124</v>
      </c>
      <c r="AD35" s="14">
        <v>97</v>
      </c>
      <c r="AE35" s="14">
        <v>236</v>
      </c>
      <c r="AF35" s="14">
        <v>301</v>
      </c>
      <c r="AG35" s="14">
        <v>261</v>
      </c>
      <c r="AH35" s="14">
        <v>228</v>
      </c>
      <c r="AI35" s="14">
        <v>71</v>
      </c>
      <c r="AJ35" s="14">
        <v>227</v>
      </c>
      <c r="AK35" s="14">
        <v>209</v>
      </c>
      <c r="AL35" s="14">
        <v>161</v>
      </c>
      <c r="AM35" s="14">
        <v>538</v>
      </c>
      <c r="AN35" s="14">
        <v>531</v>
      </c>
      <c r="AO35" s="14">
        <v>761</v>
      </c>
      <c r="AP35" s="14">
        <v>49</v>
      </c>
      <c r="AQ35" s="14">
        <v>5493</v>
      </c>
      <c r="AR35" s="14">
        <v>687</v>
      </c>
    </row>
    <row r="36" spans="3:44" x14ac:dyDescent="0.25">
      <c r="C36" s="14">
        <v>118</v>
      </c>
      <c r="D36" s="14">
        <v>120</v>
      </c>
      <c r="E36" s="14">
        <v>437</v>
      </c>
      <c r="F36" s="14">
        <v>170</v>
      </c>
      <c r="G36" s="14">
        <v>86</v>
      </c>
      <c r="H36" s="14">
        <v>741</v>
      </c>
      <c r="I36" s="14">
        <v>467</v>
      </c>
      <c r="K36" s="14">
        <v>209</v>
      </c>
      <c r="L36" s="14">
        <v>425</v>
      </c>
      <c r="M36" s="14">
        <v>264</v>
      </c>
      <c r="P36" s="14">
        <v>858</v>
      </c>
      <c r="Q36" s="14">
        <v>61</v>
      </c>
      <c r="R36" s="14">
        <v>70</v>
      </c>
      <c r="S36" s="14">
        <v>717</v>
      </c>
      <c r="T36" s="14">
        <v>303</v>
      </c>
      <c r="U36" s="14">
        <v>192</v>
      </c>
      <c r="V36" s="14">
        <v>936</v>
      </c>
      <c r="W36" s="14">
        <v>59</v>
      </c>
      <c r="Y36" s="14">
        <v>152</v>
      </c>
      <c r="Z36" s="14">
        <v>729</v>
      </c>
      <c r="AA36" s="14">
        <v>161</v>
      </c>
      <c r="AC36" s="14">
        <v>224</v>
      </c>
      <c r="AD36" s="14">
        <v>119</v>
      </c>
      <c r="AE36" s="14">
        <v>428</v>
      </c>
      <c r="AF36" s="14">
        <v>279</v>
      </c>
      <c r="AG36" s="14">
        <v>318</v>
      </c>
      <c r="AH36" s="14">
        <v>267</v>
      </c>
      <c r="AI36" s="14">
        <v>5</v>
      </c>
      <c r="AJ36" s="14">
        <v>631</v>
      </c>
      <c r="AK36" s="14">
        <v>214</v>
      </c>
      <c r="AL36" s="14">
        <v>789</v>
      </c>
      <c r="AM36" s="14">
        <v>90</v>
      </c>
      <c r="AN36" s="14">
        <v>62</v>
      </c>
      <c r="AO36" s="14">
        <v>142</v>
      </c>
      <c r="AP36" s="14">
        <v>125</v>
      </c>
      <c r="AQ36" s="14">
        <v>3528</v>
      </c>
      <c r="AR36" s="14">
        <v>71</v>
      </c>
    </row>
    <row r="37" spans="3:44" x14ac:dyDescent="0.25">
      <c r="C37" s="14">
        <v>260</v>
      </c>
      <c r="D37" s="14">
        <v>104</v>
      </c>
      <c r="E37" s="14">
        <v>63</v>
      </c>
      <c r="F37" s="14">
        <v>630</v>
      </c>
      <c r="G37" s="14">
        <v>251</v>
      </c>
      <c r="H37" s="14">
        <v>200</v>
      </c>
      <c r="I37" s="14">
        <v>104</v>
      </c>
      <c r="K37" s="14">
        <v>688</v>
      </c>
      <c r="M37" s="14">
        <v>330</v>
      </c>
      <c r="P37" s="14">
        <v>468</v>
      </c>
      <c r="Q37" s="14">
        <v>159</v>
      </c>
      <c r="R37" s="14">
        <v>101</v>
      </c>
      <c r="S37" s="14">
        <v>95</v>
      </c>
      <c r="T37" s="14">
        <v>225</v>
      </c>
      <c r="U37" s="14">
        <v>118</v>
      </c>
      <c r="V37" s="14">
        <v>158</v>
      </c>
      <c r="W37" s="14">
        <v>25</v>
      </c>
      <c r="Y37" s="14">
        <v>127</v>
      </c>
      <c r="Z37" s="14">
        <v>14</v>
      </c>
      <c r="AA37" s="14">
        <v>156</v>
      </c>
      <c r="AC37" s="14">
        <v>345</v>
      </c>
      <c r="AD37" s="14">
        <v>167</v>
      </c>
      <c r="AE37" s="14">
        <v>268</v>
      </c>
      <c r="AF37" s="14">
        <v>156</v>
      </c>
      <c r="AG37" s="14">
        <v>710</v>
      </c>
      <c r="AH37" s="14">
        <v>333</v>
      </c>
      <c r="AI37" s="14">
        <v>31</v>
      </c>
      <c r="AJ37" s="14">
        <v>10</v>
      </c>
      <c r="AK37" s="14">
        <v>392</v>
      </c>
      <c r="AL37" s="14">
        <v>134</v>
      </c>
      <c r="AM37" s="14">
        <v>23</v>
      </c>
      <c r="AN37" s="14">
        <v>16</v>
      </c>
      <c r="AO37" s="14">
        <v>149</v>
      </c>
      <c r="AP37" s="14">
        <v>216</v>
      </c>
      <c r="AQ37" s="14">
        <v>8664</v>
      </c>
      <c r="AR37" s="14">
        <v>81</v>
      </c>
    </row>
    <row r="38" spans="3:44" x14ac:dyDescent="0.25">
      <c r="C38" s="14">
        <v>492</v>
      </c>
      <c r="D38" s="14">
        <v>202</v>
      </c>
      <c r="E38" s="14">
        <v>698</v>
      </c>
      <c r="F38" s="14">
        <v>667</v>
      </c>
      <c r="G38" s="14">
        <v>373</v>
      </c>
      <c r="H38" s="14">
        <v>116</v>
      </c>
      <c r="I38" s="14">
        <v>249</v>
      </c>
      <c r="K38" s="14">
        <v>322</v>
      </c>
      <c r="M38" s="14">
        <v>447</v>
      </c>
      <c r="P38" s="14">
        <v>511</v>
      </c>
      <c r="Q38" s="14">
        <v>266</v>
      </c>
      <c r="R38" s="14">
        <v>112</v>
      </c>
      <c r="S38" s="14">
        <v>243</v>
      </c>
      <c r="T38" s="14">
        <v>513</v>
      </c>
      <c r="U38" s="14">
        <v>221</v>
      </c>
      <c r="V38" s="14">
        <v>225</v>
      </c>
      <c r="W38" s="14">
        <v>59</v>
      </c>
      <c r="Y38" s="14">
        <v>111</v>
      </c>
      <c r="Z38" s="14">
        <v>32</v>
      </c>
      <c r="AA38" s="14">
        <v>399</v>
      </c>
      <c r="AC38" s="14">
        <v>634</v>
      </c>
      <c r="AD38" s="14">
        <v>185</v>
      </c>
      <c r="AE38" s="14">
        <v>115</v>
      </c>
      <c r="AF38" s="14">
        <v>446</v>
      </c>
      <c r="AG38" s="14">
        <v>73</v>
      </c>
      <c r="AH38" s="14">
        <v>265</v>
      </c>
      <c r="AI38" s="14">
        <v>40</v>
      </c>
      <c r="AJ38" s="14">
        <v>80</v>
      </c>
      <c r="AK38" s="14">
        <v>368</v>
      </c>
      <c r="AL38" s="14">
        <v>566</v>
      </c>
      <c r="AM38" s="14">
        <v>233</v>
      </c>
      <c r="AN38" s="14">
        <v>345</v>
      </c>
      <c r="AO38" s="14">
        <v>123</v>
      </c>
      <c r="AP38" s="14">
        <v>346</v>
      </c>
      <c r="AQ38" s="14">
        <v>3011</v>
      </c>
      <c r="AR38" s="14">
        <v>334</v>
      </c>
    </row>
    <row r="39" spans="3:44" x14ac:dyDescent="0.25">
      <c r="C39" s="14">
        <v>134</v>
      </c>
      <c r="D39" s="14">
        <v>247</v>
      </c>
      <c r="E39" s="14">
        <v>107</v>
      </c>
      <c r="F39" s="14">
        <v>500</v>
      </c>
      <c r="G39" s="14">
        <v>13</v>
      </c>
      <c r="H39" s="14">
        <v>772</v>
      </c>
      <c r="I39" s="14">
        <v>375</v>
      </c>
      <c r="K39" s="14">
        <v>233</v>
      </c>
      <c r="M39" s="14">
        <v>537</v>
      </c>
      <c r="P39" s="14">
        <v>274</v>
      </c>
      <c r="Q39" s="14">
        <v>332</v>
      </c>
      <c r="R39" s="14">
        <v>91</v>
      </c>
      <c r="S39" s="14">
        <v>22</v>
      </c>
      <c r="T39" s="14">
        <v>580</v>
      </c>
      <c r="U39" s="14">
        <v>185</v>
      </c>
      <c r="V39" s="14">
        <v>129</v>
      </c>
      <c r="W39" s="14">
        <v>35</v>
      </c>
      <c r="Y39" s="14">
        <v>103</v>
      </c>
      <c r="Z39" s="14">
        <v>232</v>
      </c>
      <c r="AA39" s="14">
        <v>284</v>
      </c>
      <c r="AC39" s="14">
        <v>131</v>
      </c>
      <c r="AD39" s="14">
        <v>210</v>
      </c>
      <c r="AE39" s="14">
        <v>103</v>
      </c>
      <c r="AF39" s="14">
        <v>40</v>
      </c>
      <c r="AG39" s="14">
        <v>337</v>
      </c>
      <c r="AH39" s="14">
        <v>120</v>
      </c>
      <c r="AI39" s="14">
        <v>5</v>
      </c>
      <c r="AJ39" s="14">
        <v>67</v>
      </c>
      <c r="AK39" s="14">
        <v>102</v>
      </c>
      <c r="AL39" s="14">
        <v>111</v>
      </c>
      <c r="AM39" s="14">
        <v>102</v>
      </c>
      <c r="AN39" s="14">
        <v>20</v>
      </c>
      <c r="AO39" s="14">
        <v>103</v>
      </c>
      <c r="AP39" s="14">
        <v>5</v>
      </c>
      <c r="AQ39" s="14">
        <v>1929</v>
      </c>
      <c r="AR39" s="14">
        <v>89</v>
      </c>
    </row>
    <row r="40" spans="3:44" x14ac:dyDescent="0.25">
      <c r="C40" s="14">
        <v>208</v>
      </c>
      <c r="D40" s="14">
        <v>64</v>
      </c>
      <c r="E40" s="14">
        <v>206</v>
      </c>
      <c r="F40" s="14">
        <v>527</v>
      </c>
      <c r="G40" s="14">
        <v>12</v>
      </c>
      <c r="H40" s="14">
        <v>1</v>
      </c>
      <c r="I40" s="14">
        <v>584</v>
      </c>
      <c r="K40" s="14">
        <v>107</v>
      </c>
      <c r="M40" s="14">
        <v>321</v>
      </c>
      <c r="P40" s="14">
        <v>127</v>
      </c>
      <c r="Q40" s="14">
        <v>13</v>
      </c>
      <c r="R40" s="14">
        <v>87</v>
      </c>
      <c r="S40" s="14">
        <v>23</v>
      </c>
      <c r="T40" s="14">
        <v>328</v>
      </c>
      <c r="U40" s="14">
        <v>129</v>
      </c>
      <c r="V40" s="14">
        <v>230</v>
      </c>
      <c r="W40" s="14">
        <v>18</v>
      </c>
      <c r="Y40" s="14">
        <v>210</v>
      </c>
      <c r="Z40" s="14">
        <v>394</v>
      </c>
      <c r="AA40" s="14">
        <v>67</v>
      </c>
      <c r="AC40" s="14">
        <v>318</v>
      </c>
      <c r="AD40" s="14">
        <v>224</v>
      </c>
      <c r="AE40" s="14">
        <v>120</v>
      </c>
      <c r="AF40" s="14">
        <v>113</v>
      </c>
      <c r="AG40" s="14">
        <v>34</v>
      </c>
      <c r="AH40" s="14">
        <v>143</v>
      </c>
      <c r="AI40" s="14">
        <v>49</v>
      </c>
      <c r="AJ40" s="14">
        <v>680</v>
      </c>
      <c r="AK40" s="14">
        <v>568</v>
      </c>
      <c r="AM40" s="14">
        <v>324</v>
      </c>
      <c r="AN40" s="14">
        <v>20</v>
      </c>
      <c r="AO40" s="14">
        <v>565</v>
      </c>
      <c r="AP40" s="14">
        <v>135</v>
      </c>
      <c r="AQ40" s="14">
        <v>2954</v>
      </c>
      <c r="AR40" s="14">
        <v>128</v>
      </c>
    </row>
    <row r="41" spans="3:44" x14ac:dyDescent="0.25">
      <c r="C41" s="14">
        <v>275</v>
      </c>
      <c r="D41" s="14">
        <v>165</v>
      </c>
      <c r="E41" s="14">
        <v>193</v>
      </c>
      <c r="F41" s="14">
        <v>79</v>
      </c>
      <c r="G41" s="14">
        <v>154</v>
      </c>
      <c r="H41" s="14">
        <v>309</v>
      </c>
      <c r="I41" s="14">
        <v>449</v>
      </c>
      <c r="K41" s="14">
        <v>216</v>
      </c>
      <c r="M41" s="14">
        <v>614</v>
      </c>
      <c r="P41" s="14">
        <v>931</v>
      </c>
      <c r="Q41" s="14">
        <v>224</v>
      </c>
      <c r="R41" s="14">
        <v>82</v>
      </c>
      <c r="S41" s="14">
        <v>321</v>
      </c>
      <c r="T41" s="14">
        <v>291</v>
      </c>
      <c r="U41" s="14">
        <v>288</v>
      </c>
      <c r="V41" s="14">
        <v>290</v>
      </c>
      <c r="W41" s="14">
        <v>45</v>
      </c>
      <c r="Y41" s="14">
        <v>123</v>
      </c>
      <c r="Z41" s="14">
        <v>400</v>
      </c>
      <c r="AA41" s="14">
        <v>216</v>
      </c>
      <c r="AC41" s="14">
        <v>490</v>
      </c>
      <c r="AD41" s="14">
        <v>111</v>
      </c>
      <c r="AE41" s="14">
        <v>42</v>
      </c>
      <c r="AF41" s="14">
        <v>137</v>
      </c>
      <c r="AG41" s="14">
        <v>375</v>
      </c>
      <c r="AH41" s="14">
        <v>57</v>
      </c>
      <c r="AI41" s="14">
        <v>124</v>
      </c>
      <c r="AJ41" s="14">
        <v>148</v>
      </c>
      <c r="AK41" s="14">
        <v>199</v>
      </c>
      <c r="AM41" s="14">
        <v>214</v>
      </c>
      <c r="AN41" s="14">
        <v>556</v>
      </c>
      <c r="AO41" s="14">
        <v>311</v>
      </c>
      <c r="AP41" s="14">
        <v>280</v>
      </c>
      <c r="AQ41" s="14">
        <v>448</v>
      </c>
      <c r="AR41" s="14">
        <v>21</v>
      </c>
    </row>
    <row r="42" spans="3:44" x14ac:dyDescent="0.25">
      <c r="C42" s="14">
        <v>214</v>
      </c>
      <c r="D42" s="14">
        <v>256</v>
      </c>
      <c r="E42" s="14">
        <v>536</v>
      </c>
      <c r="F42" s="14">
        <v>375</v>
      </c>
      <c r="G42" s="14">
        <v>284</v>
      </c>
      <c r="H42" s="14">
        <v>661</v>
      </c>
      <c r="I42" s="14">
        <v>259</v>
      </c>
      <c r="K42" s="14">
        <v>109</v>
      </c>
      <c r="M42" s="14">
        <v>151</v>
      </c>
      <c r="P42" s="14">
        <v>969</v>
      </c>
      <c r="Q42" s="14">
        <v>219</v>
      </c>
      <c r="R42" s="14">
        <v>112</v>
      </c>
      <c r="S42" s="14">
        <v>771</v>
      </c>
      <c r="T42" s="14">
        <v>250</v>
      </c>
      <c r="U42" s="14">
        <v>483</v>
      </c>
      <c r="V42" s="14">
        <v>126</v>
      </c>
      <c r="W42" s="14">
        <v>39</v>
      </c>
      <c r="Y42" s="14">
        <v>231</v>
      </c>
      <c r="Z42" s="14">
        <v>433</v>
      </c>
      <c r="AA42" s="14">
        <v>278</v>
      </c>
      <c r="AC42" s="14">
        <v>127</v>
      </c>
      <c r="AD42" s="14">
        <v>129</v>
      </c>
      <c r="AE42" s="14">
        <v>240</v>
      </c>
      <c r="AF42" s="14">
        <v>99</v>
      </c>
      <c r="AG42" s="14">
        <v>272</v>
      </c>
      <c r="AH42" s="14">
        <v>250</v>
      </c>
      <c r="AI42" s="14">
        <v>909</v>
      </c>
      <c r="AJ42" s="14">
        <v>431</v>
      </c>
      <c r="AK42" s="14">
        <v>499</v>
      </c>
      <c r="AM42" s="14">
        <v>170</v>
      </c>
      <c r="AN42" s="14">
        <v>559</v>
      </c>
      <c r="AO42" s="14">
        <v>361</v>
      </c>
      <c r="AP42" s="14">
        <v>113</v>
      </c>
      <c r="AQ42" s="14">
        <v>100</v>
      </c>
      <c r="AR42" s="14">
        <v>115</v>
      </c>
    </row>
    <row r="43" spans="3:44" x14ac:dyDescent="0.25">
      <c r="C43" s="14">
        <v>270</v>
      </c>
      <c r="D43" s="14">
        <v>109</v>
      </c>
      <c r="E43" s="14">
        <v>398</v>
      </c>
      <c r="F43" s="14">
        <v>550</v>
      </c>
      <c r="G43" s="14">
        <v>152</v>
      </c>
      <c r="H43" s="14">
        <v>170</v>
      </c>
      <c r="I43" s="14">
        <v>169</v>
      </c>
      <c r="K43" s="14">
        <v>73</v>
      </c>
      <c r="M43" s="14">
        <v>316</v>
      </c>
      <c r="P43" s="14">
        <v>198</v>
      </c>
      <c r="Q43" s="14">
        <v>250</v>
      </c>
      <c r="R43" s="14">
        <v>103</v>
      </c>
      <c r="S43" s="14">
        <v>78</v>
      </c>
      <c r="T43" s="14">
        <v>242</v>
      </c>
      <c r="U43" s="14">
        <v>589</v>
      </c>
      <c r="V43" s="14">
        <v>254</v>
      </c>
      <c r="W43" s="14">
        <v>28</v>
      </c>
      <c r="Y43" s="14">
        <v>192</v>
      </c>
      <c r="Z43" s="14">
        <v>491</v>
      </c>
      <c r="AA43" s="14">
        <v>133</v>
      </c>
      <c r="AC43" s="14">
        <v>155</v>
      </c>
      <c r="AD43" s="14">
        <v>858</v>
      </c>
      <c r="AE43" s="14">
        <v>65</v>
      </c>
      <c r="AF43" s="14">
        <v>250</v>
      </c>
      <c r="AG43" s="14">
        <v>127</v>
      </c>
      <c r="AH43" s="14">
        <v>234</v>
      </c>
      <c r="AI43" s="14">
        <v>43</v>
      </c>
      <c r="AJ43" s="14">
        <v>422</v>
      </c>
      <c r="AK43" s="14">
        <v>272</v>
      </c>
      <c r="AM43" s="14">
        <v>329</v>
      </c>
      <c r="AN43" s="14">
        <v>568</v>
      </c>
      <c r="AO43" s="14">
        <v>206</v>
      </c>
      <c r="AP43" s="14">
        <v>22</v>
      </c>
      <c r="AQ43" s="14">
        <v>1889</v>
      </c>
      <c r="AR43" s="14">
        <v>171</v>
      </c>
    </row>
    <row r="44" spans="3:44" x14ac:dyDescent="0.25">
      <c r="C44" s="14">
        <v>335</v>
      </c>
      <c r="D44" s="14">
        <v>384</v>
      </c>
      <c r="E44" s="14">
        <v>364</v>
      </c>
      <c r="F44" s="14">
        <v>433</v>
      </c>
      <c r="G44" s="14">
        <v>60</v>
      </c>
      <c r="H44" s="14">
        <v>81</v>
      </c>
      <c r="I44" s="14">
        <v>121</v>
      </c>
      <c r="K44" s="14">
        <v>537</v>
      </c>
      <c r="M44" s="14">
        <v>101</v>
      </c>
      <c r="P44" s="14">
        <v>227</v>
      </c>
      <c r="Q44" s="14">
        <v>308</v>
      </c>
      <c r="R44" s="14">
        <v>97</v>
      </c>
      <c r="S44" s="14">
        <v>239</v>
      </c>
      <c r="T44" s="14">
        <v>240</v>
      </c>
      <c r="U44" s="14">
        <v>530</v>
      </c>
      <c r="V44" s="14">
        <v>317</v>
      </c>
      <c r="W44" s="14">
        <v>67</v>
      </c>
      <c r="Y44" s="14">
        <v>225</v>
      </c>
      <c r="Z44" s="14">
        <v>591</v>
      </c>
      <c r="AA44" s="14">
        <v>271</v>
      </c>
      <c r="AC44" s="14">
        <v>600</v>
      </c>
      <c r="AD44" s="14">
        <v>447</v>
      </c>
      <c r="AE44" s="14">
        <v>53</v>
      </c>
      <c r="AF44" s="14">
        <v>170</v>
      </c>
      <c r="AG44" s="14">
        <v>178</v>
      </c>
      <c r="AH44" s="14">
        <v>143</v>
      </c>
      <c r="AI44" s="14">
        <v>100</v>
      </c>
      <c r="AJ44" s="14">
        <v>684</v>
      </c>
      <c r="AK44" s="14">
        <v>386</v>
      </c>
      <c r="AM44" s="14">
        <v>123</v>
      </c>
      <c r="AN44" s="14">
        <v>71</v>
      </c>
      <c r="AO44" s="14">
        <v>358</v>
      </c>
      <c r="AP44" s="14">
        <v>74</v>
      </c>
      <c r="AQ44" s="14">
        <v>4513</v>
      </c>
      <c r="AR44" s="14">
        <v>207</v>
      </c>
    </row>
    <row r="45" spans="3:44" x14ac:dyDescent="0.25">
      <c r="C45" s="14">
        <v>463</v>
      </c>
      <c r="D45" s="14">
        <v>428</v>
      </c>
      <c r="E45" s="14">
        <v>277</v>
      </c>
      <c r="F45" s="14">
        <v>312</v>
      </c>
      <c r="G45" s="14">
        <v>378</v>
      </c>
      <c r="H45" s="14">
        <v>486</v>
      </c>
      <c r="I45" s="14">
        <v>928</v>
      </c>
      <c r="K45" s="14">
        <v>3</v>
      </c>
      <c r="M45" s="14">
        <v>155</v>
      </c>
      <c r="P45" s="14">
        <v>542</v>
      </c>
      <c r="Q45" s="14">
        <v>456</v>
      </c>
      <c r="R45" s="14">
        <v>109</v>
      </c>
      <c r="S45" s="14">
        <v>69</v>
      </c>
      <c r="T45" s="14">
        <v>619</v>
      </c>
      <c r="U45" s="14">
        <v>362</v>
      </c>
      <c r="V45" s="14">
        <v>193</v>
      </c>
      <c r="W45" s="14">
        <v>72</v>
      </c>
      <c r="Y45" s="14">
        <v>227</v>
      </c>
      <c r="Z45" s="14">
        <v>689</v>
      </c>
      <c r="AA45" s="14">
        <v>138</v>
      </c>
      <c r="AC45" s="14">
        <v>199</v>
      </c>
      <c r="AD45" s="14">
        <v>563</v>
      </c>
      <c r="AE45" s="14">
        <v>318</v>
      </c>
      <c r="AF45" s="14">
        <v>8</v>
      </c>
      <c r="AG45" s="14">
        <v>389</v>
      </c>
      <c r="AH45" s="14">
        <v>121</v>
      </c>
      <c r="AI45" s="14">
        <v>201</v>
      </c>
      <c r="AJ45" s="14">
        <v>236</v>
      </c>
      <c r="AK45" s="14">
        <v>304</v>
      </c>
      <c r="AM45" s="14">
        <v>304</v>
      </c>
      <c r="AN45" s="14">
        <v>50</v>
      </c>
      <c r="AO45" s="14">
        <v>248</v>
      </c>
      <c r="AP45" s="14">
        <v>72</v>
      </c>
      <c r="AQ45" s="14">
        <v>7046</v>
      </c>
      <c r="AR45" s="14">
        <v>227</v>
      </c>
    </row>
    <row r="46" spans="3:44" x14ac:dyDescent="0.25">
      <c r="C46" s="14">
        <v>215</v>
      </c>
      <c r="D46" s="14">
        <v>299</v>
      </c>
      <c r="E46" s="14">
        <v>126</v>
      </c>
      <c r="F46" s="14">
        <v>310</v>
      </c>
      <c r="G46" s="14">
        <v>234</v>
      </c>
      <c r="H46" s="14">
        <v>4</v>
      </c>
      <c r="I46" s="14">
        <v>402</v>
      </c>
      <c r="K46" s="14">
        <v>94</v>
      </c>
      <c r="M46" s="14">
        <v>447</v>
      </c>
      <c r="P46" s="14">
        <v>455</v>
      </c>
      <c r="Q46" s="14">
        <v>16</v>
      </c>
      <c r="R46" s="14">
        <v>293</v>
      </c>
      <c r="S46" s="14">
        <v>73</v>
      </c>
      <c r="T46" s="14">
        <v>104</v>
      </c>
      <c r="U46" s="14">
        <v>611</v>
      </c>
      <c r="V46" s="14">
        <v>702</v>
      </c>
      <c r="W46" s="14">
        <v>11</v>
      </c>
      <c r="Y46" s="14">
        <v>252</v>
      </c>
      <c r="Z46" s="14">
        <v>620</v>
      </c>
      <c r="AA46" s="14">
        <v>72</v>
      </c>
      <c r="AC46" s="14">
        <v>282</v>
      </c>
      <c r="AD46" s="14">
        <v>212</v>
      </c>
      <c r="AE46" s="14">
        <v>265</v>
      </c>
      <c r="AF46" s="14">
        <v>65</v>
      </c>
      <c r="AG46" s="14">
        <v>261</v>
      </c>
      <c r="AH46" s="14">
        <v>88</v>
      </c>
      <c r="AI46" s="14">
        <v>500</v>
      </c>
      <c r="AJ46" s="14">
        <v>-101</v>
      </c>
      <c r="AK46" s="14">
        <v>223</v>
      </c>
      <c r="AM46" s="14">
        <v>94</v>
      </c>
      <c r="AN46" s="14">
        <v>402</v>
      </c>
      <c r="AO46" s="14">
        <v>61</v>
      </c>
      <c r="AP46" s="14">
        <v>49</v>
      </c>
      <c r="AQ46" s="14">
        <v>568</v>
      </c>
      <c r="AR46" s="14">
        <v>1397</v>
      </c>
    </row>
    <row r="47" spans="3:44" x14ac:dyDescent="0.25">
      <c r="C47" s="14">
        <v>498</v>
      </c>
      <c r="D47" s="14">
        <v>255</v>
      </c>
      <c r="E47" s="14">
        <v>176</v>
      </c>
      <c r="F47" s="14">
        <v>322</v>
      </c>
      <c r="G47" s="14">
        <v>354</v>
      </c>
      <c r="H47" s="14">
        <v>278</v>
      </c>
      <c r="I47" s="14">
        <v>461</v>
      </c>
      <c r="K47" s="14">
        <v>273</v>
      </c>
      <c r="M47" s="14">
        <v>684</v>
      </c>
      <c r="P47" s="14">
        <v>377</v>
      </c>
      <c r="Q47" s="14">
        <v>113</v>
      </c>
      <c r="R47" s="14">
        <v>310</v>
      </c>
      <c r="S47" s="14">
        <v>439</v>
      </c>
      <c r="T47" s="14">
        <v>250</v>
      </c>
      <c r="U47" s="14">
        <v>254</v>
      </c>
      <c r="V47" s="14">
        <v>347</v>
      </c>
      <c r="W47" s="14">
        <v>39</v>
      </c>
      <c r="Y47" s="14">
        <v>14</v>
      </c>
      <c r="Z47" s="14">
        <v>691</v>
      </c>
      <c r="AA47" s="14">
        <v>131</v>
      </c>
      <c r="AC47" s="14">
        <v>415</v>
      </c>
      <c r="AD47" s="14">
        <v>289</v>
      </c>
      <c r="AE47" s="14">
        <v>65</v>
      </c>
      <c r="AF47" s="14">
        <v>174</v>
      </c>
      <c r="AG47" s="14">
        <v>197</v>
      </c>
      <c r="AH47" s="14">
        <v>116</v>
      </c>
      <c r="AI47" s="14">
        <v>112</v>
      </c>
      <c r="AJ47" s="14">
        <v>167</v>
      </c>
      <c r="AK47" s="14">
        <v>343</v>
      </c>
      <c r="AM47" s="14">
        <v>312</v>
      </c>
      <c r="AN47" s="14">
        <v>22</v>
      </c>
      <c r="AO47" s="14">
        <v>226</v>
      </c>
      <c r="AP47" s="14">
        <v>59</v>
      </c>
      <c r="AQ47" s="14">
        <v>1144</v>
      </c>
      <c r="AR47" s="14">
        <v>415</v>
      </c>
    </row>
    <row r="48" spans="3:44" x14ac:dyDescent="0.25">
      <c r="C48" s="14">
        <v>269</v>
      </c>
      <c r="D48" s="14">
        <v>417</v>
      </c>
      <c r="E48" s="14">
        <v>971</v>
      </c>
      <c r="F48" s="14">
        <v>38</v>
      </c>
      <c r="G48" s="14">
        <v>528</v>
      </c>
      <c r="H48" s="14">
        <v>5</v>
      </c>
      <c r="I48" s="14">
        <v>485</v>
      </c>
      <c r="K48" s="14">
        <v>210</v>
      </c>
      <c r="M48" s="14">
        <v>465</v>
      </c>
      <c r="P48" s="14">
        <v>162</v>
      </c>
      <c r="Q48" s="14">
        <v>635</v>
      </c>
      <c r="R48" s="14">
        <v>326</v>
      </c>
      <c r="S48" s="14">
        <v>344</v>
      </c>
      <c r="T48" s="14">
        <v>224</v>
      </c>
      <c r="U48" s="14">
        <v>370</v>
      </c>
      <c r="V48" s="14">
        <v>339</v>
      </c>
      <c r="W48" s="14">
        <v>70</v>
      </c>
      <c r="Y48" s="14">
        <v>14</v>
      </c>
      <c r="Z48" s="14">
        <v>576</v>
      </c>
      <c r="AA48" s="14">
        <v>232</v>
      </c>
      <c r="AC48" s="14">
        <v>116</v>
      </c>
      <c r="AD48" s="14">
        <v>519</v>
      </c>
      <c r="AE48" s="14">
        <v>215</v>
      </c>
      <c r="AF48" s="14">
        <v>222</v>
      </c>
      <c r="AG48" s="14">
        <v>21</v>
      </c>
      <c r="AH48" s="14">
        <v>35</v>
      </c>
      <c r="AI48" s="14">
        <v>153</v>
      </c>
      <c r="AJ48" s="14">
        <v>779</v>
      </c>
      <c r="AK48" s="14">
        <v>99</v>
      </c>
      <c r="AM48" s="14">
        <v>132</v>
      </c>
      <c r="AN48" s="14">
        <v>22</v>
      </c>
      <c r="AO48" s="14">
        <v>112</v>
      </c>
      <c r="AP48" s="14">
        <v>72</v>
      </c>
      <c r="AQ48" s="14">
        <v>3583</v>
      </c>
      <c r="AR48" s="14">
        <v>450</v>
      </c>
    </row>
    <row r="49" spans="3:44" x14ac:dyDescent="0.25">
      <c r="C49" s="14">
        <v>658</v>
      </c>
      <c r="D49" s="14">
        <v>161</v>
      </c>
      <c r="E49" s="14">
        <v>284</v>
      </c>
      <c r="F49" s="14">
        <v>11</v>
      </c>
      <c r="G49" s="14">
        <v>723</v>
      </c>
      <c r="H49" s="14">
        <v>15</v>
      </c>
      <c r="I49" s="14">
        <v>377</v>
      </c>
      <c r="K49" s="14">
        <v>121</v>
      </c>
      <c r="M49" s="14">
        <v>452</v>
      </c>
      <c r="P49" s="14">
        <v>230</v>
      </c>
      <c r="Q49" s="14">
        <v>455</v>
      </c>
      <c r="R49" s="14">
        <v>54</v>
      </c>
      <c r="S49" s="14">
        <v>90</v>
      </c>
      <c r="T49" s="14">
        <v>72</v>
      </c>
      <c r="U49" s="14">
        <v>190</v>
      </c>
      <c r="V49" s="14">
        <v>130</v>
      </c>
      <c r="W49" s="14">
        <v>92</v>
      </c>
      <c r="Y49" s="14">
        <v>24</v>
      </c>
      <c r="Z49" s="14">
        <v>692</v>
      </c>
      <c r="AA49" s="14">
        <v>22</v>
      </c>
      <c r="AC49" s="14">
        <v>114</v>
      </c>
      <c r="AD49" s="14">
        <v>58</v>
      </c>
      <c r="AE49" s="14">
        <v>185</v>
      </c>
      <c r="AF49" s="14">
        <v>383</v>
      </c>
      <c r="AG49" s="14">
        <v>127</v>
      </c>
      <c r="AH49" s="14">
        <v>17</v>
      </c>
      <c r="AI49" s="14">
        <v>26</v>
      </c>
      <c r="AJ49" s="14">
        <v>206</v>
      </c>
      <c r="AK49" s="14">
        <v>149</v>
      </c>
      <c r="AM49" s="14">
        <v>25</v>
      </c>
      <c r="AN49" s="14">
        <v>551</v>
      </c>
      <c r="AO49" s="14">
        <v>202</v>
      </c>
      <c r="AP49" s="14">
        <v>387</v>
      </c>
      <c r="AQ49" s="14">
        <v>820</v>
      </c>
      <c r="AR49" s="14">
        <v>1000</v>
      </c>
    </row>
    <row r="50" spans="3:44" x14ac:dyDescent="0.25">
      <c r="C50" s="14">
        <v>517</v>
      </c>
      <c r="D50" s="14">
        <v>507</v>
      </c>
      <c r="E50" s="14">
        <v>274</v>
      </c>
      <c r="F50" s="14">
        <v>52</v>
      </c>
      <c r="H50" s="14">
        <v>8</v>
      </c>
      <c r="I50" s="14">
        <v>138</v>
      </c>
      <c r="K50" s="14">
        <v>548</v>
      </c>
      <c r="M50" s="14">
        <v>148</v>
      </c>
      <c r="P50" s="14">
        <v>122</v>
      </c>
      <c r="Q50" s="14">
        <v>434</v>
      </c>
      <c r="R50" s="14">
        <v>63</v>
      </c>
      <c r="S50" s="14">
        <v>25</v>
      </c>
      <c r="T50" s="14">
        <v>895</v>
      </c>
      <c r="U50" s="14">
        <v>418</v>
      </c>
      <c r="V50" s="14">
        <v>231</v>
      </c>
      <c r="W50" s="14">
        <v>22</v>
      </c>
      <c r="Y50" s="14">
        <v>169</v>
      </c>
      <c r="Z50" s="14">
        <v>249</v>
      </c>
      <c r="AA50" s="14">
        <v>199</v>
      </c>
      <c r="AC50" s="14">
        <v>324</v>
      </c>
      <c r="AD50" s="14">
        <v>125</v>
      </c>
      <c r="AE50" s="14">
        <v>40</v>
      </c>
      <c r="AF50" s="14">
        <v>602</v>
      </c>
      <c r="AG50" s="14">
        <v>127</v>
      </c>
      <c r="AH50" s="14">
        <v>40</v>
      </c>
      <c r="AI50" s="14">
        <v>23</v>
      </c>
      <c r="AJ50" s="14">
        <v>324</v>
      </c>
      <c r="AK50" s="14">
        <v>67</v>
      </c>
      <c r="AM50" s="14">
        <v>174</v>
      </c>
      <c r="AN50" s="14">
        <v>553</v>
      </c>
      <c r="AO50" s="14">
        <v>463</v>
      </c>
      <c r="AP50" s="14">
        <v>66</v>
      </c>
      <c r="AQ50" s="14">
        <v>3403</v>
      </c>
      <c r="AR50" s="14">
        <v>175</v>
      </c>
    </row>
    <row r="51" spans="3:44" x14ac:dyDescent="0.25">
      <c r="C51" s="14">
        <v>764</v>
      </c>
      <c r="D51" s="14">
        <v>157</v>
      </c>
      <c r="E51" s="14">
        <v>276</v>
      </c>
      <c r="F51" s="14">
        <v>33</v>
      </c>
      <c r="H51" s="14">
        <v>575</v>
      </c>
      <c r="I51" s="14">
        <v>278</v>
      </c>
      <c r="K51" s="14">
        <v>5</v>
      </c>
      <c r="M51" s="14">
        <v>88</v>
      </c>
      <c r="P51" s="14">
        <v>270</v>
      </c>
      <c r="Q51" s="14">
        <v>248</v>
      </c>
      <c r="R51" s="14">
        <v>72</v>
      </c>
      <c r="S51" s="14">
        <v>248</v>
      </c>
      <c r="T51" s="14">
        <v>666</v>
      </c>
      <c r="U51" s="14">
        <v>356</v>
      </c>
      <c r="V51" s="14">
        <v>116</v>
      </c>
      <c r="W51" s="14">
        <v>69</v>
      </c>
      <c r="Y51" s="14">
        <v>116</v>
      </c>
      <c r="Z51" s="14">
        <v>219</v>
      </c>
      <c r="AA51" s="14">
        <v>17</v>
      </c>
      <c r="AC51" s="14">
        <v>685</v>
      </c>
      <c r="AD51" s="14">
        <v>123</v>
      </c>
      <c r="AE51" s="14">
        <v>44</v>
      </c>
      <c r="AF51" s="14">
        <v>750</v>
      </c>
      <c r="AG51" s="14">
        <v>704</v>
      </c>
      <c r="AH51" s="14">
        <v>266</v>
      </c>
      <c r="AI51" s="14">
        <v>5</v>
      </c>
      <c r="AJ51" s="14">
        <v>183</v>
      </c>
      <c r="AK51" s="14">
        <v>575</v>
      </c>
      <c r="AM51" s="14">
        <v>211</v>
      </c>
      <c r="AN51" s="14">
        <v>153</v>
      </c>
      <c r="AO51" s="14">
        <v>616</v>
      </c>
      <c r="AP51" s="14">
        <v>194</v>
      </c>
      <c r="AQ51" s="14">
        <v>3437</v>
      </c>
      <c r="AR51" s="14">
        <v>86</v>
      </c>
    </row>
    <row r="52" spans="3:44" x14ac:dyDescent="0.25">
      <c r="C52" s="14">
        <v>776</v>
      </c>
      <c r="D52" s="14">
        <v>334</v>
      </c>
      <c r="E52" s="14">
        <v>267</v>
      </c>
      <c r="F52" s="14">
        <v>39</v>
      </c>
      <c r="H52" s="14">
        <v>25</v>
      </c>
      <c r="I52" s="14">
        <v>322</v>
      </c>
      <c r="K52" s="14">
        <v>54</v>
      </c>
      <c r="M52" s="14">
        <v>164</v>
      </c>
      <c r="P52" s="14">
        <v>359</v>
      </c>
      <c r="Q52" s="14">
        <v>60</v>
      </c>
      <c r="R52" s="14">
        <v>82</v>
      </c>
      <c r="S52" s="14">
        <v>252</v>
      </c>
      <c r="T52" s="14">
        <v>163</v>
      </c>
      <c r="U52" s="14">
        <v>530</v>
      </c>
      <c r="V52" s="14">
        <v>226</v>
      </c>
      <c r="W52" s="14">
        <v>23</v>
      </c>
      <c r="Y52" s="14">
        <v>179</v>
      </c>
      <c r="Z52" s="14">
        <v>711</v>
      </c>
      <c r="AA52" s="14">
        <v>22</v>
      </c>
      <c r="AC52" s="14">
        <v>174</v>
      </c>
      <c r="AD52" s="14">
        <v>399</v>
      </c>
      <c r="AE52" s="14">
        <v>96</v>
      </c>
      <c r="AF52" s="14">
        <v>489</v>
      </c>
      <c r="AG52" s="14">
        <v>143</v>
      </c>
      <c r="AH52" s="14">
        <v>136</v>
      </c>
      <c r="AI52" s="14">
        <v>37</v>
      </c>
      <c r="AJ52" s="14">
        <v>804</v>
      </c>
      <c r="AK52" s="14">
        <v>126</v>
      </c>
      <c r="AM52" s="14">
        <v>256</v>
      </c>
      <c r="AN52" s="14">
        <v>579</v>
      </c>
      <c r="AO52" s="14">
        <v>113</v>
      </c>
      <c r="AP52" s="14">
        <v>218</v>
      </c>
      <c r="AQ52" s="14">
        <v>1479</v>
      </c>
      <c r="AR52" s="14">
        <v>269</v>
      </c>
    </row>
    <row r="53" spans="3:44" x14ac:dyDescent="0.25">
      <c r="C53" s="14">
        <v>867</v>
      </c>
      <c r="D53" s="14">
        <v>106</v>
      </c>
      <c r="E53" s="14">
        <v>152</v>
      </c>
      <c r="F53" s="14">
        <v>34</v>
      </c>
      <c r="H53" s="14">
        <v>35</v>
      </c>
      <c r="I53" s="14">
        <v>342</v>
      </c>
      <c r="K53" s="14">
        <v>218</v>
      </c>
      <c r="M53" s="14">
        <v>193</v>
      </c>
      <c r="P53" s="14">
        <v>365</v>
      </c>
      <c r="Q53" s="14">
        <v>112</v>
      </c>
      <c r="R53" s="14">
        <v>71</v>
      </c>
      <c r="S53" s="14">
        <v>67</v>
      </c>
      <c r="T53" s="14">
        <v>145</v>
      </c>
      <c r="U53" s="14">
        <v>222</v>
      </c>
      <c r="V53" s="14">
        <v>247</v>
      </c>
      <c r="W53" s="14">
        <v>74</v>
      </c>
      <c r="Y53" s="14">
        <v>190</v>
      </c>
      <c r="Z53" s="14">
        <v>10</v>
      </c>
      <c r="AA53" s="14">
        <v>161</v>
      </c>
      <c r="AC53" s="14">
        <v>388</v>
      </c>
      <c r="AD53" s="14">
        <v>253</v>
      </c>
      <c r="AE53" s="14">
        <v>214</v>
      </c>
      <c r="AF53" s="14">
        <v>118</v>
      </c>
      <c r="AG53" s="14">
        <v>119</v>
      </c>
      <c r="AH53" s="14">
        <v>213</v>
      </c>
      <c r="AI53" s="14">
        <v>75</v>
      </c>
      <c r="AJ53" s="14">
        <v>177</v>
      </c>
      <c r="AK53" s="14">
        <v>370</v>
      </c>
      <c r="AM53" s="14">
        <v>79</v>
      </c>
      <c r="AN53" s="14">
        <v>58</v>
      </c>
      <c r="AO53" s="14">
        <v>837</v>
      </c>
      <c r="AP53" s="14">
        <v>62</v>
      </c>
      <c r="AQ53" s="14">
        <v>3177</v>
      </c>
      <c r="AR53" s="14">
        <v>83</v>
      </c>
    </row>
    <row r="54" spans="3:44" x14ac:dyDescent="0.25">
      <c r="C54" s="14">
        <v>1031</v>
      </c>
      <c r="D54" s="14">
        <v>99</v>
      </c>
      <c r="E54" s="14">
        <v>155</v>
      </c>
      <c r="F54" s="14">
        <v>113</v>
      </c>
      <c r="H54" s="14">
        <v>910</v>
      </c>
      <c r="I54" s="14">
        <v>354</v>
      </c>
      <c r="K54" s="14">
        <v>76</v>
      </c>
      <c r="M54" s="14">
        <v>217</v>
      </c>
      <c r="P54" s="14">
        <v>164</v>
      </c>
      <c r="Q54" s="14">
        <v>296</v>
      </c>
      <c r="R54" s="14">
        <v>69</v>
      </c>
      <c r="S54" s="14">
        <v>238</v>
      </c>
      <c r="T54" s="14">
        <v>207</v>
      </c>
      <c r="U54" s="14">
        <v>364</v>
      </c>
      <c r="V54" s="14">
        <v>118</v>
      </c>
      <c r="W54" s="14">
        <v>37</v>
      </c>
      <c r="Y54" s="14">
        <v>256</v>
      </c>
      <c r="Z54" s="14">
        <v>40</v>
      </c>
      <c r="AA54" s="14">
        <v>156</v>
      </c>
      <c r="AC54" s="14">
        <v>571</v>
      </c>
      <c r="AD54" s="14">
        <v>218</v>
      </c>
      <c r="AE54" s="14">
        <v>1</v>
      </c>
      <c r="AF54" s="14">
        <v>388</v>
      </c>
      <c r="AG54" s="14">
        <v>103</v>
      </c>
      <c r="AH54" s="14">
        <v>91</v>
      </c>
      <c r="AI54" s="14">
        <v>45</v>
      </c>
      <c r="AJ54" s="14">
        <v>231</v>
      </c>
      <c r="AK54" s="14">
        <v>152</v>
      </c>
      <c r="AM54" s="14">
        <v>14</v>
      </c>
      <c r="AN54" s="14">
        <v>551</v>
      </c>
      <c r="AO54" s="14">
        <v>764</v>
      </c>
      <c r="AP54" s="14">
        <v>153</v>
      </c>
      <c r="AQ54" s="14">
        <v>2242</v>
      </c>
      <c r="AR54" s="14">
        <v>2085</v>
      </c>
    </row>
    <row r="55" spans="3:44" x14ac:dyDescent="0.25">
      <c r="C55" s="14">
        <v>1026</v>
      </c>
      <c r="D55" s="14">
        <v>107</v>
      </c>
      <c r="E55" s="14">
        <v>179</v>
      </c>
      <c r="F55" s="14">
        <v>112</v>
      </c>
      <c r="H55" s="14">
        <v>17</v>
      </c>
      <c r="I55" s="14">
        <v>648</v>
      </c>
      <c r="K55" s="14">
        <v>404</v>
      </c>
      <c r="M55" s="14">
        <v>154</v>
      </c>
      <c r="P55" s="14">
        <v>284</v>
      </c>
      <c r="Q55" s="14">
        <v>226</v>
      </c>
      <c r="R55" s="14">
        <v>46</v>
      </c>
      <c r="S55" s="14">
        <v>17</v>
      </c>
      <c r="T55" s="14">
        <v>237</v>
      </c>
      <c r="U55" s="14">
        <v>788</v>
      </c>
      <c r="V55" s="14">
        <v>259</v>
      </c>
      <c r="W55" s="14">
        <v>25</v>
      </c>
      <c r="Y55" s="14">
        <v>982</v>
      </c>
      <c r="Z55" s="14">
        <v>186</v>
      </c>
      <c r="AA55" s="14">
        <v>401</v>
      </c>
      <c r="AC55" s="14">
        <v>235</v>
      </c>
      <c r="AD55" s="14">
        <v>128</v>
      </c>
      <c r="AE55" s="14">
        <v>159</v>
      </c>
      <c r="AF55" s="14">
        <v>130</v>
      </c>
      <c r="AG55" s="14">
        <v>967</v>
      </c>
      <c r="AH55" s="14">
        <v>139</v>
      </c>
      <c r="AI55" s="14">
        <v>309</v>
      </c>
      <c r="AJ55" s="14">
        <v>79</v>
      </c>
      <c r="AK55" s="14">
        <v>184</v>
      </c>
      <c r="AM55" s="14">
        <v>338</v>
      </c>
      <c r="AN55" s="14">
        <v>173</v>
      </c>
      <c r="AO55" s="14">
        <v>357</v>
      </c>
      <c r="AP55" s="14">
        <v>446</v>
      </c>
      <c r="AQ55" s="14">
        <v>1301</v>
      </c>
      <c r="AR55" s="14">
        <v>1365</v>
      </c>
    </row>
    <row r="56" spans="3:44" x14ac:dyDescent="0.25">
      <c r="C56" s="14">
        <v>1167</v>
      </c>
      <c r="D56" s="14">
        <v>249</v>
      </c>
      <c r="E56" s="14">
        <v>187</v>
      </c>
      <c r="F56" s="14">
        <v>26</v>
      </c>
      <c r="H56" s="14">
        <v>352</v>
      </c>
      <c r="I56" s="14">
        <v>439</v>
      </c>
      <c r="K56" s="14">
        <v>63</v>
      </c>
      <c r="M56" s="14">
        <v>50</v>
      </c>
      <c r="P56" s="14">
        <v>886</v>
      </c>
      <c r="Q56" s="14">
        <v>280</v>
      </c>
      <c r="R56" s="14">
        <v>121</v>
      </c>
      <c r="S56" s="14">
        <v>75</v>
      </c>
      <c r="T56" s="14">
        <v>379</v>
      </c>
      <c r="U56" s="14">
        <v>269</v>
      </c>
      <c r="V56" s="14">
        <v>307</v>
      </c>
      <c r="W56" s="14">
        <v>84</v>
      </c>
      <c r="Y56" s="14">
        <v>117</v>
      </c>
      <c r="Z56" s="14">
        <v>243</v>
      </c>
      <c r="AA56" s="14">
        <v>286</v>
      </c>
      <c r="AC56" s="14">
        <v>208</v>
      </c>
      <c r="AD56" s="14">
        <v>767</v>
      </c>
      <c r="AE56" s="14">
        <v>386</v>
      </c>
      <c r="AF56" s="14">
        <v>79</v>
      </c>
      <c r="AG56" s="14">
        <v>887</v>
      </c>
      <c r="AH56" s="14">
        <v>730</v>
      </c>
      <c r="AI56" s="14">
        <v>348</v>
      </c>
      <c r="AJ56" s="14">
        <v>363</v>
      </c>
      <c r="AK56" s="14">
        <v>99</v>
      </c>
      <c r="AM56" s="14">
        <v>239</v>
      </c>
      <c r="AN56" s="14">
        <v>181</v>
      </c>
      <c r="AO56" s="14">
        <v>351</v>
      </c>
      <c r="AP56" s="14">
        <v>114</v>
      </c>
      <c r="AQ56" s="14">
        <v>1563</v>
      </c>
      <c r="AR56" s="14">
        <v>255</v>
      </c>
    </row>
    <row r="57" spans="3:44" x14ac:dyDescent="0.25">
      <c r="C57" s="14">
        <v>860</v>
      </c>
      <c r="D57" s="14">
        <v>483</v>
      </c>
      <c r="E57" s="14">
        <v>60</v>
      </c>
      <c r="F57" s="14">
        <v>11</v>
      </c>
      <c r="H57" s="14">
        <v>526</v>
      </c>
      <c r="I57" s="14">
        <v>610</v>
      </c>
      <c r="K57" s="14">
        <v>427</v>
      </c>
      <c r="M57" s="14">
        <v>137</v>
      </c>
      <c r="P57" s="14">
        <v>222</v>
      </c>
      <c r="Q57" s="14">
        <v>268</v>
      </c>
      <c r="R57" s="14">
        <v>117</v>
      </c>
      <c r="S57" s="14">
        <v>324</v>
      </c>
      <c r="T57" s="14">
        <v>417</v>
      </c>
      <c r="U57" s="14">
        <v>116</v>
      </c>
      <c r="V57" s="14">
        <v>194</v>
      </c>
      <c r="W57" s="14">
        <v>56</v>
      </c>
      <c r="Y57" s="14">
        <v>321</v>
      </c>
      <c r="Z57" s="14">
        <v>199</v>
      </c>
      <c r="AA57" s="14">
        <v>68</v>
      </c>
      <c r="AC57" s="14">
        <v>199</v>
      </c>
      <c r="AD57" s="14">
        <v>266</v>
      </c>
      <c r="AE57" s="14">
        <v>25</v>
      </c>
      <c r="AF57" s="14">
        <v>125</v>
      </c>
      <c r="AG57" s="14">
        <v>191</v>
      </c>
      <c r="AH57" s="14">
        <v>520</v>
      </c>
      <c r="AI57" s="14">
        <v>28</v>
      </c>
      <c r="AJ57" s="14">
        <v>416</v>
      </c>
      <c r="AK57" s="14">
        <v>689</v>
      </c>
      <c r="AM57" s="14">
        <v>184</v>
      </c>
      <c r="AN57" s="14">
        <v>949</v>
      </c>
      <c r="AO57" s="14">
        <v>174</v>
      </c>
      <c r="AP57" s="14">
        <v>315</v>
      </c>
      <c r="AQ57" s="14">
        <v>1247</v>
      </c>
      <c r="AR57" s="14">
        <v>244</v>
      </c>
    </row>
    <row r="58" spans="3:44" x14ac:dyDescent="0.25">
      <c r="C58" s="14">
        <v>853</v>
      </c>
      <c r="D58" s="14">
        <v>552</v>
      </c>
      <c r="E58" s="14">
        <v>56</v>
      </c>
      <c r="F58" s="14">
        <v>35</v>
      </c>
      <c r="H58" s="14">
        <v>236</v>
      </c>
      <c r="I58" s="14">
        <v>864</v>
      </c>
      <c r="K58" s="14">
        <v>103</v>
      </c>
      <c r="M58" s="14">
        <v>447</v>
      </c>
      <c r="P58" s="14">
        <v>288</v>
      </c>
      <c r="Q58" s="14">
        <v>176</v>
      </c>
      <c r="R58" s="14">
        <v>428</v>
      </c>
      <c r="S58" s="14">
        <v>149</v>
      </c>
      <c r="T58" s="14">
        <v>196</v>
      </c>
      <c r="U58" s="14">
        <v>531</v>
      </c>
      <c r="V58" s="14">
        <v>655</v>
      </c>
      <c r="W58" s="14">
        <v>38</v>
      </c>
      <c r="Y58" s="14">
        <v>674</v>
      </c>
      <c r="Z58" s="14">
        <v>198</v>
      </c>
      <c r="AA58" s="14">
        <v>217</v>
      </c>
      <c r="AC58" s="14">
        <v>120</v>
      </c>
      <c r="AD58" s="14">
        <v>67</v>
      </c>
      <c r="AE58" s="14">
        <v>156</v>
      </c>
      <c r="AF58" s="14">
        <v>437</v>
      </c>
      <c r="AG58" s="14">
        <v>56</v>
      </c>
      <c r="AH58" s="14">
        <v>743</v>
      </c>
      <c r="AI58" s="14">
        <v>150</v>
      </c>
      <c r="AJ58" s="14">
        <v>163</v>
      </c>
      <c r="AK58" s="14">
        <v>127</v>
      </c>
      <c r="AM58" s="14">
        <v>265</v>
      </c>
      <c r="AN58" s="14">
        <v>244</v>
      </c>
      <c r="AO58" s="14">
        <v>787</v>
      </c>
      <c r="AP58" s="14">
        <v>99</v>
      </c>
      <c r="AQ58" s="14">
        <v>1231</v>
      </c>
      <c r="AR58" s="14">
        <v>501</v>
      </c>
    </row>
    <row r="59" spans="3:44" x14ac:dyDescent="0.25">
      <c r="C59" s="14">
        <v>625</v>
      </c>
      <c r="D59" s="14">
        <v>246</v>
      </c>
      <c r="E59" s="14">
        <v>38</v>
      </c>
      <c r="F59" s="14">
        <v>33</v>
      </c>
      <c r="H59" s="14">
        <v>35</v>
      </c>
      <c r="I59" s="14">
        <v>593</v>
      </c>
      <c r="K59" s="14">
        <v>306</v>
      </c>
      <c r="M59" s="14">
        <v>684</v>
      </c>
      <c r="P59" s="14">
        <v>992</v>
      </c>
      <c r="Q59" s="14">
        <v>60</v>
      </c>
      <c r="R59" s="14">
        <v>43</v>
      </c>
      <c r="S59" s="14">
        <v>116</v>
      </c>
      <c r="T59" s="14">
        <v>347</v>
      </c>
      <c r="U59" s="14">
        <v>218</v>
      </c>
      <c r="V59" s="14">
        <v>347</v>
      </c>
      <c r="W59" s="14">
        <v>119</v>
      </c>
      <c r="Y59" s="14">
        <v>216</v>
      </c>
      <c r="Z59" s="14">
        <v>246</v>
      </c>
      <c r="AA59" s="14">
        <v>280</v>
      </c>
      <c r="AC59" s="14">
        <v>42</v>
      </c>
      <c r="AD59" s="14">
        <v>354</v>
      </c>
      <c r="AE59" s="14">
        <v>217</v>
      </c>
      <c r="AF59" s="14">
        <v>202</v>
      </c>
      <c r="AG59" s="14">
        <v>115</v>
      </c>
      <c r="AH59" s="14">
        <v>556</v>
      </c>
      <c r="AI59" s="14">
        <v>121</v>
      </c>
      <c r="AJ59" s="14">
        <v>237</v>
      </c>
      <c r="AK59" s="14">
        <v>511</v>
      </c>
      <c r="AM59" s="14">
        <v>84</v>
      </c>
      <c r="AN59" s="14">
        <v>201</v>
      </c>
      <c r="AO59" s="14">
        <v>182</v>
      </c>
      <c r="AP59" s="14">
        <v>147</v>
      </c>
      <c r="AQ59" s="14">
        <v>1628</v>
      </c>
      <c r="AR59" s="14">
        <v>518</v>
      </c>
    </row>
    <row r="60" spans="3:44" x14ac:dyDescent="0.25">
      <c r="C60" s="14">
        <v>632</v>
      </c>
      <c r="D60" s="14">
        <v>448</v>
      </c>
      <c r="E60" s="14">
        <v>33</v>
      </c>
      <c r="F60" s="14">
        <v>39</v>
      </c>
      <c r="H60" s="14">
        <v>14</v>
      </c>
      <c r="I60" s="14">
        <v>298</v>
      </c>
      <c r="K60" s="14">
        <v>335</v>
      </c>
      <c r="M60" s="14">
        <v>465</v>
      </c>
      <c r="P60" s="14">
        <v>507</v>
      </c>
      <c r="Q60" s="14">
        <v>32</v>
      </c>
      <c r="R60" s="14">
        <v>31</v>
      </c>
      <c r="S60" s="14">
        <v>790</v>
      </c>
      <c r="T60" s="14">
        <v>300</v>
      </c>
      <c r="U60" s="14">
        <v>379</v>
      </c>
      <c r="V60" s="14">
        <v>340</v>
      </c>
      <c r="W60" s="14">
        <v>151</v>
      </c>
      <c r="Y60" s="14">
        <v>141</v>
      </c>
      <c r="Z60" s="14">
        <v>301</v>
      </c>
      <c r="AA60" s="14">
        <v>134</v>
      </c>
      <c r="AC60" s="14">
        <v>656</v>
      </c>
      <c r="AD60" s="14">
        <v>353</v>
      </c>
      <c r="AE60" s="14">
        <v>101</v>
      </c>
      <c r="AF60" s="14">
        <v>118</v>
      </c>
      <c r="AG60" s="14">
        <v>998</v>
      </c>
      <c r="AH60" s="14">
        <v>660</v>
      </c>
      <c r="AI60" s="14">
        <v>205</v>
      </c>
      <c r="AJ60" s="14">
        <v>129</v>
      </c>
      <c r="AK60" s="14">
        <v>295</v>
      </c>
      <c r="AM60" s="14">
        <v>91</v>
      </c>
      <c r="AN60" s="14">
        <v>198</v>
      </c>
      <c r="AO60" s="14">
        <v>182</v>
      </c>
      <c r="AP60" s="14">
        <v>28</v>
      </c>
      <c r="AQ60" s="14">
        <v>540</v>
      </c>
      <c r="AR60" s="14">
        <v>2929</v>
      </c>
    </row>
    <row r="61" spans="3:44" x14ac:dyDescent="0.25">
      <c r="C61" s="14">
        <v>179</v>
      </c>
      <c r="D61" s="14">
        <v>177</v>
      </c>
      <c r="E61" s="14">
        <v>378</v>
      </c>
      <c r="F61" s="14">
        <v>20</v>
      </c>
      <c r="H61" s="14">
        <v>309</v>
      </c>
      <c r="I61" s="14">
        <v>162</v>
      </c>
      <c r="K61" s="14">
        <v>123</v>
      </c>
      <c r="M61" s="14">
        <v>452</v>
      </c>
      <c r="P61" s="14">
        <v>36</v>
      </c>
      <c r="Q61" s="14">
        <v>411</v>
      </c>
      <c r="R61" s="14">
        <v>123</v>
      </c>
      <c r="S61" s="14">
        <v>241</v>
      </c>
      <c r="T61" s="14">
        <v>169</v>
      </c>
      <c r="U61" s="14">
        <v>452</v>
      </c>
      <c r="V61" s="14">
        <v>136</v>
      </c>
      <c r="W61" s="14">
        <v>23</v>
      </c>
      <c r="Y61" s="14">
        <v>128</v>
      </c>
      <c r="Z61" s="14">
        <v>362</v>
      </c>
      <c r="AA61" s="14">
        <v>244</v>
      </c>
      <c r="AC61" s="14">
        <v>243</v>
      </c>
      <c r="AD61" s="14">
        <v>5</v>
      </c>
      <c r="AE61" s="14">
        <v>35</v>
      </c>
      <c r="AF61" s="14">
        <v>537</v>
      </c>
      <c r="AG61" s="14">
        <v>65</v>
      </c>
      <c r="AH61" s="14">
        <v>509</v>
      </c>
      <c r="AI61" s="14">
        <v>153</v>
      </c>
      <c r="AJ61" s="14">
        <v>300</v>
      </c>
      <c r="AK61" s="14">
        <v>571</v>
      </c>
      <c r="AM61" s="14">
        <v>216</v>
      </c>
      <c r="AN61" s="14">
        <v>347</v>
      </c>
      <c r="AO61" s="14">
        <v>70</v>
      </c>
      <c r="AP61" s="14">
        <v>445</v>
      </c>
      <c r="AQ61" s="14">
        <v>2648</v>
      </c>
      <c r="AR61" s="14">
        <v>2893</v>
      </c>
    </row>
    <row r="62" spans="3:44" x14ac:dyDescent="0.25">
      <c r="C62" s="14">
        <v>561</v>
      </c>
      <c r="D62" s="14">
        <v>116</v>
      </c>
      <c r="E62" s="14">
        <v>352</v>
      </c>
      <c r="F62" s="14">
        <v>113</v>
      </c>
      <c r="H62" s="14">
        <v>28</v>
      </c>
      <c r="I62" s="14">
        <v>918</v>
      </c>
      <c r="K62" s="14">
        <v>120</v>
      </c>
      <c r="M62" s="14">
        <v>148</v>
      </c>
      <c r="P62" s="14">
        <v>503</v>
      </c>
      <c r="Q62" s="14">
        <v>186</v>
      </c>
      <c r="R62" s="14">
        <v>37</v>
      </c>
      <c r="S62" s="14">
        <v>431</v>
      </c>
      <c r="T62" s="14">
        <v>946</v>
      </c>
      <c r="U62" s="14">
        <v>603</v>
      </c>
      <c r="V62" s="14">
        <v>236</v>
      </c>
      <c r="W62" s="14">
        <v>106</v>
      </c>
      <c r="Y62" s="14">
        <v>310</v>
      </c>
      <c r="Z62" s="14">
        <v>273</v>
      </c>
      <c r="AA62" s="14">
        <v>138</v>
      </c>
      <c r="AC62" s="14">
        <v>359</v>
      </c>
      <c r="AD62" s="14">
        <v>251</v>
      </c>
      <c r="AE62" s="14">
        <v>9</v>
      </c>
      <c r="AF62" s="14">
        <v>964</v>
      </c>
      <c r="AG62" s="14">
        <v>75</v>
      </c>
      <c r="AH62" s="14">
        <v>646</v>
      </c>
      <c r="AI62" s="14">
        <v>922</v>
      </c>
      <c r="AJ62" s="14">
        <v>2</v>
      </c>
      <c r="AK62" s="14">
        <v>216</v>
      </c>
      <c r="AM62" s="14">
        <v>210</v>
      </c>
      <c r="AN62" s="14">
        <v>235</v>
      </c>
      <c r="AO62" s="14">
        <v>399</v>
      </c>
      <c r="AP62" s="14">
        <v>41</v>
      </c>
      <c r="AQ62" s="14">
        <v>656</v>
      </c>
      <c r="AR62" s="14">
        <v>274</v>
      </c>
    </row>
    <row r="63" spans="3:44" x14ac:dyDescent="0.25">
      <c r="C63" s="14">
        <v>877</v>
      </c>
      <c r="D63" s="14">
        <v>232</v>
      </c>
      <c r="E63" s="14">
        <v>269</v>
      </c>
      <c r="F63" s="14">
        <v>112</v>
      </c>
      <c r="H63" s="14">
        <v>307</v>
      </c>
      <c r="I63" s="14">
        <v>489</v>
      </c>
      <c r="K63" s="14">
        <v>212</v>
      </c>
      <c r="M63" s="14">
        <v>295</v>
      </c>
      <c r="P63" s="14">
        <v>266</v>
      </c>
      <c r="Q63" s="14">
        <v>367</v>
      </c>
      <c r="R63" s="14">
        <v>496</v>
      </c>
      <c r="S63" s="14">
        <v>213</v>
      </c>
      <c r="T63" s="14">
        <v>348</v>
      </c>
      <c r="U63" s="14">
        <v>830</v>
      </c>
      <c r="V63" s="14">
        <v>118</v>
      </c>
      <c r="W63" s="14">
        <v>59</v>
      </c>
      <c r="Y63" s="14">
        <v>259</v>
      </c>
      <c r="Z63" s="14">
        <v>328</v>
      </c>
      <c r="AA63" s="14">
        <v>72</v>
      </c>
      <c r="AC63" s="14">
        <v>506</v>
      </c>
      <c r="AD63" s="14">
        <v>28</v>
      </c>
      <c r="AE63" s="14">
        <v>61</v>
      </c>
      <c r="AF63" s="14">
        <v>461</v>
      </c>
      <c r="AG63" s="14">
        <v>109</v>
      </c>
      <c r="AH63" s="14">
        <v>519</v>
      </c>
      <c r="AI63" s="14">
        <v>837</v>
      </c>
      <c r="AJ63" s="14">
        <v>117</v>
      </c>
      <c r="AK63" s="14">
        <v>47</v>
      </c>
      <c r="AM63" s="14">
        <v>216</v>
      </c>
      <c r="AN63" s="14">
        <v>525</v>
      </c>
      <c r="AO63" s="14">
        <v>23</v>
      </c>
      <c r="AP63" s="14">
        <v>213</v>
      </c>
      <c r="AQ63" s="14">
        <v>775</v>
      </c>
      <c r="AR63" s="14">
        <v>247</v>
      </c>
    </row>
    <row r="64" spans="3:44" x14ac:dyDescent="0.25">
      <c r="C64" s="14">
        <v>714</v>
      </c>
      <c r="D64" s="14">
        <v>102</v>
      </c>
      <c r="E64" s="14">
        <v>239</v>
      </c>
      <c r="F64" s="14">
        <v>27</v>
      </c>
      <c r="H64" s="14">
        <v>55</v>
      </c>
      <c r="I64" s="14">
        <v>206</v>
      </c>
      <c r="K64" s="14">
        <v>406</v>
      </c>
      <c r="M64" s="14">
        <v>164</v>
      </c>
      <c r="P64" s="14">
        <v>128</v>
      </c>
      <c r="Q64" s="14">
        <v>170</v>
      </c>
      <c r="R64" s="14">
        <v>100</v>
      </c>
      <c r="S64" s="14">
        <v>382</v>
      </c>
      <c r="T64" s="14">
        <v>195</v>
      </c>
      <c r="U64" s="14">
        <v>239</v>
      </c>
      <c r="V64" s="14">
        <v>227</v>
      </c>
      <c r="W64" s="14">
        <v>107</v>
      </c>
      <c r="Y64" s="14">
        <v>174</v>
      </c>
      <c r="Z64" s="14">
        <v>251</v>
      </c>
      <c r="AA64" s="14">
        <v>131</v>
      </c>
      <c r="AC64" s="14">
        <v>200</v>
      </c>
      <c r="AD64" s="14">
        <v>129</v>
      </c>
      <c r="AE64" s="14">
        <v>205</v>
      </c>
      <c r="AF64" s="14">
        <v>987</v>
      </c>
      <c r="AG64" s="14">
        <v>857</v>
      </c>
      <c r="AH64" s="14">
        <v>213</v>
      </c>
      <c r="AI64" s="14">
        <v>418</v>
      </c>
      <c r="AJ64" s="14">
        <v>25</v>
      </c>
      <c r="AK64" s="14">
        <v>367</v>
      </c>
      <c r="AM64" s="14">
        <v>80</v>
      </c>
      <c r="AN64" s="14">
        <v>464</v>
      </c>
      <c r="AO64" s="14">
        <v>279</v>
      </c>
      <c r="AP64" s="14">
        <v>51</v>
      </c>
      <c r="AQ64" s="14">
        <v>534</v>
      </c>
      <c r="AR64" s="14">
        <v>672</v>
      </c>
    </row>
    <row r="65" spans="3:44" x14ac:dyDescent="0.25">
      <c r="C65" s="14">
        <v>634</v>
      </c>
      <c r="D65" s="14">
        <v>271</v>
      </c>
      <c r="E65" s="14">
        <v>234</v>
      </c>
      <c r="F65" s="14">
        <v>12</v>
      </c>
      <c r="H65" s="14">
        <v>16</v>
      </c>
      <c r="I65" s="14">
        <v>518</v>
      </c>
      <c r="K65" s="14">
        <v>400</v>
      </c>
      <c r="M65" s="14">
        <v>193</v>
      </c>
      <c r="P65" s="14">
        <v>949</v>
      </c>
      <c r="Q65" s="14">
        <v>117</v>
      </c>
      <c r="R65" s="14">
        <v>93</v>
      </c>
      <c r="S65" s="14">
        <v>141</v>
      </c>
      <c r="T65" s="14">
        <v>299</v>
      </c>
      <c r="U65" s="14">
        <v>508</v>
      </c>
      <c r="V65" s="14">
        <v>253</v>
      </c>
      <c r="W65" s="14">
        <v>126</v>
      </c>
      <c r="Y65" s="14">
        <v>253</v>
      </c>
      <c r="Z65" s="14">
        <v>283</v>
      </c>
      <c r="AA65" s="14">
        <v>232</v>
      </c>
      <c r="AC65" s="14">
        <v>254</v>
      </c>
      <c r="AD65" s="14">
        <v>277</v>
      </c>
      <c r="AE65" s="14">
        <v>307</v>
      </c>
      <c r="AF65" s="14">
        <v>132</v>
      </c>
      <c r="AG65" s="14">
        <v>-396</v>
      </c>
      <c r="AH65" s="14">
        <v>357</v>
      </c>
      <c r="AI65" s="14">
        <v>105</v>
      </c>
      <c r="AJ65" s="14">
        <v>361</v>
      </c>
      <c r="AK65" s="14">
        <v>97</v>
      </c>
      <c r="AM65" s="14">
        <v>421</v>
      </c>
      <c r="AN65" s="14">
        <v>208</v>
      </c>
      <c r="AO65" s="14">
        <v>105</v>
      </c>
      <c r="AP65" s="14">
        <v>93</v>
      </c>
      <c r="AQ65" s="14">
        <v>5099</v>
      </c>
      <c r="AR65" s="14">
        <v>331</v>
      </c>
    </row>
    <row r="66" spans="3:44" x14ac:dyDescent="0.25">
      <c r="C66" s="14">
        <v>880</v>
      </c>
      <c r="D66" s="14">
        <v>108</v>
      </c>
      <c r="E66" s="14">
        <v>238</v>
      </c>
      <c r="F66" s="14">
        <v>49</v>
      </c>
      <c r="H66" s="14">
        <v>27</v>
      </c>
      <c r="I66" s="14">
        <v>531</v>
      </c>
      <c r="K66" s="14">
        <v>119</v>
      </c>
      <c r="M66" s="14">
        <v>217</v>
      </c>
      <c r="P66" s="14">
        <v>959</v>
      </c>
      <c r="Q66" s="14">
        <v>673</v>
      </c>
      <c r="R66" s="14">
        <v>132</v>
      </c>
      <c r="S66" s="14">
        <v>29</v>
      </c>
      <c r="T66" s="14">
        <v>119</v>
      </c>
      <c r="U66" s="14">
        <v>223</v>
      </c>
      <c r="V66" s="14">
        <v>119</v>
      </c>
      <c r="W66" s="14">
        <v>138</v>
      </c>
      <c r="Y66" s="14">
        <v>186</v>
      </c>
      <c r="Z66" s="14">
        <v>504</v>
      </c>
      <c r="AA66" s="14">
        <v>21</v>
      </c>
      <c r="AC66" s="14">
        <v>219</v>
      </c>
      <c r="AD66" s="14">
        <v>360</v>
      </c>
      <c r="AE66" s="14">
        <v>293</v>
      </c>
      <c r="AF66" s="14">
        <v>113</v>
      </c>
      <c r="AG66" s="14">
        <v>506</v>
      </c>
      <c r="AH66" s="14">
        <v>209</v>
      </c>
      <c r="AI66" s="14">
        <v>267</v>
      </c>
      <c r="AJ66" s="14">
        <v>436</v>
      </c>
      <c r="AK66" s="14">
        <v>593</v>
      </c>
      <c r="AM66" s="14">
        <v>199</v>
      </c>
      <c r="AN66" s="14">
        <v>207</v>
      </c>
      <c r="AO66" s="14">
        <v>896</v>
      </c>
      <c r="AP66" s="14">
        <v>119</v>
      </c>
      <c r="AQ66" s="14">
        <v>518</v>
      </c>
      <c r="AR66" s="14">
        <v>209</v>
      </c>
    </row>
    <row r="67" spans="3:44" x14ac:dyDescent="0.25">
      <c r="C67" s="14">
        <v>1408</v>
      </c>
      <c r="D67" s="14">
        <v>199</v>
      </c>
      <c r="E67" s="14">
        <v>178</v>
      </c>
      <c r="F67" s="14">
        <v>27</v>
      </c>
      <c r="H67" s="14">
        <v>958</v>
      </c>
      <c r="I67" s="14">
        <v>369</v>
      </c>
      <c r="K67" s="14">
        <v>214</v>
      </c>
      <c r="M67" s="14">
        <v>154</v>
      </c>
      <c r="P67" s="14">
        <v>303</v>
      </c>
      <c r="Q67" s="14">
        <v>485</v>
      </c>
      <c r="R67" s="14">
        <v>9705</v>
      </c>
      <c r="S67" s="14">
        <v>40</v>
      </c>
      <c r="T67" s="14">
        <v>221</v>
      </c>
      <c r="U67" s="14">
        <v>189</v>
      </c>
      <c r="V67" s="14">
        <v>260</v>
      </c>
      <c r="W67" s="14">
        <v>28</v>
      </c>
      <c r="Y67" s="14">
        <v>259</v>
      </c>
      <c r="Z67" s="14">
        <v>609</v>
      </c>
      <c r="AA67" s="14">
        <v>198</v>
      </c>
      <c r="AC67" s="14">
        <v>110</v>
      </c>
      <c r="AD67" s="14">
        <v>488</v>
      </c>
      <c r="AE67" s="14">
        <v>81</v>
      </c>
      <c r="AF67" s="14">
        <v>535</v>
      </c>
      <c r="AG67" s="14">
        <v>486</v>
      </c>
      <c r="AH67" s="14">
        <v>348</v>
      </c>
      <c r="AI67" s="14">
        <v>17</v>
      </c>
      <c r="AJ67" s="14">
        <v>222</v>
      </c>
      <c r="AK67" s="14">
        <v>138</v>
      </c>
      <c r="AM67" s="14">
        <v>127</v>
      </c>
      <c r="AN67" s="14">
        <v>187</v>
      </c>
      <c r="AO67" s="14">
        <v>345</v>
      </c>
      <c r="AP67" s="14">
        <v>228</v>
      </c>
      <c r="AQ67" s="14">
        <v>3323</v>
      </c>
      <c r="AR67" s="14">
        <v>89</v>
      </c>
    </row>
    <row r="68" spans="3:44" x14ac:dyDescent="0.25">
      <c r="C68" s="14">
        <v>1034</v>
      </c>
      <c r="D68" s="14">
        <v>187</v>
      </c>
      <c r="E68" s="14">
        <v>181</v>
      </c>
      <c r="F68" s="14">
        <v>38</v>
      </c>
      <c r="H68" s="14">
        <v>517</v>
      </c>
      <c r="I68" s="14">
        <v>161</v>
      </c>
      <c r="K68" s="14">
        <v>51</v>
      </c>
      <c r="P68" s="14">
        <v>206</v>
      </c>
      <c r="Q68" s="14">
        <v>446</v>
      </c>
      <c r="R68" s="14">
        <v>513</v>
      </c>
      <c r="S68" s="14">
        <v>128</v>
      </c>
      <c r="T68" s="14">
        <v>225</v>
      </c>
      <c r="U68" s="14">
        <v>116</v>
      </c>
      <c r="V68" s="14">
        <v>309</v>
      </c>
      <c r="W68" s="14">
        <v>11</v>
      </c>
      <c r="Y68" s="14">
        <v>267</v>
      </c>
      <c r="Z68" s="14">
        <v>115</v>
      </c>
      <c r="AA68" s="14">
        <v>17</v>
      </c>
      <c r="AC68" s="14">
        <v>12</v>
      </c>
      <c r="AD68" s="14">
        <v>486</v>
      </c>
      <c r="AE68" s="14">
        <v>262</v>
      </c>
      <c r="AF68" s="14">
        <v>360</v>
      </c>
      <c r="AG68" s="14">
        <v>782</v>
      </c>
      <c r="AH68" s="14">
        <v>278</v>
      </c>
      <c r="AI68" s="14">
        <v>20</v>
      </c>
      <c r="AJ68" s="14">
        <v>56</v>
      </c>
      <c r="AK68" s="14">
        <v>655</v>
      </c>
      <c r="AM68" s="14">
        <v>208</v>
      </c>
      <c r="AN68" s="14">
        <v>362</v>
      </c>
      <c r="AO68" s="14">
        <v>223</v>
      </c>
      <c r="AP68" s="14">
        <v>83</v>
      </c>
      <c r="AQ68" s="14">
        <v>69</v>
      </c>
      <c r="AR68" s="14">
        <v>3206</v>
      </c>
    </row>
    <row r="69" spans="3:44" x14ac:dyDescent="0.25">
      <c r="C69" s="14">
        <v>1065</v>
      </c>
      <c r="D69" s="14">
        <v>346</v>
      </c>
      <c r="E69" s="14">
        <v>354</v>
      </c>
      <c r="F69" s="14">
        <v>21</v>
      </c>
      <c r="H69" s="14">
        <v>190</v>
      </c>
      <c r="I69" s="14">
        <v>319</v>
      </c>
      <c r="K69" s="14">
        <v>166</v>
      </c>
      <c r="P69" s="14">
        <v>365</v>
      </c>
      <c r="Q69" s="14">
        <v>254</v>
      </c>
      <c r="R69" s="14">
        <v>554</v>
      </c>
      <c r="S69" s="14">
        <v>11</v>
      </c>
      <c r="T69" s="14">
        <v>458</v>
      </c>
      <c r="U69" s="14">
        <v>264</v>
      </c>
      <c r="V69" s="14">
        <v>194</v>
      </c>
      <c r="W69" s="14">
        <v>25</v>
      </c>
      <c r="Y69" s="14">
        <v>126</v>
      </c>
      <c r="Z69" s="14">
        <v>717</v>
      </c>
      <c r="AA69" s="14">
        <v>20</v>
      </c>
      <c r="AC69" s="14">
        <v>302</v>
      </c>
      <c r="AD69" s="14">
        <v>67</v>
      </c>
      <c r="AE69" s="14">
        <v>344</v>
      </c>
      <c r="AF69" s="14">
        <v>79</v>
      </c>
      <c r="AG69" s="14">
        <v>531</v>
      </c>
      <c r="AH69" s="14">
        <v>605</v>
      </c>
      <c r="AI69" s="14">
        <v>37</v>
      </c>
      <c r="AJ69" s="14">
        <v>73</v>
      </c>
      <c r="AK69" s="14">
        <v>766</v>
      </c>
      <c r="AM69" s="14">
        <v>317</v>
      </c>
      <c r="AN69" s="14">
        <v>157</v>
      </c>
      <c r="AO69" s="14">
        <v>107</v>
      </c>
      <c r="AP69" s="14">
        <v>133</v>
      </c>
      <c r="AQ69" s="14">
        <v>1268</v>
      </c>
      <c r="AR69" s="14">
        <v>91</v>
      </c>
    </row>
    <row r="70" spans="3:44" x14ac:dyDescent="0.25">
      <c r="C70" s="14">
        <v>1155</v>
      </c>
      <c r="D70" s="14">
        <v>298</v>
      </c>
      <c r="E70" s="14">
        <v>354</v>
      </c>
      <c r="F70" s="14">
        <v>104</v>
      </c>
      <c r="H70" s="14">
        <v>42</v>
      </c>
      <c r="I70" s="14">
        <v>370</v>
      </c>
      <c r="K70" s="14">
        <v>350</v>
      </c>
      <c r="P70" s="14">
        <v>217</v>
      </c>
      <c r="Q70" s="14">
        <v>637</v>
      </c>
      <c r="R70" s="14">
        <v>484</v>
      </c>
      <c r="S70" s="14">
        <v>25</v>
      </c>
      <c r="T70" s="14">
        <v>130</v>
      </c>
      <c r="U70" s="14">
        <v>386</v>
      </c>
      <c r="V70" s="14">
        <v>627</v>
      </c>
      <c r="W70" s="14">
        <v>47</v>
      </c>
      <c r="Y70" s="14">
        <v>131</v>
      </c>
      <c r="Z70" s="14">
        <v>697</v>
      </c>
      <c r="AA70" s="14">
        <v>370</v>
      </c>
      <c r="AC70" s="14">
        <v>579</v>
      </c>
      <c r="AD70" s="14">
        <v>786</v>
      </c>
      <c r="AE70" s="14">
        <v>5</v>
      </c>
      <c r="AF70" s="14">
        <v>323</v>
      </c>
      <c r="AG70" s="14">
        <v>29</v>
      </c>
      <c r="AH70" s="14">
        <v>407</v>
      </c>
      <c r="AI70" s="14">
        <v>85</v>
      </c>
      <c r="AJ70" s="14">
        <v>573</v>
      </c>
      <c r="AK70" s="14">
        <v>89</v>
      </c>
      <c r="AM70" s="14">
        <v>402</v>
      </c>
      <c r="AN70" s="14">
        <v>693</v>
      </c>
      <c r="AO70" s="14">
        <v>777</v>
      </c>
      <c r="AP70" s="14">
        <v>434</v>
      </c>
      <c r="AQ70" s="14">
        <v>3842</v>
      </c>
      <c r="AR70" s="14">
        <v>1320</v>
      </c>
    </row>
    <row r="71" spans="3:44" x14ac:dyDescent="0.25">
      <c r="C71" s="14">
        <v>1194</v>
      </c>
      <c r="D71" s="14">
        <v>1117</v>
      </c>
      <c r="E71" s="14">
        <v>240</v>
      </c>
      <c r="F71" s="14">
        <v>106</v>
      </c>
      <c r="H71" s="14">
        <v>77</v>
      </c>
      <c r="I71" s="14">
        <v>393</v>
      </c>
      <c r="K71" s="14">
        <v>139</v>
      </c>
      <c r="P71" s="14">
        <v>169</v>
      </c>
      <c r="Q71" s="14">
        <v>114</v>
      </c>
      <c r="R71" s="14">
        <v>182</v>
      </c>
      <c r="S71" s="14">
        <v>15</v>
      </c>
      <c r="T71" s="14">
        <v>728</v>
      </c>
      <c r="U71" s="14">
        <v>791</v>
      </c>
      <c r="V71" s="14">
        <v>380</v>
      </c>
      <c r="W71" s="14">
        <v>272</v>
      </c>
      <c r="Y71" s="14">
        <v>710</v>
      </c>
      <c r="Z71" s="14">
        <v>823</v>
      </c>
      <c r="AA71" s="14">
        <v>652</v>
      </c>
      <c r="AC71" s="14">
        <v>527</v>
      </c>
      <c r="AD71" s="14">
        <v>200</v>
      </c>
      <c r="AE71" s="14">
        <v>150</v>
      </c>
      <c r="AF71" s="14">
        <v>186</v>
      </c>
      <c r="AG71" s="14">
        <v>148</v>
      </c>
      <c r="AH71" s="14">
        <v>732</v>
      </c>
      <c r="AI71" s="14">
        <v>91</v>
      </c>
      <c r="AJ71" s="14">
        <v>201</v>
      </c>
      <c r="AK71" s="14">
        <v>298</v>
      </c>
      <c r="AM71" s="14">
        <v>394</v>
      </c>
      <c r="AN71" s="14">
        <v>107</v>
      </c>
      <c r="AO71" s="14">
        <v>681</v>
      </c>
      <c r="AP71" s="14">
        <v>111</v>
      </c>
      <c r="AQ71" s="14">
        <v>960</v>
      </c>
      <c r="AR71" s="14">
        <v>803</v>
      </c>
    </row>
    <row r="72" spans="3:44" x14ac:dyDescent="0.25">
      <c r="C72" s="14">
        <v>1248</v>
      </c>
      <c r="D72" s="14">
        <v>938</v>
      </c>
      <c r="E72" s="14">
        <v>231</v>
      </c>
      <c r="F72" s="14">
        <v>25</v>
      </c>
      <c r="H72" s="14">
        <v>522</v>
      </c>
      <c r="I72" s="14">
        <v>407</v>
      </c>
      <c r="K72" s="14">
        <v>139</v>
      </c>
      <c r="P72" s="14">
        <v>275</v>
      </c>
      <c r="Q72" s="14">
        <v>341</v>
      </c>
      <c r="R72" s="14">
        <v>899</v>
      </c>
      <c r="S72" s="14">
        <v>139</v>
      </c>
      <c r="T72" s="14">
        <v>113</v>
      </c>
      <c r="U72" s="14">
        <v>62</v>
      </c>
      <c r="V72" s="14">
        <v>348</v>
      </c>
      <c r="W72" s="14">
        <v>22</v>
      </c>
      <c r="Y72" s="14">
        <v>162</v>
      </c>
      <c r="Z72" s="14">
        <v>240</v>
      </c>
      <c r="AA72" s="14">
        <v>203</v>
      </c>
      <c r="AC72" s="14">
        <v>317</v>
      </c>
      <c r="AD72" s="14">
        <v>890</v>
      </c>
      <c r="AE72" s="14">
        <v>52</v>
      </c>
      <c r="AF72" s="14">
        <v>226</v>
      </c>
      <c r="AG72" s="14">
        <v>879</v>
      </c>
      <c r="AH72" s="14">
        <v>524</v>
      </c>
      <c r="AI72" s="14">
        <v>26</v>
      </c>
      <c r="AJ72" s="14">
        <v>182</v>
      </c>
      <c r="AK72" s="14">
        <v>109</v>
      </c>
      <c r="AM72" s="14">
        <v>233</v>
      </c>
      <c r="AN72" s="14">
        <v>680</v>
      </c>
      <c r="AO72" s="14">
        <v>112</v>
      </c>
      <c r="AP72" s="14">
        <v>211</v>
      </c>
      <c r="AQ72" s="14">
        <v>6684</v>
      </c>
      <c r="AR72" s="14">
        <v>2372</v>
      </c>
    </row>
    <row r="73" spans="3:44" x14ac:dyDescent="0.25">
      <c r="C73" s="14">
        <v>1069</v>
      </c>
      <c r="D73" s="14">
        <v>1271</v>
      </c>
      <c r="E73" s="14">
        <v>528</v>
      </c>
      <c r="F73" s="14">
        <v>17</v>
      </c>
      <c r="H73" s="14">
        <v>192</v>
      </c>
      <c r="I73" s="14">
        <v>121</v>
      </c>
      <c r="K73" s="14">
        <v>234</v>
      </c>
      <c r="P73" s="14">
        <v>288</v>
      </c>
      <c r="Q73" s="14">
        <v>231</v>
      </c>
      <c r="R73" s="14">
        <v>769</v>
      </c>
      <c r="S73" s="14">
        <v>687</v>
      </c>
      <c r="T73" s="14">
        <v>137</v>
      </c>
      <c r="U73" s="14">
        <v>309</v>
      </c>
      <c r="V73" s="14">
        <v>139</v>
      </c>
      <c r="W73" s="14">
        <v>267</v>
      </c>
      <c r="Y73" s="14">
        <v>459</v>
      </c>
      <c r="Z73" s="14">
        <v>211</v>
      </c>
      <c r="AA73" s="14">
        <v>70</v>
      </c>
      <c r="AC73" s="14">
        <v>201</v>
      </c>
      <c r="AD73" s="14">
        <v>294</v>
      </c>
      <c r="AE73" s="14">
        <v>103</v>
      </c>
      <c r="AF73" s="14">
        <v>554</v>
      </c>
      <c r="AG73" s="14">
        <v>602</v>
      </c>
      <c r="AH73" s="14">
        <v>728</v>
      </c>
      <c r="AI73" s="14">
        <v>12</v>
      </c>
      <c r="AJ73" s="14">
        <v>72</v>
      </c>
      <c r="AK73" s="14">
        <v>236</v>
      </c>
      <c r="AM73" s="14">
        <v>245</v>
      </c>
      <c r="AN73" s="14">
        <v>588</v>
      </c>
      <c r="AO73" s="14">
        <v>202</v>
      </c>
      <c r="AP73" s="14">
        <v>440</v>
      </c>
      <c r="AQ73" s="14">
        <v>2029</v>
      </c>
      <c r="AR73" s="14">
        <v>17</v>
      </c>
    </row>
    <row r="74" spans="3:44" x14ac:dyDescent="0.25">
      <c r="C74" s="14">
        <v>1144</v>
      </c>
      <c r="D74" s="14">
        <v>1265</v>
      </c>
      <c r="E74" s="14">
        <v>564</v>
      </c>
      <c r="F74" s="14">
        <v>75</v>
      </c>
      <c r="H74" s="14">
        <v>103</v>
      </c>
      <c r="I74" s="14">
        <v>547</v>
      </c>
      <c r="K74" s="14">
        <v>352</v>
      </c>
      <c r="P74" s="14">
        <v>362</v>
      </c>
      <c r="Q74" s="14">
        <v>266</v>
      </c>
      <c r="R74" s="14">
        <v>230</v>
      </c>
      <c r="S74" s="14">
        <v>164</v>
      </c>
      <c r="T74" s="14">
        <v>133</v>
      </c>
      <c r="U74" s="14">
        <v>257</v>
      </c>
      <c r="V74" s="14">
        <v>948</v>
      </c>
      <c r="W74" s="14">
        <v>76</v>
      </c>
      <c r="Y74" s="14">
        <v>305</v>
      </c>
      <c r="Z74" s="14">
        <v>738</v>
      </c>
      <c r="AA74" s="14">
        <v>180</v>
      </c>
      <c r="AC74" s="14">
        <v>372</v>
      </c>
      <c r="AD74" s="14">
        <v>36</v>
      </c>
      <c r="AE74" s="14">
        <v>62</v>
      </c>
      <c r="AF74" s="14">
        <v>101</v>
      </c>
      <c r="AG74" s="14">
        <v>63</v>
      </c>
      <c r="AH74" s="14">
        <v>511</v>
      </c>
      <c r="AI74" s="14">
        <v>9</v>
      </c>
      <c r="AJ74" s="14">
        <v>210</v>
      </c>
      <c r="AK74" s="14">
        <v>179</v>
      </c>
      <c r="AM74" s="14">
        <v>189</v>
      </c>
      <c r="AN74" s="14">
        <v>563</v>
      </c>
      <c r="AO74" s="14">
        <v>92</v>
      </c>
      <c r="AP74" s="14">
        <v>116</v>
      </c>
      <c r="AQ74" s="14">
        <v>1589</v>
      </c>
      <c r="AR74" s="14">
        <v>919</v>
      </c>
    </row>
    <row r="75" spans="3:44" x14ac:dyDescent="0.25">
      <c r="C75" s="14">
        <v>1747</v>
      </c>
      <c r="D75" s="14">
        <v>1747</v>
      </c>
      <c r="E75" s="14">
        <v>305</v>
      </c>
      <c r="F75" s="14">
        <v>44</v>
      </c>
      <c r="H75" s="14">
        <v>455</v>
      </c>
      <c r="I75" s="14">
        <v>809</v>
      </c>
      <c r="K75" s="14">
        <v>230</v>
      </c>
      <c r="P75" s="14">
        <v>169</v>
      </c>
      <c r="Q75" s="14">
        <v>314</v>
      </c>
      <c r="R75" s="14">
        <v>148</v>
      </c>
      <c r="S75" s="14">
        <v>129</v>
      </c>
      <c r="T75" s="14">
        <v>502</v>
      </c>
      <c r="U75" s="14">
        <v>192</v>
      </c>
      <c r="V75" s="14">
        <v>689</v>
      </c>
      <c r="W75" s="14">
        <v>50</v>
      </c>
      <c r="Y75" s="14">
        <v>101</v>
      </c>
      <c r="Z75" s="14">
        <v>141</v>
      </c>
      <c r="AA75" s="14">
        <v>508</v>
      </c>
      <c r="AC75" s="14">
        <v>121</v>
      </c>
      <c r="AD75" s="14">
        <v>159</v>
      </c>
      <c r="AE75" s="14">
        <v>602</v>
      </c>
      <c r="AF75" s="14">
        <v>101</v>
      </c>
      <c r="AG75" s="14">
        <v>622</v>
      </c>
      <c r="AH75" s="14">
        <v>94</v>
      </c>
      <c r="AI75" s="14">
        <v>7</v>
      </c>
      <c r="AJ75" s="14">
        <v>171</v>
      </c>
      <c r="AK75" s="14">
        <v>385</v>
      </c>
      <c r="AM75" s="14">
        <v>162</v>
      </c>
      <c r="AN75" s="14">
        <v>656</v>
      </c>
      <c r="AO75" s="14">
        <v>269</v>
      </c>
      <c r="AP75" s="14">
        <v>215</v>
      </c>
      <c r="AQ75" s="14">
        <v>1780</v>
      </c>
      <c r="AR75" s="14">
        <v>63</v>
      </c>
    </row>
    <row r="76" spans="3:44" x14ac:dyDescent="0.25">
      <c r="C76" s="14">
        <v>1430</v>
      </c>
      <c r="D76" s="14">
        <v>1093</v>
      </c>
      <c r="E76" s="14">
        <v>323</v>
      </c>
      <c r="F76" s="14">
        <v>57</v>
      </c>
      <c r="H76" s="14">
        <v>17</v>
      </c>
      <c r="I76" s="14">
        <v>161</v>
      </c>
      <c r="K76" s="14">
        <v>90</v>
      </c>
      <c r="P76" s="14">
        <v>283</v>
      </c>
      <c r="Q76" s="14">
        <v>177</v>
      </c>
      <c r="R76" s="14">
        <v>303</v>
      </c>
      <c r="S76" s="14">
        <v>321</v>
      </c>
      <c r="T76" s="14">
        <v>196</v>
      </c>
      <c r="U76" s="14">
        <v>874</v>
      </c>
      <c r="V76" s="14">
        <v>426</v>
      </c>
      <c r="W76" s="14">
        <v>229</v>
      </c>
      <c r="Y76" s="14">
        <v>364</v>
      </c>
      <c r="Z76" s="14">
        <v>154</v>
      </c>
      <c r="AA76" s="14">
        <v>175</v>
      </c>
      <c r="AC76" s="14">
        <v>472</v>
      </c>
      <c r="AD76" s="14">
        <v>127</v>
      </c>
      <c r="AE76" s="14">
        <v>143</v>
      </c>
      <c r="AF76" s="14">
        <v>910</v>
      </c>
      <c r="AG76" s="14">
        <v>895</v>
      </c>
      <c r="AH76" s="14">
        <v>761</v>
      </c>
      <c r="AI76" s="14">
        <v>3</v>
      </c>
      <c r="AJ76" s="14">
        <v>210</v>
      </c>
      <c r="AK76" s="14">
        <v>42</v>
      </c>
      <c r="AM76" s="14">
        <v>210</v>
      </c>
      <c r="AN76" s="14">
        <v>596</v>
      </c>
      <c r="AO76" s="14">
        <v>393</v>
      </c>
      <c r="AP76" s="14">
        <v>728</v>
      </c>
      <c r="AQ76" s="14">
        <v>1904</v>
      </c>
      <c r="AR76" s="14">
        <v>904</v>
      </c>
    </row>
    <row r="77" spans="3:44" x14ac:dyDescent="0.25">
      <c r="C77" s="14">
        <v>733</v>
      </c>
      <c r="D77" s="14">
        <v>565</v>
      </c>
      <c r="E77" s="14">
        <v>723</v>
      </c>
      <c r="F77" s="14">
        <v>49</v>
      </c>
      <c r="H77" s="14">
        <v>523</v>
      </c>
      <c r="I77" s="14">
        <v>550</v>
      </c>
      <c r="K77" s="14">
        <v>110</v>
      </c>
      <c r="P77" s="14">
        <v>883</v>
      </c>
      <c r="Q77" s="14">
        <v>599</v>
      </c>
      <c r="R77" s="14">
        <v>424</v>
      </c>
      <c r="S77" s="14">
        <v>198</v>
      </c>
      <c r="T77" s="14">
        <v>245</v>
      </c>
      <c r="U77" s="14">
        <v>436</v>
      </c>
      <c r="V77" s="14">
        <v>919</v>
      </c>
      <c r="W77" s="14">
        <v>258</v>
      </c>
      <c r="Y77" s="14">
        <v>187</v>
      </c>
      <c r="Z77" s="14">
        <v>297</v>
      </c>
      <c r="AA77" s="14">
        <v>370</v>
      </c>
      <c r="AC77" s="14">
        <v>61</v>
      </c>
      <c r="AD77" s="14">
        <v>133</v>
      </c>
      <c r="AE77" s="14">
        <v>54</v>
      </c>
      <c r="AF77" s="14">
        <v>922</v>
      </c>
      <c r="AG77" s="14">
        <v>58</v>
      </c>
      <c r="AH77" s="14">
        <v>556</v>
      </c>
      <c r="AI77" s="14">
        <v>65</v>
      </c>
      <c r="AJ77" s="14">
        <v>277</v>
      </c>
      <c r="AK77" s="14">
        <v>447</v>
      </c>
      <c r="AM77" s="14">
        <v>416</v>
      </c>
      <c r="AN77" s="14">
        <v>305</v>
      </c>
      <c r="AO77" s="14">
        <v>133</v>
      </c>
      <c r="AP77" s="14">
        <v>46</v>
      </c>
      <c r="AQ77" s="14">
        <v>1132</v>
      </c>
      <c r="AR77" s="14">
        <v>106</v>
      </c>
    </row>
    <row r="78" spans="3:44" x14ac:dyDescent="0.25">
      <c r="C78" s="14">
        <v>705</v>
      </c>
      <c r="D78" s="14">
        <v>1035</v>
      </c>
      <c r="E78" s="14">
        <v>784</v>
      </c>
      <c r="F78" s="14">
        <v>160</v>
      </c>
      <c r="H78" s="14">
        <v>178</v>
      </c>
      <c r="I78" s="14">
        <v>174</v>
      </c>
      <c r="K78" s="14">
        <v>263</v>
      </c>
      <c r="P78" s="14">
        <v>222</v>
      </c>
      <c r="Q78" s="14">
        <v>32</v>
      </c>
      <c r="R78" s="14">
        <v>442</v>
      </c>
      <c r="S78" s="14">
        <v>368</v>
      </c>
      <c r="T78" s="14">
        <v>103</v>
      </c>
      <c r="U78" s="14">
        <v>390</v>
      </c>
      <c r="V78" s="14">
        <v>84</v>
      </c>
      <c r="W78" s="14">
        <v>147</v>
      </c>
      <c r="Y78" s="14">
        <v>172</v>
      </c>
      <c r="Z78" s="14">
        <v>329</v>
      </c>
      <c r="AA78" s="14">
        <v>446</v>
      </c>
      <c r="AC78" s="14">
        <v>538</v>
      </c>
      <c r="AD78" s="14">
        <v>537</v>
      </c>
      <c r="AE78" s="14">
        <v>51</v>
      </c>
      <c r="AF78" s="14">
        <v>110</v>
      </c>
      <c r="AG78" s="14">
        <v>645</v>
      </c>
      <c r="AH78" s="14">
        <v>143</v>
      </c>
      <c r="AI78" s="14">
        <v>49</v>
      </c>
      <c r="AJ78" s="14">
        <v>745</v>
      </c>
      <c r="AK78" s="14">
        <v>206</v>
      </c>
      <c r="AM78" s="14">
        <v>233</v>
      </c>
      <c r="AN78" s="14">
        <v>777</v>
      </c>
      <c r="AO78" s="14">
        <v>585</v>
      </c>
      <c r="AP78" s="14">
        <v>292</v>
      </c>
      <c r="AQ78" s="14">
        <v>862</v>
      </c>
      <c r="AR78" s="14">
        <v>316</v>
      </c>
    </row>
    <row r="79" spans="3:44" x14ac:dyDescent="0.25">
      <c r="C79" s="14">
        <v>157</v>
      </c>
      <c r="D79" s="14">
        <v>450</v>
      </c>
      <c r="E79" s="14">
        <v>457</v>
      </c>
      <c r="F79" s="14">
        <v>160</v>
      </c>
      <c r="H79" s="14">
        <v>73</v>
      </c>
      <c r="I79" s="14">
        <v>437</v>
      </c>
      <c r="K79" s="14">
        <v>678</v>
      </c>
      <c r="P79" s="14">
        <v>344</v>
      </c>
      <c r="Q79" s="14">
        <v>411</v>
      </c>
      <c r="R79" s="14">
        <v>276</v>
      </c>
      <c r="S79" s="14">
        <v>255</v>
      </c>
      <c r="T79" s="14">
        <v>125</v>
      </c>
      <c r="U79" s="14">
        <v>226</v>
      </c>
      <c r="V79" s="14">
        <v>248</v>
      </c>
      <c r="W79" s="14">
        <v>201</v>
      </c>
      <c r="Y79" s="14">
        <v>224</v>
      </c>
      <c r="Z79" s="14">
        <v>448</v>
      </c>
      <c r="AA79" s="14">
        <v>137</v>
      </c>
      <c r="AC79" s="14">
        <v>422</v>
      </c>
      <c r="AD79" s="14">
        <v>534</v>
      </c>
      <c r="AE79" s="14">
        <v>50</v>
      </c>
      <c r="AF79" s="14">
        <v>551</v>
      </c>
      <c r="AG79" s="14">
        <v>605</v>
      </c>
      <c r="AH79" s="14">
        <v>142</v>
      </c>
      <c r="AI79" s="14">
        <v>93</v>
      </c>
      <c r="AJ79" s="14">
        <v>29</v>
      </c>
      <c r="AK79" s="14">
        <v>204</v>
      </c>
      <c r="AM79" s="14">
        <v>248</v>
      </c>
      <c r="AN79" s="14">
        <v>322</v>
      </c>
      <c r="AO79" s="14">
        <v>984</v>
      </c>
      <c r="AP79" s="14">
        <v>962</v>
      </c>
      <c r="AQ79" s="14">
        <v>1811</v>
      </c>
      <c r="AR79" s="14">
        <v>101</v>
      </c>
    </row>
    <row r="80" spans="3:44" x14ac:dyDescent="0.25">
      <c r="C80" s="14">
        <v>986</v>
      </c>
      <c r="D80" s="14">
        <v>347</v>
      </c>
      <c r="E80" s="14">
        <v>500</v>
      </c>
      <c r="F80" s="14">
        <v>38</v>
      </c>
      <c r="H80" s="14">
        <v>414</v>
      </c>
      <c r="I80" s="14">
        <v>212</v>
      </c>
      <c r="K80" s="14">
        <v>134</v>
      </c>
      <c r="P80" s="14">
        <v>985</v>
      </c>
      <c r="Q80" s="14">
        <v>186</v>
      </c>
      <c r="R80" s="14">
        <v>318</v>
      </c>
      <c r="S80" s="14">
        <v>264</v>
      </c>
      <c r="T80" s="14">
        <v>326</v>
      </c>
      <c r="U80" s="14">
        <v>542</v>
      </c>
      <c r="V80" s="14">
        <v>596</v>
      </c>
      <c r="W80" s="14">
        <v>141</v>
      </c>
      <c r="Y80" s="14">
        <v>196</v>
      </c>
      <c r="Z80" s="14">
        <v>434</v>
      </c>
      <c r="AA80" s="14">
        <v>113</v>
      </c>
      <c r="AC80" s="14">
        <v>260</v>
      </c>
      <c r="AD80" s="14">
        <v>96</v>
      </c>
      <c r="AE80" s="14">
        <v>32</v>
      </c>
      <c r="AF80" s="14">
        <v>483</v>
      </c>
      <c r="AG80" s="14">
        <v>106</v>
      </c>
      <c r="AH80" s="14">
        <v>128</v>
      </c>
      <c r="AI80" s="14">
        <v>129</v>
      </c>
      <c r="AJ80" s="14">
        <v>632</v>
      </c>
      <c r="AK80" s="14">
        <v>73</v>
      </c>
      <c r="AM80" s="14">
        <v>81</v>
      </c>
      <c r="AN80" s="14">
        <v>275</v>
      </c>
      <c r="AO80" s="14">
        <v>163</v>
      </c>
      <c r="AP80" s="14">
        <v>9</v>
      </c>
      <c r="AQ80" s="14">
        <v>626</v>
      </c>
      <c r="AR80" s="14">
        <v>153</v>
      </c>
    </row>
    <row r="81" spans="3:44" x14ac:dyDescent="0.25">
      <c r="C81" s="14">
        <v>618</v>
      </c>
      <c r="D81" s="14">
        <v>235</v>
      </c>
      <c r="E81" s="14">
        <v>242</v>
      </c>
      <c r="F81" s="14">
        <v>17</v>
      </c>
      <c r="H81" s="14">
        <v>15</v>
      </c>
      <c r="I81" s="14">
        <v>599</v>
      </c>
      <c r="K81" s="14">
        <v>9</v>
      </c>
      <c r="P81" s="14">
        <v>497</v>
      </c>
      <c r="Q81" s="14">
        <v>367</v>
      </c>
      <c r="R81" s="14">
        <v>627</v>
      </c>
      <c r="S81" s="14">
        <v>423</v>
      </c>
      <c r="T81" s="14">
        <v>148</v>
      </c>
      <c r="U81" s="14">
        <v>284</v>
      </c>
      <c r="V81" s="14">
        <v>157</v>
      </c>
      <c r="W81" s="14">
        <v>107</v>
      </c>
      <c r="Y81" s="14">
        <v>100</v>
      </c>
      <c r="Z81" s="14">
        <v>477</v>
      </c>
      <c r="AA81" s="14">
        <v>333</v>
      </c>
      <c r="AC81" s="14">
        <v>164</v>
      </c>
      <c r="AD81" s="14">
        <v>621</v>
      </c>
      <c r="AE81" s="14">
        <v>283</v>
      </c>
      <c r="AF81" s="14">
        <v>250</v>
      </c>
      <c r="AG81" s="14">
        <v>765</v>
      </c>
      <c r="AH81" s="14">
        <v>213</v>
      </c>
      <c r="AI81" s="14">
        <v>77</v>
      </c>
      <c r="AJ81" s="14">
        <v>259</v>
      </c>
      <c r="AK81" s="14">
        <v>82</v>
      </c>
      <c r="AM81" s="14">
        <v>188</v>
      </c>
      <c r="AN81" s="14">
        <v>322</v>
      </c>
      <c r="AO81" s="14">
        <v>799</v>
      </c>
      <c r="AP81" s="14">
        <v>219</v>
      </c>
      <c r="AQ81" s="14">
        <v>1113</v>
      </c>
      <c r="AR81" s="14">
        <v>553</v>
      </c>
    </row>
    <row r="82" spans="3:44" x14ac:dyDescent="0.25">
      <c r="C82" s="14">
        <v>475</v>
      </c>
      <c r="D82" s="14">
        <v>341</v>
      </c>
      <c r="E82" s="14">
        <v>269</v>
      </c>
      <c r="F82" s="14">
        <v>51</v>
      </c>
      <c r="H82" s="14">
        <v>135</v>
      </c>
      <c r="I82" s="14">
        <v>258</v>
      </c>
      <c r="K82" s="14">
        <v>15</v>
      </c>
      <c r="P82" s="14">
        <v>129</v>
      </c>
      <c r="Q82" s="14">
        <v>451</v>
      </c>
      <c r="R82" s="14">
        <v>360</v>
      </c>
      <c r="S82" s="14">
        <v>908</v>
      </c>
      <c r="T82" s="14">
        <v>355</v>
      </c>
      <c r="U82" s="14">
        <v>641</v>
      </c>
      <c r="V82" s="14">
        <v>188</v>
      </c>
      <c r="W82" s="14">
        <v>255</v>
      </c>
      <c r="Y82" s="14">
        <v>107</v>
      </c>
      <c r="Z82" s="14">
        <v>574</v>
      </c>
      <c r="AA82" s="14">
        <v>264</v>
      </c>
      <c r="AC82" s="14">
        <v>394</v>
      </c>
      <c r="AD82" s="14">
        <v>329</v>
      </c>
      <c r="AE82" s="14">
        <v>5</v>
      </c>
      <c r="AF82" s="14">
        <v>102</v>
      </c>
      <c r="AG82" s="14">
        <v>228</v>
      </c>
      <c r="AH82" s="14">
        <v>369</v>
      </c>
      <c r="AI82" s="14">
        <v>49</v>
      </c>
      <c r="AJ82" s="14">
        <v>28</v>
      </c>
      <c r="AK82" s="14">
        <v>100</v>
      </c>
      <c r="AM82" s="14">
        <v>457</v>
      </c>
      <c r="AN82" s="14">
        <v>531</v>
      </c>
      <c r="AO82" s="14">
        <v>357</v>
      </c>
      <c r="AP82" s="14">
        <v>397</v>
      </c>
      <c r="AQ82" s="14">
        <v>1207</v>
      </c>
      <c r="AR82" s="14">
        <v>354</v>
      </c>
    </row>
    <row r="83" spans="3:44" x14ac:dyDescent="0.25">
      <c r="C83" s="14">
        <v>583</v>
      </c>
      <c r="D83" s="14">
        <v>339</v>
      </c>
      <c r="E83" s="14">
        <v>45</v>
      </c>
      <c r="F83" s="14">
        <v>44</v>
      </c>
      <c r="H83" s="14">
        <v>489</v>
      </c>
      <c r="I83" s="14">
        <v>627</v>
      </c>
      <c r="K83" s="14">
        <v>65</v>
      </c>
      <c r="P83" s="14">
        <v>961</v>
      </c>
      <c r="Q83" s="14">
        <v>236</v>
      </c>
      <c r="R83" s="14">
        <v>420</v>
      </c>
      <c r="S83" s="14">
        <v>336</v>
      </c>
      <c r="T83" s="14">
        <v>150</v>
      </c>
      <c r="U83" s="14">
        <v>261</v>
      </c>
      <c r="V83" s="14">
        <v>164</v>
      </c>
      <c r="W83" s="14">
        <v>144</v>
      </c>
      <c r="Y83" s="14">
        <v>821</v>
      </c>
      <c r="Z83" s="14">
        <v>707</v>
      </c>
      <c r="AA83" s="14">
        <v>53</v>
      </c>
      <c r="AC83" s="14">
        <v>129</v>
      </c>
      <c r="AD83" s="14">
        <v>84</v>
      </c>
      <c r="AE83" s="14">
        <v>58</v>
      </c>
      <c r="AF83" s="14">
        <v>662</v>
      </c>
      <c r="AG83" s="14">
        <v>112</v>
      </c>
      <c r="AH83" s="14">
        <v>278</v>
      </c>
      <c r="AI83" s="14">
        <v>191</v>
      </c>
      <c r="AJ83" s="14">
        <v>174</v>
      </c>
      <c r="AK83" s="14">
        <v>160</v>
      </c>
      <c r="AM83" s="14">
        <v>275</v>
      </c>
      <c r="AN83" s="14">
        <v>279</v>
      </c>
      <c r="AO83" s="14">
        <v>71</v>
      </c>
      <c r="AP83" s="14">
        <v>19</v>
      </c>
      <c r="AQ83" s="14">
        <v>1174</v>
      </c>
      <c r="AR83" s="14">
        <v>148</v>
      </c>
    </row>
    <row r="84" spans="3:44" x14ac:dyDescent="0.25">
      <c r="C84" s="14">
        <v>630</v>
      </c>
      <c r="D84" s="14">
        <v>188</v>
      </c>
      <c r="E84" s="14">
        <v>48</v>
      </c>
      <c r="F84" s="14">
        <v>57</v>
      </c>
      <c r="H84" s="14">
        <v>891</v>
      </c>
      <c r="I84" s="14">
        <v>747</v>
      </c>
      <c r="K84" s="14">
        <v>433</v>
      </c>
      <c r="P84" s="14">
        <v>392</v>
      </c>
      <c r="Q84" s="14">
        <v>146</v>
      </c>
      <c r="R84" s="14">
        <v>216</v>
      </c>
      <c r="S84" s="14">
        <v>276</v>
      </c>
      <c r="T84" s="14">
        <v>673</v>
      </c>
      <c r="U84" s="14">
        <v>695</v>
      </c>
      <c r="V84" s="14">
        <v>691</v>
      </c>
      <c r="W84" s="14">
        <v>178</v>
      </c>
      <c r="Y84" s="14">
        <v>197</v>
      </c>
      <c r="Z84" s="14">
        <v>795</v>
      </c>
      <c r="AA84" s="14">
        <v>587</v>
      </c>
      <c r="AC84" s="14">
        <v>380</v>
      </c>
      <c r="AD84" s="14">
        <v>245</v>
      </c>
      <c r="AE84" s="14">
        <v>80</v>
      </c>
      <c r="AF84" s="14">
        <v>445</v>
      </c>
      <c r="AG84" s="14">
        <v>886</v>
      </c>
      <c r="AH84" s="14">
        <v>209</v>
      </c>
      <c r="AI84" s="14">
        <v>142</v>
      </c>
      <c r="AJ84" s="14">
        <v>863</v>
      </c>
      <c r="AK84" s="14">
        <v>647</v>
      </c>
      <c r="AM84" s="14">
        <v>13</v>
      </c>
      <c r="AN84" s="14">
        <v>263</v>
      </c>
      <c r="AO84" s="14">
        <v>578</v>
      </c>
      <c r="AP84" s="14">
        <v>226</v>
      </c>
      <c r="AQ84" s="14">
        <v>3174</v>
      </c>
      <c r="AR84" s="14">
        <v>233</v>
      </c>
    </row>
    <row r="85" spans="3:44" x14ac:dyDescent="0.25">
      <c r="C85" s="14">
        <v>261</v>
      </c>
      <c r="D85" s="14">
        <v>211</v>
      </c>
      <c r="E85" s="14">
        <v>57</v>
      </c>
      <c r="F85" s="14">
        <v>29</v>
      </c>
      <c r="H85" s="14">
        <v>52</v>
      </c>
      <c r="I85" s="14">
        <v>152</v>
      </c>
      <c r="Q85" s="14">
        <v>735</v>
      </c>
      <c r="R85" s="14">
        <v>338</v>
      </c>
      <c r="S85" s="14">
        <v>285</v>
      </c>
      <c r="T85" s="14">
        <v>123</v>
      </c>
      <c r="U85" s="14">
        <v>398</v>
      </c>
      <c r="V85" s="14">
        <v>413</v>
      </c>
      <c r="W85" s="14">
        <v>154</v>
      </c>
      <c r="Y85" s="14">
        <v>376</v>
      </c>
      <c r="Z85" s="14">
        <v>616</v>
      </c>
      <c r="AA85" s="14">
        <v>651</v>
      </c>
      <c r="AC85" s="14">
        <v>208</v>
      </c>
      <c r="AD85" s="14">
        <v>213</v>
      </c>
      <c r="AE85" s="14">
        <v>22</v>
      </c>
      <c r="AF85" s="14">
        <v>280</v>
      </c>
      <c r="AG85" s="14">
        <v>596</v>
      </c>
      <c r="AH85" s="14">
        <v>348</v>
      </c>
      <c r="AI85" s="14">
        <v>46</v>
      </c>
      <c r="AJ85" s="14">
        <v>280</v>
      </c>
      <c r="AK85" s="14">
        <v>102</v>
      </c>
      <c r="AM85" s="14">
        <v>495</v>
      </c>
      <c r="AN85" s="14">
        <v>143</v>
      </c>
      <c r="AO85" s="14">
        <v>157</v>
      </c>
      <c r="AP85" s="14">
        <v>577</v>
      </c>
      <c r="AQ85" s="14">
        <v>1456</v>
      </c>
      <c r="AR85" s="14">
        <v>677</v>
      </c>
    </row>
    <row r="86" spans="3:44" x14ac:dyDescent="0.25">
      <c r="C86" s="14">
        <v>169</v>
      </c>
      <c r="D86" s="14">
        <v>380</v>
      </c>
      <c r="E86" s="14">
        <v>48</v>
      </c>
      <c r="F86" s="14">
        <v>160</v>
      </c>
      <c r="H86" s="14">
        <v>440</v>
      </c>
      <c r="I86" s="14">
        <v>204</v>
      </c>
      <c r="Q86" s="14">
        <v>955</v>
      </c>
      <c r="R86" s="14">
        <v>591</v>
      </c>
      <c r="S86" s="14">
        <v>452</v>
      </c>
      <c r="T86" s="14">
        <v>133</v>
      </c>
      <c r="U86" s="14">
        <v>181</v>
      </c>
      <c r="V86" s="14">
        <v>945</v>
      </c>
      <c r="W86" s="14">
        <v>201</v>
      </c>
      <c r="Y86" s="14">
        <v>188</v>
      </c>
      <c r="Z86" s="14">
        <v>521</v>
      </c>
      <c r="AA86" s="14">
        <v>622</v>
      </c>
      <c r="AC86" s="14">
        <v>383</v>
      </c>
      <c r="AD86" s="14">
        <v>211</v>
      </c>
      <c r="AE86" s="14">
        <v>250</v>
      </c>
      <c r="AF86" s="14">
        <v>420</v>
      </c>
      <c r="AG86" s="14">
        <v>916</v>
      </c>
      <c r="AH86" s="14">
        <v>646</v>
      </c>
      <c r="AI86" s="14">
        <v>156</v>
      </c>
      <c r="AJ86" s="14">
        <v>439</v>
      </c>
      <c r="AK86" s="14">
        <v>47</v>
      </c>
      <c r="AM86" s="14">
        <v>320</v>
      </c>
      <c r="AN86" s="14">
        <v>54</v>
      </c>
      <c r="AO86" s="14">
        <v>214</v>
      </c>
      <c r="AP86" s="14">
        <v>63</v>
      </c>
      <c r="AQ86" s="14">
        <v>2123</v>
      </c>
      <c r="AR86" s="14">
        <v>391</v>
      </c>
    </row>
    <row r="87" spans="3:44" x14ac:dyDescent="0.25">
      <c r="C87" s="14">
        <v>256</v>
      </c>
      <c r="D87" s="14">
        <v>403</v>
      </c>
      <c r="E87" s="14">
        <v>15</v>
      </c>
      <c r="H87" s="14">
        <v>15</v>
      </c>
      <c r="I87" s="14">
        <v>262</v>
      </c>
      <c r="Q87" s="14">
        <v>467</v>
      </c>
      <c r="R87" s="14">
        <v>127</v>
      </c>
      <c r="S87" s="14">
        <v>194</v>
      </c>
      <c r="T87" s="14">
        <v>110</v>
      </c>
      <c r="U87" s="14">
        <v>107</v>
      </c>
      <c r="V87" s="14">
        <v>682</v>
      </c>
      <c r="W87" s="14">
        <v>352</v>
      </c>
      <c r="Y87" s="14">
        <v>911</v>
      </c>
      <c r="Z87" s="14">
        <v>702</v>
      </c>
      <c r="AA87" s="14">
        <v>325</v>
      </c>
      <c r="AC87" s="14">
        <v>659</v>
      </c>
      <c r="AD87" s="14">
        <v>327</v>
      </c>
      <c r="AE87" s="14">
        <v>61</v>
      </c>
      <c r="AF87" s="14">
        <v>481</v>
      </c>
      <c r="AG87" s="14">
        <v>583</v>
      </c>
      <c r="AH87" s="14">
        <v>519</v>
      </c>
      <c r="AI87" s="14">
        <v>133</v>
      </c>
      <c r="AJ87" s="14">
        <v>251</v>
      </c>
      <c r="AK87" s="14">
        <v>581</v>
      </c>
      <c r="AM87" s="14">
        <v>429</v>
      </c>
      <c r="AN87" s="14">
        <v>131</v>
      </c>
      <c r="AO87" s="14">
        <v>165</v>
      </c>
      <c r="AP87" s="14">
        <v>242</v>
      </c>
      <c r="AQ87" s="14">
        <v>1039</v>
      </c>
      <c r="AR87" s="14">
        <v>421</v>
      </c>
    </row>
    <row r="88" spans="3:44" x14ac:dyDescent="0.25">
      <c r="C88" s="14">
        <v>212</v>
      </c>
      <c r="D88" s="14">
        <v>320</v>
      </c>
      <c r="E88" s="14">
        <v>3</v>
      </c>
      <c r="H88" s="14">
        <v>108</v>
      </c>
      <c r="I88" s="14">
        <v>339</v>
      </c>
      <c r="Q88" s="14">
        <v>294</v>
      </c>
      <c r="R88" s="14">
        <v>200</v>
      </c>
      <c r="S88" s="14">
        <v>255</v>
      </c>
      <c r="T88" s="14">
        <v>161</v>
      </c>
      <c r="U88" s="14">
        <v>121</v>
      </c>
      <c r="V88" s="14">
        <v>425</v>
      </c>
      <c r="W88" s="14">
        <v>286</v>
      </c>
      <c r="Y88" s="14">
        <v>288</v>
      </c>
      <c r="Z88" s="14">
        <v>947</v>
      </c>
      <c r="AA88" s="14">
        <v>775</v>
      </c>
      <c r="AC88" s="14">
        <v>578</v>
      </c>
      <c r="AD88" s="14">
        <v>158</v>
      </c>
      <c r="AE88" s="14">
        <v>100</v>
      </c>
      <c r="AF88" s="14">
        <v>312</v>
      </c>
      <c r="AG88" s="14">
        <v>10</v>
      </c>
      <c r="AH88" s="14">
        <v>117</v>
      </c>
      <c r="AI88" s="14">
        <v>143</v>
      </c>
      <c r="AJ88" s="14">
        <v>386</v>
      </c>
      <c r="AK88" s="14">
        <v>282</v>
      </c>
      <c r="AM88" s="14">
        <v>424</v>
      </c>
      <c r="AN88" s="14">
        <v>150</v>
      </c>
      <c r="AO88" s="14">
        <v>779</v>
      </c>
      <c r="AP88" s="14">
        <v>265</v>
      </c>
      <c r="AQ88" s="14">
        <v>2989</v>
      </c>
      <c r="AR88" s="14">
        <v>251</v>
      </c>
    </row>
    <row r="89" spans="3:44" x14ac:dyDescent="0.25">
      <c r="C89" s="14">
        <v>273</v>
      </c>
      <c r="D89" s="14">
        <v>402</v>
      </c>
      <c r="E89" s="14">
        <v>311</v>
      </c>
      <c r="H89" s="14">
        <v>21</v>
      </c>
      <c r="I89" s="14">
        <v>374</v>
      </c>
      <c r="Q89" s="14">
        <v>126</v>
      </c>
      <c r="R89" s="14">
        <v>294</v>
      </c>
      <c r="S89" s="14">
        <v>182</v>
      </c>
      <c r="T89" s="14">
        <v>260</v>
      </c>
      <c r="U89" s="14">
        <v>192</v>
      </c>
      <c r="V89" s="14">
        <v>908</v>
      </c>
      <c r="W89" s="14">
        <v>158</v>
      </c>
      <c r="Y89" s="14">
        <v>389</v>
      </c>
      <c r="Z89" s="14">
        <v>833</v>
      </c>
      <c r="AA89" s="14">
        <v>110</v>
      </c>
      <c r="AC89" s="14">
        <v>435</v>
      </c>
      <c r="AD89" s="14">
        <v>288</v>
      </c>
      <c r="AE89" s="14">
        <v>187</v>
      </c>
      <c r="AF89" s="14">
        <v>126</v>
      </c>
      <c r="AG89" s="14">
        <v>185</v>
      </c>
      <c r="AH89" s="14">
        <v>143</v>
      </c>
      <c r="AI89" s="14">
        <v>631</v>
      </c>
      <c r="AJ89" s="14">
        <v>27</v>
      </c>
      <c r="AK89" s="14">
        <v>325</v>
      </c>
      <c r="AM89" s="14">
        <v>214</v>
      </c>
      <c r="AN89" s="14">
        <v>263</v>
      </c>
      <c r="AO89" s="14">
        <v>140</v>
      </c>
      <c r="AP89" s="14">
        <v>313</v>
      </c>
      <c r="AQ89" s="14">
        <v>972</v>
      </c>
      <c r="AR89" s="14">
        <v>289</v>
      </c>
    </row>
    <row r="90" spans="3:44" x14ac:dyDescent="0.25">
      <c r="C90" s="14">
        <v>298</v>
      </c>
      <c r="D90" s="14">
        <v>74</v>
      </c>
      <c r="E90" s="14">
        <v>320</v>
      </c>
      <c r="H90" s="14">
        <v>9</v>
      </c>
      <c r="I90" s="14">
        <v>395</v>
      </c>
      <c r="Q90" s="14">
        <v>177</v>
      </c>
      <c r="R90" s="14">
        <v>146</v>
      </c>
      <c r="S90" s="14">
        <v>693</v>
      </c>
      <c r="T90" s="14">
        <v>105</v>
      </c>
      <c r="U90" s="14">
        <v>126</v>
      </c>
      <c r="V90" s="14">
        <v>84</v>
      </c>
      <c r="W90" s="14">
        <v>211</v>
      </c>
      <c r="Y90" s="14">
        <v>138</v>
      </c>
      <c r="Z90" s="14">
        <v>602</v>
      </c>
      <c r="AA90" s="14">
        <v>340</v>
      </c>
      <c r="AC90" s="14">
        <v>184</v>
      </c>
      <c r="AD90" s="14">
        <v>244</v>
      </c>
      <c r="AE90" s="14">
        <v>170</v>
      </c>
      <c r="AF90" s="14">
        <v>78</v>
      </c>
      <c r="AG90" s="14">
        <v>527</v>
      </c>
      <c r="AH90" s="14">
        <v>974</v>
      </c>
      <c r="AI90" s="14">
        <v>222</v>
      </c>
      <c r="AJ90" s="14">
        <v>285</v>
      </c>
      <c r="AK90" s="14">
        <v>251</v>
      </c>
      <c r="AM90" s="14">
        <v>298</v>
      </c>
      <c r="AN90" s="14">
        <v>173</v>
      </c>
      <c r="AO90" s="14">
        <v>767</v>
      </c>
      <c r="AP90" s="14">
        <v>80</v>
      </c>
      <c r="AQ90" s="14">
        <v>2042</v>
      </c>
      <c r="AR90" s="14">
        <v>59</v>
      </c>
    </row>
    <row r="91" spans="3:44" x14ac:dyDescent="0.25">
      <c r="C91" s="14">
        <v>225</v>
      </c>
      <c r="D91" s="14">
        <v>143</v>
      </c>
      <c r="E91" s="14">
        <v>351</v>
      </c>
      <c r="H91" s="14">
        <v>19</v>
      </c>
      <c r="I91" s="14">
        <v>404</v>
      </c>
      <c r="Q91" s="14">
        <v>595</v>
      </c>
      <c r="R91" s="14">
        <v>373</v>
      </c>
      <c r="S91" s="14">
        <v>128</v>
      </c>
      <c r="T91" s="14">
        <v>462</v>
      </c>
      <c r="U91" s="14">
        <v>526</v>
      </c>
      <c r="V91" s="14">
        <v>248</v>
      </c>
      <c r="W91" s="14">
        <v>449</v>
      </c>
      <c r="Y91" s="14">
        <v>297</v>
      </c>
      <c r="Z91" s="14">
        <v>148</v>
      </c>
      <c r="AA91" s="14">
        <v>359</v>
      </c>
      <c r="AC91" s="14">
        <v>436</v>
      </c>
      <c r="AD91" s="14">
        <v>85</v>
      </c>
      <c r="AE91" s="14">
        <v>240</v>
      </c>
      <c r="AF91" s="14">
        <v>122</v>
      </c>
      <c r="AG91" s="14">
        <v>111</v>
      </c>
      <c r="AH91" s="14">
        <v>144</v>
      </c>
      <c r="AI91" s="14">
        <v>75</v>
      </c>
      <c r="AJ91" s="14">
        <v>225</v>
      </c>
      <c r="AK91" s="14">
        <v>315</v>
      </c>
      <c r="AM91" s="14">
        <v>51</v>
      </c>
      <c r="AN91" s="14">
        <v>65</v>
      </c>
      <c r="AO91" s="14">
        <v>560</v>
      </c>
      <c r="AP91" s="14">
        <v>71</v>
      </c>
      <c r="AQ91" s="14">
        <v>1804</v>
      </c>
      <c r="AR91" s="14">
        <v>599</v>
      </c>
    </row>
    <row r="92" spans="3:44" x14ac:dyDescent="0.25">
      <c r="C92" s="14">
        <v>294</v>
      </c>
      <c r="D92" s="14">
        <v>112</v>
      </c>
      <c r="E92" s="14">
        <v>345</v>
      </c>
      <c r="H92" s="14">
        <v>243</v>
      </c>
      <c r="I92" s="14">
        <v>651</v>
      </c>
      <c r="Q92" s="14">
        <v>357</v>
      </c>
      <c r="R92" s="14">
        <v>239</v>
      </c>
      <c r="S92" s="14">
        <v>98</v>
      </c>
      <c r="T92" s="14">
        <v>166</v>
      </c>
      <c r="U92" s="14">
        <v>120</v>
      </c>
      <c r="V92" s="14">
        <v>596</v>
      </c>
      <c r="W92" s="14">
        <v>206</v>
      </c>
      <c r="Y92" s="14">
        <v>264</v>
      </c>
      <c r="Z92" s="14">
        <v>168</v>
      </c>
      <c r="AA92" s="14">
        <v>479</v>
      </c>
      <c r="AC92" s="14">
        <v>163</v>
      </c>
      <c r="AD92" s="14">
        <v>87</v>
      </c>
      <c r="AE92" s="14">
        <v>116</v>
      </c>
      <c r="AF92" s="14">
        <v>336</v>
      </c>
      <c r="AG92" s="14">
        <v>772</v>
      </c>
      <c r="AH92" s="14">
        <v>534</v>
      </c>
      <c r="AI92" s="14">
        <v>124</v>
      </c>
      <c r="AJ92" s="14">
        <v>86</v>
      </c>
      <c r="AK92" s="14">
        <v>343</v>
      </c>
      <c r="AM92" s="14">
        <v>80</v>
      </c>
      <c r="AN92" s="14">
        <v>167</v>
      </c>
      <c r="AO92" s="14">
        <v>4</v>
      </c>
      <c r="AP92" s="14">
        <v>143</v>
      </c>
      <c r="AQ92" s="14">
        <v>1566</v>
      </c>
      <c r="AR92" s="14">
        <v>688</v>
      </c>
    </row>
    <row r="93" spans="3:44" x14ac:dyDescent="0.25">
      <c r="C93" s="14">
        <v>269</v>
      </c>
      <c r="D93" s="14">
        <v>370</v>
      </c>
      <c r="E93" s="14">
        <v>138</v>
      </c>
      <c r="H93" s="14">
        <v>145</v>
      </c>
      <c r="I93" s="14">
        <v>969</v>
      </c>
      <c r="Q93" s="14">
        <v>193</v>
      </c>
      <c r="R93" s="14">
        <v>244</v>
      </c>
      <c r="S93" s="14">
        <v>131</v>
      </c>
      <c r="T93" s="14">
        <v>123</v>
      </c>
      <c r="U93" s="14">
        <v>312</v>
      </c>
      <c r="V93" s="14">
        <v>156</v>
      </c>
      <c r="W93" s="14">
        <v>193</v>
      </c>
      <c r="Y93" s="14">
        <v>429</v>
      </c>
      <c r="Z93" s="14">
        <v>255</v>
      </c>
      <c r="AA93" s="14">
        <v>866</v>
      </c>
      <c r="AC93" s="14">
        <v>387</v>
      </c>
      <c r="AD93" s="14">
        <v>310</v>
      </c>
      <c r="AE93" s="14">
        <v>20</v>
      </c>
      <c r="AF93" s="14">
        <v>189</v>
      </c>
      <c r="AG93" s="14">
        <v>104</v>
      </c>
      <c r="AH93" s="14">
        <v>476</v>
      </c>
      <c r="AI93" s="14">
        <v>156</v>
      </c>
      <c r="AJ93" s="14">
        <v>47</v>
      </c>
      <c r="AK93" s="14">
        <v>323</v>
      </c>
      <c r="AM93" s="14">
        <v>223</v>
      </c>
      <c r="AN93" s="14">
        <v>575</v>
      </c>
      <c r="AO93" s="14">
        <v>230</v>
      </c>
      <c r="AP93" s="14">
        <v>148</v>
      </c>
      <c r="AQ93" s="14">
        <v>2512</v>
      </c>
      <c r="AR93" s="14">
        <v>136</v>
      </c>
    </row>
    <row r="94" spans="3:44" x14ac:dyDescent="0.25">
      <c r="C94" s="14">
        <v>392</v>
      </c>
      <c r="D94" s="14">
        <v>323</v>
      </c>
      <c r="E94" s="14">
        <v>32</v>
      </c>
      <c r="H94" s="14">
        <v>101</v>
      </c>
      <c r="I94" s="14">
        <v>196</v>
      </c>
      <c r="Q94" s="14">
        <v>199</v>
      </c>
      <c r="R94" s="14">
        <v>255</v>
      </c>
      <c r="S94" s="14">
        <v>73</v>
      </c>
      <c r="T94" s="14">
        <v>292</v>
      </c>
      <c r="U94" s="14">
        <v>592</v>
      </c>
      <c r="V94" s="14">
        <v>188</v>
      </c>
      <c r="Y94" s="14">
        <v>123</v>
      </c>
      <c r="Z94" s="14">
        <v>196</v>
      </c>
      <c r="AA94" s="14">
        <v>655</v>
      </c>
      <c r="AC94" s="14">
        <v>320</v>
      </c>
      <c r="AD94" s="14">
        <v>92</v>
      </c>
      <c r="AE94" s="14">
        <v>47</v>
      </c>
      <c r="AF94" s="14">
        <v>481</v>
      </c>
      <c r="AG94" s="14">
        <v>643</v>
      </c>
      <c r="AH94" s="14">
        <v>549</v>
      </c>
      <c r="AI94" s="14">
        <v>138</v>
      </c>
      <c r="AJ94" s="14">
        <v>110</v>
      </c>
      <c r="AK94" s="14">
        <v>238</v>
      </c>
      <c r="AM94" s="14">
        <v>190</v>
      </c>
      <c r="AN94" s="14">
        <v>134</v>
      </c>
      <c r="AO94" s="14">
        <v>645</v>
      </c>
      <c r="AP94" s="14">
        <v>143</v>
      </c>
      <c r="AQ94" s="14">
        <v>1765</v>
      </c>
      <c r="AR94" s="14">
        <v>146</v>
      </c>
    </row>
    <row r="95" spans="3:44" x14ac:dyDescent="0.25">
      <c r="C95" s="14">
        <v>297</v>
      </c>
      <c r="D95" s="14">
        <v>109</v>
      </c>
      <c r="E95" s="14">
        <v>38</v>
      </c>
      <c r="H95" s="14">
        <v>56</v>
      </c>
      <c r="I95" s="14">
        <v>680</v>
      </c>
      <c r="Q95" s="14">
        <v>105</v>
      </c>
      <c r="R95" s="14">
        <v>232</v>
      </c>
      <c r="S95" s="14">
        <v>6</v>
      </c>
      <c r="T95" s="14">
        <v>191</v>
      </c>
      <c r="U95" s="14">
        <v>830</v>
      </c>
      <c r="V95" s="14">
        <v>163</v>
      </c>
      <c r="Y95" s="14">
        <v>665</v>
      </c>
      <c r="Z95" s="14">
        <v>275</v>
      </c>
      <c r="AA95" s="14">
        <v>777</v>
      </c>
      <c r="AC95" s="14">
        <v>617</v>
      </c>
      <c r="AD95" s="14">
        <v>2</v>
      </c>
      <c r="AE95" s="14">
        <v>101</v>
      </c>
      <c r="AF95" s="14">
        <v>376</v>
      </c>
      <c r="AG95" s="14">
        <v>866</v>
      </c>
      <c r="AH95" s="14">
        <v>478</v>
      </c>
      <c r="AI95" s="14">
        <v>175</v>
      </c>
      <c r="AJ95" s="14">
        <v>193</v>
      </c>
      <c r="AK95" s="14">
        <v>200</v>
      </c>
      <c r="AM95" s="14">
        <v>206</v>
      </c>
      <c r="AN95" s="14">
        <v>152</v>
      </c>
      <c r="AO95" s="14">
        <v>438</v>
      </c>
      <c r="AP95" s="14">
        <v>140</v>
      </c>
      <c r="AQ95" s="14">
        <v>2596</v>
      </c>
      <c r="AR95" s="14">
        <v>143</v>
      </c>
    </row>
    <row r="96" spans="3:44" x14ac:dyDescent="0.25">
      <c r="C96" s="14">
        <v>365</v>
      </c>
      <c r="D96" s="14">
        <v>382</v>
      </c>
      <c r="E96" s="14">
        <v>43</v>
      </c>
      <c r="H96" s="14">
        <v>5</v>
      </c>
      <c r="I96" s="14">
        <v>225</v>
      </c>
      <c r="Q96" s="14">
        <v>548</v>
      </c>
      <c r="R96" s="14">
        <v>242</v>
      </c>
      <c r="S96" s="14">
        <v>134</v>
      </c>
      <c r="T96" s="14">
        <v>239</v>
      </c>
      <c r="U96" s="14">
        <v>261</v>
      </c>
      <c r="V96" s="14">
        <v>165</v>
      </c>
      <c r="Y96" s="14">
        <v>159</v>
      </c>
      <c r="Z96" s="14">
        <v>242</v>
      </c>
      <c r="AA96" s="14">
        <v>96</v>
      </c>
      <c r="AC96" s="14">
        <v>554</v>
      </c>
      <c r="AD96" s="14">
        <v>512</v>
      </c>
      <c r="AE96" s="14">
        <v>50</v>
      </c>
      <c r="AF96" s="14">
        <v>462</v>
      </c>
      <c r="AG96" s="14">
        <v>771</v>
      </c>
      <c r="AH96" s="14">
        <v>441</v>
      </c>
      <c r="AI96" s="14">
        <v>163</v>
      </c>
      <c r="AJ96" s="14">
        <v>450</v>
      </c>
      <c r="AK96" s="14">
        <v>262</v>
      </c>
      <c r="AM96" s="14">
        <v>248</v>
      </c>
      <c r="AN96" s="14">
        <v>260</v>
      </c>
      <c r="AO96" s="14">
        <v>6</v>
      </c>
      <c r="AP96" s="14">
        <v>146</v>
      </c>
      <c r="AQ96" s="14">
        <v>7356</v>
      </c>
      <c r="AR96" s="14">
        <v>591</v>
      </c>
    </row>
    <row r="97" spans="3:44" x14ac:dyDescent="0.25">
      <c r="C97" s="14">
        <v>111</v>
      </c>
      <c r="D97" s="14">
        <v>541</v>
      </c>
      <c r="E97" s="14">
        <v>53</v>
      </c>
      <c r="H97" s="14">
        <v>8</v>
      </c>
      <c r="I97" s="14">
        <v>665</v>
      </c>
      <c r="Q97" s="14">
        <v>600</v>
      </c>
      <c r="R97" s="14">
        <v>162</v>
      </c>
      <c r="S97" s="14">
        <v>7</v>
      </c>
      <c r="T97" s="14">
        <v>673</v>
      </c>
      <c r="U97" s="14">
        <v>149</v>
      </c>
      <c r="V97" s="14">
        <v>390</v>
      </c>
      <c r="Y97" s="14">
        <v>707</v>
      </c>
      <c r="Z97" s="14">
        <v>266</v>
      </c>
      <c r="AA97" s="14">
        <v>26</v>
      </c>
      <c r="AC97" s="14">
        <v>376</v>
      </c>
      <c r="AD97" s="14">
        <v>141</v>
      </c>
      <c r="AE97" s="14">
        <v>305</v>
      </c>
      <c r="AF97" s="14">
        <v>347</v>
      </c>
      <c r="AG97" s="14">
        <v>577</v>
      </c>
      <c r="AH97" s="14">
        <v>383</v>
      </c>
      <c r="AI97" s="14">
        <v>8</v>
      </c>
      <c r="AJ97" s="14">
        <v>244</v>
      </c>
      <c r="AK97" s="14">
        <v>171</v>
      </c>
      <c r="AM97" s="14">
        <v>98</v>
      </c>
      <c r="AN97" s="14">
        <v>176</v>
      </c>
      <c r="AO97" s="14">
        <v>919</v>
      </c>
      <c r="AP97" s="14">
        <v>162</v>
      </c>
      <c r="AQ97" s="14">
        <v>1063</v>
      </c>
      <c r="AR97" s="14">
        <v>17</v>
      </c>
    </row>
    <row r="98" spans="3:44" x14ac:dyDescent="0.25">
      <c r="C98" s="14">
        <v>336</v>
      </c>
      <c r="D98" s="14">
        <v>198</v>
      </c>
      <c r="E98" s="14">
        <v>47</v>
      </c>
      <c r="H98" s="14">
        <v>1</v>
      </c>
      <c r="I98" s="14">
        <v>123</v>
      </c>
      <c r="Q98" s="14">
        <v>183</v>
      </c>
      <c r="R98" s="14">
        <v>210</v>
      </c>
      <c r="S98" s="14">
        <v>273</v>
      </c>
      <c r="T98" s="14">
        <v>153</v>
      </c>
      <c r="U98" s="14">
        <v>1</v>
      </c>
      <c r="V98" s="14">
        <v>531</v>
      </c>
      <c r="Y98" s="14">
        <v>279</v>
      </c>
      <c r="Z98" s="14">
        <v>293</v>
      </c>
      <c r="AA98" s="14">
        <v>173</v>
      </c>
      <c r="AC98" s="14">
        <v>166</v>
      </c>
      <c r="AD98" s="14">
        <v>532</v>
      </c>
      <c r="AE98" s="14">
        <v>138</v>
      </c>
      <c r="AF98" s="14">
        <v>465</v>
      </c>
      <c r="AG98" s="14">
        <v>816</v>
      </c>
      <c r="AH98" s="14">
        <v>234</v>
      </c>
      <c r="AI98" s="14">
        <v>28</v>
      </c>
      <c r="AJ98" s="14">
        <v>324</v>
      </c>
      <c r="AK98" s="14">
        <v>335</v>
      </c>
      <c r="AM98" s="14">
        <v>266</v>
      </c>
      <c r="AN98" s="14">
        <v>915</v>
      </c>
      <c r="AO98" s="14">
        <v>143</v>
      </c>
      <c r="AP98" s="14">
        <v>154</v>
      </c>
      <c r="AQ98" s="14">
        <v>5080</v>
      </c>
      <c r="AR98" s="14">
        <v>132</v>
      </c>
    </row>
    <row r="99" spans="3:44" x14ac:dyDescent="0.25">
      <c r="C99" s="14">
        <v>349</v>
      </c>
      <c r="D99" s="14">
        <v>242</v>
      </c>
      <c r="E99" s="14">
        <v>16</v>
      </c>
      <c r="H99" s="14">
        <v>4</v>
      </c>
      <c r="I99" s="14">
        <v>592</v>
      </c>
      <c r="Q99" s="14">
        <v>419</v>
      </c>
      <c r="R99" s="14">
        <v>226</v>
      </c>
      <c r="S99" s="14">
        <v>159</v>
      </c>
      <c r="T99" s="14">
        <v>257</v>
      </c>
      <c r="U99" s="14">
        <v>628</v>
      </c>
      <c r="V99" s="14">
        <v>385</v>
      </c>
      <c r="Y99" s="14">
        <v>180</v>
      </c>
      <c r="Z99" s="14">
        <v>349</v>
      </c>
      <c r="AA99" s="14">
        <v>80</v>
      </c>
      <c r="AC99" s="14">
        <v>392</v>
      </c>
      <c r="AD99" s="14">
        <v>168</v>
      </c>
      <c r="AE99" s="14">
        <v>457</v>
      </c>
      <c r="AF99" s="14">
        <v>490</v>
      </c>
      <c r="AG99" s="14">
        <v>405</v>
      </c>
      <c r="AH99" s="14">
        <v>132</v>
      </c>
      <c r="AI99" s="14">
        <v>7</v>
      </c>
      <c r="AJ99" s="14">
        <v>104</v>
      </c>
      <c r="AK99" s="14">
        <v>220</v>
      </c>
      <c r="AM99" s="14">
        <v>273</v>
      </c>
      <c r="AN99" s="14">
        <v>569</v>
      </c>
      <c r="AO99" s="14">
        <v>107</v>
      </c>
      <c r="AP99" s="14">
        <v>161</v>
      </c>
      <c r="AQ99" s="14">
        <v>3312</v>
      </c>
      <c r="AR99" s="14">
        <v>698</v>
      </c>
    </row>
    <row r="100" spans="3:44" x14ac:dyDescent="0.25">
      <c r="C100" s="14">
        <v>346</v>
      </c>
      <c r="D100" s="14">
        <v>383</v>
      </c>
      <c r="E100" s="14">
        <v>4</v>
      </c>
      <c r="H100" s="14">
        <v>1</v>
      </c>
      <c r="I100" s="14">
        <v>954</v>
      </c>
      <c r="Q100" s="14">
        <v>478</v>
      </c>
      <c r="R100" s="14">
        <v>303</v>
      </c>
      <c r="S100" s="14">
        <v>629</v>
      </c>
      <c r="T100" s="14">
        <v>694</v>
      </c>
      <c r="U100" s="14">
        <v>313</v>
      </c>
      <c r="V100" s="14">
        <v>141</v>
      </c>
      <c r="Y100" s="14">
        <v>194</v>
      </c>
      <c r="Z100" s="14">
        <v>401</v>
      </c>
      <c r="AA100" s="14">
        <v>48</v>
      </c>
      <c r="AC100" s="14">
        <v>98</v>
      </c>
      <c r="AD100" s="14">
        <v>183</v>
      </c>
      <c r="AE100" s="14">
        <v>67</v>
      </c>
      <c r="AF100" s="14">
        <v>478</v>
      </c>
      <c r="AG100" s="14">
        <v>433</v>
      </c>
      <c r="AH100" s="14">
        <v>131</v>
      </c>
      <c r="AI100" s="14">
        <v>52</v>
      </c>
      <c r="AJ100" s="14">
        <v>236</v>
      </c>
      <c r="AK100" s="14">
        <v>267</v>
      </c>
      <c r="AM100" s="14">
        <v>268</v>
      </c>
      <c r="AN100" s="14">
        <v>12</v>
      </c>
      <c r="AO100" s="14">
        <v>32</v>
      </c>
      <c r="AP100" s="14">
        <v>160</v>
      </c>
      <c r="AQ100" s="14">
        <v>1005</v>
      </c>
      <c r="AR100" s="14">
        <v>1214</v>
      </c>
    </row>
    <row r="101" spans="3:44" x14ac:dyDescent="0.25">
      <c r="C101" s="14">
        <v>336</v>
      </c>
      <c r="D101" s="14">
        <v>737</v>
      </c>
      <c r="E101" s="14">
        <v>287</v>
      </c>
      <c r="H101" s="14">
        <v>365</v>
      </c>
      <c r="I101" s="14">
        <v>814</v>
      </c>
      <c r="Q101" s="14">
        <v>243</v>
      </c>
      <c r="R101" s="14">
        <v>228</v>
      </c>
      <c r="S101" s="14">
        <v>324</v>
      </c>
      <c r="T101" s="14">
        <v>161</v>
      </c>
      <c r="U101" s="14">
        <v>547</v>
      </c>
      <c r="V101" s="14">
        <v>151</v>
      </c>
      <c r="Y101" s="14">
        <v>227</v>
      </c>
      <c r="Z101" s="14">
        <v>236</v>
      </c>
      <c r="AA101" s="14">
        <v>76</v>
      </c>
      <c r="AC101" s="14">
        <v>778</v>
      </c>
      <c r="AD101" s="14">
        <v>171</v>
      </c>
      <c r="AE101" s="14">
        <v>172</v>
      </c>
      <c r="AF101" s="14">
        <v>375</v>
      </c>
      <c r="AG101" s="14">
        <v>334</v>
      </c>
      <c r="AH101" s="14">
        <v>118</v>
      </c>
      <c r="AI101" s="14">
        <v>90</v>
      </c>
      <c r="AJ101" s="14">
        <v>190</v>
      </c>
      <c r="AK101" s="14">
        <v>275</v>
      </c>
      <c r="AM101" s="14">
        <v>180</v>
      </c>
      <c r="AN101" s="14">
        <v>134</v>
      </c>
      <c r="AO101" s="14">
        <v>590</v>
      </c>
      <c r="AP101" s="14">
        <v>161</v>
      </c>
      <c r="AQ101" s="14">
        <v>6423</v>
      </c>
      <c r="AR101" s="14">
        <v>377</v>
      </c>
    </row>
    <row r="102" spans="3:44" x14ac:dyDescent="0.25">
      <c r="C102" s="14">
        <v>371</v>
      </c>
      <c r="D102" s="14">
        <v>416</v>
      </c>
      <c r="E102" s="14">
        <v>297</v>
      </c>
      <c r="H102" s="14">
        <v>543</v>
      </c>
      <c r="I102" s="14">
        <v>951</v>
      </c>
      <c r="Q102" s="14">
        <v>117</v>
      </c>
      <c r="R102" s="14">
        <v>301</v>
      </c>
      <c r="S102" s="14">
        <v>630</v>
      </c>
      <c r="T102" s="14">
        <v>314</v>
      </c>
      <c r="U102" s="14">
        <v>256</v>
      </c>
      <c r="V102" s="14">
        <v>241</v>
      </c>
      <c r="Y102" s="14">
        <v>137</v>
      </c>
      <c r="Z102" s="14">
        <v>236</v>
      </c>
      <c r="AA102" s="14">
        <v>46</v>
      </c>
      <c r="AD102" s="14">
        <v>195</v>
      </c>
      <c r="AE102" s="14">
        <v>41</v>
      </c>
      <c r="AF102" s="14">
        <v>297</v>
      </c>
      <c r="AG102" s="14">
        <v>26</v>
      </c>
      <c r="AH102" s="14">
        <v>895</v>
      </c>
      <c r="AI102" s="14">
        <v>13</v>
      </c>
      <c r="AJ102" s="14">
        <v>412</v>
      </c>
      <c r="AK102" s="14">
        <v>60</v>
      </c>
      <c r="AM102" s="14">
        <v>144</v>
      </c>
      <c r="AN102" s="14">
        <v>152</v>
      </c>
      <c r="AO102" s="14">
        <v>734</v>
      </c>
      <c r="AP102" s="14">
        <v>159</v>
      </c>
      <c r="AQ102" s="14">
        <v>1820</v>
      </c>
      <c r="AR102" s="14">
        <v>289</v>
      </c>
    </row>
    <row r="103" spans="3:44" x14ac:dyDescent="0.25">
      <c r="C103" s="14">
        <v>308</v>
      </c>
      <c r="D103" s="14">
        <v>528</v>
      </c>
      <c r="E103" s="14">
        <v>327</v>
      </c>
      <c r="H103" s="14">
        <v>6</v>
      </c>
      <c r="I103" s="14">
        <v>179</v>
      </c>
      <c r="Q103" s="14">
        <v>174</v>
      </c>
      <c r="R103" s="14">
        <v>8</v>
      </c>
      <c r="S103" s="14">
        <v>521</v>
      </c>
      <c r="T103" s="14">
        <v>685</v>
      </c>
      <c r="U103" s="14">
        <v>211</v>
      </c>
      <c r="V103" s="14">
        <v>233</v>
      </c>
      <c r="Y103" s="14">
        <v>124</v>
      </c>
      <c r="Z103" s="14">
        <v>321</v>
      </c>
      <c r="AA103" s="14">
        <v>226</v>
      </c>
      <c r="AD103" s="14">
        <v>151</v>
      </c>
      <c r="AE103" s="14">
        <v>89</v>
      </c>
      <c r="AF103" s="14">
        <v>746</v>
      </c>
      <c r="AG103" s="14">
        <v>341</v>
      </c>
      <c r="AH103" s="14">
        <v>130</v>
      </c>
      <c r="AI103" s="14">
        <v>141</v>
      </c>
      <c r="AJ103" s="14">
        <v>122</v>
      </c>
      <c r="AK103" s="14">
        <v>12</v>
      </c>
      <c r="AM103" s="14">
        <v>184</v>
      </c>
      <c r="AN103" s="14">
        <v>132</v>
      </c>
      <c r="AO103" s="14">
        <v>523</v>
      </c>
      <c r="AP103" s="14">
        <v>158</v>
      </c>
      <c r="AQ103" s="14">
        <v>8634</v>
      </c>
      <c r="AR103" s="14">
        <v>236</v>
      </c>
    </row>
    <row r="104" spans="3:44" x14ac:dyDescent="0.25">
      <c r="C104" s="14">
        <v>304</v>
      </c>
      <c r="D104" s="14">
        <v>766</v>
      </c>
      <c r="E104" s="14">
        <v>324</v>
      </c>
      <c r="H104" s="14">
        <v>166</v>
      </c>
      <c r="I104" s="14">
        <v>567</v>
      </c>
      <c r="Q104" s="14">
        <v>76</v>
      </c>
      <c r="R104" s="14">
        <v>19</v>
      </c>
      <c r="S104" s="14">
        <v>384</v>
      </c>
      <c r="T104" s="14">
        <v>965</v>
      </c>
      <c r="U104" s="14">
        <v>114</v>
      </c>
      <c r="V104" s="14">
        <v>267</v>
      </c>
      <c r="Y104" s="14">
        <v>324</v>
      </c>
      <c r="Z104" s="14">
        <v>504</v>
      </c>
      <c r="AA104" s="14">
        <v>124</v>
      </c>
      <c r="AD104" s="14">
        <v>144</v>
      </c>
      <c r="AE104" s="14">
        <v>196</v>
      </c>
      <c r="AG104" s="14">
        <v>75</v>
      </c>
      <c r="AH104" s="14">
        <v>190</v>
      </c>
      <c r="AI104" s="14">
        <v>152</v>
      </c>
      <c r="AJ104" s="14">
        <v>3</v>
      </c>
      <c r="AK104" s="14">
        <v>28</v>
      </c>
      <c r="AM104" s="14">
        <v>759</v>
      </c>
      <c r="AN104" s="14">
        <v>175</v>
      </c>
      <c r="AO104" s="14">
        <v>125</v>
      </c>
      <c r="AP104" s="14">
        <v>157</v>
      </c>
      <c r="AQ104" s="14">
        <v>3561</v>
      </c>
      <c r="AR104" s="14">
        <v>284</v>
      </c>
    </row>
    <row r="105" spans="3:44" x14ac:dyDescent="0.25">
      <c r="C105" s="14">
        <v>220</v>
      </c>
      <c r="D105" s="14">
        <v>220</v>
      </c>
      <c r="E105" s="14">
        <v>131</v>
      </c>
      <c r="H105" s="14">
        <v>1</v>
      </c>
      <c r="I105" s="14">
        <v>388</v>
      </c>
      <c r="Q105" s="14">
        <v>545</v>
      </c>
      <c r="R105" s="14">
        <v>17</v>
      </c>
      <c r="S105" s="14">
        <v>8</v>
      </c>
      <c r="T105" s="14">
        <v>261</v>
      </c>
      <c r="U105" s="14">
        <v>264</v>
      </c>
      <c r="V105" s="14">
        <v>164</v>
      </c>
      <c r="Y105" s="14">
        <v>139</v>
      </c>
      <c r="Z105" s="14">
        <v>570</v>
      </c>
      <c r="AA105" s="14">
        <v>338</v>
      </c>
      <c r="AD105" s="14">
        <v>376</v>
      </c>
      <c r="AE105" s="14">
        <v>287</v>
      </c>
      <c r="AG105" s="14">
        <v>79</v>
      </c>
      <c r="AH105" s="14">
        <v>887</v>
      </c>
      <c r="AI105" s="14">
        <v>10</v>
      </c>
      <c r="AJ105" s="14">
        <v>356</v>
      </c>
      <c r="AK105" s="14">
        <v>129</v>
      </c>
      <c r="AM105" s="14">
        <v>356</v>
      </c>
      <c r="AN105" s="14">
        <v>168</v>
      </c>
      <c r="AO105" s="14">
        <v>331</v>
      </c>
      <c r="AP105" s="14">
        <v>160</v>
      </c>
      <c r="AQ105" s="14">
        <v>2726</v>
      </c>
      <c r="AR105" s="14">
        <v>233</v>
      </c>
    </row>
    <row r="106" spans="3:44" x14ac:dyDescent="0.25">
      <c r="C106" s="14">
        <v>256</v>
      </c>
      <c r="D106" s="14">
        <v>175</v>
      </c>
      <c r="E106" s="14">
        <v>31</v>
      </c>
      <c r="H106" s="14">
        <v>96</v>
      </c>
      <c r="I106" s="14">
        <v>478</v>
      </c>
      <c r="Q106" s="14">
        <v>536</v>
      </c>
      <c r="R106" s="14">
        <v>69</v>
      </c>
      <c r="S106" s="14">
        <v>3</v>
      </c>
      <c r="T106" s="14">
        <v>689</v>
      </c>
      <c r="U106" s="14">
        <v>426</v>
      </c>
      <c r="V106" s="14">
        <v>157</v>
      </c>
      <c r="Y106" s="14">
        <v>217</v>
      </c>
      <c r="Z106" s="14">
        <v>32</v>
      </c>
      <c r="AA106" s="14">
        <v>250</v>
      </c>
      <c r="AD106" s="14">
        <v>16</v>
      </c>
      <c r="AE106" s="14">
        <v>49</v>
      </c>
      <c r="AG106" s="14">
        <v>222</v>
      </c>
      <c r="AH106" s="14">
        <v>656</v>
      </c>
      <c r="AI106" s="14">
        <v>159</v>
      </c>
      <c r="AJ106" s="14">
        <v>474</v>
      </c>
      <c r="AK106" s="14">
        <v>85</v>
      </c>
      <c r="AM106" s="14">
        <v>26</v>
      </c>
      <c r="AN106" s="14">
        <v>579</v>
      </c>
      <c r="AO106" s="14">
        <v>213</v>
      </c>
      <c r="AP106" s="14">
        <v>168</v>
      </c>
      <c r="AQ106" s="14">
        <v>4526</v>
      </c>
      <c r="AR106" s="14">
        <v>220</v>
      </c>
    </row>
    <row r="107" spans="3:44" x14ac:dyDescent="0.25">
      <c r="C107" s="14">
        <v>214</v>
      </c>
      <c r="D107" s="14">
        <v>338</v>
      </c>
      <c r="E107" s="14">
        <v>268</v>
      </c>
      <c r="H107" s="14">
        <v>11</v>
      </c>
      <c r="I107" s="14">
        <v>519</v>
      </c>
      <c r="Q107" s="14">
        <v>200</v>
      </c>
      <c r="R107" s="14">
        <v>89</v>
      </c>
      <c r="S107" s="14">
        <v>972</v>
      </c>
      <c r="T107" s="14">
        <v>818</v>
      </c>
      <c r="U107" s="14">
        <v>114</v>
      </c>
      <c r="V107" s="14">
        <v>126</v>
      </c>
      <c r="Y107" s="14">
        <v>235</v>
      </c>
      <c r="Z107" s="14">
        <v>732</v>
      </c>
      <c r="AA107" s="14">
        <v>62</v>
      </c>
      <c r="AD107" s="14">
        <v>327</v>
      </c>
      <c r="AE107" s="14">
        <v>72</v>
      </c>
      <c r="AG107" s="14">
        <v>197</v>
      </c>
      <c r="AH107" s="14">
        <v>428</v>
      </c>
      <c r="AI107" s="14">
        <v>110</v>
      </c>
      <c r="AJ107" s="14">
        <v>401</v>
      </c>
      <c r="AK107" s="14">
        <v>564</v>
      </c>
      <c r="AM107" s="14">
        <v>240</v>
      </c>
      <c r="AN107" s="14">
        <v>235</v>
      </c>
      <c r="AO107" s="14">
        <v>765</v>
      </c>
      <c r="AP107" s="14">
        <v>167</v>
      </c>
      <c r="AQ107" s="14">
        <v>1825</v>
      </c>
      <c r="AR107" s="14">
        <v>428</v>
      </c>
    </row>
    <row r="108" spans="3:44" x14ac:dyDescent="0.25">
      <c r="C108" s="14">
        <v>178</v>
      </c>
      <c r="D108" s="14">
        <v>474</v>
      </c>
      <c r="E108" s="14">
        <v>393</v>
      </c>
      <c r="H108" s="14">
        <v>4</v>
      </c>
      <c r="I108" s="14">
        <v>543</v>
      </c>
      <c r="Q108" s="14">
        <v>579</v>
      </c>
      <c r="R108" s="14">
        <v>19</v>
      </c>
      <c r="S108" s="14">
        <v>272</v>
      </c>
      <c r="T108" s="14">
        <v>259</v>
      </c>
      <c r="U108" s="14">
        <v>153</v>
      </c>
      <c r="V108" s="14">
        <v>577</v>
      </c>
      <c r="Y108" s="14">
        <v>118</v>
      </c>
      <c r="Z108" s="14">
        <v>862</v>
      </c>
      <c r="AA108" s="14">
        <v>362</v>
      </c>
      <c r="AD108" s="14">
        <v>139</v>
      </c>
      <c r="AE108" s="14">
        <v>152</v>
      </c>
      <c r="AG108" s="14">
        <v>58</v>
      </c>
      <c r="AH108" s="14">
        <v>372</v>
      </c>
      <c r="AI108" s="14">
        <v>63</v>
      </c>
      <c r="AJ108" s="14">
        <v>396</v>
      </c>
      <c r="AK108" s="14">
        <v>88</v>
      </c>
      <c r="AM108" s="14">
        <v>178</v>
      </c>
      <c r="AN108" s="14">
        <v>133</v>
      </c>
      <c r="AO108" s="14">
        <v>141</v>
      </c>
      <c r="AP108" s="14">
        <v>355</v>
      </c>
      <c r="AQ108" s="14">
        <v>4362</v>
      </c>
      <c r="AR108" s="14">
        <v>267</v>
      </c>
    </row>
    <row r="109" spans="3:44" x14ac:dyDescent="0.25">
      <c r="C109" s="14">
        <v>695</v>
      </c>
      <c r="D109" s="14">
        <v>369</v>
      </c>
      <c r="E109" s="14">
        <v>824</v>
      </c>
      <c r="H109" s="14">
        <v>11</v>
      </c>
      <c r="I109" s="14">
        <v>108</v>
      </c>
      <c r="Q109" s="14">
        <v>169</v>
      </c>
      <c r="R109" s="14">
        <v>79</v>
      </c>
      <c r="S109" s="14">
        <v>25</v>
      </c>
      <c r="T109" s="14">
        <v>156</v>
      </c>
      <c r="U109" s="14">
        <v>331</v>
      </c>
      <c r="V109" s="14">
        <v>530</v>
      </c>
      <c r="Y109" s="14">
        <v>422</v>
      </c>
      <c r="Z109" s="14">
        <v>891</v>
      </c>
      <c r="AA109" s="14">
        <v>496</v>
      </c>
      <c r="AD109" s="14">
        <v>355</v>
      </c>
      <c r="AE109" s="14">
        <v>415</v>
      </c>
      <c r="AG109" s="14">
        <v>71</v>
      </c>
      <c r="AH109" s="14">
        <v>234</v>
      </c>
      <c r="AI109" s="14">
        <v>63</v>
      </c>
      <c r="AJ109" s="14">
        <v>103</v>
      </c>
      <c r="AK109" s="14">
        <v>29</v>
      </c>
      <c r="AM109" s="14">
        <v>377</v>
      </c>
      <c r="AN109" s="14">
        <v>152</v>
      </c>
      <c r="AO109" s="14">
        <v>147</v>
      </c>
      <c r="AP109" s="14">
        <v>368</v>
      </c>
      <c r="AQ109" s="14">
        <v>1252</v>
      </c>
      <c r="AR109" s="14">
        <v>202</v>
      </c>
    </row>
    <row r="110" spans="3:44" x14ac:dyDescent="0.25">
      <c r="C110" s="14">
        <v>278</v>
      </c>
      <c r="D110" s="14">
        <v>372</v>
      </c>
      <c r="E110" s="14">
        <v>365</v>
      </c>
      <c r="H110" s="14">
        <v>37</v>
      </c>
      <c r="I110" s="14">
        <v>518</v>
      </c>
      <c r="Q110" s="14">
        <v>182</v>
      </c>
      <c r="R110" s="14">
        <v>108</v>
      </c>
      <c r="S110" s="14">
        <v>566</v>
      </c>
      <c r="T110" s="14">
        <v>385</v>
      </c>
      <c r="U110" s="14">
        <v>451</v>
      </c>
      <c r="V110" s="14">
        <v>357</v>
      </c>
      <c r="Y110" s="14">
        <v>225</v>
      </c>
      <c r="Z110" s="14">
        <v>822</v>
      </c>
      <c r="AA110" s="14">
        <v>528</v>
      </c>
      <c r="AD110" s="14">
        <v>416</v>
      </c>
      <c r="AE110" s="14">
        <v>69</v>
      </c>
      <c r="AG110" s="14">
        <v>62</v>
      </c>
      <c r="AH110" s="14">
        <v>131</v>
      </c>
      <c r="AI110" s="14">
        <v>363</v>
      </c>
      <c r="AJ110" s="14">
        <v>181</v>
      </c>
      <c r="AK110" s="14">
        <v>187</v>
      </c>
      <c r="AM110" s="14">
        <v>371</v>
      </c>
      <c r="AN110" s="14">
        <v>254</v>
      </c>
      <c r="AO110" s="14">
        <v>121</v>
      </c>
      <c r="AP110" s="14">
        <v>379</v>
      </c>
      <c r="AQ110" s="14">
        <v>5433</v>
      </c>
      <c r="AR110" s="14">
        <v>439</v>
      </c>
    </row>
    <row r="111" spans="3:44" x14ac:dyDescent="0.25">
      <c r="C111" s="14">
        <v>148</v>
      </c>
      <c r="D111" s="14">
        <v>371</v>
      </c>
      <c r="E111" s="14">
        <v>276</v>
      </c>
      <c r="H111" s="14">
        <v>87</v>
      </c>
      <c r="I111" s="14">
        <v>653</v>
      </c>
      <c r="Q111" s="14">
        <v>494</v>
      </c>
      <c r="R111" s="14">
        <v>47</v>
      </c>
      <c r="S111" s="14">
        <v>273</v>
      </c>
      <c r="T111" s="14">
        <v>150</v>
      </c>
      <c r="U111" s="14">
        <v>167</v>
      </c>
      <c r="V111" s="14">
        <v>141</v>
      </c>
      <c r="Y111" s="14">
        <v>987</v>
      </c>
      <c r="Z111" s="14">
        <v>720</v>
      </c>
      <c r="AA111" s="14">
        <v>376</v>
      </c>
      <c r="AD111" s="14">
        <v>144</v>
      </c>
      <c r="AE111" s="14">
        <v>89</v>
      </c>
      <c r="AG111" s="14">
        <v>26</v>
      </c>
      <c r="AH111" s="14">
        <v>130</v>
      </c>
      <c r="AI111" s="14">
        <v>522</v>
      </c>
      <c r="AJ111" s="14">
        <v>381</v>
      </c>
      <c r="AK111" s="14">
        <v>13</v>
      </c>
      <c r="AM111" s="14">
        <v>328</v>
      </c>
      <c r="AN111" s="14">
        <v>174</v>
      </c>
      <c r="AO111" s="14">
        <v>998</v>
      </c>
      <c r="AP111" s="14">
        <v>365</v>
      </c>
      <c r="AQ111" s="14">
        <v>2173</v>
      </c>
      <c r="AR111" s="14">
        <v>229</v>
      </c>
    </row>
    <row r="112" spans="3:44" x14ac:dyDescent="0.25">
      <c r="C112" s="14">
        <v>300</v>
      </c>
      <c r="D112" s="14">
        <v>356</v>
      </c>
      <c r="E112" s="14">
        <v>21</v>
      </c>
      <c r="H112" s="14">
        <v>135</v>
      </c>
      <c r="I112" s="14">
        <v>957</v>
      </c>
      <c r="Q112" s="14">
        <v>402</v>
      </c>
      <c r="R112" s="14">
        <v>89</v>
      </c>
      <c r="S112" s="14">
        <v>102</v>
      </c>
      <c r="T112" s="14">
        <v>90</v>
      </c>
      <c r="U112" s="14">
        <v>858</v>
      </c>
      <c r="V112" s="14">
        <v>68</v>
      </c>
      <c r="Y112" s="14">
        <v>199</v>
      </c>
      <c r="Z112" s="14">
        <v>617</v>
      </c>
      <c r="AA112" s="14">
        <v>769</v>
      </c>
      <c r="AD112" s="14">
        <v>61</v>
      </c>
      <c r="AE112" s="14">
        <v>21</v>
      </c>
      <c r="AG112" s="14">
        <v>227</v>
      </c>
      <c r="AH112" s="14">
        <v>119</v>
      </c>
      <c r="AI112" s="14">
        <v>327</v>
      </c>
      <c r="AJ112" s="14">
        <v>19</v>
      </c>
      <c r="AK112" s="14">
        <v>128</v>
      </c>
      <c r="AM112" s="14">
        <v>326</v>
      </c>
      <c r="AN112" s="14">
        <v>578</v>
      </c>
      <c r="AO112" s="14">
        <v>556</v>
      </c>
      <c r="AP112" s="14">
        <v>343</v>
      </c>
      <c r="AQ112" s="14">
        <v>1029</v>
      </c>
      <c r="AR112" s="14">
        <v>165</v>
      </c>
    </row>
    <row r="113" spans="3:44" x14ac:dyDescent="0.25">
      <c r="C113" s="14">
        <v>27</v>
      </c>
      <c r="D113" s="14">
        <v>306</v>
      </c>
      <c r="E113" s="14">
        <v>347</v>
      </c>
      <c r="H113" s="14">
        <v>129</v>
      </c>
      <c r="I113" s="14">
        <v>116</v>
      </c>
      <c r="Q113" s="14">
        <v>212</v>
      </c>
      <c r="R113" s="14">
        <v>101</v>
      </c>
      <c r="S113" s="14">
        <v>245</v>
      </c>
      <c r="T113" s="14">
        <v>284</v>
      </c>
      <c r="U113" s="14">
        <v>515</v>
      </c>
      <c r="V113" s="14">
        <v>245</v>
      </c>
      <c r="Y113" s="14">
        <v>235</v>
      </c>
      <c r="Z113" s="14">
        <v>71</v>
      </c>
      <c r="AA113" s="14">
        <v>110</v>
      </c>
      <c r="AD113" s="14">
        <v>156</v>
      </c>
      <c r="AE113" s="14">
        <v>297</v>
      </c>
      <c r="AG113" s="14">
        <v>82</v>
      </c>
      <c r="AH113" s="14">
        <v>891</v>
      </c>
      <c r="AI113" s="14">
        <v>158</v>
      </c>
      <c r="AJ113" s="14">
        <v>421</v>
      </c>
      <c r="AK113" s="14">
        <v>57</v>
      </c>
      <c r="AM113" s="14">
        <v>164</v>
      </c>
      <c r="AN113" s="14">
        <v>166</v>
      </c>
      <c r="AO113" s="14">
        <v>493</v>
      </c>
      <c r="AP113" s="14">
        <v>356</v>
      </c>
      <c r="AQ113" s="14">
        <v>239</v>
      </c>
      <c r="AR113" s="14">
        <v>32</v>
      </c>
    </row>
    <row r="114" spans="3:44" x14ac:dyDescent="0.25">
      <c r="C114" s="14">
        <v>227</v>
      </c>
      <c r="D114" s="14">
        <v>216</v>
      </c>
      <c r="E114" s="14">
        <v>359</v>
      </c>
      <c r="H114" s="14">
        <v>158</v>
      </c>
      <c r="I114" s="14">
        <v>112</v>
      </c>
      <c r="Q114" s="14">
        <v>474</v>
      </c>
      <c r="R114" s="14">
        <v>8</v>
      </c>
      <c r="S114" s="14">
        <v>309</v>
      </c>
      <c r="T114" s="14">
        <v>117</v>
      </c>
      <c r="U114" s="14">
        <v>450</v>
      </c>
      <c r="V114" s="14">
        <v>318</v>
      </c>
      <c r="Y114" s="14">
        <v>818</v>
      </c>
      <c r="Z114" s="14">
        <v>121</v>
      </c>
      <c r="AA114" s="14">
        <v>354</v>
      </c>
      <c r="AD114" s="14">
        <v>52</v>
      </c>
      <c r="AE114" s="14">
        <v>404</v>
      </c>
      <c r="AG114" s="14">
        <v>12</v>
      </c>
      <c r="AH114" s="14">
        <v>131</v>
      </c>
      <c r="AI114" s="14">
        <v>326</v>
      </c>
      <c r="AJ114" s="14">
        <v>26</v>
      </c>
      <c r="AK114" s="14">
        <v>77</v>
      </c>
      <c r="AM114" s="14">
        <v>278</v>
      </c>
      <c r="AN114" s="14">
        <v>672</v>
      </c>
      <c r="AO114" s="14">
        <v>357</v>
      </c>
      <c r="AP114" s="14">
        <v>331</v>
      </c>
      <c r="AQ114" s="14">
        <v>4077</v>
      </c>
      <c r="AR114" s="14">
        <v>806</v>
      </c>
    </row>
    <row r="115" spans="3:44" x14ac:dyDescent="0.25">
      <c r="C115" s="14">
        <v>709</v>
      </c>
      <c r="D115" s="14">
        <v>120</v>
      </c>
      <c r="E115" s="14">
        <v>495</v>
      </c>
      <c r="H115" s="14">
        <v>225</v>
      </c>
      <c r="I115" s="14">
        <v>189</v>
      </c>
      <c r="Q115" s="14">
        <v>684</v>
      </c>
      <c r="R115" s="14">
        <v>161</v>
      </c>
      <c r="S115" s="14">
        <v>80</v>
      </c>
      <c r="T115" s="14">
        <v>134</v>
      </c>
      <c r="U115" s="14">
        <v>221</v>
      </c>
      <c r="V115" s="14">
        <v>246</v>
      </c>
      <c r="Y115" s="14">
        <v>175</v>
      </c>
      <c r="Z115" s="14">
        <v>241</v>
      </c>
      <c r="AA115" s="14">
        <v>377</v>
      </c>
      <c r="AD115" s="14">
        <v>17</v>
      </c>
      <c r="AE115" s="14">
        <v>225</v>
      </c>
      <c r="AG115" s="14">
        <v>7</v>
      </c>
      <c r="AH115" s="14">
        <v>190</v>
      </c>
      <c r="AI115" s="14">
        <v>198</v>
      </c>
      <c r="AJ115" s="14">
        <v>167</v>
      </c>
      <c r="AK115" s="14">
        <v>305</v>
      </c>
      <c r="AM115" s="14">
        <v>9</v>
      </c>
      <c r="AN115" s="14">
        <v>486</v>
      </c>
      <c r="AO115" s="14">
        <v>979</v>
      </c>
      <c r="AP115" s="14">
        <v>329</v>
      </c>
      <c r="AQ115" s="14">
        <v>6390</v>
      </c>
      <c r="AR115" s="14">
        <v>371</v>
      </c>
    </row>
    <row r="116" spans="3:44" x14ac:dyDescent="0.25">
      <c r="C116" s="14">
        <v>922</v>
      </c>
      <c r="D116" s="14">
        <v>47</v>
      </c>
      <c r="E116" s="14">
        <v>544</v>
      </c>
      <c r="H116" s="14">
        <v>140</v>
      </c>
      <c r="I116" s="14">
        <v>226</v>
      </c>
      <c r="Q116" s="14">
        <v>860</v>
      </c>
      <c r="R116" s="14">
        <v>59</v>
      </c>
      <c r="S116" s="14">
        <v>295</v>
      </c>
      <c r="T116" s="14">
        <v>326</v>
      </c>
      <c r="U116" s="14">
        <v>667</v>
      </c>
      <c r="V116" s="14">
        <v>162</v>
      </c>
      <c r="Y116" s="14">
        <v>795</v>
      </c>
      <c r="Z116" s="14">
        <v>228</v>
      </c>
      <c r="AA116" s="14">
        <v>483</v>
      </c>
      <c r="AD116" s="14">
        <v>818</v>
      </c>
      <c r="AE116" s="14">
        <v>109</v>
      </c>
      <c r="AG116" s="14">
        <v>109</v>
      </c>
      <c r="AH116" s="14">
        <v>886</v>
      </c>
      <c r="AI116" s="14">
        <v>303</v>
      </c>
      <c r="AJ116" s="14">
        <v>494</v>
      </c>
      <c r="AK116" s="14">
        <v>419</v>
      </c>
      <c r="AM116" s="14">
        <v>357</v>
      </c>
      <c r="AN116" s="14">
        <v>209</v>
      </c>
      <c r="AO116" s="14">
        <v>188</v>
      </c>
      <c r="AP116" s="14">
        <v>367</v>
      </c>
      <c r="AQ116" s="14">
        <v>2674</v>
      </c>
      <c r="AR116" s="14">
        <v>42</v>
      </c>
    </row>
    <row r="117" spans="3:44" x14ac:dyDescent="0.25">
      <c r="C117" s="14">
        <v>803</v>
      </c>
      <c r="D117" s="14">
        <v>4655</v>
      </c>
      <c r="E117" s="14">
        <v>857</v>
      </c>
      <c r="H117" s="14">
        <v>76</v>
      </c>
      <c r="I117" s="14">
        <v>249</v>
      </c>
      <c r="Q117" s="14">
        <v>322</v>
      </c>
      <c r="R117" s="14">
        <v>45</v>
      </c>
      <c r="S117" s="14">
        <v>214</v>
      </c>
      <c r="T117" s="14">
        <v>206</v>
      </c>
      <c r="U117" s="14">
        <v>296</v>
      </c>
      <c r="V117" s="14">
        <v>161</v>
      </c>
      <c r="Y117" s="14">
        <v>249</v>
      </c>
      <c r="Z117" s="14">
        <v>271</v>
      </c>
      <c r="AA117" s="14">
        <v>876</v>
      </c>
      <c r="AD117" s="14">
        <v>497</v>
      </c>
      <c r="AE117" s="14">
        <v>118</v>
      </c>
      <c r="AG117" s="14">
        <v>702</v>
      </c>
      <c r="AH117" s="14">
        <v>652</v>
      </c>
      <c r="AI117" s="14">
        <v>155</v>
      </c>
      <c r="AJ117" s="14">
        <v>31</v>
      </c>
      <c r="AK117" s="14">
        <v>212</v>
      </c>
      <c r="AM117" s="14">
        <v>75</v>
      </c>
      <c r="AN117" s="14">
        <v>398</v>
      </c>
      <c r="AO117" s="14">
        <v>217</v>
      </c>
      <c r="AP117" s="14">
        <v>324</v>
      </c>
      <c r="AQ117" s="14">
        <v>2746</v>
      </c>
      <c r="AR117" s="14">
        <v>246</v>
      </c>
    </row>
    <row r="118" spans="3:44" x14ac:dyDescent="0.25">
      <c r="C118" s="14">
        <v>724</v>
      </c>
      <c r="D118" s="14">
        <v>3246</v>
      </c>
      <c r="E118" s="14">
        <v>228</v>
      </c>
      <c r="H118" s="14">
        <v>49</v>
      </c>
      <c r="I118" s="14">
        <v>161</v>
      </c>
      <c r="Q118" s="14">
        <v>143</v>
      </c>
      <c r="R118" s="14">
        <v>227</v>
      </c>
      <c r="S118" s="14">
        <v>265</v>
      </c>
      <c r="T118" s="14">
        <v>70</v>
      </c>
      <c r="U118" s="14">
        <v>845</v>
      </c>
      <c r="V118" s="14">
        <v>1</v>
      </c>
      <c r="Y118" s="14">
        <v>186</v>
      </c>
      <c r="Z118" s="14">
        <v>242</v>
      </c>
      <c r="AA118" s="14">
        <v>661</v>
      </c>
      <c r="AD118" s="14">
        <v>128</v>
      </c>
      <c r="AE118" s="14">
        <v>34</v>
      </c>
      <c r="AG118" s="14">
        <v>109</v>
      </c>
      <c r="AH118" s="14">
        <v>10</v>
      </c>
      <c r="AI118" s="14">
        <v>116</v>
      </c>
      <c r="AJ118" s="14">
        <v>162</v>
      </c>
      <c r="AK118" s="14">
        <v>8</v>
      </c>
      <c r="AM118" s="14">
        <v>347</v>
      </c>
      <c r="AN118" s="14">
        <v>152</v>
      </c>
      <c r="AO118" s="14">
        <v>133</v>
      </c>
      <c r="AP118" s="14">
        <v>381</v>
      </c>
      <c r="AQ118" s="14">
        <v>3169</v>
      </c>
      <c r="AR118" s="14">
        <v>202</v>
      </c>
    </row>
    <row r="119" spans="3:44" x14ac:dyDescent="0.25">
      <c r="C119" s="14">
        <v>121</v>
      </c>
      <c r="D119" s="14">
        <v>3097</v>
      </c>
      <c r="E119" s="14">
        <v>428</v>
      </c>
      <c r="H119" s="14">
        <v>376</v>
      </c>
      <c r="I119" s="14">
        <v>528</v>
      </c>
      <c r="Q119" s="14">
        <v>407</v>
      </c>
      <c r="R119" s="14">
        <v>87</v>
      </c>
      <c r="S119" s="14">
        <v>380</v>
      </c>
      <c r="T119" s="14">
        <v>289</v>
      </c>
      <c r="U119" s="14">
        <v>600</v>
      </c>
      <c r="V119" s="14">
        <v>246</v>
      </c>
      <c r="Y119" s="14">
        <v>605</v>
      </c>
      <c r="Z119" s="14">
        <v>291</v>
      </c>
      <c r="AA119" s="14">
        <v>786</v>
      </c>
      <c r="AD119" s="14">
        <v>51</v>
      </c>
      <c r="AE119" s="14">
        <v>240</v>
      </c>
      <c r="AG119" s="14">
        <v>463</v>
      </c>
      <c r="AH119" s="14">
        <v>247</v>
      </c>
      <c r="AI119" s="14">
        <v>132</v>
      </c>
      <c r="AJ119" s="14">
        <v>218</v>
      </c>
      <c r="AK119" s="14">
        <v>272</v>
      </c>
      <c r="AM119" s="14">
        <v>305</v>
      </c>
      <c r="AO119" s="14">
        <v>698</v>
      </c>
      <c r="AP119" s="14">
        <v>343</v>
      </c>
      <c r="AQ119" s="14">
        <v>4415</v>
      </c>
      <c r="AR119" s="14">
        <v>45</v>
      </c>
    </row>
    <row r="120" spans="3:44" x14ac:dyDescent="0.25">
      <c r="C120" s="14">
        <v>290</v>
      </c>
      <c r="D120" s="14">
        <v>5812</v>
      </c>
      <c r="E120" s="14">
        <v>406</v>
      </c>
      <c r="H120" s="14">
        <v>235</v>
      </c>
      <c r="I120" s="14">
        <v>735</v>
      </c>
      <c r="Q120" s="14">
        <v>355</v>
      </c>
      <c r="R120" s="14">
        <v>131</v>
      </c>
      <c r="S120" s="14">
        <v>174</v>
      </c>
      <c r="T120" s="14">
        <v>109</v>
      </c>
      <c r="U120" s="14">
        <v>84</v>
      </c>
      <c r="V120" s="14">
        <v>521</v>
      </c>
      <c r="Y120" s="14">
        <v>291</v>
      </c>
      <c r="Z120" s="14">
        <v>334</v>
      </c>
      <c r="AA120" s="14">
        <v>97</v>
      </c>
      <c r="AD120" s="14">
        <v>119</v>
      </c>
      <c r="AE120" s="14">
        <v>65</v>
      </c>
      <c r="AG120" s="14">
        <v>173</v>
      </c>
      <c r="AH120" s="14">
        <v>240</v>
      </c>
      <c r="AI120" s="14">
        <v>676</v>
      </c>
      <c r="AJ120" s="14">
        <v>148</v>
      </c>
      <c r="AK120" s="14">
        <v>108</v>
      </c>
      <c r="AM120" s="14">
        <v>175</v>
      </c>
      <c r="AO120" s="14">
        <v>195</v>
      </c>
      <c r="AP120" s="14">
        <v>360</v>
      </c>
      <c r="AQ120" s="14">
        <v>9202</v>
      </c>
      <c r="AR120" s="14">
        <v>209</v>
      </c>
    </row>
    <row r="121" spans="3:44" x14ac:dyDescent="0.25">
      <c r="C121" s="14">
        <v>1177</v>
      </c>
      <c r="D121" s="14">
        <v>4917</v>
      </c>
      <c r="E121" s="14">
        <v>159</v>
      </c>
      <c r="H121" s="14">
        <v>270</v>
      </c>
      <c r="I121" s="14">
        <v>115</v>
      </c>
      <c r="Q121" s="14">
        <v>479</v>
      </c>
      <c r="R121" s="14">
        <v>176</v>
      </c>
      <c r="S121" s="14">
        <v>224</v>
      </c>
      <c r="T121" s="14">
        <v>120</v>
      </c>
      <c r="U121" s="14">
        <v>421</v>
      </c>
      <c r="V121" s="14">
        <v>643</v>
      </c>
      <c r="Y121" s="14">
        <v>147</v>
      </c>
      <c r="Z121" s="14">
        <v>404</v>
      </c>
      <c r="AA121" s="14">
        <v>22</v>
      </c>
      <c r="AD121" s="14">
        <v>105</v>
      </c>
      <c r="AE121" s="14">
        <v>48</v>
      </c>
      <c r="AG121" s="14">
        <v>146</v>
      </c>
      <c r="AH121" s="14">
        <v>534</v>
      </c>
      <c r="AI121" s="14">
        <v>360</v>
      </c>
      <c r="AJ121" s="14">
        <v>154</v>
      </c>
      <c r="AK121" s="14">
        <v>87</v>
      </c>
      <c r="AM121" s="14">
        <v>542</v>
      </c>
      <c r="AO121" s="14">
        <v>156</v>
      </c>
      <c r="AP121" s="14">
        <v>395</v>
      </c>
      <c r="AQ121" s="14">
        <v>7380</v>
      </c>
      <c r="AR121" s="14">
        <v>198</v>
      </c>
    </row>
    <row r="122" spans="3:44" x14ac:dyDescent="0.25">
      <c r="C122" s="14">
        <v>337</v>
      </c>
      <c r="D122" s="14">
        <v>4629</v>
      </c>
      <c r="E122" s="14">
        <v>233</v>
      </c>
      <c r="H122" s="14">
        <v>160</v>
      </c>
      <c r="I122" s="14">
        <v>516</v>
      </c>
      <c r="Q122" s="14">
        <v>232</v>
      </c>
      <c r="R122" s="14">
        <v>101</v>
      </c>
      <c r="S122" s="14">
        <v>435</v>
      </c>
      <c r="T122" s="14">
        <v>324</v>
      </c>
      <c r="U122" s="14">
        <v>136</v>
      </c>
      <c r="V122" s="14">
        <v>404</v>
      </c>
      <c r="Y122" s="14">
        <v>507</v>
      </c>
      <c r="Z122" s="14">
        <v>396</v>
      </c>
      <c r="AA122" s="14">
        <v>174</v>
      </c>
      <c r="AD122" s="14">
        <v>55</v>
      </c>
      <c r="AE122" s="14">
        <v>301</v>
      </c>
      <c r="AG122" s="14">
        <v>140</v>
      </c>
      <c r="AH122" s="14">
        <v>476</v>
      </c>
      <c r="AI122" s="14">
        <v>225</v>
      </c>
      <c r="AJ122" s="14">
        <v>337</v>
      </c>
      <c r="AK122" s="14">
        <v>183</v>
      </c>
      <c r="AM122" s="14">
        <v>84</v>
      </c>
      <c r="AO122" s="14">
        <v>116</v>
      </c>
      <c r="AP122" s="14">
        <v>405</v>
      </c>
      <c r="AQ122" s="14">
        <v>6054</v>
      </c>
      <c r="AR122" s="14">
        <v>46</v>
      </c>
    </row>
    <row r="123" spans="3:44" x14ac:dyDescent="0.25">
      <c r="C123" s="14">
        <v>2046</v>
      </c>
      <c r="D123" s="14">
        <v>3258</v>
      </c>
      <c r="E123" s="14">
        <v>121</v>
      </c>
      <c r="H123" s="14">
        <v>19</v>
      </c>
      <c r="I123" s="14">
        <v>168</v>
      </c>
      <c r="Q123" s="14">
        <v>162</v>
      </c>
      <c r="R123" s="14">
        <v>149</v>
      </c>
      <c r="S123" s="14">
        <v>117</v>
      </c>
      <c r="T123" s="14">
        <v>220</v>
      </c>
      <c r="U123" s="14">
        <v>113</v>
      </c>
      <c r="V123" s="14">
        <v>136</v>
      </c>
      <c r="Y123" s="14">
        <v>323</v>
      </c>
      <c r="Z123" s="14">
        <v>351</v>
      </c>
      <c r="AA123" s="14">
        <v>75</v>
      </c>
      <c r="AD123" s="14">
        <v>58</v>
      </c>
      <c r="AE123" s="14">
        <v>280</v>
      </c>
      <c r="AG123" s="14">
        <v>113</v>
      </c>
      <c r="AH123" s="14">
        <v>453</v>
      </c>
      <c r="AI123" s="14">
        <v>88</v>
      </c>
      <c r="AJ123" s="14">
        <v>292</v>
      </c>
      <c r="AK123" s="14">
        <v>310</v>
      </c>
      <c r="AM123" s="14">
        <v>395</v>
      </c>
      <c r="AO123" s="14">
        <v>881</v>
      </c>
      <c r="AP123" s="14">
        <v>390</v>
      </c>
      <c r="AQ123" s="14">
        <v>3147</v>
      </c>
      <c r="AR123" s="14">
        <v>68</v>
      </c>
    </row>
    <row r="124" spans="3:44" x14ac:dyDescent="0.25">
      <c r="C124" s="14">
        <v>521</v>
      </c>
      <c r="D124" s="14">
        <v>3149</v>
      </c>
      <c r="E124" s="14">
        <v>227</v>
      </c>
      <c r="H124" s="14">
        <v>112</v>
      </c>
      <c r="I124" s="14">
        <v>386</v>
      </c>
      <c r="Q124" s="14">
        <v>177</v>
      </c>
      <c r="R124" s="14">
        <v>136</v>
      </c>
      <c r="S124" s="14">
        <v>229</v>
      </c>
      <c r="T124" s="14">
        <v>288</v>
      </c>
      <c r="U124" s="14">
        <v>191</v>
      </c>
      <c r="V124" s="14">
        <v>49</v>
      </c>
      <c r="Y124" s="14">
        <v>355</v>
      </c>
      <c r="Z124" s="14">
        <v>380</v>
      </c>
      <c r="AA124" s="14">
        <v>52</v>
      </c>
      <c r="AD124" s="14">
        <v>191</v>
      </c>
      <c r="AE124" s="14">
        <v>94</v>
      </c>
      <c r="AG124" s="14">
        <v>845</v>
      </c>
      <c r="AH124" s="14">
        <v>391</v>
      </c>
      <c r="AI124" s="14">
        <v>167</v>
      </c>
      <c r="AJ124" s="14">
        <v>80</v>
      </c>
      <c r="AK124" s="14">
        <v>149</v>
      </c>
      <c r="AM124" s="14">
        <v>356</v>
      </c>
      <c r="AO124" s="14">
        <v>154</v>
      </c>
      <c r="AQ124" s="14">
        <v>2888</v>
      </c>
      <c r="AR124" s="14">
        <v>54</v>
      </c>
    </row>
    <row r="125" spans="3:44" x14ac:dyDescent="0.25">
      <c r="C125" s="14">
        <v>1934</v>
      </c>
      <c r="D125" s="14">
        <v>2267</v>
      </c>
      <c r="E125" s="14">
        <v>107</v>
      </c>
      <c r="H125" s="14">
        <v>144</v>
      </c>
      <c r="I125" s="14">
        <v>265</v>
      </c>
      <c r="Q125" s="14">
        <v>179</v>
      </c>
      <c r="R125" s="14">
        <v>7</v>
      </c>
      <c r="S125" s="14">
        <v>767</v>
      </c>
      <c r="T125" s="14">
        <v>91</v>
      </c>
      <c r="U125" s="14">
        <v>158</v>
      </c>
      <c r="V125" s="14">
        <v>246</v>
      </c>
      <c r="Y125" s="14">
        <v>644</v>
      </c>
      <c r="Z125" s="14">
        <v>379</v>
      </c>
      <c r="AA125" s="14">
        <v>79</v>
      </c>
      <c r="AD125" s="14">
        <v>56</v>
      </c>
      <c r="AE125" s="14">
        <v>240</v>
      </c>
      <c r="AG125" s="14">
        <v>438</v>
      </c>
      <c r="AH125" s="14">
        <v>284</v>
      </c>
      <c r="AI125" s="14">
        <v>348</v>
      </c>
      <c r="AJ125" s="14">
        <v>222</v>
      </c>
      <c r="AK125" s="14">
        <v>103</v>
      </c>
      <c r="AM125" s="14">
        <v>141</v>
      </c>
      <c r="AO125" s="14">
        <v>180</v>
      </c>
      <c r="AQ125" s="14">
        <v>1878</v>
      </c>
      <c r="AR125" s="14">
        <v>205</v>
      </c>
    </row>
    <row r="126" spans="3:44" x14ac:dyDescent="0.25">
      <c r="C126" s="14">
        <v>393</v>
      </c>
      <c r="D126" s="14">
        <v>2510</v>
      </c>
      <c r="E126" s="14">
        <v>268</v>
      </c>
      <c r="H126" s="14">
        <v>3</v>
      </c>
      <c r="I126" s="14">
        <v>653</v>
      </c>
      <c r="Q126" s="14">
        <v>540</v>
      </c>
      <c r="R126" s="14">
        <v>355</v>
      </c>
      <c r="S126" s="14">
        <v>811</v>
      </c>
      <c r="T126" s="14">
        <v>74</v>
      </c>
      <c r="U126" s="14">
        <v>257</v>
      </c>
      <c r="V126" s="14">
        <v>338</v>
      </c>
      <c r="Y126" s="14">
        <v>124</v>
      </c>
      <c r="Z126" s="14">
        <v>599</v>
      </c>
      <c r="AA126" s="14">
        <v>51</v>
      </c>
      <c r="AD126" s="14">
        <v>325</v>
      </c>
      <c r="AE126" s="14">
        <v>37</v>
      </c>
      <c r="AG126" s="14">
        <v>932</v>
      </c>
      <c r="AH126" s="14">
        <v>160</v>
      </c>
      <c r="AI126" s="14">
        <v>506</v>
      </c>
      <c r="AJ126" s="14">
        <v>139</v>
      </c>
      <c r="AK126" s="14">
        <v>359</v>
      </c>
      <c r="AM126" s="14">
        <v>497</v>
      </c>
      <c r="AO126" s="14">
        <v>128</v>
      </c>
      <c r="AQ126" s="14">
        <v>5752</v>
      </c>
      <c r="AR126" s="14">
        <v>43</v>
      </c>
    </row>
    <row r="127" spans="3:44" x14ac:dyDescent="0.25">
      <c r="C127" s="14">
        <v>1136</v>
      </c>
      <c r="D127" s="14">
        <v>4716</v>
      </c>
      <c r="E127" s="14">
        <v>363</v>
      </c>
      <c r="H127" s="14">
        <v>79</v>
      </c>
      <c r="I127" s="14">
        <v>530</v>
      </c>
      <c r="Q127" s="14">
        <v>161</v>
      </c>
      <c r="R127" s="14">
        <v>252</v>
      </c>
      <c r="S127" s="14">
        <v>50</v>
      </c>
      <c r="T127" s="14">
        <v>340</v>
      </c>
      <c r="U127" s="14">
        <v>678</v>
      </c>
      <c r="V127" s="14">
        <v>243</v>
      </c>
      <c r="Y127" s="14">
        <v>896</v>
      </c>
      <c r="Z127" s="14">
        <v>708</v>
      </c>
      <c r="AA127" s="14">
        <v>228</v>
      </c>
      <c r="AD127" s="14">
        <v>491</v>
      </c>
      <c r="AE127" s="14">
        <v>58</v>
      </c>
      <c r="AG127" s="14">
        <v>159</v>
      </c>
      <c r="AH127" s="14">
        <v>163</v>
      </c>
      <c r="AI127" s="14">
        <v>262</v>
      </c>
      <c r="AJ127" s="14">
        <v>140</v>
      </c>
      <c r="AK127" s="14">
        <v>284</v>
      </c>
      <c r="AM127" s="14">
        <v>97</v>
      </c>
      <c r="AO127" s="14">
        <v>927</v>
      </c>
      <c r="AQ127" s="14">
        <v>7363</v>
      </c>
      <c r="AR127" s="14">
        <v>290</v>
      </c>
    </row>
    <row r="128" spans="3:44" x14ac:dyDescent="0.25">
      <c r="C128" s="14">
        <v>766</v>
      </c>
      <c r="D128" s="14">
        <v>3964</v>
      </c>
      <c r="E128" s="14">
        <v>653</v>
      </c>
      <c r="H128" s="14">
        <v>122</v>
      </c>
      <c r="I128" s="14">
        <v>759</v>
      </c>
      <c r="R128" s="14">
        <v>2</v>
      </c>
      <c r="S128" s="14">
        <v>663</v>
      </c>
      <c r="T128" s="14">
        <v>255</v>
      </c>
      <c r="U128" s="14">
        <v>114</v>
      </c>
      <c r="V128" s="14">
        <v>163</v>
      </c>
      <c r="Y128" s="14">
        <v>392</v>
      </c>
      <c r="Z128" s="14">
        <v>115</v>
      </c>
      <c r="AA128" s="14">
        <v>214</v>
      </c>
      <c r="AD128" s="14">
        <v>159</v>
      </c>
      <c r="AE128" s="14">
        <v>97</v>
      </c>
      <c r="AG128" s="14">
        <v>638</v>
      </c>
      <c r="AH128" s="14">
        <v>136</v>
      </c>
      <c r="AI128" s="14">
        <v>196</v>
      </c>
      <c r="AJ128" s="14">
        <v>114</v>
      </c>
      <c r="AK128" s="14">
        <v>414</v>
      </c>
      <c r="AM128" s="14">
        <v>227</v>
      </c>
      <c r="AO128" s="14">
        <v>277</v>
      </c>
      <c r="AQ128" s="14">
        <v>1052</v>
      </c>
      <c r="AR128" s="14">
        <v>193</v>
      </c>
    </row>
    <row r="129" spans="3:44" x14ac:dyDescent="0.25">
      <c r="C129" s="14">
        <v>978</v>
      </c>
      <c r="D129" s="14">
        <v>3722</v>
      </c>
      <c r="E129" s="14">
        <v>383</v>
      </c>
      <c r="H129" s="14">
        <v>121</v>
      </c>
      <c r="I129" s="14">
        <v>881</v>
      </c>
      <c r="R129" s="14">
        <v>97</v>
      </c>
      <c r="S129" s="14">
        <v>96</v>
      </c>
      <c r="T129" s="14">
        <v>21</v>
      </c>
      <c r="U129" s="14">
        <v>223</v>
      </c>
      <c r="V129" s="14">
        <v>161</v>
      </c>
      <c r="Y129" s="14">
        <v>102</v>
      </c>
      <c r="Z129" s="14">
        <v>849</v>
      </c>
      <c r="AA129" s="14">
        <v>324</v>
      </c>
      <c r="AD129" s="14">
        <v>438</v>
      </c>
      <c r="AE129" s="14">
        <v>216</v>
      </c>
      <c r="AG129" s="14">
        <v>114</v>
      </c>
      <c r="AH129" s="14">
        <v>117</v>
      </c>
      <c r="AI129" s="14">
        <v>611</v>
      </c>
      <c r="AJ129" s="14">
        <v>43</v>
      </c>
      <c r="AK129" s="14">
        <v>154</v>
      </c>
      <c r="AM129" s="14">
        <v>328</v>
      </c>
      <c r="AO129" s="14">
        <v>144</v>
      </c>
      <c r="AQ129" s="14">
        <v>2923</v>
      </c>
      <c r="AR129" s="14">
        <v>380</v>
      </c>
    </row>
    <row r="130" spans="3:44" x14ac:dyDescent="0.25">
      <c r="C130" s="14">
        <v>1074</v>
      </c>
      <c r="D130" s="14">
        <v>2787</v>
      </c>
      <c r="E130" s="14">
        <v>162</v>
      </c>
      <c r="H130" s="14">
        <v>175</v>
      </c>
      <c r="I130" s="14">
        <v>101</v>
      </c>
      <c r="R130" s="14">
        <v>145</v>
      </c>
      <c r="S130" s="14">
        <v>137</v>
      </c>
      <c r="U130" s="14">
        <v>832</v>
      </c>
      <c r="V130" s="14">
        <v>956</v>
      </c>
      <c r="Y130" s="14">
        <v>100</v>
      </c>
      <c r="Z130" s="14">
        <v>104</v>
      </c>
      <c r="AA130" s="14">
        <v>361</v>
      </c>
      <c r="AD130" s="14">
        <v>83</v>
      </c>
      <c r="AE130" s="14">
        <v>5</v>
      </c>
      <c r="AG130" s="14">
        <v>693</v>
      </c>
      <c r="AH130" s="14">
        <v>152</v>
      </c>
      <c r="AI130" s="14">
        <v>196</v>
      </c>
      <c r="AJ130" s="14">
        <v>127</v>
      </c>
      <c r="AK130" s="14">
        <v>228</v>
      </c>
      <c r="AM130" s="14">
        <v>22</v>
      </c>
      <c r="AO130" s="14">
        <v>716</v>
      </c>
      <c r="AQ130" s="14">
        <v>2702</v>
      </c>
      <c r="AR130" s="14">
        <v>435</v>
      </c>
    </row>
    <row r="131" spans="3:44" x14ac:dyDescent="0.25">
      <c r="C131" s="14">
        <v>1201</v>
      </c>
      <c r="D131" s="14">
        <v>4655</v>
      </c>
      <c r="E131" s="14">
        <v>370</v>
      </c>
      <c r="H131" s="14">
        <v>147</v>
      </c>
      <c r="I131" s="14">
        <v>103</v>
      </c>
      <c r="R131" s="14">
        <v>75</v>
      </c>
      <c r="S131" s="14">
        <v>277</v>
      </c>
      <c r="U131" s="14">
        <v>928</v>
      </c>
      <c r="V131" s="14">
        <v>888</v>
      </c>
      <c r="Y131" s="14">
        <v>202</v>
      </c>
      <c r="Z131" s="14">
        <v>104</v>
      </c>
      <c r="AA131" s="14">
        <v>413</v>
      </c>
      <c r="AD131" s="14">
        <v>327</v>
      </c>
      <c r="AE131" s="14">
        <v>120</v>
      </c>
      <c r="AG131" s="14">
        <v>117</v>
      </c>
      <c r="AH131" s="14">
        <v>221</v>
      </c>
      <c r="AI131" s="14">
        <v>145</v>
      </c>
      <c r="AJ131" s="14">
        <v>499</v>
      </c>
      <c r="AK131" s="14">
        <v>240</v>
      </c>
      <c r="AM131" s="14">
        <v>100</v>
      </c>
      <c r="AO131" s="14">
        <v>164</v>
      </c>
      <c r="AQ131" s="14">
        <v>1690</v>
      </c>
      <c r="AR131" s="14">
        <v>271</v>
      </c>
    </row>
    <row r="132" spans="3:44" x14ac:dyDescent="0.25">
      <c r="C132" s="14">
        <v>1343</v>
      </c>
      <c r="D132" s="14">
        <v>3149</v>
      </c>
      <c r="E132" s="14">
        <v>120</v>
      </c>
      <c r="H132" s="14">
        <v>33</v>
      </c>
      <c r="I132" s="14">
        <v>352</v>
      </c>
      <c r="R132" s="14">
        <v>912</v>
      </c>
      <c r="S132" s="14">
        <v>344</v>
      </c>
      <c r="U132" s="14">
        <v>275</v>
      </c>
      <c r="V132" s="14">
        <v>190</v>
      </c>
      <c r="Y132" s="14">
        <v>192</v>
      </c>
      <c r="Z132" s="14">
        <v>830</v>
      </c>
      <c r="AA132" s="14">
        <v>861</v>
      </c>
      <c r="AD132" s="14">
        <v>663</v>
      </c>
      <c r="AE132" s="14">
        <v>408</v>
      </c>
      <c r="AG132" s="14">
        <v>109</v>
      </c>
      <c r="AH132" s="14">
        <v>107</v>
      </c>
      <c r="AI132" s="14">
        <v>615</v>
      </c>
      <c r="AJ132" s="14">
        <v>88</v>
      </c>
      <c r="AK132" s="14">
        <v>337</v>
      </c>
      <c r="AM132" s="14">
        <v>115</v>
      </c>
      <c r="AO132" s="14">
        <v>260</v>
      </c>
      <c r="AQ132" s="14">
        <v>4520</v>
      </c>
      <c r="AR132" s="14">
        <v>711</v>
      </c>
    </row>
    <row r="133" spans="3:44" x14ac:dyDescent="0.25">
      <c r="C133" s="14">
        <v>1229</v>
      </c>
      <c r="E133" s="14">
        <v>240</v>
      </c>
      <c r="H133" s="14">
        <v>5</v>
      </c>
      <c r="I133" s="14">
        <v>433</v>
      </c>
      <c r="R133" s="14">
        <v>298</v>
      </c>
      <c r="S133" s="14">
        <v>310</v>
      </c>
      <c r="U133" s="14">
        <v>116</v>
      </c>
      <c r="V133" s="14">
        <v>352</v>
      </c>
      <c r="Y133" s="14">
        <v>643</v>
      </c>
      <c r="Z133" s="14">
        <v>970</v>
      </c>
      <c r="AA133" s="14">
        <v>877</v>
      </c>
      <c r="AD133" s="14">
        <v>816</v>
      </c>
      <c r="AE133" s="14">
        <v>66</v>
      </c>
      <c r="AG133" s="14">
        <v>11</v>
      </c>
      <c r="AH133" s="14">
        <v>786</v>
      </c>
      <c r="AI133" s="14">
        <v>155</v>
      </c>
      <c r="AJ133" s="14">
        <v>259</v>
      </c>
      <c r="AK133" s="14">
        <v>514</v>
      </c>
      <c r="AM133" s="14">
        <v>146</v>
      </c>
      <c r="AO133" s="14">
        <v>283</v>
      </c>
      <c r="AQ133" s="14">
        <v>1997</v>
      </c>
      <c r="AR133" s="14">
        <v>281</v>
      </c>
    </row>
    <row r="134" spans="3:44" x14ac:dyDescent="0.25">
      <c r="C134" s="14">
        <v>1344</v>
      </c>
      <c r="E134" s="14">
        <v>525</v>
      </c>
      <c r="H134" s="14">
        <v>380</v>
      </c>
      <c r="I134" s="14">
        <v>472</v>
      </c>
      <c r="R134" s="14">
        <v>21</v>
      </c>
      <c r="S134" s="14">
        <v>676</v>
      </c>
      <c r="U134" s="14">
        <v>301</v>
      </c>
      <c r="V134" s="14">
        <v>146</v>
      </c>
      <c r="Y134" s="14">
        <v>439</v>
      </c>
      <c r="Z134" s="14">
        <v>730</v>
      </c>
      <c r="AA134" s="14">
        <v>755</v>
      </c>
      <c r="AD134" s="14">
        <v>330</v>
      </c>
      <c r="AE134" s="14">
        <v>123</v>
      </c>
      <c r="AG134" s="14">
        <v>608</v>
      </c>
      <c r="AH134" s="14">
        <v>532</v>
      </c>
      <c r="AI134" s="14">
        <v>109</v>
      </c>
      <c r="AJ134" s="14">
        <v>211</v>
      </c>
      <c r="AK134" s="14">
        <v>31</v>
      </c>
      <c r="AM134" s="14">
        <v>179</v>
      </c>
      <c r="AO134" s="14">
        <v>3</v>
      </c>
      <c r="AQ134" s="14">
        <v>1405</v>
      </c>
      <c r="AR134" s="14">
        <v>220</v>
      </c>
    </row>
    <row r="135" spans="3:44" x14ac:dyDescent="0.25">
      <c r="C135" s="14">
        <v>1830</v>
      </c>
      <c r="E135" s="14">
        <v>261</v>
      </c>
      <c r="H135" s="14">
        <v>242</v>
      </c>
      <c r="I135" s="14">
        <v>494</v>
      </c>
      <c r="R135" s="14">
        <v>69</v>
      </c>
      <c r="S135" s="14">
        <v>362</v>
      </c>
      <c r="U135" s="14">
        <v>265</v>
      </c>
      <c r="V135" s="14">
        <v>638</v>
      </c>
      <c r="Y135" s="14">
        <v>532</v>
      </c>
      <c r="Z135" s="14">
        <v>849</v>
      </c>
      <c r="AA135" s="14">
        <v>412</v>
      </c>
      <c r="AD135" s="14">
        <v>637</v>
      </c>
      <c r="AE135" s="14">
        <v>99</v>
      </c>
      <c r="AG135" s="14">
        <v>175</v>
      </c>
      <c r="AH135" s="14">
        <v>481</v>
      </c>
      <c r="AI135" s="14">
        <v>178</v>
      </c>
      <c r="AJ135" s="14">
        <v>121</v>
      </c>
      <c r="AK135" s="14">
        <v>155</v>
      </c>
      <c r="AM135" s="14">
        <v>587</v>
      </c>
      <c r="AO135" s="14">
        <v>357</v>
      </c>
      <c r="AQ135" s="14">
        <v>1633</v>
      </c>
      <c r="AR135" s="14">
        <v>7</v>
      </c>
    </row>
    <row r="136" spans="3:44" x14ac:dyDescent="0.25">
      <c r="C136" s="14">
        <v>1848</v>
      </c>
      <c r="E136" s="14">
        <v>512</v>
      </c>
      <c r="H136" s="14">
        <v>280</v>
      </c>
      <c r="I136" s="14">
        <v>575</v>
      </c>
      <c r="R136" s="14">
        <v>55</v>
      </c>
      <c r="S136" s="14">
        <v>294</v>
      </c>
      <c r="V136" s="14">
        <v>947</v>
      </c>
      <c r="Y136" s="14">
        <v>123</v>
      </c>
      <c r="Z136" s="14">
        <v>718</v>
      </c>
      <c r="AA136" s="14">
        <v>513</v>
      </c>
      <c r="AD136" s="14">
        <v>679</v>
      </c>
      <c r="AE136" s="14">
        <v>50</v>
      </c>
      <c r="AG136" s="14">
        <v>485</v>
      </c>
      <c r="AH136" s="14">
        <v>309</v>
      </c>
      <c r="AI136" s="14">
        <v>527</v>
      </c>
      <c r="AJ136" s="14">
        <v>426</v>
      </c>
      <c r="AK136" s="14">
        <v>278</v>
      </c>
      <c r="AM136" s="14">
        <v>370</v>
      </c>
      <c r="AO136" s="14">
        <v>351</v>
      </c>
      <c r="AQ136" s="14">
        <v>6484</v>
      </c>
      <c r="AR136" s="14">
        <v>626</v>
      </c>
    </row>
    <row r="137" spans="3:44" x14ac:dyDescent="0.25">
      <c r="C137" s="14">
        <v>1707</v>
      </c>
      <c r="E137" s="14">
        <v>79</v>
      </c>
      <c r="H137" s="14">
        <v>124</v>
      </c>
      <c r="I137" s="14">
        <v>467</v>
      </c>
      <c r="R137" s="14">
        <v>192</v>
      </c>
      <c r="S137" s="14">
        <v>14</v>
      </c>
      <c r="V137" s="14">
        <v>244</v>
      </c>
      <c r="Y137" s="14">
        <v>102</v>
      </c>
      <c r="Z137" s="14">
        <v>646</v>
      </c>
      <c r="AA137" s="14">
        <v>646</v>
      </c>
      <c r="AD137" s="14">
        <v>250</v>
      </c>
      <c r="AE137" s="14">
        <v>12</v>
      </c>
      <c r="AG137" s="14">
        <v>96</v>
      </c>
      <c r="AH137" s="14">
        <v>273</v>
      </c>
      <c r="AI137" s="14">
        <v>115</v>
      </c>
      <c r="AJ137" s="14">
        <v>5</v>
      </c>
      <c r="AK137" s="14">
        <v>407</v>
      </c>
      <c r="AM137" s="14">
        <v>347</v>
      </c>
      <c r="AO137" s="14">
        <v>578</v>
      </c>
      <c r="AQ137" s="14">
        <v>6682</v>
      </c>
      <c r="AR137" s="14">
        <v>471</v>
      </c>
    </row>
    <row r="138" spans="3:44" x14ac:dyDescent="0.25">
      <c r="C138" s="14">
        <v>1578</v>
      </c>
      <c r="E138" s="14">
        <v>113</v>
      </c>
      <c r="H138" s="14">
        <v>18</v>
      </c>
      <c r="I138" s="14">
        <v>650</v>
      </c>
      <c r="R138" s="14">
        <v>253</v>
      </c>
      <c r="S138" s="14">
        <v>546</v>
      </c>
      <c r="V138" s="14">
        <v>135</v>
      </c>
      <c r="Y138" s="14">
        <v>420</v>
      </c>
      <c r="Z138" s="14">
        <v>62</v>
      </c>
      <c r="AA138" s="14">
        <v>581</v>
      </c>
      <c r="AD138" s="14">
        <v>63</v>
      </c>
      <c r="AE138" s="14">
        <v>60</v>
      </c>
      <c r="AG138" s="14">
        <v>66</v>
      </c>
      <c r="AH138" s="14">
        <v>324</v>
      </c>
      <c r="AI138" s="14">
        <v>120</v>
      </c>
      <c r="AJ138" s="14">
        <v>155</v>
      </c>
      <c r="AK138" s="14">
        <v>307</v>
      </c>
      <c r="AM138" s="14">
        <v>152</v>
      </c>
      <c r="AO138" s="14">
        <v>157</v>
      </c>
      <c r="AQ138" s="14">
        <v>1355</v>
      </c>
      <c r="AR138" s="14">
        <v>88</v>
      </c>
    </row>
    <row r="139" spans="3:44" x14ac:dyDescent="0.25">
      <c r="C139" s="14">
        <v>1440</v>
      </c>
      <c r="E139" s="14">
        <v>480</v>
      </c>
      <c r="H139" s="14">
        <v>59</v>
      </c>
      <c r="I139" s="14">
        <v>962</v>
      </c>
      <c r="R139" s="14">
        <v>97</v>
      </c>
      <c r="S139" s="14">
        <v>90</v>
      </c>
      <c r="V139" s="14">
        <v>210</v>
      </c>
      <c r="Y139" s="14">
        <v>277</v>
      </c>
      <c r="Z139" s="14">
        <v>15</v>
      </c>
      <c r="AA139" s="14">
        <v>966</v>
      </c>
      <c r="AD139" s="14">
        <v>188</v>
      </c>
      <c r="AE139" s="14">
        <v>211</v>
      </c>
      <c r="AG139" s="14">
        <v>374</v>
      </c>
      <c r="AH139" s="14">
        <v>306</v>
      </c>
      <c r="AI139" s="14">
        <v>154</v>
      </c>
      <c r="AJ139" s="14">
        <v>166</v>
      </c>
      <c r="AK139" s="14">
        <v>401</v>
      </c>
      <c r="AM139" s="14">
        <v>56</v>
      </c>
      <c r="AO139" s="14">
        <v>493</v>
      </c>
      <c r="AQ139" s="14">
        <v>9495</v>
      </c>
      <c r="AR139" s="14">
        <v>196</v>
      </c>
    </row>
    <row r="140" spans="3:44" x14ac:dyDescent="0.25">
      <c r="C140" s="14">
        <v>1572</v>
      </c>
      <c r="E140" s="14">
        <v>495</v>
      </c>
      <c r="H140" s="14">
        <v>187</v>
      </c>
      <c r="I140" s="14">
        <v>484</v>
      </c>
      <c r="R140" s="14">
        <v>248</v>
      </c>
      <c r="S140" s="14">
        <v>215</v>
      </c>
      <c r="V140" s="14">
        <v>116</v>
      </c>
      <c r="Y140" s="14">
        <v>210</v>
      </c>
      <c r="Z140" s="14">
        <v>103</v>
      </c>
      <c r="AA140" s="14">
        <v>780</v>
      </c>
      <c r="AD140" s="14">
        <v>110</v>
      </c>
      <c r="AE140" s="14">
        <v>257</v>
      </c>
      <c r="AG140" s="14">
        <v>39</v>
      </c>
      <c r="AH140" s="14">
        <v>237</v>
      </c>
      <c r="AI140" s="14">
        <v>163</v>
      </c>
      <c r="AJ140" s="14">
        <v>538</v>
      </c>
      <c r="AK140" s="14">
        <v>151</v>
      </c>
      <c r="AM140" s="14">
        <v>702</v>
      </c>
      <c r="AO140" s="14">
        <v>357</v>
      </c>
      <c r="AQ140" s="14">
        <v>1118</v>
      </c>
      <c r="AR140" s="14">
        <v>75</v>
      </c>
    </row>
    <row r="141" spans="3:44" x14ac:dyDescent="0.25">
      <c r="C141" s="14">
        <v>852</v>
      </c>
      <c r="E141" s="14">
        <v>544</v>
      </c>
      <c r="H141" s="14">
        <v>136</v>
      </c>
      <c r="I141" s="14">
        <v>182</v>
      </c>
      <c r="R141" s="14">
        <v>3</v>
      </c>
      <c r="S141" s="14">
        <v>203</v>
      </c>
      <c r="V141" s="14">
        <v>357</v>
      </c>
      <c r="Y141" s="14">
        <v>256</v>
      </c>
      <c r="Z141" s="14">
        <v>119</v>
      </c>
      <c r="AA141" s="14">
        <v>115</v>
      </c>
      <c r="AD141" s="14">
        <v>33</v>
      </c>
      <c r="AE141" s="14">
        <v>322</v>
      </c>
      <c r="AG141" s="14">
        <v>247</v>
      </c>
      <c r="AH141" s="14">
        <v>132</v>
      </c>
      <c r="AI141" s="14">
        <v>120</v>
      </c>
      <c r="AJ141" s="14">
        <v>203</v>
      </c>
      <c r="AK141" s="14">
        <v>257</v>
      </c>
      <c r="AM141" s="14">
        <v>44</v>
      </c>
      <c r="AO141" s="14">
        <v>287</v>
      </c>
      <c r="AQ141" s="14">
        <v>2485</v>
      </c>
      <c r="AR141" s="14">
        <v>388</v>
      </c>
    </row>
    <row r="142" spans="3:44" x14ac:dyDescent="0.25">
      <c r="C142" s="14">
        <v>632</v>
      </c>
      <c r="E142" s="14">
        <v>937</v>
      </c>
      <c r="H142" s="14">
        <v>245</v>
      </c>
      <c r="I142" s="14">
        <v>633</v>
      </c>
      <c r="R142" s="14">
        <v>410</v>
      </c>
      <c r="S142" s="14">
        <v>410</v>
      </c>
      <c r="V142" s="14">
        <v>146</v>
      </c>
      <c r="Y142" s="14">
        <v>282</v>
      </c>
      <c r="Z142" s="14">
        <v>79</v>
      </c>
      <c r="AA142" s="14">
        <v>178</v>
      </c>
      <c r="AD142" s="14">
        <v>19</v>
      </c>
      <c r="AE142" s="14">
        <v>136</v>
      </c>
      <c r="AG142" s="14">
        <v>393</v>
      </c>
      <c r="AH142" s="14">
        <v>131</v>
      </c>
      <c r="AI142" s="14">
        <v>127</v>
      </c>
      <c r="AJ142" s="14">
        <v>125</v>
      </c>
      <c r="AK142" s="14">
        <v>277</v>
      </c>
      <c r="AM142" s="14">
        <v>22</v>
      </c>
      <c r="AO142" s="14">
        <v>160</v>
      </c>
      <c r="AQ142" s="14">
        <v>7684</v>
      </c>
      <c r="AR142" s="14">
        <v>144</v>
      </c>
    </row>
    <row r="143" spans="3:44" x14ac:dyDescent="0.25">
      <c r="C143" s="14">
        <v>698</v>
      </c>
      <c r="E143" s="14">
        <v>460</v>
      </c>
      <c r="H143" s="14">
        <v>243</v>
      </c>
      <c r="I143" s="14">
        <v>251</v>
      </c>
      <c r="R143" s="14">
        <v>223</v>
      </c>
      <c r="S143" s="14">
        <v>336</v>
      </c>
      <c r="V143" s="14">
        <v>626</v>
      </c>
      <c r="Y143" s="14">
        <v>755</v>
      </c>
      <c r="Z143" s="14">
        <v>142</v>
      </c>
      <c r="AA143" s="14">
        <v>37</v>
      </c>
      <c r="AD143" s="14">
        <v>283</v>
      </c>
      <c r="AE143" s="14">
        <v>200</v>
      </c>
      <c r="AG143" s="14">
        <v>309</v>
      </c>
      <c r="AH143" s="14">
        <v>119</v>
      </c>
      <c r="AI143" s="14">
        <v>801</v>
      </c>
      <c r="AJ143" s="14">
        <v>32</v>
      </c>
      <c r="AK143" s="14">
        <v>93</v>
      </c>
      <c r="AM143" s="14">
        <v>334</v>
      </c>
      <c r="AO143" s="14">
        <v>7</v>
      </c>
      <c r="AQ143" s="14">
        <v>3271</v>
      </c>
      <c r="AR143" s="14">
        <v>68</v>
      </c>
    </row>
    <row r="144" spans="3:44" x14ac:dyDescent="0.25">
      <c r="C144" s="14">
        <v>771</v>
      </c>
      <c r="E144" s="14">
        <v>256</v>
      </c>
      <c r="H144" s="14">
        <v>95</v>
      </c>
      <c r="I144" s="14">
        <v>339</v>
      </c>
      <c r="R144" s="14">
        <v>23</v>
      </c>
      <c r="S144" s="14">
        <v>294</v>
      </c>
      <c r="V144" s="14">
        <v>104</v>
      </c>
      <c r="Y144" s="14">
        <v>388</v>
      </c>
      <c r="Z144" s="14">
        <v>62</v>
      </c>
      <c r="AA144" s="14">
        <v>213</v>
      </c>
      <c r="AD144" s="14">
        <v>750</v>
      </c>
      <c r="AE144" s="14">
        <v>3</v>
      </c>
      <c r="AG144" s="14">
        <v>696</v>
      </c>
      <c r="AH144" s="14">
        <v>886</v>
      </c>
      <c r="AI144" s="14">
        <v>179</v>
      </c>
      <c r="AJ144" s="14">
        <v>84</v>
      </c>
      <c r="AK144" s="14">
        <v>338</v>
      </c>
      <c r="AM144" s="14">
        <v>208</v>
      </c>
      <c r="AO144" s="14">
        <v>123</v>
      </c>
      <c r="AQ144" s="14">
        <v>1177</v>
      </c>
      <c r="AR144" s="14">
        <v>731</v>
      </c>
    </row>
    <row r="145" spans="3:44" x14ac:dyDescent="0.25">
      <c r="C145" s="14">
        <v>359</v>
      </c>
      <c r="E145" s="14">
        <v>515</v>
      </c>
      <c r="H145" s="14">
        <v>49</v>
      </c>
      <c r="I145" s="14">
        <v>109</v>
      </c>
      <c r="R145" s="14">
        <v>104</v>
      </c>
      <c r="S145" s="14">
        <v>301</v>
      </c>
      <c r="V145" s="14">
        <v>240</v>
      </c>
      <c r="Y145" s="14">
        <v>590</v>
      </c>
      <c r="Z145" s="14">
        <v>118</v>
      </c>
      <c r="AA145" s="14">
        <v>24</v>
      </c>
      <c r="AD145" s="14">
        <v>562</v>
      </c>
      <c r="AE145" s="14">
        <v>124</v>
      </c>
      <c r="AG145" s="14">
        <v>497</v>
      </c>
      <c r="AH145" s="14">
        <v>132</v>
      </c>
      <c r="AI145" s="14">
        <v>150</v>
      </c>
      <c r="AJ145" s="14">
        <v>144</v>
      </c>
      <c r="AK145" s="14">
        <v>304</v>
      </c>
      <c r="AM145" s="14">
        <v>353</v>
      </c>
      <c r="AO145" s="14">
        <v>76</v>
      </c>
      <c r="AQ145" s="14">
        <v>9706</v>
      </c>
      <c r="AR145" s="14">
        <v>792</v>
      </c>
    </row>
    <row r="146" spans="3:44" x14ac:dyDescent="0.25">
      <c r="C146" s="14">
        <v>306</v>
      </c>
      <c r="E146" s="14">
        <v>223</v>
      </c>
      <c r="H146" s="14">
        <v>25</v>
      </c>
      <c r="I146" s="14">
        <v>547</v>
      </c>
      <c r="R146" s="14">
        <v>63</v>
      </c>
      <c r="S146" s="14">
        <v>255</v>
      </c>
      <c r="V146" s="14">
        <v>135</v>
      </c>
      <c r="Y146" s="14">
        <v>118</v>
      </c>
      <c r="Z146" s="14">
        <v>55</v>
      </c>
      <c r="AA146" s="14">
        <v>22</v>
      </c>
      <c r="AD146" s="14">
        <v>258</v>
      </c>
      <c r="AE146" s="14">
        <v>47</v>
      </c>
      <c r="AG146" s="14">
        <v>439</v>
      </c>
      <c r="AH146" s="14">
        <v>192</v>
      </c>
      <c r="AI146" s="14">
        <v>101</v>
      </c>
      <c r="AJ146" s="14">
        <v>59</v>
      </c>
      <c r="AK146" s="14">
        <v>251</v>
      </c>
      <c r="AM146" s="14">
        <v>246</v>
      </c>
      <c r="AO146" s="14">
        <v>13</v>
      </c>
      <c r="AQ146" s="14">
        <v>3921</v>
      </c>
      <c r="AR146" s="14">
        <v>114</v>
      </c>
    </row>
    <row r="147" spans="3:44" x14ac:dyDescent="0.25">
      <c r="C147" s="14">
        <v>260</v>
      </c>
      <c r="E147" s="14">
        <v>120</v>
      </c>
      <c r="H147" s="14">
        <v>10</v>
      </c>
      <c r="I147" s="14">
        <v>809</v>
      </c>
      <c r="R147" s="14">
        <v>105</v>
      </c>
      <c r="S147" s="14">
        <v>112</v>
      </c>
      <c r="V147" s="14">
        <v>6</v>
      </c>
      <c r="Y147" s="14">
        <v>929</v>
      </c>
      <c r="Z147" s="14">
        <v>13</v>
      </c>
      <c r="AA147" s="14">
        <v>158</v>
      </c>
      <c r="AD147" s="14">
        <v>527</v>
      </c>
      <c r="AE147" s="14">
        <v>99</v>
      </c>
      <c r="AG147" s="14">
        <v>364</v>
      </c>
      <c r="AH147" s="14">
        <v>885</v>
      </c>
      <c r="AI147" s="14">
        <v>41</v>
      </c>
      <c r="AJ147" s="14">
        <v>248</v>
      </c>
      <c r="AK147" s="14">
        <v>452</v>
      </c>
      <c r="AM147" s="14">
        <v>348</v>
      </c>
      <c r="AO147" s="14">
        <v>205</v>
      </c>
      <c r="AQ147" s="14">
        <v>2710</v>
      </c>
      <c r="AR147" s="14">
        <v>250</v>
      </c>
    </row>
    <row r="148" spans="3:44" x14ac:dyDescent="0.25">
      <c r="C148" s="14">
        <v>474</v>
      </c>
      <c r="E148" s="14">
        <v>733</v>
      </c>
      <c r="H148" s="14">
        <v>8</v>
      </c>
      <c r="I148" s="14">
        <v>161</v>
      </c>
      <c r="R148" s="14">
        <v>2</v>
      </c>
      <c r="S148" s="14">
        <v>421</v>
      </c>
      <c r="V148" s="14">
        <v>674</v>
      </c>
      <c r="Y148" s="14">
        <v>359</v>
      </c>
      <c r="Z148" s="14">
        <v>100</v>
      </c>
      <c r="AA148" s="14">
        <v>72</v>
      </c>
      <c r="AD148" s="14">
        <v>715</v>
      </c>
      <c r="AE148" s="14">
        <v>72</v>
      </c>
      <c r="AG148" s="14">
        <v>337</v>
      </c>
      <c r="AH148" s="14">
        <v>653</v>
      </c>
      <c r="AI148" s="14">
        <v>145</v>
      </c>
      <c r="AJ148" s="14">
        <v>338</v>
      </c>
      <c r="AK148" s="14">
        <v>382</v>
      </c>
      <c r="AM148" s="14">
        <v>108</v>
      </c>
      <c r="AO148" s="14">
        <v>168</v>
      </c>
      <c r="AQ148" s="14">
        <v>3192</v>
      </c>
      <c r="AR148" s="14">
        <v>74</v>
      </c>
    </row>
    <row r="149" spans="3:44" x14ac:dyDescent="0.25">
      <c r="C149" s="14">
        <v>350</v>
      </c>
      <c r="E149" s="14">
        <v>194</v>
      </c>
      <c r="H149" s="14">
        <v>392</v>
      </c>
      <c r="I149" s="14">
        <v>550</v>
      </c>
      <c r="R149" s="14">
        <v>13</v>
      </c>
      <c r="S149" s="14">
        <v>605</v>
      </c>
      <c r="V149" s="14">
        <v>197</v>
      </c>
      <c r="Y149" s="14">
        <v>186</v>
      </c>
      <c r="Z149" s="14">
        <v>9</v>
      </c>
      <c r="AA149" s="14">
        <v>267</v>
      </c>
      <c r="AD149" s="14">
        <v>351</v>
      </c>
      <c r="AE149" s="14">
        <v>705</v>
      </c>
      <c r="AG149" s="14">
        <v>72</v>
      </c>
      <c r="AH149" s="14">
        <v>10</v>
      </c>
      <c r="AI149" s="14">
        <v>615</v>
      </c>
      <c r="AJ149" s="14">
        <v>49</v>
      </c>
      <c r="AK149" s="14">
        <v>189</v>
      </c>
      <c r="AM149" s="14">
        <v>61</v>
      </c>
      <c r="AO149" s="14">
        <v>98</v>
      </c>
      <c r="AQ149" s="14">
        <v>1955</v>
      </c>
      <c r="AR149" s="14">
        <v>230</v>
      </c>
    </row>
    <row r="150" spans="3:44" x14ac:dyDescent="0.25">
      <c r="C150" s="14">
        <v>296</v>
      </c>
      <c r="E150" s="14">
        <v>616</v>
      </c>
      <c r="H150" s="14">
        <v>217</v>
      </c>
      <c r="I150" s="14">
        <v>174</v>
      </c>
      <c r="R150" s="14">
        <v>304</v>
      </c>
      <c r="S150" s="14">
        <v>142</v>
      </c>
      <c r="V150" s="14">
        <v>352</v>
      </c>
      <c r="Y150" s="14">
        <v>184</v>
      </c>
      <c r="Z150" s="14">
        <v>89</v>
      </c>
      <c r="AA150" s="14">
        <v>232</v>
      </c>
      <c r="AD150" s="14">
        <v>69</v>
      </c>
      <c r="AE150" s="14">
        <v>98</v>
      </c>
      <c r="AG150" s="14">
        <v>514</v>
      </c>
      <c r="AH150" s="14">
        <v>234</v>
      </c>
      <c r="AI150" s="14">
        <v>155</v>
      </c>
      <c r="AJ150" s="14">
        <v>111</v>
      </c>
      <c r="AK150" s="14">
        <v>12</v>
      </c>
      <c r="AM150" s="14">
        <v>245</v>
      </c>
      <c r="AO150" s="14">
        <v>57</v>
      </c>
      <c r="AQ150" s="14">
        <v>3595</v>
      </c>
      <c r="AR150" s="14">
        <v>254</v>
      </c>
    </row>
    <row r="151" spans="3:44" x14ac:dyDescent="0.25">
      <c r="C151" s="14">
        <v>300</v>
      </c>
      <c r="E151" s="14">
        <v>232</v>
      </c>
      <c r="H151" s="14">
        <v>230</v>
      </c>
      <c r="I151" s="14">
        <v>437</v>
      </c>
      <c r="R151" s="14">
        <v>202</v>
      </c>
      <c r="S151" s="14">
        <v>138</v>
      </c>
      <c r="V151" s="14">
        <v>146</v>
      </c>
      <c r="Y151" s="14">
        <v>152</v>
      </c>
      <c r="Z151" s="14">
        <v>239</v>
      </c>
      <c r="AA151" s="14">
        <v>330</v>
      </c>
      <c r="AD151" s="14">
        <v>218</v>
      </c>
      <c r="AE151" s="14">
        <v>28</v>
      </c>
      <c r="AG151" s="14">
        <v>445</v>
      </c>
      <c r="AH151" s="14">
        <v>131</v>
      </c>
      <c r="AI151" s="14">
        <v>109</v>
      </c>
      <c r="AJ151" s="14">
        <v>5</v>
      </c>
      <c r="AK151" s="14">
        <v>190</v>
      </c>
      <c r="AM151" s="14">
        <v>52</v>
      </c>
      <c r="AO151" s="14">
        <v>1</v>
      </c>
      <c r="AQ151" s="14">
        <v>4210</v>
      </c>
      <c r="AR151" s="14">
        <v>74</v>
      </c>
    </row>
    <row r="152" spans="3:44" x14ac:dyDescent="0.25">
      <c r="C152" s="14">
        <v>369</v>
      </c>
      <c r="E152" s="14">
        <v>169</v>
      </c>
      <c r="H152" s="14">
        <v>126</v>
      </c>
      <c r="I152" s="14">
        <v>212</v>
      </c>
      <c r="R152" s="14">
        <v>236</v>
      </c>
      <c r="S152" s="14">
        <v>410</v>
      </c>
      <c r="V152" s="14">
        <v>623</v>
      </c>
      <c r="Y152" s="14">
        <v>294</v>
      </c>
      <c r="Z152" s="14">
        <v>271</v>
      </c>
      <c r="AA152" s="14">
        <v>346</v>
      </c>
      <c r="AD152" s="14">
        <v>118</v>
      </c>
      <c r="AE152" s="14">
        <v>60</v>
      </c>
      <c r="AG152" s="14">
        <v>33</v>
      </c>
      <c r="AH152" s="14">
        <v>130</v>
      </c>
      <c r="AI152" s="14">
        <v>178</v>
      </c>
      <c r="AJ152" s="14">
        <v>517</v>
      </c>
      <c r="AK152" s="14">
        <v>219</v>
      </c>
      <c r="AM152" s="14">
        <v>70</v>
      </c>
      <c r="AO152" s="14">
        <v>277</v>
      </c>
      <c r="AQ152" s="14">
        <v>2458</v>
      </c>
      <c r="AR152" s="14">
        <v>70</v>
      </c>
    </row>
    <row r="153" spans="3:44" x14ac:dyDescent="0.25">
      <c r="C153" s="14">
        <v>406</v>
      </c>
      <c r="E153" s="14">
        <v>559</v>
      </c>
      <c r="H153" s="14">
        <v>22</v>
      </c>
      <c r="I153" s="14">
        <v>599</v>
      </c>
      <c r="R153" s="14">
        <v>35</v>
      </c>
      <c r="S153" s="14">
        <v>129</v>
      </c>
      <c r="V153" s="14">
        <v>235</v>
      </c>
      <c r="Y153" s="14">
        <v>833</v>
      </c>
      <c r="Z153" s="14">
        <v>72</v>
      </c>
      <c r="AA153" s="14">
        <v>396</v>
      </c>
      <c r="AD153" s="14">
        <v>149</v>
      </c>
      <c r="AE153" s="14">
        <v>32</v>
      </c>
      <c r="AG153" s="14">
        <v>291</v>
      </c>
      <c r="AH153" s="14">
        <v>119</v>
      </c>
      <c r="AI153" s="14">
        <v>527</v>
      </c>
      <c r="AJ153" s="14">
        <v>475</v>
      </c>
      <c r="AK153" s="14">
        <v>319</v>
      </c>
      <c r="AM153" s="14">
        <v>45</v>
      </c>
      <c r="AO153" s="14">
        <v>137</v>
      </c>
      <c r="AQ153" s="14">
        <v>1779</v>
      </c>
      <c r="AR153" s="14">
        <v>292</v>
      </c>
    </row>
    <row r="154" spans="3:44" x14ac:dyDescent="0.25">
      <c r="C154" s="14">
        <v>473</v>
      </c>
      <c r="E154" s="14">
        <v>254</v>
      </c>
      <c r="H154" s="14">
        <v>49</v>
      </c>
      <c r="I154" s="14">
        <v>258</v>
      </c>
      <c r="R154" s="14">
        <v>64</v>
      </c>
      <c r="S154" s="14">
        <v>390</v>
      </c>
      <c r="V154" s="14">
        <v>138</v>
      </c>
      <c r="Y154" s="14">
        <v>353</v>
      </c>
      <c r="Z154" s="14">
        <v>437</v>
      </c>
      <c r="AA154" s="14">
        <v>720</v>
      </c>
      <c r="AD154" s="14">
        <v>440</v>
      </c>
      <c r="AE154" s="14">
        <v>280</v>
      </c>
      <c r="AG154" s="14">
        <v>103</v>
      </c>
      <c r="AH154" s="14">
        <v>891</v>
      </c>
      <c r="AI154" s="14">
        <v>115</v>
      </c>
      <c r="AJ154" s="14">
        <v>4</v>
      </c>
      <c r="AK154" s="14">
        <v>151</v>
      </c>
      <c r="AM154" s="14">
        <v>321</v>
      </c>
      <c r="AO154" s="14">
        <v>65</v>
      </c>
      <c r="AQ154" s="14">
        <v>2843</v>
      </c>
      <c r="AR154" s="14">
        <v>236</v>
      </c>
    </row>
    <row r="155" spans="3:44" x14ac:dyDescent="0.25">
      <c r="C155" s="14">
        <v>455</v>
      </c>
      <c r="E155" s="14">
        <v>465</v>
      </c>
      <c r="H155" s="14">
        <v>193</v>
      </c>
      <c r="I155" s="14">
        <v>627</v>
      </c>
      <c r="R155" s="14">
        <v>142</v>
      </c>
      <c r="S155" s="14">
        <v>255</v>
      </c>
      <c r="V155" s="14">
        <v>743</v>
      </c>
      <c r="Y155" s="14">
        <v>549</v>
      </c>
      <c r="Z155" s="14">
        <v>217</v>
      </c>
      <c r="AA155" s="14">
        <v>769</v>
      </c>
      <c r="AD155" s="14">
        <v>394</v>
      </c>
      <c r="AE155" s="14">
        <v>4</v>
      </c>
      <c r="AG155" s="14">
        <v>666</v>
      </c>
      <c r="AH155" s="14">
        <v>131</v>
      </c>
      <c r="AI155" s="14">
        <v>120</v>
      </c>
      <c r="AJ155" s="14">
        <v>196</v>
      </c>
      <c r="AK155" s="14">
        <v>108</v>
      </c>
      <c r="AM155" s="14">
        <v>245</v>
      </c>
      <c r="AO155" s="14">
        <v>205</v>
      </c>
      <c r="AR155" s="14">
        <v>129</v>
      </c>
    </row>
    <row r="156" spans="3:44" x14ac:dyDescent="0.25">
      <c r="C156" s="14">
        <v>419</v>
      </c>
      <c r="E156" s="14">
        <v>97</v>
      </c>
      <c r="I156" s="14">
        <v>747</v>
      </c>
      <c r="R156" s="14">
        <v>70</v>
      </c>
      <c r="S156" s="14">
        <v>39</v>
      </c>
      <c r="V156" s="14">
        <v>998</v>
      </c>
      <c r="Y156" s="14">
        <v>107</v>
      </c>
      <c r="Z156" s="14">
        <v>552</v>
      </c>
      <c r="AA156" s="14">
        <v>734</v>
      </c>
      <c r="AD156" s="14">
        <v>254</v>
      </c>
      <c r="AE156" s="14">
        <v>59</v>
      </c>
      <c r="AG156" s="14">
        <v>963</v>
      </c>
      <c r="AH156" s="14">
        <v>190</v>
      </c>
      <c r="AI156" s="14">
        <v>154</v>
      </c>
      <c r="AJ156" s="14">
        <v>371</v>
      </c>
      <c r="AK156" s="14">
        <v>168</v>
      </c>
      <c r="AM156" s="14">
        <v>230</v>
      </c>
      <c r="AO156" s="14">
        <v>46</v>
      </c>
      <c r="AR156" s="14">
        <v>149</v>
      </c>
    </row>
    <row r="157" spans="3:44" x14ac:dyDescent="0.25">
      <c r="C157" s="14">
        <v>357</v>
      </c>
      <c r="E157" s="14">
        <v>698</v>
      </c>
      <c r="I157" s="14">
        <v>152</v>
      </c>
      <c r="R157" s="14">
        <v>123</v>
      </c>
      <c r="S157" s="14">
        <v>128</v>
      </c>
      <c r="V157" s="14">
        <v>246</v>
      </c>
      <c r="Y157" s="14">
        <v>924</v>
      </c>
      <c r="Z157" s="14">
        <v>108</v>
      </c>
      <c r="AA157" s="14">
        <v>450</v>
      </c>
      <c r="AD157" s="14">
        <v>103</v>
      </c>
      <c r="AE157" s="14">
        <v>79</v>
      </c>
      <c r="AG157" s="14">
        <v>383</v>
      </c>
      <c r="AH157" s="14">
        <v>886</v>
      </c>
      <c r="AI157" s="14">
        <v>163</v>
      </c>
      <c r="AJ157" s="14">
        <v>193</v>
      </c>
      <c r="AK157" s="14">
        <v>224</v>
      </c>
      <c r="AM157" s="14">
        <v>665</v>
      </c>
      <c r="AO157" s="14">
        <v>23</v>
      </c>
      <c r="AR157" s="14">
        <v>322</v>
      </c>
    </row>
    <row r="158" spans="3:44" x14ac:dyDescent="0.25">
      <c r="C158" s="14">
        <v>277</v>
      </c>
      <c r="E158" s="14">
        <v>297</v>
      </c>
      <c r="I158" s="14">
        <v>204</v>
      </c>
      <c r="R158" s="14">
        <v>74</v>
      </c>
      <c r="S158" s="14">
        <v>1</v>
      </c>
      <c r="V158" s="14">
        <v>105</v>
      </c>
      <c r="Y158" s="14">
        <v>346</v>
      </c>
      <c r="Z158" s="14">
        <v>414</v>
      </c>
      <c r="AA158" s="14">
        <v>527</v>
      </c>
      <c r="AD158" s="14">
        <v>229</v>
      </c>
      <c r="AE158" s="14">
        <v>10</v>
      </c>
      <c r="AG158" s="14">
        <v>192</v>
      </c>
      <c r="AH158" s="14">
        <v>652</v>
      </c>
      <c r="AI158" s="14">
        <v>120</v>
      </c>
      <c r="AJ158" s="14">
        <v>116</v>
      </c>
      <c r="AK158" s="14">
        <v>197</v>
      </c>
      <c r="AM158" s="14">
        <v>66</v>
      </c>
      <c r="AO158" s="14">
        <v>52</v>
      </c>
      <c r="AR158" s="14">
        <v>50</v>
      </c>
    </row>
    <row r="159" spans="3:44" x14ac:dyDescent="0.25">
      <c r="C159" s="14">
        <v>160</v>
      </c>
      <c r="E159" s="14">
        <v>243</v>
      </c>
      <c r="I159" s="14">
        <v>262</v>
      </c>
      <c r="R159" s="14">
        <v>164</v>
      </c>
      <c r="S159" s="14">
        <v>146</v>
      </c>
      <c r="V159" s="14">
        <v>184</v>
      </c>
      <c r="Y159" s="14">
        <v>260</v>
      </c>
      <c r="Z159" s="14">
        <v>365</v>
      </c>
      <c r="AA159" s="14">
        <v>659</v>
      </c>
      <c r="AD159" s="14">
        <v>87</v>
      </c>
      <c r="AE159" s="14">
        <v>258</v>
      </c>
      <c r="AG159" s="14">
        <v>188</v>
      </c>
      <c r="AH159" s="14">
        <v>428</v>
      </c>
      <c r="AI159" s="14">
        <v>127</v>
      </c>
      <c r="AJ159" s="14">
        <v>79</v>
      </c>
      <c r="AK159" s="14">
        <v>285</v>
      </c>
      <c r="AM159" s="14">
        <v>401</v>
      </c>
      <c r="AO159" s="14">
        <v>154</v>
      </c>
      <c r="AR159" s="14">
        <v>173</v>
      </c>
    </row>
    <row r="160" spans="3:44" x14ac:dyDescent="0.25">
      <c r="C160" s="14">
        <v>110</v>
      </c>
      <c r="E160" s="14">
        <v>541</v>
      </c>
      <c r="I160" s="14">
        <v>339</v>
      </c>
      <c r="R160" s="14">
        <v>180</v>
      </c>
      <c r="S160" s="14">
        <v>41</v>
      </c>
      <c r="V160" s="14">
        <v>550</v>
      </c>
      <c r="Y160" s="14">
        <v>245</v>
      </c>
      <c r="Z160" s="14">
        <v>312</v>
      </c>
      <c r="AA160" s="14">
        <v>585</v>
      </c>
      <c r="AD160" s="14">
        <v>3</v>
      </c>
      <c r="AE160" s="14">
        <v>52</v>
      </c>
      <c r="AG160" s="14">
        <v>256</v>
      </c>
      <c r="AH160" s="14">
        <v>371</v>
      </c>
      <c r="AI160" s="14">
        <v>801</v>
      </c>
      <c r="AJ160" s="14">
        <v>205</v>
      </c>
      <c r="AK160" s="14">
        <v>425</v>
      </c>
      <c r="AM160" s="14">
        <v>326</v>
      </c>
      <c r="AO160" s="14">
        <v>276</v>
      </c>
      <c r="AR160" s="14">
        <v>349</v>
      </c>
    </row>
    <row r="161" spans="3:44" x14ac:dyDescent="0.25">
      <c r="C161" s="14">
        <v>358</v>
      </c>
      <c r="E161" s="14">
        <v>258</v>
      </c>
      <c r="I161" s="14">
        <v>374</v>
      </c>
      <c r="R161" s="14">
        <v>375</v>
      </c>
      <c r="S161" s="14">
        <v>82</v>
      </c>
      <c r="V161" s="14">
        <v>572</v>
      </c>
      <c r="Y161" s="14">
        <v>204</v>
      </c>
      <c r="Z161" s="14">
        <v>468</v>
      </c>
      <c r="AA161" s="14">
        <v>978</v>
      </c>
      <c r="AD161" s="14">
        <v>115</v>
      </c>
      <c r="AE161" s="14">
        <v>135</v>
      </c>
      <c r="AG161" s="14">
        <v>187</v>
      </c>
      <c r="AH161" s="14">
        <v>162</v>
      </c>
      <c r="AI161" s="14">
        <v>179</v>
      </c>
      <c r="AJ161" s="14">
        <v>248</v>
      </c>
      <c r="AK161" s="14">
        <v>345</v>
      </c>
      <c r="AM161" s="14">
        <v>146</v>
      </c>
      <c r="AO161" s="14">
        <v>199</v>
      </c>
      <c r="AR161" s="14">
        <v>286</v>
      </c>
    </row>
    <row r="162" spans="3:44" x14ac:dyDescent="0.25">
      <c r="C162" s="14">
        <v>640</v>
      </c>
      <c r="E162" s="14">
        <v>459</v>
      </c>
      <c r="I162" s="14">
        <v>395</v>
      </c>
      <c r="R162" s="14">
        <v>307</v>
      </c>
      <c r="S162" s="14">
        <v>143</v>
      </c>
      <c r="V162" s="14">
        <v>773</v>
      </c>
      <c r="Y162" s="14">
        <v>166</v>
      </c>
      <c r="Z162" s="14">
        <v>19</v>
      </c>
      <c r="AA162" s="14">
        <v>784</v>
      </c>
      <c r="AD162" s="14">
        <v>364</v>
      </c>
      <c r="AE162" s="14">
        <v>172</v>
      </c>
      <c r="AG162" s="14">
        <v>203</v>
      </c>
      <c r="AH162" s="14">
        <v>258</v>
      </c>
      <c r="AI162" s="14">
        <v>150</v>
      </c>
      <c r="AJ162" s="14">
        <v>337</v>
      </c>
      <c r="AK162" s="14">
        <v>189</v>
      </c>
      <c r="AM162" s="14">
        <v>582</v>
      </c>
      <c r="AO162" s="14">
        <v>75</v>
      </c>
      <c r="AR162" s="14">
        <v>49</v>
      </c>
    </row>
    <row r="163" spans="3:44" x14ac:dyDescent="0.25">
      <c r="C163" s="14">
        <v>1150</v>
      </c>
      <c r="E163" s="14">
        <v>995</v>
      </c>
      <c r="I163" s="14">
        <v>404</v>
      </c>
      <c r="R163" s="14">
        <v>65</v>
      </c>
      <c r="S163" s="14">
        <v>29</v>
      </c>
      <c r="V163" s="14">
        <v>503</v>
      </c>
      <c r="Y163" s="14">
        <v>275</v>
      </c>
      <c r="Z163" s="14">
        <v>25</v>
      </c>
      <c r="AA163" s="14">
        <v>115</v>
      </c>
      <c r="AD163" s="14">
        <v>21</v>
      </c>
      <c r="AE163" s="14">
        <v>253</v>
      </c>
      <c r="AG163" s="14">
        <v>147</v>
      </c>
      <c r="AH163" s="14">
        <v>238</v>
      </c>
      <c r="AI163" s="14">
        <v>101</v>
      </c>
      <c r="AJ163" s="14">
        <v>7</v>
      </c>
      <c r="AK163" s="14">
        <v>218</v>
      </c>
      <c r="AM163" s="14">
        <v>127</v>
      </c>
      <c r="AO163" s="14">
        <v>174</v>
      </c>
      <c r="AR163" s="14">
        <v>83</v>
      </c>
    </row>
    <row r="164" spans="3:44" x14ac:dyDescent="0.25">
      <c r="C164" s="14">
        <v>1353</v>
      </c>
      <c r="E164" s="14">
        <v>482</v>
      </c>
      <c r="I164" s="14">
        <v>185</v>
      </c>
      <c r="R164" s="14">
        <v>140</v>
      </c>
      <c r="S164" s="14">
        <v>22</v>
      </c>
      <c r="V164" s="14">
        <v>520</v>
      </c>
      <c r="Y164" s="14">
        <v>267</v>
      </c>
      <c r="Z164" s="14">
        <v>23</v>
      </c>
      <c r="AA164" s="14">
        <v>181</v>
      </c>
      <c r="AD164" s="14">
        <v>79</v>
      </c>
      <c r="AE164" s="14">
        <v>113</v>
      </c>
      <c r="AG164" s="14">
        <v>119</v>
      </c>
      <c r="AH164" s="14">
        <v>265</v>
      </c>
      <c r="AI164" s="14">
        <v>41</v>
      </c>
      <c r="AJ164" s="14">
        <v>27</v>
      </c>
      <c r="AK164" s="14">
        <v>475</v>
      </c>
      <c r="AM164" s="14">
        <v>303</v>
      </c>
      <c r="AO164" s="14">
        <v>152</v>
      </c>
      <c r="AR164" s="14">
        <v>507</v>
      </c>
    </row>
    <row r="165" spans="3:44" x14ac:dyDescent="0.25">
      <c r="C165" s="14">
        <v>5536</v>
      </c>
      <c r="E165" s="14">
        <v>194</v>
      </c>
      <c r="I165" s="14">
        <v>306</v>
      </c>
      <c r="R165" s="14">
        <v>218</v>
      </c>
      <c r="S165" s="14">
        <v>24</v>
      </c>
      <c r="V165" s="14">
        <v>300</v>
      </c>
      <c r="Y165" s="14">
        <v>622</v>
      </c>
      <c r="Z165" s="14">
        <v>62</v>
      </c>
      <c r="AA165" s="14">
        <v>42</v>
      </c>
      <c r="AD165" s="14">
        <v>483</v>
      </c>
      <c r="AE165" s="14">
        <v>22</v>
      </c>
      <c r="AG165" s="14">
        <v>223</v>
      </c>
      <c r="AH165" s="14">
        <v>73</v>
      </c>
      <c r="AI165" s="14">
        <v>683</v>
      </c>
      <c r="AJ165" s="14">
        <v>80</v>
      </c>
      <c r="AK165" s="14">
        <v>188</v>
      </c>
      <c r="AM165" s="14">
        <v>294</v>
      </c>
      <c r="AO165" s="14">
        <v>256</v>
      </c>
      <c r="AR165" s="14">
        <v>39</v>
      </c>
    </row>
    <row r="166" spans="3:44" x14ac:dyDescent="0.25">
      <c r="C166" s="14">
        <v>2497</v>
      </c>
      <c r="E166" s="14">
        <v>386</v>
      </c>
      <c r="I166" s="14">
        <v>386</v>
      </c>
      <c r="R166" s="14">
        <v>136</v>
      </c>
      <c r="S166" s="14">
        <v>169</v>
      </c>
      <c r="V166" s="14">
        <v>266</v>
      </c>
      <c r="Y166" s="14">
        <v>114</v>
      </c>
      <c r="Z166" s="14">
        <v>17</v>
      </c>
      <c r="AA166" s="14">
        <v>214</v>
      </c>
      <c r="AD166" s="14">
        <v>440</v>
      </c>
      <c r="AE166" s="14">
        <v>51</v>
      </c>
      <c r="AG166" s="14">
        <v>133</v>
      </c>
      <c r="AH166" s="14">
        <v>78</v>
      </c>
      <c r="AI166" s="14">
        <v>262</v>
      </c>
      <c r="AJ166" s="14">
        <v>279</v>
      </c>
      <c r="AK166" s="14">
        <v>622</v>
      </c>
      <c r="AM166" s="14">
        <v>40</v>
      </c>
      <c r="AO166" s="14">
        <v>289</v>
      </c>
      <c r="AR166" s="14">
        <v>83</v>
      </c>
    </row>
    <row r="167" spans="3:44" x14ac:dyDescent="0.25">
      <c r="C167" s="14">
        <v>1346</v>
      </c>
      <c r="E167" s="14">
        <v>160</v>
      </c>
      <c r="I167" s="14">
        <v>351</v>
      </c>
      <c r="R167" s="14">
        <v>183</v>
      </c>
      <c r="S167" s="14">
        <v>91</v>
      </c>
      <c r="V167" s="14">
        <v>397</v>
      </c>
      <c r="Y167" s="14">
        <v>891</v>
      </c>
      <c r="Z167" s="14">
        <v>28</v>
      </c>
      <c r="AA167" s="14">
        <v>16</v>
      </c>
      <c r="AD167" s="14">
        <v>177</v>
      </c>
      <c r="AE167" s="14">
        <v>58</v>
      </c>
      <c r="AG167" s="14">
        <v>122</v>
      </c>
      <c r="AH167" s="14">
        <v>86</v>
      </c>
      <c r="AI167" s="14">
        <v>606</v>
      </c>
      <c r="AJ167" s="14">
        <v>768</v>
      </c>
      <c r="AK167" s="14">
        <v>431</v>
      </c>
      <c r="AM167" s="14">
        <v>77</v>
      </c>
      <c r="AO167" s="14">
        <v>32</v>
      </c>
      <c r="AR167" s="14">
        <v>188</v>
      </c>
    </row>
    <row r="168" spans="3:44" x14ac:dyDescent="0.25">
      <c r="C168" s="14">
        <v>6877</v>
      </c>
      <c r="E168" s="14">
        <v>295</v>
      </c>
      <c r="I168" s="14">
        <v>294</v>
      </c>
      <c r="R168" s="14">
        <v>212</v>
      </c>
      <c r="S168" s="14">
        <v>301</v>
      </c>
      <c r="V168" s="14">
        <v>497</v>
      </c>
      <c r="Y168" s="14">
        <v>367</v>
      </c>
      <c r="Z168" s="14">
        <v>110</v>
      </c>
      <c r="AA168" s="14">
        <v>24</v>
      </c>
      <c r="AD168" s="14">
        <v>219</v>
      </c>
      <c r="AE168" s="14">
        <v>28</v>
      </c>
      <c r="AG168" s="14">
        <v>158</v>
      </c>
      <c r="AH168" s="14">
        <v>112</v>
      </c>
      <c r="AI168" s="14">
        <v>501</v>
      </c>
      <c r="AJ168" s="14">
        <v>159</v>
      </c>
      <c r="AK168" s="14">
        <v>130</v>
      </c>
      <c r="AM168" s="14">
        <v>196</v>
      </c>
      <c r="AO168" s="14">
        <v>207</v>
      </c>
      <c r="AR168" s="14">
        <v>768</v>
      </c>
    </row>
    <row r="169" spans="3:44" x14ac:dyDescent="0.25">
      <c r="C169" s="14">
        <v>7384</v>
      </c>
      <c r="E169" s="14">
        <v>111</v>
      </c>
      <c r="I169" s="14">
        <v>253</v>
      </c>
      <c r="R169" s="14">
        <v>214</v>
      </c>
      <c r="S169" s="14">
        <v>110</v>
      </c>
      <c r="V169" s="14">
        <v>323</v>
      </c>
      <c r="Y169" s="14">
        <v>126</v>
      </c>
      <c r="Z169" s="14">
        <v>65</v>
      </c>
      <c r="AA169" s="14">
        <v>162</v>
      </c>
      <c r="AD169" s="14">
        <v>306</v>
      </c>
      <c r="AE169" s="14">
        <v>354</v>
      </c>
      <c r="AG169" s="14">
        <v>166</v>
      </c>
      <c r="AH169" s="14">
        <v>336</v>
      </c>
      <c r="AI169" s="14">
        <v>396</v>
      </c>
      <c r="AJ169" s="14">
        <v>360</v>
      </c>
      <c r="AK169" s="14">
        <v>11</v>
      </c>
      <c r="AM169" s="14">
        <v>164</v>
      </c>
      <c r="AO169" s="14">
        <v>155</v>
      </c>
      <c r="AR169" s="14">
        <v>411</v>
      </c>
    </row>
    <row r="170" spans="3:44" x14ac:dyDescent="0.25">
      <c r="C170" s="14">
        <v>1172</v>
      </c>
      <c r="E170" s="14">
        <v>309</v>
      </c>
      <c r="I170" s="14">
        <v>224</v>
      </c>
      <c r="R170" s="14">
        <v>61</v>
      </c>
      <c r="S170" s="14">
        <v>99</v>
      </c>
      <c r="V170" s="14">
        <v>202</v>
      </c>
      <c r="Y170" s="14">
        <v>127</v>
      </c>
      <c r="Z170" s="14">
        <v>56</v>
      </c>
      <c r="AA170" s="14">
        <v>80</v>
      </c>
      <c r="AD170" s="14">
        <v>201</v>
      </c>
      <c r="AG170" s="14">
        <v>278</v>
      </c>
      <c r="AH170" s="14">
        <v>308</v>
      </c>
      <c r="AI170" s="14">
        <v>233</v>
      </c>
      <c r="AJ170" s="14">
        <v>205</v>
      </c>
      <c r="AK170" s="14">
        <v>55</v>
      </c>
      <c r="AM170" s="14">
        <v>258</v>
      </c>
      <c r="AO170" s="14">
        <v>249</v>
      </c>
      <c r="AR170" s="14">
        <v>190</v>
      </c>
    </row>
    <row r="171" spans="3:44" x14ac:dyDescent="0.25">
      <c r="C171" s="14">
        <v>8228</v>
      </c>
      <c r="E171" s="14">
        <v>576</v>
      </c>
      <c r="I171" s="14">
        <v>204</v>
      </c>
      <c r="R171" s="14">
        <v>224</v>
      </c>
      <c r="S171" s="14">
        <v>16</v>
      </c>
      <c r="V171" s="14">
        <v>229</v>
      </c>
      <c r="Y171" s="14">
        <v>163</v>
      </c>
      <c r="Z171" s="14">
        <v>32</v>
      </c>
      <c r="AA171" s="14">
        <v>270</v>
      </c>
      <c r="AD171" s="14">
        <v>190</v>
      </c>
      <c r="AG171" s="14">
        <v>289</v>
      </c>
      <c r="AH171" s="14">
        <v>739</v>
      </c>
      <c r="AI171" s="14">
        <v>348</v>
      </c>
      <c r="AJ171" s="14">
        <v>215</v>
      </c>
      <c r="AK171" s="14">
        <v>348</v>
      </c>
      <c r="AM171" s="14">
        <v>657</v>
      </c>
      <c r="AO171" s="14">
        <v>259</v>
      </c>
      <c r="AR171" s="14">
        <v>295</v>
      </c>
    </row>
    <row r="172" spans="3:44" x14ac:dyDescent="0.25">
      <c r="C172" s="14">
        <v>1236</v>
      </c>
      <c r="E172" s="14">
        <v>84</v>
      </c>
      <c r="I172" s="14">
        <v>679</v>
      </c>
      <c r="R172" s="14">
        <v>94</v>
      </c>
      <c r="S172" s="14">
        <v>224</v>
      </c>
      <c r="V172" s="14">
        <v>251</v>
      </c>
      <c r="Y172" s="14">
        <v>213</v>
      </c>
      <c r="Z172" s="14">
        <v>14</v>
      </c>
      <c r="AA172" s="14">
        <v>182</v>
      </c>
      <c r="AD172" s="14">
        <v>460</v>
      </c>
      <c r="AG172" s="14">
        <v>245</v>
      </c>
      <c r="AH172" s="14">
        <v>160</v>
      </c>
      <c r="AI172" s="14">
        <v>237</v>
      </c>
      <c r="AJ172" s="14">
        <v>134</v>
      </c>
      <c r="AK172" s="14">
        <v>820</v>
      </c>
      <c r="AM172" s="14">
        <v>473</v>
      </c>
      <c r="AO172" s="14">
        <v>1</v>
      </c>
      <c r="AR172" s="14">
        <v>452</v>
      </c>
    </row>
    <row r="173" spans="3:44" x14ac:dyDescent="0.25">
      <c r="C173" s="14">
        <v>1375</v>
      </c>
      <c r="E173" s="14">
        <v>790</v>
      </c>
      <c r="I173" s="14">
        <v>160</v>
      </c>
      <c r="R173" s="14">
        <v>1</v>
      </c>
      <c r="S173" s="14">
        <v>234</v>
      </c>
      <c r="V173" s="14">
        <v>508</v>
      </c>
      <c r="Y173" s="14">
        <v>645</v>
      </c>
      <c r="Z173" s="14">
        <v>27</v>
      </c>
      <c r="AA173" s="14">
        <v>158</v>
      </c>
      <c r="AD173" s="14">
        <v>313</v>
      </c>
      <c r="AG173" s="14">
        <v>264</v>
      </c>
      <c r="AH173" s="14">
        <v>332</v>
      </c>
      <c r="AI173" s="14">
        <v>300</v>
      </c>
      <c r="AJ173" s="14">
        <v>175</v>
      </c>
      <c r="AK173" s="14">
        <v>406</v>
      </c>
      <c r="AM173" s="14">
        <v>475</v>
      </c>
      <c r="AO173" s="14">
        <v>183</v>
      </c>
      <c r="AR173" s="14">
        <v>276</v>
      </c>
    </row>
    <row r="174" spans="3:44" x14ac:dyDescent="0.25">
      <c r="C174" s="14">
        <v>1344</v>
      </c>
      <c r="E174" s="14">
        <v>214</v>
      </c>
      <c r="I174" s="14">
        <v>165</v>
      </c>
      <c r="R174" s="14">
        <v>77</v>
      </c>
      <c r="S174" s="14">
        <v>111</v>
      </c>
      <c r="V174" s="14">
        <v>134</v>
      </c>
      <c r="Y174" s="14">
        <v>384</v>
      </c>
      <c r="Z174" s="14">
        <v>41</v>
      </c>
      <c r="AA174" s="14">
        <v>50</v>
      </c>
      <c r="AD174" s="14">
        <v>187</v>
      </c>
      <c r="AG174" s="14">
        <v>86</v>
      </c>
      <c r="AH174" s="14">
        <v>306</v>
      </c>
      <c r="AI174" s="14">
        <v>580</v>
      </c>
      <c r="AJ174" s="14">
        <v>6</v>
      </c>
      <c r="AK174" s="14">
        <v>30</v>
      </c>
      <c r="AM174" s="14">
        <v>181</v>
      </c>
      <c r="AO174" s="14">
        <v>54</v>
      </c>
      <c r="AR174" s="14">
        <v>279</v>
      </c>
    </row>
    <row r="175" spans="3:44" x14ac:dyDescent="0.25">
      <c r="C175" s="14">
        <v>1048</v>
      </c>
      <c r="E175" s="14">
        <v>685</v>
      </c>
      <c r="I175" s="14">
        <v>183</v>
      </c>
      <c r="R175" s="14">
        <v>70</v>
      </c>
      <c r="S175" s="14">
        <v>58</v>
      </c>
      <c r="V175" s="14">
        <v>235</v>
      </c>
      <c r="Y175" s="14">
        <v>558</v>
      </c>
      <c r="Z175" s="14">
        <v>5</v>
      </c>
      <c r="AA175" s="14">
        <v>132</v>
      </c>
      <c r="AD175" s="14">
        <v>69</v>
      </c>
      <c r="AG175" s="14">
        <v>114</v>
      </c>
      <c r="AH175" s="14">
        <v>738</v>
      </c>
      <c r="AI175" s="14">
        <v>240</v>
      </c>
      <c r="AJ175" s="14">
        <v>265</v>
      </c>
      <c r="AK175" s="14">
        <v>50</v>
      </c>
      <c r="AM175" s="14">
        <v>44</v>
      </c>
      <c r="AO175" s="14">
        <v>233</v>
      </c>
      <c r="AR175" s="14">
        <v>386</v>
      </c>
    </row>
    <row r="176" spans="3:44" x14ac:dyDescent="0.25">
      <c r="C176" s="14">
        <v>3994</v>
      </c>
      <c r="E176" s="14">
        <v>277</v>
      </c>
      <c r="I176" s="14">
        <v>127</v>
      </c>
      <c r="R176" s="14">
        <v>277</v>
      </c>
      <c r="S176" s="14">
        <v>211</v>
      </c>
      <c r="V176" s="14">
        <v>243</v>
      </c>
      <c r="Y176" s="14">
        <v>110</v>
      </c>
      <c r="Z176" s="14">
        <v>62</v>
      </c>
      <c r="AA176" s="14">
        <v>23</v>
      </c>
      <c r="AD176" s="14">
        <v>126</v>
      </c>
      <c r="AG176" s="14">
        <v>119</v>
      </c>
      <c r="AH176" s="14">
        <v>98</v>
      </c>
      <c r="AI176" s="14">
        <v>223</v>
      </c>
      <c r="AJ176" s="14">
        <v>50</v>
      </c>
      <c r="AK176" s="14">
        <v>156</v>
      </c>
      <c r="AM176" s="14">
        <v>715</v>
      </c>
      <c r="AO176" s="14">
        <v>182</v>
      </c>
      <c r="AR176" s="14">
        <v>275</v>
      </c>
    </row>
    <row r="177" spans="3:44" x14ac:dyDescent="0.25">
      <c r="C177" s="14">
        <v>2487</v>
      </c>
      <c r="E177" s="14">
        <v>550</v>
      </c>
      <c r="I177" s="14">
        <v>143</v>
      </c>
      <c r="R177" s="14">
        <v>239</v>
      </c>
      <c r="S177" s="14">
        <v>109</v>
      </c>
      <c r="V177" s="14">
        <v>237</v>
      </c>
      <c r="Y177" s="14">
        <v>867</v>
      </c>
      <c r="Z177" s="14">
        <v>34</v>
      </c>
      <c r="AA177" s="14">
        <v>280</v>
      </c>
      <c r="AD177" s="14">
        <v>4</v>
      </c>
      <c r="AG177" s="14">
        <v>117</v>
      </c>
      <c r="AH177" s="14">
        <v>336</v>
      </c>
      <c r="AI177" s="14">
        <v>430</v>
      </c>
      <c r="AJ177" s="14">
        <v>119</v>
      </c>
      <c r="AK177" s="14">
        <v>171</v>
      </c>
      <c r="AM177" s="14">
        <v>15</v>
      </c>
      <c r="AO177" s="14">
        <v>118</v>
      </c>
      <c r="AR177" s="14">
        <v>232</v>
      </c>
    </row>
    <row r="178" spans="3:44" x14ac:dyDescent="0.25">
      <c r="C178" s="14">
        <v>783</v>
      </c>
      <c r="E178" s="14">
        <v>778</v>
      </c>
      <c r="I178" s="14">
        <v>147</v>
      </c>
      <c r="R178" s="14">
        <v>67</v>
      </c>
      <c r="S178" s="14">
        <v>421</v>
      </c>
      <c r="V178" s="14">
        <v>237</v>
      </c>
      <c r="Y178" s="14">
        <v>271</v>
      </c>
      <c r="Z178" s="14">
        <v>44</v>
      </c>
      <c r="AA178" s="14">
        <v>109</v>
      </c>
      <c r="AD178" s="14">
        <v>367</v>
      </c>
      <c r="AG178" s="14">
        <v>87</v>
      </c>
      <c r="AH178" s="14">
        <v>307</v>
      </c>
      <c r="AI178" s="14">
        <v>191</v>
      </c>
      <c r="AJ178" s="14">
        <v>554</v>
      </c>
      <c r="AK178" s="14">
        <v>199</v>
      </c>
      <c r="AM178" s="14">
        <v>26</v>
      </c>
      <c r="AO178" s="14">
        <v>118</v>
      </c>
      <c r="AR178" s="14">
        <v>592</v>
      </c>
    </row>
    <row r="179" spans="3:44" x14ac:dyDescent="0.25">
      <c r="C179" s="14">
        <v>8179</v>
      </c>
      <c r="E179" s="14">
        <v>275</v>
      </c>
      <c r="I179" s="14">
        <v>149</v>
      </c>
      <c r="R179" s="14">
        <v>231</v>
      </c>
      <c r="S179" s="14">
        <v>958</v>
      </c>
      <c r="V179" s="14">
        <v>262</v>
      </c>
      <c r="Y179" s="14">
        <v>673</v>
      </c>
      <c r="Z179" s="14">
        <v>51</v>
      </c>
      <c r="AA179" s="14">
        <v>371</v>
      </c>
      <c r="AD179" s="14">
        <v>553</v>
      </c>
      <c r="AG179" s="14">
        <v>113</v>
      </c>
      <c r="AH179" s="14">
        <v>739</v>
      </c>
      <c r="AI179" s="14">
        <v>645</v>
      </c>
      <c r="AJ179" s="14">
        <v>105</v>
      </c>
      <c r="AK179" s="14">
        <v>107</v>
      </c>
      <c r="AM179" s="14">
        <v>319</v>
      </c>
      <c r="AO179" s="14">
        <v>182</v>
      </c>
      <c r="AR179" s="14">
        <v>182</v>
      </c>
    </row>
    <row r="180" spans="3:44" x14ac:dyDescent="0.25">
      <c r="C180" s="14">
        <v>9165</v>
      </c>
      <c r="E180" s="14">
        <v>132</v>
      </c>
      <c r="I180" s="14">
        <v>150</v>
      </c>
      <c r="R180" s="14">
        <v>661</v>
      </c>
      <c r="S180" s="14">
        <v>115</v>
      </c>
      <c r="V180" s="14">
        <v>159</v>
      </c>
      <c r="Y180" s="14">
        <v>137</v>
      </c>
      <c r="Z180" s="14">
        <v>29</v>
      </c>
      <c r="AA180" s="14">
        <v>215</v>
      </c>
      <c r="AD180" s="14">
        <v>54</v>
      </c>
      <c r="AG180" s="14">
        <v>86</v>
      </c>
      <c r="AH180" s="14">
        <v>123</v>
      </c>
      <c r="AI180" s="14">
        <v>483</v>
      </c>
      <c r="AJ180" s="14">
        <v>521</v>
      </c>
      <c r="AK180" s="14">
        <v>286</v>
      </c>
      <c r="AM180" s="14">
        <v>196</v>
      </c>
      <c r="AO180" s="14">
        <v>177</v>
      </c>
      <c r="AR180" s="14">
        <v>211</v>
      </c>
    </row>
    <row r="181" spans="3:44" x14ac:dyDescent="0.25">
      <c r="E181" s="14">
        <v>225</v>
      </c>
      <c r="I181" s="14">
        <v>151</v>
      </c>
      <c r="R181" s="14">
        <v>57</v>
      </c>
      <c r="S181" s="14">
        <v>402</v>
      </c>
      <c r="V181" s="14">
        <v>191</v>
      </c>
      <c r="Y181" s="14">
        <v>264</v>
      </c>
      <c r="Z181" s="14">
        <v>6</v>
      </c>
      <c r="AA181" s="14">
        <v>29</v>
      </c>
      <c r="AD181" s="14">
        <v>244</v>
      </c>
      <c r="AG181" s="14">
        <v>87</v>
      </c>
      <c r="AH181" s="14">
        <v>346</v>
      </c>
      <c r="AI181" s="14">
        <v>523</v>
      </c>
      <c r="AJ181" s="14">
        <v>170</v>
      </c>
      <c r="AK181" s="14">
        <v>319</v>
      </c>
      <c r="AM181" s="14">
        <v>351</v>
      </c>
      <c r="AO181" s="14">
        <v>105</v>
      </c>
      <c r="AR181" s="14">
        <v>173</v>
      </c>
    </row>
    <row r="182" spans="3:44" x14ac:dyDescent="0.25">
      <c r="E182" s="14">
        <v>267</v>
      </c>
      <c r="I182" s="14">
        <v>442</v>
      </c>
      <c r="R182" s="14">
        <v>182</v>
      </c>
      <c r="S182" s="14">
        <v>710</v>
      </c>
      <c r="V182" s="14">
        <v>328</v>
      </c>
      <c r="Y182" s="14">
        <v>210</v>
      </c>
      <c r="Z182" s="14">
        <v>3</v>
      </c>
      <c r="AA182" s="14">
        <v>13</v>
      </c>
      <c r="AD182" s="14">
        <v>30</v>
      </c>
      <c r="AG182" s="14">
        <v>88</v>
      </c>
      <c r="AH182" s="14">
        <v>319</v>
      </c>
      <c r="AI182" s="14">
        <v>526</v>
      </c>
      <c r="AJ182" s="14">
        <v>606</v>
      </c>
      <c r="AK182" s="14">
        <v>171</v>
      </c>
      <c r="AM182" s="14">
        <v>244</v>
      </c>
      <c r="AO182" s="14">
        <v>107</v>
      </c>
      <c r="AR182" s="14">
        <v>161</v>
      </c>
    </row>
    <row r="183" spans="3:44" x14ac:dyDescent="0.25">
      <c r="E183" s="14">
        <v>107</v>
      </c>
      <c r="I183" s="14">
        <v>686</v>
      </c>
      <c r="R183" s="14">
        <v>180</v>
      </c>
      <c r="S183" s="14">
        <v>159</v>
      </c>
      <c r="V183" s="14">
        <v>552</v>
      </c>
      <c r="Y183" s="14">
        <v>516</v>
      </c>
      <c r="Z183" s="14">
        <v>24</v>
      </c>
      <c r="AA183" s="14">
        <v>343</v>
      </c>
      <c r="AD183" s="14">
        <v>74</v>
      </c>
      <c r="AG183" s="14">
        <v>7</v>
      </c>
      <c r="AH183" s="14">
        <v>740</v>
      </c>
      <c r="AI183" s="14">
        <v>811</v>
      </c>
      <c r="AJ183" s="14">
        <v>118</v>
      </c>
      <c r="AK183" s="14">
        <v>102</v>
      </c>
      <c r="AM183" s="14">
        <v>480</v>
      </c>
      <c r="AO183" s="14">
        <v>166</v>
      </c>
      <c r="AR183" s="14">
        <v>209</v>
      </c>
    </row>
    <row r="184" spans="3:44" x14ac:dyDescent="0.25">
      <c r="E184" s="14">
        <v>989</v>
      </c>
      <c r="I184" s="14">
        <v>972</v>
      </c>
      <c r="R184" s="14">
        <v>384</v>
      </c>
      <c r="S184" s="14">
        <v>912</v>
      </c>
      <c r="V184" s="14">
        <v>741</v>
      </c>
      <c r="Y184" s="14">
        <v>927</v>
      </c>
      <c r="Z184" s="14">
        <v>31</v>
      </c>
      <c r="AA184" s="14">
        <v>234</v>
      </c>
      <c r="AD184" s="14">
        <v>119</v>
      </c>
      <c r="AG184" s="14">
        <v>203</v>
      </c>
      <c r="AH184" s="14">
        <v>179</v>
      </c>
      <c r="AI184" s="14">
        <v>895</v>
      </c>
      <c r="AJ184" s="14">
        <v>151</v>
      </c>
      <c r="AK184" s="14">
        <v>42</v>
      </c>
      <c r="AM184" s="14">
        <v>44</v>
      </c>
      <c r="AO184" s="14">
        <v>51</v>
      </c>
      <c r="AR184" s="14">
        <v>137</v>
      </c>
    </row>
    <row r="185" spans="3:44" x14ac:dyDescent="0.25">
      <c r="E185" s="14">
        <v>360</v>
      </c>
      <c r="I185" s="14">
        <v>619</v>
      </c>
      <c r="R185" s="14">
        <v>99</v>
      </c>
      <c r="S185" s="14">
        <v>436</v>
      </c>
      <c r="V185" s="14">
        <v>292</v>
      </c>
      <c r="Y185" s="14">
        <v>143</v>
      </c>
      <c r="Z185" s="14">
        <v>34</v>
      </c>
      <c r="AA185" s="14">
        <v>229</v>
      </c>
      <c r="AD185" s="14">
        <v>400</v>
      </c>
      <c r="AG185" s="14">
        <v>112</v>
      </c>
      <c r="AH185" s="14">
        <v>225</v>
      </c>
      <c r="AI185" s="14">
        <v>706</v>
      </c>
      <c r="AJ185" s="14">
        <v>200</v>
      </c>
      <c r="AK185" s="14">
        <v>724</v>
      </c>
      <c r="AM185" s="14">
        <v>69</v>
      </c>
      <c r="AO185" s="14">
        <v>219</v>
      </c>
      <c r="AR185" s="14">
        <v>82</v>
      </c>
    </row>
    <row r="186" spans="3:44" x14ac:dyDescent="0.25">
      <c r="E186" s="14">
        <v>547</v>
      </c>
      <c r="I186" s="14">
        <v>357</v>
      </c>
      <c r="R186" s="14">
        <v>74</v>
      </c>
      <c r="S186" s="14">
        <v>166</v>
      </c>
      <c r="V186" s="14">
        <v>108</v>
      </c>
      <c r="Y186" s="14">
        <v>291</v>
      </c>
      <c r="Z186" s="14">
        <v>27</v>
      </c>
      <c r="AA186" s="14">
        <v>165</v>
      </c>
      <c r="AD186" s="14">
        <v>284</v>
      </c>
      <c r="AG186" s="14">
        <v>105</v>
      </c>
      <c r="AH186" s="14">
        <v>944</v>
      </c>
      <c r="AI186" s="14">
        <v>819</v>
      </c>
      <c r="AJ186" s="14">
        <v>144</v>
      </c>
      <c r="AK186" s="14">
        <v>434</v>
      </c>
      <c r="AM186" s="14">
        <v>263</v>
      </c>
      <c r="AO186" s="14">
        <v>128</v>
      </c>
      <c r="AR186" s="14">
        <v>387</v>
      </c>
    </row>
    <row r="187" spans="3:44" x14ac:dyDescent="0.25">
      <c r="E187" s="14">
        <v>128</v>
      </c>
      <c r="I187" s="14">
        <v>235</v>
      </c>
      <c r="R187" s="14">
        <v>80</v>
      </c>
      <c r="S187" s="14">
        <v>871</v>
      </c>
      <c r="V187" s="14">
        <v>431</v>
      </c>
      <c r="Y187" s="14">
        <v>230</v>
      </c>
      <c r="Z187" s="14">
        <v>1</v>
      </c>
      <c r="AA187" s="14">
        <v>246</v>
      </c>
      <c r="AD187" s="14">
        <v>67</v>
      </c>
      <c r="AG187" s="14">
        <v>931</v>
      </c>
      <c r="AH187" s="14">
        <v>895</v>
      </c>
      <c r="AI187" s="14">
        <v>676</v>
      </c>
      <c r="AJ187" s="14">
        <v>20</v>
      </c>
      <c r="AK187" s="14">
        <v>273</v>
      </c>
      <c r="AM187" s="14">
        <v>53</v>
      </c>
      <c r="AO187" s="14">
        <v>151</v>
      </c>
      <c r="AR187" s="14">
        <v>404</v>
      </c>
    </row>
    <row r="188" spans="3:44" x14ac:dyDescent="0.25">
      <c r="E188" s="14">
        <v>273</v>
      </c>
      <c r="I188" s="14">
        <v>169</v>
      </c>
      <c r="R188" s="14">
        <v>210</v>
      </c>
      <c r="S188" s="14">
        <v>813</v>
      </c>
      <c r="V188" s="14">
        <v>473</v>
      </c>
      <c r="Y188" s="14">
        <v>893</v>
      </c>
      <c r="Z188" s="14">
        <v>146</v>
      </c>
      <c r="AA188" s="14">
        <v>311</v>
      </c>
      <c r="AD188" s="14">
        <v>302</v>
      </c>
      <c r="AG188" s="14">
        <v>44</v>
      </c>
      <c r="AH188" s="14">
        <v>487</v>
      </c>
      <c r="AI188" s="14">
        <v>440</v>
      </c>
      <c r="AJ188" s="14">
        <v>159</v>
      </c>
      <c r="AK188" s="14">
        <v>24</v>
      </c>
      <c r="AM188" s="14">
        <v>90</v>
      </c>
      <c r="AO188" s="14">
        <v>172</v>
      </c>
      <c r="AR188" s="14">
        <v>354</v>
      </c>
    </row>
    <row r="189" spans="3:44" x14ac:dyDescent="0.25">
      <c r="E189" s="14">
        <v>263</v>
      </c>
      <c r="I189" s="14">
        <v>127</v>
      </c>
      <c r="R189" s="14">
        <v>24</v>
      </c>
      <c r="S189" s="14">
        <v>812</v>
      </c>
      <c r="V189" s="14">
        <v>460</v>
      </c>
      <c r="Y189" s="14">
        <v>426</v>
      </c>
      <c r="Z189" s="14">
        <v>16</v>
      </c>
      <c r="AA189" s="14">
        <v>176</v>
      </c>
      <c r="AD189" s="14">
        <v>64</v>
      </c>
      <c r="AG189" s="14">
        <v>83</v>
      </c>
      <c r="AH189" s="14">
        <v>340</v>
      </c>
      <c r="AI189" s="14">
        <v>476</v>
      </c>
      <c r="AJ189" s="14">
        <v>511</v>
      </c>
      <c r="AK189" s="14">
        <v>287</v>
      </c>
      <c r="AM189" s="14">
        <v>66</v>
      </c>
      <c r="AO189" s="14">
        <v>90</v>
      </c>
      <c r="AR189" s="14">
        <v>102</v>
      </c>
    </row>
    <row r="190" spans="3:44" x14ac:dyDescent="0.25">
      <c r="E190" s="14">
        <v>195</v>
      </c>
      <c r="I190" s="14">
        <v>694</v>
      </c>
      <c r="R190" s="14">
        <v>391</v>
      </c>
      <c r="S190" s="14">
        <v>119</v>
      </c>
      <c r="V190" s="14">
        <v>599</v>
      </c>
      <c r="Y190" s="14">
        <v>433</v>
      </c>
      <c r="Z190" s="14">
        <v>31</v>
      </c>
      <c r="AA190" s="14">
        <v>131</v>
      </c>
      <c r="AD190" s="14">
        <v>77</v>
      </c>
      <c r="AG190" s="14">
        <v>74</v>
      </c>
      <c r="AH190" s="14">
        <v>480</v>
      </c>
      <c r="AI190" s="14">
        <v>319</v>
      </c>
      <c r="AJ190" s="14">
        <v>159</v>
      </c>
      <c r="AK190" s="14">
        <v>290</v>
      </c>
      <c r="AM190" s="14">
        <v>314</v>
      </c>
      <c r="AO190" s="14">
        <v>344</v>
      </c>
      <c r="AR190" s="14">
        <v>55</v>
      </c>
    </row>
    <row r="191" spans="3:44" x14ac:dyDescent="0.25">
      <c r="E191" s="14">
        <v>169</v>
      </c>
      <c r="I191" s="14">
        <v>678</v>
      </c>
      <c r="R191" s="14">
        <v>55</v>
      </c>
      <c r="S191" s="14">
        <v>195</v>
      </c>
      <c r="V191" s="14">
        <v>482</v>
      </c>
      <c r="Y191" s="14">
        <v>521</v>
      </c>
      <c r="Z191" s="14">
        <v>31</v>
      </c>
      <c r="AA191" s="14">
        <v>217</v>
      </c>
      <c r="AD191" s="14">
        <v>24</v>
      </c>
      <c r="AG191" s="14">
        <v>89</v>
      </c>
      <c r="AH191" s="14">
        <v>363</v>
      </c>
      <c r="AI191" s="14">
        <v>949</v>
      </c>
      <c r="AJ191" s="14">
        <v>210</v>
      </c>
      <c r="AK191" s="14">
        <v>41</v>
      </c>
      <c r="AM191" s="14">
        <v>247</v>
      </c>
      <c r="AO191" s="14">
        <v>97</v>
      </c>
      <c r="AR191" s="14">
        <v>39</v>
      </c>
    </row>
    <row r="192" spans="3:44" x14ac:dyDescent="0.25">
      <c r="E192" s="14">
        <v>343</v>
      </c>
      <c r="I192" s="14">
        <v>733</v>
      </c>
      <c r="R192" s="14">
        <v>237</v>
      </c>
      <c r="S192" s="14">
        <v>448</v>
      </c>
      <c r="V192" s="14">
        <v>484</v>
      </c>
      <c r="Y192" s="14">
        <v>584</v>
      </c>
      <c r="Z192" s="14">
        <v>30</v>
      </c>
      <c r="AA192" s="14">
        <v>283</v>
      </c>
      <c r="AD192" s="14">
        <v>282</v>
      </c>
      <c r="AG192" s="14">
        <v>231</v>
      </c>
      <c r="AH192" s="14">
        <v>284</v>
      </c>
      <c r="AI192" s="14">
        <v>971</v>
      </c>
      <c r="AJ192" s="14">
        <v>154</v>
      </c>
      <c r="AK192" s="14">
        <v>240</v>
      </c>
      <c r="AM192" s="14">
        <v>207</v>
      </c>
      <c r="AO192" s="14">
        <v>204</v>
      </c>
      <c r="AR192" s="14">
        <v>182</v>
      </c>
    </row>
    <row r="193" spans="5:44" x14ac:dyDescent="0.25">
      <c r="E193" s="14">
        <v>323</v>
      </c>
      <c r="I193" s="14">
        <v>105</v>
      </c>
      <c r="R193" s="14">
        <v>233</v>
      </c>
      <c r="S193" s="14">
        <v>877</v>
      </c>
      <c r="V193" s="14">
        <v>400</v>
      </c>
      <c r="Y193" s="14">
        <v>142</v>
      </c>
      <c r="Z193" s="14">
        <v>31</v>
      </c>
      <c r="AA193" s="14">
        <v>326</v>
      </c>
      <c r="AD193" s="14">
        <v>564</v>
      </c>
      <c r="AG193" s="14">
        <v>252</v>
      </c>
      <c r="AH193" s="14">
        <v>128</v>
      </c>
      <c r="AI193" s="14">
        <v>213</v>
      </c>
      <c r="AJ193" s="14">
        <v>415</v>
      </c>
      <c r="AK193" s="14">
        <v>118</v>
      </c>
      <c r="AM193" s="14">
        <v>213</v>
      </c>
      <c r="AO193" s="14">
        <v>139</v>
      </c>
      <c r="AR193" s="14">
        <v>476</v>
      </c>
    </row>
    <row r="194" spans="5:44" x14ac:dyDescent="0.25">
      <c r="E194" s="14">
        <v>642</v>
      </c>
      <c r="I194" s="14">
        <v>360</v>
      </c>
      <c r="R194" s="14">
        <v>248</v>
      </c>
      <c r="S194" s="14">
        <v>188</v>
      </c>
      <c r="V194" s="14">
        <v>518</v>
      </c>
      <c r="Y194" s="14">
        <v>23</v>
      </c>
      <c r="Z194" s="14">
        <v>10</v>
      </c>
      <c r="AA194" s="14">
        <v>87</v>
      </c>
      <c r="AD194" s="14">
        <v>177</v>
      </c>
      <c r="AG194" s="14">
        <v>202</v>
      </c>
      <c r="AH194" s="14">
        <v>295</v>
      </c>
      <c r="AI194" s="14">
        <v>766</v>
      </c>
      <c r="AJ194" s="14">
        <v>7</v>
      </c>
      <c r="AK194" s="14">
        <v>431</v>
      </c>
      <c r="AM194" s="14">
        <v>459</v>
      </c>
      <c r="AO194" s="14">
        <v>266</v>
      </c>
      <c r="AR194" s="14">
        <v>313</v>
      </c>
    </row>
    <row r="195" spans="5:44" x14ac:dyDescent="0.25">
      <c r="E195" s="14">
        <v>264</v>
      </c>
      <c r="I195" s="14">
        <v>541</v>
      </c>
      <c r="R195" s="14">
        <v>931</v>
      </c>
      <c r="S195" s="14">
        <v>183</v>
      </c>
      <c r="V195" s="14">
        <v>317</v>
      </c>
      <c r="Y195" s="14">
        <v>620</v>
      </c>
      <c r="AA195" s="14">
        <v>308</v>
      </c>
      <c r="AD195" s="14">
        <v>150</v>
      </c>
      <c r="AG195" s="14">
        <v>244</v>
      </c>
      <c r="AH195" s="14">
        <v>154</v>
      </c>
      <c r="AI195" s="14">
        <v>695</v>
      </c>
      <c r="AJ195" s="14">
        <v>173</v>
      </c>
      <c r="AK195" s="14">
        <v>103</v>
      </c>
      <c r="AM195" s="14">
        <v>364</v>
      </c>
      <c r="AO195" s="14">
        <v>199</v>
      </c>
      <c r="AR195" s="14">
        <v>178</v>
      </c>
    </row>
    <row r="196" spans="5:44" x14ac:dyDescent="0.25">
      <c r="E196" s="14">
        <v>459</v>
      </c>
      <c r="I196" s="14">
        <v>511</v>
      </c>
      <c r="R196" s="14">
        <v>100</v>
      </c>
      <c r="S196" s="14">
        <v>251</v>
      </c>
      <c r="V196" s="14">
        <v>210</v>
      </c>
      <c r="Y196" s="14">
        <v>511</v>
      </c>
      <c r="AA196" s="14">
        <v>93</v>
      </c>
      <c r="AD196" s="14">
        <v>376</v>
      </c>
      <c r="AG196" s="14">
        <v>321</v>
      </c>
      <c r="AH196" s="14">
        <v>157</v>
      </c>
      <c r="AI196" s="14">
        <v>133</v>
      </c>
      <c r="AJ196" s="14">
        <v>262</v>
      </c>
      <c r="AK196" s="14">
        <v>362</v>
      </c>
      <c r="AM196" s="14">
        <v>304</v>
      </c>
      <c r="AO196" s="14">
        <v>95</v>
      </c>
      <c r="AR196" s="14">
        <v>204</v>
      </c>
    </row>
    <row r="197" spans="5:44" x14ac:dyDescent="0.25">
      <c r="E197" s="14">
        <v>323</v>
      </c>
      <c r="I197" s="14">
        <v>558</v>
      </c>
      <c r="R197" s="14">
        <v>861</v>
      </c>
      <c r="S197" s="14">
        <v>180</v>
      </c>
      <c r="V197" s="14">
        <v>290</v>
      </c>
      <c r="Y197" s="14">
        <v>264</v>
      </c>
      <c r="AA197" s="14">
        <v>59</v>
      </c>
      <c r="AD197" s="14">
        <v>284</v>
      </c>
      <c r="AG197" s="14">
        <v>335</v>
      </c>
      <c r="AH197" s="14">
        <v>209</v>
      </c>
      <c r="AI197" s="14">
        <v>599</v>
      </c>
      <c r="AJ197" s="14">
        <v>928</v>
      </c>
      <c r="AK197" s="14">
        <v>105</v>
      </c>
      <c r="AM197" s="14">
        <v>278</v>
      </c>
      <c r="AO197" s="14">
        <v>45</v>
      </c>
      <c r="AR197" s="14">
        <v>331</v>
      </c>
    </row>
    <row r="198" spans="5:44" x14ac:dyDescent="0.25">
      <c r="E198" s="14">
        <v>781</v>
      </c>
      <c r="I198" s="14">
        <v>568</v>
      </c>
      <c r="R198" s="14">
        <v>116</v>
      </c>
      <c r="S198" s="14">
        <v>998</v>
      </c>
      <c r="V198" s="14">
        <v>123</v>
      </c>
      <c r="Y198" s="14">
        <v>505</v>
      </c>
      <c r="AA198" s="14">
        <v>110</v>
      </c>
      <c r="AD198" s="14">
        <v>392</v>
      </c>
      <c r="AG198" s="14">
        <v>263</v>
      </c>
      <c r="AH198" s="14">
        <v>137</v>
      </c>
      <c r="AI198" s="14">
        <v>347</v>
      </c>
      <c r="AJ198" s="14">
        <v>402</v>
      </c>
      <c r="AK198" s="14">
        <v>97</v>
      </c>
      <c r="AM198" s="14">
        <v>210</v>
      </c>
      <c r="AO198" s="14">
        <v>6</v>
      </c>
      <c r="AR198" s="14">
        <v>250</v>
      </c>
    </row>
    <row r="199" spans="5:44" x14ac:dyDescent="0.25">
      <c r="E199" s="14">
        <v>422</v>
      </c>
      <c r="I199" s="14">
        <v>104</v>
      </c>
      <c r="R199" s="14">
        <v>288</v>
      </c>
      <c r="S199" s="14">
        <v>197</v>
      </c>
      <c r="V199" s="14">
        <v>135</v>
      </c>
      <c r="Y199" s="14">
        <v>255</v>
      </c>
      <c r="AA199" s="14">
        <v>128</v>
      </c>
      <c r="AD199" s="14">
        <v>47</v>
      </c>
      <c r="AG199" s="14">
        <v>278</v>
      </c>
      <c r="AH199" s="14">
        <v>202</v>
      </c>
      <c r="AI199" s="14">
        <v>39</v>
      </c>
      <c r="AJ199" s="14">
        <v>180</v>
      </c>
      <c r="AK199" s="14">
        <v>186</v>
      </c>
      <c r="AM199" s="14">
        <v>1</v>
      </c>
      <c r="AO199" s="14">
        <v>176</v>
      </c>
      <c r="AR199" s="14">
        <v>392</v>
      </c>
    </row>
    <row r="200" spans="5:44" x14ac:dyDescent="0.25">
      <c r="E200" s="14">
        <v>556</v>
      </c>
      <c r="I200" s="14">
        <v>165</v>
      </c>
      <c r="R200" s="14">
        <v>73</v>
      </c>
      <c r="S200" s="14">
        <v>199</v>
      </c>
      <c r="V200" s="14">
        <v>146</v>
      </c>
      <c r="Y200" s="14">
        <v>200</v>
      </c>
      <c r="AA200" s="14">
        <v>89</v>
      </c>
      <c r="AD200" s="14">
        <v>106</v>
      </c>
      <c r="AG200" s="14">
        <v>177</v>
      </c>
      <c r="AH200" s="14">
        <v>170</v>
      </c>
      <c r="AI200" s="14">
        <v>576</v>
      </c>
      <c r="AJ200" s="14">
        <v>108</v>
      </c>
      <c r="AK200" s="14">
        <v>207</v>
      </c>
      <c r="AM200" s="14">
        <v>167</v>
      </c>
      <c r="AO200" s="14">
        <v>191</v>
      </c>
      <c r="AR200" s="14">
        <v>174</v>
      </c>
    </row>
    <row r="201" spans="5:44" x14ac:dyDescent="0.25">
      <c r="E201" s="14">
        <v>658</v>
      </c>
      <c r="I201" s="14">
        <v>558</v>
      </c>
      <c r="R201" s="14">
        <v>161</v>
      </c>
      <c r="S201" s="14">
        <v>269</v>
      </c>
      <c r="V201" s="14">
        <v>656</v>
      </c>
      <c r="Y201" s="14">
        <v>108</v>
      </c>
      <c r="AA201" s="14">
        <v>100</v>
      </c>
      <c r="AD201" s="14">
        <v>272</v>
      </c>
      <c r="AG201" s="14">
        <v>172</v>
      </c>
      <c r="AH201" s="14">
        <v>305</v>
      </c>
      <c r="AI201" s="14">
        <v>92</v>
      </c>
      <c r="AJ201" s="14">
        <v>295</v>
      </c>
      <c r="AK201" s="14">
        <v>23</v>
      </c>
      <c r="AM201" s="14">
        <v>153</v>
      </c>
      <c r="AO201" s="14">
        <v>160</v>
      </c>
      <c r="AR201" s="14">
        <v>263</v>
      </c>
    </row>
    <row r="202" spans="5:44" x14ac:dyDescent="0.25">
      <c r="E202" s="14">
        <v>163</v>
      </c>
      <c r="I202" s="14">
        <v>160</v>
      </c>
      <c r="R202" s="14">
        <v>421</v>
      </c>
      <c r="S202" s="14">
        <v>191</v>
      </c>
      <c r="V202" s="14">
        <v>106</v>
      </c>
      <c r="Y202" s="14">
        <v>260</v>
      </c>
      <c r="AA202" s="14">
        <v>134</v>
      </c>
      <c r="AD202" s="14">
        <v>207</v>
      </c>
      <c r="AG202" s="14">
        <v>59</v>
      </c>
      <c r="AH202" s="14">
        <v>939</v>
      </c>
      <c r="AI202" s="14">
        <v>103</v>
      </c>
      <c r="AJ202" s="14">
        <v>252</v>
      </c>
      <c r="AK202" s="14">
        <v>20</v>
      </c>
      <c r="AM202" s="14">
        <v>119</v>
      </c>
      <c r="AO202" s="14">
        <v>263</v>
      </c>
      <c r="AR202" s="14">
        <v>130</v>
      </c>
    </row>
    <row r="203" spans="5:44" x14ac:dyDescent="0.25">
      <c r="E203" s="14">
        <v>697</v>
      </c>
      <c r="I203" s="14">
        <v>991</v>
      </c>
      <c r="R203" s="14">
        <v>439</v>
      </c>
      <c r="S203" s="14">
        <v>924</v>
      </c>
      <c r="V203" s="14">
        <v>20</v>
      </c>
      <c r="Y203" s="14">
        <v>404</v>
      </c>
      <c r="AA203" s="14">
        <v>458</v>
      </c>
      <c r="AD203" s="14">
        <v>314</v>
      </c>
      <c r="AG203" s="14">
        <v>178</v>
      </c>
      <c r="AH203" s="14">
        <v>159</v>
      </c>
      <c r="AI203" s="14">
        <v>684</v>
      </c>
      <c r="AJ203" s="14">
        <v>70</v>
      </c>
      <c r="AK203" s="14">
        <v>42</v>
      </c>
      <c r="AM203" s="14">
        <v>7</v>
      </c>
      <c r="AO203" s="14">
        <v>309</v>
      </c>
      <c r="AR203" s="14">
        <v>150</v>
      </c>
    </row>
    <row r="204" spans="5:44" x14ac:dyDescent="0.25">
      <c r="E204" s="14">
        <v>295</v>
      </c>
      <c r="I204" s="14">
        <v>685</v>
      </c>
      <c r="R204" s="14">
        <v>102</v>
      </c>
      <c r="S204" s="14">
        <v>174</v>
      </c>
      <c r="V204" s="14">
        <v>83</v>
      </c>
      <c r="Y204" s="14">
        <v>100</v>
      </c>
      <c r="AA204" s="14">
        <v>198</v>
      </c>
      <c r="AD204" s="14">
        <v>39</v>
      </c>
      <c r="AG204" s="14">
        <v>297</v>
      </c>
      <c r="AH204" s="14">
        <v>620</v>
      </c>
      <c r="AI204" s="14">
        <v>325</v>
      </c>
      <c r="AJ204" s="14">
        <v>411</v>
      </c>
      <c r="AK204" s="14">
        <v>453</v>
      </c>
      <c r="AM204" s="14">
        <v>292</v>
      </c>
      <c r="AO204" s="14">
        <v>5</v>
      </c>
      <c r="AR204" s="14">
        <v>272</v>
      </c>
    </row>
    <row r="205" spans="5:44" x14ac:dyDescent="0.25">
      <c r="E205" s="14">
        <v>471</v>
      </c>
      <c r="I205" s="14">
        <v>559</v>
      </c>
      <c r="R205" s="14">
        <v>152</v>
      </c>
      <c r="S205" s="14">
        <v>144</v>
      </c>
      <c r="V205" s="14">
        <v>86</v>
      </c>
      <c r="Y205" s="14">
        <v>102</v>
      </c>
      <c r="AA205" s="14">
        <v>41</v>
      </c>
      <c r="AD205" s="14">
        <v>51</v>
      </c>
      <c r="AG205" s="14">
        <v>347</v>
      </c>
      <c r="AH205" s="14">
        <v>201</v>
      </c>
      <c r="AI205" s="14">
        <v>302</v>
      </c>
      <c r="AJ205" s="14">
        <v>42</v>
      </c>
      <c r="AK205" s="14">
        <v>132</v>
      </c>
      <c r="AM205" s="14">
        <v>69</v>
      </c>
      <c r="AO205" s="14">
        <v>398</v>
      </c>
      <c r="AR205" s="14">
        <v>211</v>
      </c>
    </row>
    <row r="206" spans="5:44" x14ac:dyDescent="0.25">
      <c r="E206" s="14">
        <v>265</v>
      </c>
      <c r="I206" s="14">
        <v>492</v>
      </c>
      <c r="R206" s="14">
        <v>117</v>
      </c>
      <c r="S206" s="14">
        <v>217</v>
      </c>
      <c r="V206" s="14">
        <v>336</v>
      </c>
      <c r="Y206" s="14">
        <v>311</v>
      </c>
      <c r="AA206" s="14">
        <v>69</v>
      </c>
      <c r="AD206" s="14">
        <v>175</v>
      </c>
      <c r="AG206" s="14">
        <v>279</v>
      </c>
      <c r="AH206" s="14">
        <v>100</v>
      </c>
      <c r="AI206" s="14">
        <v>271</v>
      </c>
      <c r="AJ206" s="14">
        <v>613</v>
      </c>
      <c r="AK206" s="14">
        <v>194</v>
      </c>
      <c r="AM206" s="14">
        <v>94</v>
      </c>
      <c r="AO206" s="14">
        <v>332</v>
      </c>
      <c r="AR206" s="14">
        <v>67</v>
      </c>
    </row>
    <row r="207" spans="5:44" x14ac:dyDescent="0.25">
      <c r="E207" s="14">
        <v>708</v>
      </c>
      <c r="I207" s="14">
        <v>451</v>
      </c>
      <c r="R207" s="14">
        <v>393</v>
      </c>
      <c r="S207" s="14">
        <v>130</v>
      </c>
      <c r="V207" s="14">
        <v>415</v>
      </c>
      <c r="Y207" s="14">
        <v>23</v>
      </c>
      <c r="AA207" s="14">
        <v>209</v>
      </c>
      <c r="AD207" s="14">
        <v>163</v>
      </c>
      <c r="AG207" s="14">
        <v>269</v>
      </c>
      <c r="AH207" s="14">
        <v>862</v>
      </c>
      <c r="AI207" s="14">
        <v>273</v>
      </c>
      <c r="AJ207" s="14">
        <v>262</v>
      </c>
      <c r="AK207" s="14">
        <v>571</v>
      </c>
      <c r="AM207" s="14">
        <v>183</v>
      </c>
      <c r="AO207" s="14">
        <v>147</v>
      </c>
      <c r="AR207" s="14">
        <v>106</v>
      </c>
    </row>
    <row r="208" spans="5:44" x14ac:dyDescent="0.25">
      <c r="E208" s="14">
        <v>379</v>
      </c>
      <c r="I208" s="14">
        <v>565</v>
      </c>
      <c r="R208" s="14">
        <v>164</v>
      </c>
      <c r="S208" s="14">
        <v>925</v>
      </c>
      <c r="V208" s="14">
        <v>212</v>
      </c>
      <c r="Y208" s="14">
        <v>192</v>
      </c>
      <c r="AA208" s="14">
        <v>145</v>
      </c>
      <c r="AD208" s="14">
        <v>130</v>
      </c>
      <c r="AG208" s="14">
        <v>29</v>
      </c>
      <c r="AH208" s="14">
        <v>408</v>
      </c>
      <c r="AI208" s="14">
        <v>156</v>
      </c>
      <c r="AJ208" s="14">
        <v>335</v>
      </c>
      <c r="AK208" s="14">
        <v>313</v>
      </c>
      <c r="AM208" s="14">
        <v>8</v>
      </c>
      <c r="AO208" s="14">
        <v>32</v>
      </c>
      <c r="AR208" s="14">
        <v>316</v>
      </c>
    </row>
    <row r="209" spans="5:44" x14ac:dyDescent="0.25">
      <c r="E209" s="14">
        <v>453</v>
      </c>
      <c r="I209" s="14">
        <v>229</v>
      </c>
      <c r="R209" s="14">
        <v>917</v>
      </c>
      <c r="S209" s="14">
        <v>701</v>
      </c>
      <c r="V209" s="14">
        <v>45</v>
      </c>
      <c r="AA209" s="14">
        <v>279</v>
      </c>
      <c r="AD209" s="14">
        <v>17</v>
      </c>
      <c r="AG209" s="14">
        <v>334</v>
      </c>
      <c r="AH209" s="14">
        <v>172</v>
      </c>
      <c r="AI209" s="14">
        <v>373</v>
      </c>
      <c r="AJ209" s="14">
        <v>281</v>
      </c>
      <c r="AK209" s="14">
        <v>579</v>
      </c>
      <c r="AM209" s="14">
        <v>159</v>
      </c>
      <c r="AO209" s="14">
        <v>381</v>
      </c>
      <c r="AR209" s="14">
        <v>166</v>
      </c>
    </row>
    <row r="210" spans="5:44" x14ac:dyDescent="0.25">
      <c r="E210" s="14">
        <v>177</v>
      </c>
      <c r="I210" s="14">
        <v>268</v>
      </c>
      <c r="R210" s="14">
        <v>417</v>
      </c>
      <c r="S210" s="14">
        <v>123</v>
      </c>
      <c r="V210" s="14">
        <v>41</v>
      </c>
      <c r="AA210" s="14">
        <v>299</v>
      </c>
      <c r="AD210" s="14">
        <v>78</v>
      </c>
      <c r="AG210" s="14">
        <v>212</v>
      </c>
      <c r="AH210" s="14">
        <v>304</v>
      </c>
      <c r="AI210" s="14">
        <v>409</v>
      </c>
      <c r="AJ210" s="14">
        <v>65</v>
      </c>
      <c r="AK210" s="14">
        <v>86</v>
      </c>
      <c r="AM210" s="14">
        <v>54</v>
      </c>
      <c r="AO210" s="14">
        <v>241</v>
      </c>
      <c r="AR210" s="14">
        <v>112</v>
      </c>
    </row>
    <row r="211" spans="5:44" x14ac:dyDescent="0.25">
      <c r="E211" s="14">
        <v>690</v>
      </c>
      <c r="I211" s="14">
        <v>523</v>
      </c>
      <c r="R211" s="14">
        <v>852</v>
      </c>
      <c r="S211" s="14">
        <v>240</v>
      </c>
      <c r="V211" s="14">
        <v>7</v>
      </c>
      <c r="AA211" s="14">
        <v>196</v>
      </c>
      <c r="AD211" s="14">
        <v>55</v>
      </c>
      <c r="AG211" s="14">
        <v>251</v>
      </c>
      <c r="AH211" s="14">
        <v>590</v>
      </c>
      <c r="AI211" s="14">
        <v>544</v>
      </c>
      <c r="AJ211" s="14">
        <v>4</v>
      </c>
      <c r="AK211" s="14">
        <v>704</v>
      </c>
      <c r="AM211" s="14">
        <v>177</v>
      </c>
      <c r="AO211" s="14">
        <v>338</v>
      </c>
      <c r="AR211" s="14">
        <v>474</v>
      </c>
    </row>
    <row r="212" spans="5:44" x14ac:dyDescent="0.25">
      <c r="E212" s="14">
        <v>220</v>
      </c>
      <c r="I212" s="14">
        <v>151</v>
      </c>
      <c r="R212" s="14">
        <v>823</v>
      </c>
      <c r="S212" s="14">
        <v>220</v>
      </c>
      <c r="V212" s="14">
        <v>107</v>
      </c>
      <c r="AA212" s="14">
        <v>208</v>
      </c>
      <c r="AD212" s="14">
        <v>117</v>
      </c>
      <c r="AG212" s="14">
        <v>225</v>
      </c>
      <c r="AH212" s="14">
        <v>159</v>
      </c>
      <c r="AI212" s="14">
        <v>396</v>
      </c>
      <c r="AJ212" s="14">
        <v>69</v>
      </c>
      <c r="AK212" s="14">
        <v>63</v>
      </c>
      <c r="AM212" s="14">
        <v>252</v>
      </c>
      <c r="AO212" s="14">
        <v>267</v>
      </c>
      <c r="AR212" s="14">
        <v>358</v>
      </c>
    </row>
    <row r="213" spans="5:44" x14ac:dyDescent="0.25">
      <c r="E213" s="14">
        <v>443</v>
      </c>
      <c r="I213" s="14">
        <v>108</v>
      </c>
      <c r="R213" s="14">
        <v>947</v>
      </c>
      <c r="S213" s="14">
        <v>619</v>
      </c>
      <c r="V213" s="14">
        <v>83</v>
      </c>
      <c r="AA213" s="14">
        <v>104</v>
      </c>
      <c r="AD213" s="14">
        <v>46</v>
      </c>
      <c r="AG213" s="14">
        <v>255</v>
      </c>
      <c r="AH213" s="14">
        <v>628</v>
      </c>
      <c r="AI213" s="14">
        <v>350</v>
      </c>
      <c r="AJ213" s="14">
        <v>173</v>
      </c>
      <c r="AK213" s="14">
        <v>92</v>
      </c>
      <c r="AM213" s="14">
        <v>287</v>
      </c>
      <c r="AO213" s="14">
        <v>53</v>
      </c>
      <c r="AR213" s="14">
        <v>436</v>
      </c>
    </row>
    <row r="214" spans="5:44" x14ac:dyDescent="0.25">
      <c r="E214" s="14">
        <v>520</v>
      </c>
      <c r="I214" s="14">
        <v>134</v>
      </c>
      <c r="R214" s="14">
        <v>695</v>
      </c>
      <c r="S214" s="14">
        <v>243</v>
      </c>
      <c r="V214" s="14">
        <v>198</v>
      </c>
      <c r="AA214" s="14">
        <v>97</v>
      </c>
      <c r="AD214" s="14">
        <v>131</v>
      </c>
      <c r="AG214" s="14">
        <v>243</v>
      </c>
      <c r="AH214" s="14">
        <v>187</v>
      </c>
      <c r="AI214" s="14">
        <v>384</v>
      </c>
      <c r="AJ214" s="14">
        <v>194</v>
      </c>
      <c r="AK214" s="14">
        <v>526</v>
      </c>
      <c r="AM214" s="14">
        <v>14</v>
      </c>
      <c r="AO214" s="14">
        <v>232</v>
      </c>
      <c r="AR214" s="14">
        <v>118</v>
      </c>
    </row>
    <row r="215" spans="5:44" x14ac:dyDescent="0.25">
      <c r="E215" s="14">
        <v>181</v>
      </c>
      <c r="I215" s="14">
        <v>145</v>
      </c>
      <c r="R215" s="14">
        <v>885</v>
      </c>
      <c r="S215" s="14">
        <v>198</v>
      </c>
      <c r="V215" s="14">
        <v>147</v>
      </c>
      <c r="AA215" s="14">
        <v>186</v>
      </c>
      <c r="AD215" s="14">
        <v>315</v>
      </c>
      <c r="AG215" s="14">
        <v>113</v>
      </c>
      <c r="AH215" s="14">
        <v>104</v>
      </c>
      <c r="AI215" s="14">
        <v>163</v>
      </c>
      <c r="AJ215" s="14">
        <v>171</v>
      </c>
      <c r="AK215" s="14">
        <v>154</v>
      </c>
      <c r="AM215" s="14">
        <v>149</v>
      </c>
      <c r="AO215" s="14">
        <v>259</v>
      </c>
      <c r="AR215" s="14">
        <v>85</v>
      </c>
    </row>
    <row r="216" spans="5:44" x14ac:dyDescent="0.25">
      <c r="E216" s="14">
        <v>393</v>
      </c>
      <c r="I216" s="14">
        <v>152</v>
      </c>
      <c r="R216" s="14">
        <v>203</v>
      </c>
      <c r="S216" s="14">
        <v>767</v>
      </c>
      <c r="V216" s="14">
        <v>165</v>
      </c>
      <c r="AA216" s="14">
        <v>233</v>
      </c>
      <c r="AD216" s="14">
        <v>429</v>
      </c>
      <c r="AG216" s="14">
        <v>252</v>
      </c>
      <c r="AH216" s="14">
        <v>878</v>
      </c>
      <c r="AI216" s="14">
        <v>117</v>
      </c>
      <c r="AJ216" s="14">
        <v>573</v>
      </c>
      <c r="AK216" s="14">
        <v>352</v>
      </c>
      <c r="AM216" s="14">
        <v>164</v>
      </c>
      <c r="AO216" s="14">
        <v>331</v>
      </c>
      <c r="AR216" s="14">
        <v>72</v>
      </c>
    </row>
    <row r="217" spans="5:44" x14ac:dyDescent="0.25">
      <c r="I217" s="14">
        <v>191</v>
      </c>
      <c r="R217" s="14">
        <v>146</v>
      </c>
      <c r="S217" s="14">
        <v>868</v>
      </c>
      <c r="V217" s="14">
        <v>71</v>
      </c>
      <c r="AA217" s="14">
        <v>303</v>
      </c>
      <c r="AD217" s="14">
        <v>29</v>
      </c>
      <c r="AG217" s="14">
        <v>857</v>
      </c>
      <c r="AH217" s="14">
        <v>426</v>
      </c>
      <c r="AI217" s="14">
        <v>119</v>
      </c>
      <c r="AJ217" s="14">
        <v>289</v>
      </c>
      <c r="AK217" s="14">
        <v>31</v>
      </c>
      <c r="AM217" s="14">
        <v>62</v>
      </c>
      <c r="AO217" s="14">
        <v>98</v>
      </c>
      <c r="AR217" s="14">
        <v>95</v>
      </c>
    </row>
    <row r="218" spans="5:44" x14ac:dyDescent="0.25">
      <c r="I218" s="14">
        <v>150</v>
      </c>
      <c r="R218" s="14">
        <v>161</v>
      </c>
      <c r="S218" s="14">
        <v>200</v>
      </c>
      <c r="V218" s="14">
        <v>59</v>
      </c>
      <c r="AA218" s="14">
        <v>322</v>
      </c>
      <c r="AD218" s="14">
        <v>262</v>
      </c>
      <c r="AG218" s="14">
        <v>111</v>
      </c>
      <c r="AH218" s="14">
        <v>141</v>
      </c>
      <c r="AI218" s="14">
        <v>119</v>
      </c>
      <c r="AJ218" s="14">
        <v>129</v>
      </c>
      <c r="AK218" s="14">
        <v>209</v>
      </c>
      <c r="AM218" s="14">
        <v>183</v>
      </c>
      <c r="AO218" s="14">
        <v>101</v>
      </c>
      <c r="AR218" s="14">
        <v>81</v>
      </c>
    </row>
    <row r="219" spans="5:44" x14ac:dyDescent="0.25">
      <c r="I219" s="14">
        <v>370</v>
      </c>
      <c r="R219" s="14">
        <v>533</v>
      </c>
      <c r="S219" s="14">
        <v>824</v>
      </c>
      <c r="V219" s="14">
        <v>63</v>
      </c>
      <c r="AA219" s="14">
        <v>200</v>
      </c>
      <c r="AD219" s="14">
        <v>169</v>
      </c>
      <c r="AG219" s="14">
        <v>335</v>
      </c>
      <c r="AH219" s="14">
        <v>275</v>
      </c>
      <c r="AI219" s="14">
        <v>123</v>
      </c>
      <c r="AJ219" s="14">
        <v>301</v>
      </c>
      <c r="AK219" s="14">
        <v>322</v>
      </c>
      <c r="AM219" s="14">
        <v>77</v>
      </c>
      <c r="AO219" s="14">
        <v>37</v>
      </c>
      <c r="AR219" s="14">
        <v>141</v>
      </c>
    </row>
    <row r="220" spans="5:44" x14ac:dyDescent="0.25">
      <c r="I220" s="14">
        <v>612</v>
      </c>
      <c r="R220" s="14">
        <v>105</v>
      </c>
      <c r="S220" s="14">
        <v>313</v>
      </c>
      <c r="V220" s="14">
        <v>319</v>
      </c>
      <c r="AA220" s="14">
        <v>107</v>
      </c>
      <c r="AD220" s="14">
        <v>381</v>
      </c>
      <c r="AG220" s="14">
        <v>728</v>
      </c>
      <c r="AH220" s="14">
        <v>230</v>
      </c>
      <c r="AI220" s="14">
        <v>130</v>
      </c>
      <c r="AJ220" s="14">
        <v>100</v>
      </c>
      <c r="AK220" s="14">
        <v>89</v>
      </c>
      <c r="AM220" s="14">
        <v>282</v>
      </c>
      <c r="AO220" s="14">
        <v>64</v>
      </c>
      <c r="AR220" s="14">
        <v>193</v>
      </c>
    </row>
    <row r="221" spans="5:44" x14ac:dyDescent="0.25">
      <c r="I221" s="14">
        <v>855</v>
      </c>
      <c r="R221" s="14">
        <v>114</v>
      </c>
      <c r="S221" s="14">
        <v>840</v>
      </c>
      <c r="V221" s="14">
        <v>350</v>
      </c>
      <c r="AA221" s="14">
        <v>9</v>
      </c>
      <c r="AD221" s="14">
        <v>342</v>
      </c>
      <c r="AG221" s="14">
        <v>198</v>
      </c>
      <c r="AH221" s="14">
        <v>116</v>
      </c>
      <c r="AI221" s="14">
        <v>793</v>
      </c>
      <c r="AJ221" s="14">
        <v>63</v>
      </c>
      <c r="AK221" s="14">
        <v>153</v>
      </c>
      <c r="AM221" s="14">
        <v>163</v>
      </c>
      <c r="AO221" s="14">
        <v>90</v>
      </c>
      <c r="AR221" s="14">
        <v>74</v>
      </c>
    </row>
    <row r="222" spans="5:44" x14ac:dyDescent="0.25">
      <c r="I222" s="14">
        <v>528</v>
      </c>
      <c r="R222" s="14">
        <v>447</v>
      </c>
      <c r="S222" s="14">
        <v>985</v>
      </c>
      <c r="V222" s="14">
        <v>155</v>
      </c>
      <c r="AA222" s="14">
        <v>119</v>
      </c>
      <c r="AD222" s="14">
        <v>152</v>
      </c>
      <c r="AG222" s="14">
        <v>263</v>
      </c>
      <c r="AH222" s="14">
        <v>214</v>
      </c>
      <c r="AI222" s="14">
        <v>129</v>
      </c>
      <c r="AJ222" s="14">
        <v>193</v>
      </c>
      <c r="AK222" s="14">
        <v>165</v>
      </c>
      <c r="AM222" s="14">
        <v>272</v>
      </c>
      <c r="AO222" s="14">
        <v>92</v>
      </c>
      <c r="AR222" s="14">
        <v>73</v>
      </c>
    </row>
    <row r="223" spans="5:44" x14ac:dyDescent="0.25">
      <c r="I223" s="14">
        <v>445</v>
      </c>
      <c r="R223" s="14">
        <v>729</v>
      </c>
      <c r="S223" s="14">
        <v>314</v>
      </c>
      <c r="V223" s="14">
        <v>150</v>
      </c>
      <c r="AA223" s="14">
        <v>234</v>
      </c>
      <c r="AD223" s="14">
        <v>160</v>
      </c>
      <c r="AG223" s="14">
        <v>239</v>
      </c>
      <c r="AH223" s="14">
        <v>61</v>
      </c>
      <c r="AI223" s="14">
        <v>341</v>
      </c>
      <c r="AJ223" s="14">
        <v>41</v>
      </c>
      <c r="AK223" s="14">
        <v>36</v>
      </c>
      <c r="AM223" s="14">
        <v>49</v>
      </c>
      <c r="AO223" s="14">
        <v>105</v>
      </c>
      <c r="AR223" s="14">
        <v>26</v>
      </c>
    </row>
    <row r="224" spans="5:44" x14ac:dyDescent="0.25">
      <c r="I224" s="14">
        <v>407</v>
      </c>
      <c r="R224" s="14">
        <v>148</v>
      </c>
      <c r="S224" s="14">
        <v>764</v>
      </c>
      <c r="V224" s="14">
        <v>328</v>
      </c>
      <c r="AA224" s="14">
        <v>178</v>
      </c>
      <c r="AD224" s="14">
        <v>141</v>
      </c>
      <c r="AG224" s="14">
        <v>798</v>
      </c>
      <c r="AH224" s="14">
        <v>497</v>
      </c>
      <c r="AI224" s="14">
        <v>304</v>
      </c>
      <c r="AJ224" s="14">
        <v>754</v>
      </c>
      <c r="AK224" s="14">
        <v>235</v>
      </c>
      <c r="AM224" s="14">
        <v>398</v>
      </c>
      <c r="AO224" s="14">
        <v>85</v>
      </c>
      <c r="AR224" s="14">
        <v>133</v>
      </c>
    </row>
    <row r="225" spans="9:44" x14ac:dyDescent="0.25">
      <c r="I225" s="14">
        <v>385</v>
      </c>
      <c r="R225" s="14">
        <v>819</v>
      </c>
      <c r="S225" s="14">
        <v>967</v>
      </c>
      <c r="V225" s="14">
        <v>382</v>
      </c>
      <c r="AA225" s="14">
        <v>224</v>
      </c>
      <c r="AD225" s="14">
        <v>443</v>
      </c>
      <c r="AG225" s="14">
        <v>352</v>
      </c>
      <c r="AH225" s="14">
        <v>326</v>
      </c>
      <c r="AI225" s="14">
        <v>208</v>
      </c>
      <c r="AJ225" s="14">
        <v>286</v>
      </c>
      <c r="AK225" s="14">
        <v>501</v>
      </c>
      <c r="AM225" s="14">
        <v>37</v>
      </c>
      <c r="AO225" s="14">
        <v>54</v>
      </c>
      <c r="AR225" s="14">
        <v>172</v>
      </c>
    </row>
    <row r="226" spans="9:44" x14ac:dyDescent="0.25">
      <c r="I226" s="14">
        <v>282</v>
      </c>
      <c r="R226" s="14">
        <v>514</v>
      </c>
      <c r="S226" s="14">
        <v>313</v>
      </c>
      <c r="V226" s="14">
        <v>55</v>
      </c>
      <c r="AA226" s="14">
        <v>166</v>
      </c>
      <c r="AD226" s="14">
        <v>255</v>
      </c>
      <c r="AG226" s="14">
        <v>394</v>
      </c>
      <c r="AH226" s="14">
        <v>264</v>
      </c>
      <c r="AI226" s="14">
        <v>403</v>
      </c>
      <c r="AJ226" s="14">
        <v>109</v>
      </c>
      <c r="AK226" s="14">
        <v>187</v>
      </c>
      <c r="AM226" s="14">
        <v>70</v>
      </c>
      <c r="AO226" s="14">
        <v>62</v>
      </c>
      <c r="AR226" s="14">
        <v>592</v>
      </c>
    </row>
    <row r="227" spans="9:44" x14ac:dyDescent="0.25">
      <c r="I227" s="14">
        <v>367</v>
      </c>
      <c r="R227" s="14">
        <v>794</v>
      </c>
      <c r="S227" s="14">
        <v>300</v>
      </c>
      <c r="V227" s="14">
        <v>84</v>
      </c>
      <c r="AA227" s="14">
        <v>23</v>
      </c>
      <c r="AD227" s="14">
        <v>287</v>
      </c>
      <c r="AG227" s="14">
        <v>109</v>
      </c>
      <c r="AH227" s="14">
        <v>114</v>
      </c>
      <c r="AI227" s="14">
        <v>757</v>
      </c>
      <c r="AJ227" s="14">
        <v>13</v>
      </c>
      <c r="AK227" s="14">
        <v>439</v>
      </c>
      <c r="AM227" s="14">
        <v>100</v>
      </c>
      <c r="AO227" s="14">
        <v>6</v>
      </c>
      <c r="AR227" s="14">
        <v>240</v>
      </c>
    </row>
    <row r="228" spans="9:44" x14ac:dyDescent="0.25">
      <c r="I228" s="14">
        <v>178</v>
      </c>
      <c r="R228" s="14">
        <v>827</v>
      </c>
      <c r="S228" s="14">
        <v>752</v>
      </c>
      <c r="V228" s="14">
        <v>7</v>
      </c>
      <c r="AA228" s="14">
        <v>84</v>
      </c>
      <c r="AD228" s="14">
        <v>92</v>
      </c>
      <c r="AG228" s="14">
        <v>153</v>
      </c>
      <c r="AH228" s="14">
        <v>207</v>
      </c>
      <c r="AI228" s="14">
        <v>251</v>
      </c>
      <c r="AJ228" s="14">
        <v>40</v>
      </c>
      <c r="AK228" s="14">
        <v>288</v>
      </c>
      <c r="AM228" s="14">
        <v>265</v>
      </c>
      <c r="AO228" s="14">
        <v>91</v>
      </c>
      <c r="AR228" s="14">
        <v>46</v>
      </c>
    </row>
    <row r="229" spans="9:44" x14ac:dyDescent="0.25">
      <c r="I229" s="14">
        <v>119</v>
      </c>
      <c r="R229" s="14">
        <v>787</v>
      </c>
      <c r="S229" s="14">
        <v>110</v>
      </c>
      <c r="V229" s="14">
        <v>180</v>
      </c>
      <c r="AA229" s="14">
        <v>215</v>
      </c>
      <c r="AD229" s="14">
        <v>29</v>
      </c>
      <c r="AG229" s="14">
        <v>158</v>
      </c>
      <c r="AH229" s="14">
        <v>835</v>
      </c>
      <c r="AI229" s="14">
        <v>209</v>
      </c>
      <c r="AJ229" s="14">
        <v>415</v>
      </c>
      <c r="AK229" s="14">
        <v>655</v>
      </c>
      <c r="AM229" s="14">
        <v>204</v>
      </c>
      <c r="AO229" s="14">
        <v>14</v>
      </c>
      <c r="AR229" s="14">
        <v>71</v>
      </c>
    </row>
    <row r="230" spans="9:44" x14ac:dyDescent="0.25">
      <c r="I230" s="14">
        <v>132</v>
      </c>
      <c r="R230" s="14">
        <v>661</v>
      </c>
      <c r="S230" s="14">
        <v>157</v>
      </c>
      <c r="V230" s="14">
        <v>228</v>
      </c>
      <c r="AA230" s="14">
        <v>141</v>
      </c>
      <c r="AD230" s="14">
        <v>253</v>
      </c>
      <c r="AG230" s="14">
        <v>419</v>
      </c>
      <c r="AH230" s="14">
        <v>107</v>
      </c>
      <c r="AI230" s="14">
        <v>712</v>
      </c>
      <c r="AJ230" s="14">
        <v>366</v>
      </c>
      <c r="AK230" s="14">
        <v>269</v>
      </c>
      <c r="AM230" s="14">
        <v>86</v>
      </c>
      <c r="AO230" s="14">
        <v>540</v>
      </c>
      <c r="AR230" s="14">
        <v>172</v>
      </c>
    </row>
    <row r="231" spans="9:44" x14ac:dyDescent="0.25">
      <c r="I231" s="14">
        <v>920</v>
      </c>
      <c r="R231" s="14">
        <v>464</v>
      </c>
      <c r="S231" s="14">
        <v>107</v>
      </c>
      <c r="V231" s="14">
        <v>390</v>
      </c>
      <c r="AA231" s="14">
        <v>119</v>
      </c>
      <c r="AD231" s="14">
        <v>338</v>
      </c>
      <c r="AG231" s="14">
        <v>259</v>
      </c>
      <c r="AH231" s="14">
        <v>450</v>
      </c>
      <c r="AI231" s="14">
        <v>812</v>
      </c>
      <c r="AJ231" s="14">
        <v>134</v>
      </c>
      <c r="AK231" s="14">
        <v>299</v>
      </c>
      <c r="AM231" s="14">
        <v>147</v>
      </c>
      <c r="AO231" s="14">
        <v>101</v>
      </c>
      <c r="AR231" s="14">
        <v>41</v>
      </c>
    </row>
    <row r="232" spans="9:44" x14ac:dyDescent="0.25">
      <c r="I232" s="14">
        <v>807</v>
      </c>
      <c r="R232" s="14">
        <v>30</v>
      </c>
      <c r="S232" s="14">
        <v>910</v>
      </c>
      <c r="V232" s="14">
        <v>576</v>
      </c>
      <c r="AA232" s="14">
        <v>147</v>
      </c>
      <c r="AD232" s="14">
        <v>354</v>
      </c>
      <c r="AG232" s="14">
        <v>313</v>
      </c>
      <c r="AH232" s="14">
        <v>428</v>
      </c>
      <c r="AI232" s="14">
        <v>723</v>
      </c>
      <c r="AJ232" s="14">
        <v>297</v>
      </c>
      <c r="AK232" s="14">
        <v>310</v>
      </c>
      <c r="AM232" s="14">
        <v>222</v>
      </c>
      <c r="AO232" s="14">
        <v>299</v>
      </c>
      <c r="AR232" s="14">
        <v>142</v>
      </c>
    </row>
    <row r="233" spans="9:44" x14ac:dyDescent="0.25">
      <c r="I233" s="14">
        <v>754</v>
      </c>
      <c r="R233" s="14">
        <v>133</v>
      </c>
      <c r="S233" s="14">
        <v>194</v>
      </c>
      <c r="V233" s="14">
        <v>502</v>
      </c>
      <c r="AA233" s="14">
        <v>243</v>
      </c>
      <c r="AD233" s="14">
        <v>129</v>
      </c>
      <c r="AG233" s="14">
        <v>335</v>
      </c>
      <c r="AH233" s="14">
        <v>105</v>
      </c>
      <c r="AI233" s="14">
        <v>904</v>
      </c>
      <c r="AJ233" s="14">
        <v>112</v>
      </c>
      <c r="AK233" s="14">
        <v>193</v>
      </c>
      <c r="AM233" s="14">
        <v>52</v>
      </c>
      <c r="AO233" s="14">
        <v>4</v>
      </c>
      <c r="AR233" s="14">
        <v>138</v>
      </c>
    </row>
    <row r="234" spans="9:44" x14ac:dyDescent="0.25">
      <c r="I234" s="14">
        <v>723</v>
      </c>
      <c r="R234" s="14">
        <v>17</v>
      </c>
      <c r="S234" s="14">
        <v>261</v>
      </c>
      <c r="V234" s="14">
        <v>164</v>
      </c>
      <c r="AA234" s="14">
        <v>279</v>
      </c>
      <c r="AD234" s="14">
        <v>14</v>
      </c>
      <c r="AG234" s="14">
        <v>19</v>
      </c>
      <c r="AH234" s="14">
        <v>976</v>
      </c>
      <c r="AI234" s="14">
        <v>406</v>
      </c>
      <c r="AJ234" s="14">
        <v>561</v>
      </c>
      <c r="AK234" s="14">
        <v>249</v>
      </c>
      <c r="AM234" s="14">
        <v>2</v>
      </c>
      <c r="AO234" s="14">
        <v>18</v>
      </c>
      <c r="AR234" s="14">
        <v>241</v>
      </c>
    </row>
    <row r="235" spans="9:44" x14ac:dyDescent="0.25">
      <c r="I235" s="14">
        <v>35</v>
      </c>
      <c r="R235" s="14">
        <v>728</v>
      </c>
      <c r="S235" s="14">
        <v>118</v>
      </c>
      <c r="V235" s="14">
        <v>30</v>
      </c>
      <c r="AA235" s="14">
        <v>183</v>
      </c>
      <c r="AD235" s="14">
        <v>181</v>
      </c>
      <c r="AG235" s="14">
        <v>216</v>
      </c>
      <c r="AH235" s="14">
        <v>898</v>
      </c>
      <c r="AI235" s="14">
        <v>832</v>
      </c>
      <c r="AJ235" s="14">
        <v>334</v>
      </c>
      <c r="AK235" s="14">
        <v>285</v>
      </c>
      <c r="AM235" s="14">
        <v>299</v>
      </c>
      <c r="AO235" s="14">
        <v>141</v>
      </c>
      <c r="AR235" s="14">
        <v>275</v>
      </c>
    </row>
    <row r="236" spans="9:44" x14ac:dyDescent="0.25">
      <c r="I236" s="14">
        <v>625</v>
      </c>
      <c r="R236" s="14">
        <v>963</v>
      </c>
      <c r="S236" s="14">
        <v>274</v>
      </c>
      <c r="V236" s="14">
        <v>279</v>
      </c>
      <c r="AA236" s="14">
        <v>138</v>
      </c>
      <c r="AD236" s="14">
        <v>134</v>
      </c>
      <c r="AG236" s="14">
        <v>359</v>
      </c>
      <c r="AH236" s="14">
        <v>5</v>
      </c>
      <c r="AI236" s="14">
        <v>406</v>
      </c>
      <c r="AJ236" s="14">
        <v>145</v>
      </c>
      <c r="AK236" s="14">
        <v>430</v>
      </c>
      <c r="AM236" s="14">
        <v>150</v>
      </c>
      <c r="AO236" s="14">
        <v>68</v>
      </c>
      <c r="AR236" s="14">
        <v>154</v>
      </c>
    </row>
    <row r="237" spans="9:44" x14ac:dyDescent="0.25">
      <c r="I237" s="14">
        <v>494</v>
      </c>
      <c r="R237" s="14">
        <v>101</v>
      </c>
      <c r="S237" s="14">
        <v>117</v>
      </c>
      <c r="V237" s="14">
        <v>27</v>
      </c>
      <c r="AA237" s="14">
        <v>201</v>
      </c>
      <c r="AD237" s="14">
        <v>116</v>
      </c>
      <c r="AG237" s="14">
        <v>363</v>
      </c>
      <c r="AH237" s="14">
        <v>146</v>
      </c>
      <c r="AI237" s="14">
        <v>405</v>
      </c>
      <c r="AJ237" s="14">
        <v>169</v>
      </c>
      <c r="AK237" s="14">
        <v>208</v>
      </c>
      <c r="AM237" s="14">
        <v>116</v>
      </c>
      <c r="AO237" s="14">
        <v>189</v>
      </c>
      <c r="AR237" s="14">
        <v>87</v>
      </c>
    </row>
    <row r="238" spans="9:44" x14ac:dyDescent="0.25">
      <c r="I238" s="14">
        <v>687</v>
      </c>
      <c r="R238" s="14">
        <v>579</v>
      </c>
      <c r="S238" s="14">
        <v>230</v>
      </c>
      <c r="V238" s="14">
        <v>103</v>
      </c>
      <c r="AA238" s="14">
        <v>270</v>
      </c>
      <c r="AD238" s="14">
        <v>114</v>
      </c>
      <c r="AG238" s="14">
        <v>361</v>
      </c>
      <c r="AH238" s="14">
        <v>609</v>
      </c>
      <c r="AI238" s="14">
        <v>269</v>
      </c>
      <c r="AJ238" s="14">
        <v>83</v>
      </c>
      <c r="AK238" s="14">
        <v>322</v>
      </c>
      <c r="AM238" s="14">
        <v>240</v>
      </c>
      <c r="AO238" s="14">
        <v>6</v>
      </c>
      <c r="AR238" s="14">
        <v>173</v>
      </c>
    </row>
    <row r="239" spans="9:44" x14ac:dyDescent="0.25">
      <c r="I239" s="14">
        <v>767</v>
      </c>
      <c r="R239" s="14">
        <v>334</v>
      </c>
      <c r="S239" s="14">
        <v>221</v>
      </c>
      <c r="V239" s="14">
        <v>46</v>
      </c>
      <c r="AA239" s="14">
        <v>281</v>
      </c>
      <c r="AD239" s="14">
        <v>27</v>
      </c>
      <c r="AG239" s="14">
        <v>131</v>
      </c>
      <c r="AH239" s="14">
        <v>132</v>
      </c>
      <c r="AJ239" s="14">
        <v>23</v>
      </c>
      <c r="AK239" s="14">
        <v>372</v>
      </c>
      <c r="AM239" s="14">
        <v>218</v>
      </c>
      <c r="AO239" s="14">
        <v>104</v>
      </c>
      <c r="AR239" s="14">
        <v>171</v>
      </c>
    </row>
    <row r="240" spans="9:44" x14ac:dyDescent="0.25">
      <c r="I240" s="14">
        <v>439</v>
      </c>
      <c r="R240" s="14">
        <v>960</v>
      </c>
      <c r="V240" s="14">
        <v>103</v>
      </c>
      <c r="AA240" s="14">
        <v>238</v>
      </c>
      <c r="AD240" s="14">
        <v>49</v>
      </c>
      <c r="AG240" s="14">
        <v>801</v>
      </c>
      <c r="AH240" s="14">
        <v>260</v>
      </c>
      <c r="AJ240" s="14">
        <v>21</v>
      </c>
      <c r="AK240" s="14">
        <v>281</v>
      </c>
      <c r="AM240" s="14">
        <v>38</v>
      </c>
      <c r="AO240" s="14">
        <v>184</v>
      </c>
      <c r="AR240" s="14">
        <v>179</v>
      </c>
    </row>
    <row r="241" spans="9:44" x14ac:dyDescent="0.25">
      <c r="I241" s="14">
        <v>355</v>
      </c>
      <c r="R241" s="14">
        <v>561</v>
      </c>
      <c r="V241" s="14">
        <v>180</v>
      </c>
      <c r="AA241" s="14">
        <v>269</v>
      </c>
      <c r="AD241" s="14">
        <v>5</v>
      </c>
      <c r="AG241" s="14">
        <v>112</v>
      </c>
      <c r="AH241" s="14">
        <v>356</v>
      </c>
      <c r="AJ241" s="14">
        <v>197</v>
      </c>
      <c r="AK241" s="14">
        <v>391</v>
      </c>
      <c r="AM241" s="14">
        <v>150</v>
      </c>
      <c r="AO241" s="14">
        <v>79</v>
      </c>
      <c r="AR241" s="14">
        <v>164</v>
      </c>
    </row>
    <row r="242" spans="9:44" x14ac:dyDescent="0.25">
      <c r="I242" s="14">
        <v>317</v>
      </c>
      <c r="R242" s="14">
        <v>31</v>
      </c>
      <c r="V242" s="14">
        <v>276</v>
      </c>
      <c r="AA242" s="14">
        <v>344</v>
      </c>
      <c r="AD242" s="14">
        <v>170</v>
      </c>
      <c r="AG242" s="14">
        <v>521</v>
      </c>
      <c r="AH242" s="14">
        <v>613</v>
      </c>
      <c r="AJ242" s="14">
        <v>171</v>
      </c>
      <c r="AK242" s="14">
        <v>442</v>
      </c>
      <c r="AM242" s="14">
        <v>237</v>
      </c>
      <c r="AO242" s="14">
        <v>124</v>
      </c>
      <c r="AR242" s="14">
        <v>251</v>
      </c>
    </row>
    <row r="243" spans="9:44" x14ac:dyDescent="0.25">
      <c r="I243" s="14">
        <v>296</v>
      </c>
      <c r="R243" s="14">
        <v>877</v>
      </c>
      <c r="V243" s="14">
        <v>226</v>
      </c>
      <c r="AA243" s="14">
        <v>131</v>
      </c>
      <c r="AD243" s="14">
        <v>65</v>
      </c>
      <c r="AG243" s="14">
        <v>46</v>
      </c>
      <c r="AH243" s="14">
        <v>669</v>
      </c>
      <c r="AJ243" s="14">
        <v>290</v>
      </c>
      <c r="AK243" s="14">
        <v>191</v>
      </c>
      <c r="AM243" s="14">
        <v>139</v>
      </c>
      <c r="AO243" s="14">
        <v>173</v>
      </c>
      <c r="AR243" s="14">
        <v>32</v>
      </c>
    </row>
    <row r="244" spans="9:44" x14ac:dyDescent="0.25">
      <c r="I244" s="14">
        <v>104</v>
      </c>
      <c r="R244" s="14">
        <v>308</v>
      </c>
      <c r="V244" s="14">
        <v>871</v>
      </c>
      <c r="AA244" s="14">
        <v>6</v>
      </c>
      <c r="AD244" s="14">
        <v>56</v>
      </c>
      <c r="AG244" s="14">
        <v>108</v>
      </c>
      <c r="AH244" s="14">
        <v>104</v>
      </c>
      <c r="AJ244" s="14">
        <v>114</v>
      </c>
      <c r="AK244" s="14">
        <v>1</v>
      </c>
      <c r="AM244" s="14">
        <v>89</v>
      </c>
      <c r="AO244" s="14">
        <v>67</v>
      </c>
      <c r="AR244" s="14">
        <v>174</v>
      </c>
    </row>
    <row r="245" spans="9:44" x14ac:dyDescent="0.25">
      <c r="I245" s="14">
        <v>223</v>
      </c>
      <c r="R245" s="14">
        <v>237</v>
      </c>
      <c r="V245" s="14">
        <v>121</v>
      </c>
      <c r="AA245" s="14">
        <v>134</v>
      </c>
      <c r="AD245" s="14">
        <v>48</v>
      </c>
      <c r="AG245" s="14">
        <v>114</v>
      </c>
      <c r="AH245" s="14">
        <v>276</v>
      </c>
      <c r="AJ245" s="14">
        <v>40</v>
      </c>
      <c r="AK245" s="14">
        <v>7</v>
      </c>
      <c r="AM245" s="14">
        <v>143</v>
      </c>
      <c r="AO245" s="14">
        <v>62</v>
      </c>
      <c r="AR245" s="14">
        <v>169</v>
      </c>
    </row>
    <row r="246" spans="9:44" x14ac:dyDescent="0.25">
      <c r="I246" s="14">
        <v>443</v>
      </c>
      <c r="R246" s="14">
        <v>262</v>
      </c>
      <c r="V246" s="14">
        <v>145</v>
      </c>
      <c r="AA246" s="14">
        <v>179</v>
      </c>
      <c r="AD246" s="14">
        <v>393</v>
      </c>
      <c r="AG246" s="14">
        <v>72</v>
      </c>
      <c r="AH246" s="14">
        <v>17</v>
      </c>
      <c r="AJ246" s="14">
        <v>4</v>
      </c>
      <c r="AK246" s="14">
        <v>252</v>
      </c>
      <c r="AM246" s="14">
        <v>17</v>
      </c>
      <c r="AO246" s="14">
        <v>135</v>
      </c>
      <c r="AR246" s="14">
        <v>95</v>
      </c>
    </row>
    <row r="247" spans="9:44" x14ac:dyDescent="0.25">
      <c r="I247" s="14">
        <v>120</v>
      </c>
      <c r="R247" s="14">
        <v>185</v>
      </c>
      <c r="V247" s="14">
        <v>235</v>
      </c>
      <c r="AA247" s="14">
        <v>236</v>
      </c>
      <c r="AD247" s="14">
        <v>379</v>
      </c>
      <c r="AG247" s="14">
        <v>174</v>
      </c>
      <c r="AH247" s="14">
        <v>663</v>
      </c>
      <c r="AJ247" s="14">
        <v>50</v>
      </c>
      <c r="AK247" s="14">
        <v>88</v>
      </c>
      <c r="AM247" s="14">
        <v>145</v>
      </c>
      <c r="AO247" s="14">
        <v>5</v>
      </c>
      <c r="AR247" s="14">
        <v>165</v>
      </c>
    </row>
    <row r="248" spans="9:44" x14ac:dyDescent="0.25">
      <c r="I248" s="14">
        <v>112</v>
      </c>
      <c r="R248" s="14">
        <v>147</v>
      </c>
      <c r="V248" s="14">
        <v>116</v>
      </c>
      <c r="AA248" s="14">
        <v>362</v>
      </c>
      <c r="AD248" s="14">
        <v>262</v>
      </c>
      <c r="AG248" s="14">
        <v>857</v>
      </c>
      <c r="AH248" s="14">
        <v>29</v>
      </c>
      <c r="AJ248" s="14">
        <v>100</v>
      </c>
      <c r="AK248" s="14">
        <v>21</v>
      </c>
      <c r="AM248" s="14">
        <v>224</v>
      </c>
      <c r="AO248" s="14">
        <v>211</v>
      </c>
      <c r="AR248" s="14">
        <v>49</v>
      </c>
    </row>
    <row r="249" spans="9:44" x14ac:dyDescent="0.25">
      <c r="I249" s="14">
        <v>747</v>
      </c>
      <c r="R249" s="14">
        <v>642</v>
      </c>
      <c r="V249" s="14">
        <v>374</v>
      </c>
      <c r="AA249" s="14">
        <v>155</v>
      </c>
      <c r="AD249" s="14">
        <v>123</v>
      </c>
      <c r="AG249" s="14">
        <v>113</v>
      </c>
      <c r="AH249" s="14">
        <v>293</v>
      </c>
      <c r="AJ249" s="14">
        <v>636</v>
      </c>
      <c r="AK249" s="14">
        <v>225</v>
      </c>
      <c r="AM249" s="14">
        <v>229</v>
      </c>
      <c r="AO249" s="14">
        <v>44</v>
      </c>
      <c r="AR249" s="14">
        <v>796</v>
      </c>
    </row>
    <row r="250" spans="9:44" x14ac:dyDescent="0.25">
      <c r="I250" s="14">
        <v>640</v>
      </c>
      <c r="R250" s="14">
        <v>245</v>
      </c>
      <c r="V250" s="14">
        <v>245</v>
      </c>
      <c r="AA250" s="14">
        <v>87</v>
      </c>
      <c r="AD250" s="14">
        <v>173</v>
      </c>
      <c r="AG250" s="14">
        <v>586</v>
      </c>
      <c r="AH250" s="14">
        <v>178</v>
      </c>
      <c r="AJ250" s="14">
        <v>161</v>
      </c>
      <c r="AK250" s="14">
        <v>161</v>
      </c>
      <c r="AM250" s="14">
        <v>2</v>
      </c>
      <c r="AO250" s="14">
        <v>226</v>
      </c>
      <c r="AR250" s="14">
        <v>234</v>
      </c>
    </row>
    <row r="251" spans="9:44" x14ac:dyDescent="0.25">
      <c r="I251" s="14">
        <v>590</v>
      </c>
      <c r="R251" s="14">
        <v>269</v>
      </c>
      <c r="V251" s="14">
        <v>191</v>
      </c>
      <c r="AA251" s="14">
        <v>12</v>
      </c>
      <c r="AD251" s="14">
        <v>679</v>
      </c>
      <c r="AG251" s="14">
        <v>857</v>
      </c>
      <c r="AH251" s="14">
        <v>175</v>
      </c>
      <c r="AJ251" s="14">
        <v>212</v>
      </c>
      <c r="AK251" s="14">
        <v>239</v>
      </c>
      <c r="AM251" s="14">
        <v>238</v>
      </c>
      <c r="AO251" s="14">
        <v>146</v>
      </c>
      <c r="AR251" s="14">
        <v>118</v>
      </c>
    </row>
    <row r="252" spans="9:44" x14ac:dyDescent="0.25">
      <c r="I252" s="14">
        <v>561</v>
      </c>
      <c r="R252" s="14">
        <v>154</v>
      </c>
      <c r="V252" s="14">
        <v>78</v>
      </c>
      <c r="AA252" s="14">
        <v>137</v>
      </c>
      <c r="AD252" s="14">
        <v>775</v>
      </c>
      <c r="AG252" s="14">
        <v>53</v>
      </c>
      <c r="AH252" s="14">
        <v>223</v>
      </c>
      <c r="AJ252" s="14">
        <v>588</v>
      </c>
      <c r="AK252" s="14">
        <v>19</v>
      </c>
      <c r="AM252" s="14">
        <v>270</v>
      </c>
      <c r="AO252" s="14">
        <v>169</v>
      </c>
      <c r="AR252" s="14">
        <v>85</v>
      </c>
    </row>
    <row r="253" spans="9:44" x14ac:dyDescent="0.25">
      <c r="I253" s="14">
        <v>94</v>
      </c>
      <c r="R253" s="14">
        <v>990</v>
      </c>
      <c r="V253" s="14">
        <v>575</v>
      </c>
      <c r="AA253" s="14">
        <v>93</v>
      </c>
      <c r="AD253" s="14">
        <v>939</v>
      </c>
      <c r="AG253" s="14">
        <v>26</v>
      </c>
      <c r="AH253" s="14">
        <v>323</v>
      </c>
      <c r="AJ253" s="14">
        <v>438</v>
      </c>
      <c r="AK253" s="14">
        <v>131</v>
      </c>
      <c r="AM253" s="14">
        <v>54</v>
      </c>
      <c r="AO253" s="14">
        <v>138</v>
      </c>
      <c r="AR253" s="14">
        <v>6</v>
      </c>
    </row>
    <row r="254" spans="9:44" x14ac:dyDescent="0.25">
      <c r="I254" s="14">
        <v>129</v>
      </c>
      <c r="R254" s="14">
        <v>790</v>
      </c>
      <c r="V254" s="14">
        <v>138</v>
      </c>
      <c r="AA254" s="14">
        <v>212</v>
      </c>
      <c r="AD254" s="14">
        <v>632</v>
      </c>
      <c r="AG254" s="14">
        <v>88</v>
      </c>
      <c r="AJ254" s="14">
        <v>46</v>
      </c>
      <c r="AK254" s="14">
        <v>168</v>
      </c>
      <c r="AM254" s="14">
        <v>328</v>
      </c>
      <c r="AO254" s="14">
        <v>48</v>
      </c>
      <c r="AR254" s="14">
        <v>11</v>
      </c>
    </row>
    <row r="255" spans="9:44" x14ac:dyDescent="0.25">
      <c r="I255" s="14">
        <v>876</v>
      </c>
      <c r="R255" s="14">
        <v>16</v>
      </c>
      <c r="V255" s="14">
        <v>59</v>
      </c>
      <c r="AA255" s="14">
        <v>281</v>
      </c>
      <c r="AD255" s="14">
        <v>719</v>
      </c>
      <c r="AG255" s="14">
        <v>759</v>
      </c>
      <c r="AJ255" s="14">
        <v>49</v>
      </c>
      <c r="AK255" s="14">
        <v>105</v>
      </c>
      <c r="AM255" s="14">
        <v>125</v>
      </c>
      <c r="AO255" s="14">
        <v>254</v>
      </c>
      <c r="AR255" s="14">
        <v>95</v>
      </c>
    </row>
    <row r="256" spans="9:44" x14ac:dyDescent="0.25">
      <c r="I256" s="14">
        <v>156</v>
      </c>
      <c r="R256" s="14">
        <v>172</v>
      </c>
      <c r="V256" s="14">
        <v>228</v>
      </c>
      <c r="AA256" s="14">
        <v>200</v>
      </c>
      <c r="AD256" s="14">
        <v>159</v>
      </c>
      <c r="AG256" s="14">
        <v>428</v>
      </c>
      <c r="AJ256" s="14">
        <v>283</v>
      </c>
      <c r="AK256" s="14">
        <v>103</v>
      </c>
      <c r="AM256" s="14">
        <v>122</v>
      </c>
      <c r="AO256" s="14">
        <v>210</v>
      </c>
      <c r="AR256" s="14">
        <v>96</v>
      </c>
    </row>
    <row r="257" spans="9:44" x14ac:dyDescent="0.25">
      <c r="I257" s="14">
        <v>382</v>
      </c>
      <c r="R257" s="14">
        <v>126</v>
      </c>
      <c r="V257" s="14">
        <v>366</v>
      </c>
      <c r="AA257" s="14">
        <v>183</v>
      </c>
      <c r="AD257" s="14">
        <v>51</v>
      </c>
      <c r="AG257" s="14">
        <v>439</v>
      </c>
      <c r="AJ257" s="14">
        <v>253</v>
      </c>
      <c r="AK257" s="14">
        <v>83</v>
      </c>
      <c r="AM257" s="14">
        <v>7</v>
      </c>
      <c r="AO257" s="14">
        <v>152</v>
      </c>
      <c r="AR257" s="14">
        <v>262</v>
      </c>
    </row>
    <row r="258" spans="9:44" x14ac:dyDescent="0.25">
      <c r="I258" s="14">
        <v>266</v>
      </c>
      <c r="R258" s="14">
        <v>712</v>
      </c>
      <c r="V258" s="14">
        <v>163</v>
      </c>
      <c r="AA258" s="14">
        <v>107</v>
      </c>
      <c r="AD258" s="14">
        <v>458</v>
      </c>
      <c r="AG258" s="14">
        <v>338</v>
      </c>
      <c r="AJ258" s="14">
        <v>217</v>
      </c>
      <c r="AK258" s="14">
        <v>23</v>
      </c>
      <c r="AM258" s="14">
        <v>48</v>
      </c>
      <c r="AO258" s="14">
        <v>72</v>
      </c>
      <c r="AR258" s="14">
        <v>128</v>
      </c>
    </row>
    <row r="259" spans="9:44" x14ac:dyDescent="0.25">
      <c r="I259" s="14">
        <v>236</v>
      </c>
      <c r="R259" s="14">
        <v>529</v>
      </c>
      <c r="V259" s="14">
        <v>62</v>
      </c>
      <c r="AA259" s="14">
        <v>108</v>
      </c>
      <c r="AD259" s="14">
        <v>145</v>
      </c>
      <c r="AG259" s="14">
        <v>79</v>
      </c>
      <c r="AJ259" s="14">
        <v>43</v>
      </c>
      <c r="AK259" s="14">
        <v>93</v>
      </c>
      <c r="AM259" s="14">
        <v>505</v>
      </c>
      <c r="AO259" s="14">
        <v>276</v>
      </c>
      <c r="AR259" s="14">
        <v>80</v>
      </c>
    </row>
    <row r="260" spans="9:44" x14ac:dyDescent="0.25">
      <c r="I260" s="14">
        <v>222</v>
      </c>
      <c r="R260" s="14">
        <v>463</v>
      </c>
      <c r="V260" s="14">
        <v>171</v>
      </c>
      <c r="AA260" s="14">
        <v>181</v>
      </c>
      <c r="AD260" s="14">
        <v>135</v>
      </c>
      <c r="AG260" s="14">
        <v>74</v>
      </c>
      <c r="AJ260" s="14">
        <v>271</v>
      </c>
      <c r="AK260" s="14">
        <v>85</v>
      </c>
      <c r="AM260" s="14">
        <v>477</v>
      </c>
      <c r="AO260" s="14">
        <v>218</v>
      </c>
      <c r="AR260" s="14">
        <v>134</v>
      </c>
    </row>
    <row r="261" spans="9:44" x14ac:dyDescent="0.25">
      <c r="I261" s="14">
        <v>215</v>
      </c>
      <c r="R261" s="14">
        <v>736</v>
      </c>
      <c r="V261" s="14">
        <v>36</v>
      </c>
      <c r="AA261" s="14">
        <v>232</v>
      </c>
      <c r="AD261" s="14">
        <v>213</v>
      </c>
      <c r="AG261" s="14">
        <v>515</v>
      </c>
      <c r="AJ261" s="14">
        <v>648</v>
      </c>
      <c r="AK261" s="14">
        <v>19</v>
      </c>
      <c r="AM261" s="14">
        <v>210</v>
      </c>
      <c r="AO261" s="14">
        <v>115</v>
      </c>
      <c r="AR261" s="14">
        <v>138</v>
      </c>
    </row>
    <row r="262" spans="9:44" x14ac:dyDescent="0.25">
      <c r="I262" s="14">
        <v>188</v>
      </c>
      <c r="R262" s="14">
        <v>834</v>
      </c>
      <c r="V262" s="14">
        <v>124</v>
      </c>
      <c r="AA262" s="14">
        <v>265</v>
      </c>
      <c r="AD262" s="14">
        <v>394</v>
      </c>
      <c r="AG262" s="14">
        <v>521</v>
      </c>
      <c r="AJ262" s="14">
        <v>29</v>
      </c>
      <c r="AK262" s="14">
        <v>36</v>
      </c>
      <c r="AM262" s="14">
        <v>3</v>
      </c>
      <c r="AO262" s="14">
        <v>274</v>
      </c>
      <c r="AR262" s="14">
        <v>141</v>
      </c>
    </row>
    <row r="263" spans="9:44" x14ac:dyDescent="0.25">
      <c r="I263" s="14">
        <v>973</v>
      </c>
      <c r="R263" s="14">
        <v>936</v>
      </c>
      <c r="V263" s="14">
        <v>104</v>
      </c>
      <c r="AA263" s="14">
        <v>356</v>
      </c>
      <c r="AD263" s="14">
        <v>809</v>
      </c>
      <c r="AG263" s="14">
        <v>522</v>
      </c>
      <c r="AJ263" s="14">
        <v>315</v>
      </c>
      <c r="AK263" s="14">
        <v>464</v>
      </c>
      <c r="AM263" s="14">
        <v>197</v>
      </c>
      <c r="AO263" s="14">
        <v>284</v>
      </c>
      <c r="AR263" s="14">
        <v>128</v>
      </c>
    </row>
    <row r="264" spans="9:44" x14ac:dyDescent="0.25">
      <c r="I264" s="14">
        <v>383</v>
      </c>
      <c r="R264" s="14">
        <v>928</v>
      </c>
      <c r="V264" s="14">
        <v>55</v>
      </c>
      <c r="AA264" s="14">
        <v>258</v>
      </c>
      <c r="AD264" s="14">
        <v>59</v>
      </c>
      <c r="AG264" s="14">
        <v>105</v>
      </c>
      <c r="AJ264" s="14">
        <v>114</v>
      </c>
      <c r="AK264" s="14">
        <v>349</v>
      </c>
      <c r="AM264" s="14">
        <v>234</v>
      </c>
      <c r="AO264" s="14">
        <v>221</v>
      </c>
      <c r="AR264" s="14">
        <v>196</v>
      </c>
    </row>
    <row r="265" spans="9:44" x14ac:dyDescent="0.25">
      <c r="I265" s="14">
        <v>120</v>
      </c>
      <c r="R265" s="14">
        <v>361</v>
      </c>
      <c r="V265" s="14">
        <v>403</v>
      </c>
      <c r="AA265" s="14">
        <v>200</v>
      </c>
      <c r="AD265" s="14">
        <v>104</v>
      </c>
      <c r="AG265" s="14">
        <v>119</v>
      </c>
      <c r="AJ265" s="14">
        <v>14</v>
      </c>
      <c r="AK265" s="14">
        <v>288</v>
      </c>
      <c r="AM265" s="14">
        <v>174</v>
      </c>
      <c r="AO265" s="14">
        <v>34</v>
      </c>
      <c r="AR265" s="14">
        <v>128</v>
      </c>
    </row>
    <row r="266" spans="9:44" x14ac:dyDescent="0.25">
      <c r="I266" s="14">
        <v>103</v>
      </c>
      <c r="R266" s="14">
        <v>30</v>
      </c>
      <c r="V266" s="14">
        <v>75</v>
      </c>
      <c r="AA266" s="14">
        <v>206</v>
      </c>
      <c r="AD266" s="14">
        <v>137</v>
      </c>
      <c r="AG266" s="14">
        <v>119</v>
      </c>
      <c r="AK266" s="14">
        <v>285</v>
      </c>
      <c r="AM266" s="14">
        <v>263</v>
      </c>
      <c r="AO266" s="14">
        <v>132</v>
      </c>
      <c r="AR266" s="14">
        <v>118</v>
      </c>
    </row>
    <row r="267" spans="9:44" x14ac:dyDescent="0.25">
      <c r="I267" s="14">
        <v>707</v>
      </c>
      <c r="R267" s="14">
        <v>110</v>
      </c>
      <c r="V267" s="14">
        <v>238</v>
      </c>
      <c r="AA267" s="14">
        <v>253</v>
      </c>
      <c r="AD267" s="14">
        <v>307</v>
      </c>
      <c r="AG267" s="14">
        <v>662</v>
      </c>
      <c r="AK267" s="14">
        <v>179</v>
      </c>
      <c r="AM267" s="14">
        <v>244</v>
      </c>
      <c r="AO267" s="14">
        <v>193</v>
      </c>
      <c r="AR267" s="14">
        <v>141</v>
      </c>
    </row>
    <row r="268" spans="9:44" x14ac:dyDescent="0.25">
      <c r="I268" s="14">
        <v>572</v>
      </c>
      <c r="R268" s="14">
        <v>259</v>
      </c>
      <c r="V268" s="14">
        <v>777</v>
      </c>
      <c r="AA268" s="14">
        <v>235</v>
      </c>
      <c r="AD268" s="14">
        <v>78</v>
      </c>
      <c r="AG268" s="14">
        <v>369</v>
      </c>
      <c r="AK268" s="14">
        <v>240</v>
      </c>
      <c r="AM268" s="14">
        <v>201</v>
      </c>
      <c r="AO268" s="14">
        <v>159</v>
      </c>
      <c r="AR268" s="14">
        <v>34</v>
      </c>
    </row>
    <row r="269" spans="9:44" x14ac:dyDescent="0.25">
      <c r="I269" s="14">
        <v>505</v>
      </c>
      <c r="R269" s="14">
        <v>102</v>
      </c>
      <c r="V269" s="14">
        <v>439</v>
      </c>
      <c r="AA269" s="14">
        <v>208</v>
      </c>
      <c r="AD269" s="14">
        <v>223</v>
      </c>
      <c r="AG269" s="14">
        <v>176</v>
      </c>
      <c r="AK269" s="14">
        <v>344</v>
      </c>
      <c r="AM269" s="14">
        <v>259</v>
      </c>
      <c r="AO269" s="14">
        <v>43</v>
      </c>
      <c r="AR269" s="14">
        <v>158</v>
      </c>
    </row>
    <row r="270" spans="9:44" x14ac:dyDescent="0.25">
      <c r="I270" s="14">
        <v>459</v>
      </c>
      <c r="R270" s="14">
        <v>461</v>
      </c>
      <c r="V270" s="14">
        <v>503</v>
      </c>
      <c r="AA270" s="14">
        <v>319</v>
      </c>
      <c r="AD270" s="14">
        <v>818</v>
      </c>
      <c r="AG270" s="14">
        <v>8</v>
      </c>
      <c r="AK270" s="14">
        <v>300</v>
      </c>
      <c r="AM270" s="14">
        <v>323</v>
      </c>
      <c r="AO270" s="14">
        <v>37</v>
      </c>
      <c r="AR270" s="14">
        <v>110</v>
      </c>
    </row>
    <row r="271" spans="9:44" x14ac:dyDescent="0.25">
      <c r="I271" s="14">
        <v>433</v>
      </c>
      <c r="R271" s="14">
        <v>950</v>
      </c>
      <c r="V271" s="14">
        <v>265</v>
      </c>
      <c r="AA271" s="14">
        <v>216</v>
      </c>
      <c r="AD271" s="14">
        <v>919</v>
      </c>
      <c r="AG271" s="14">
        <v>76</v>
      </c>
      <c r="AK271" s="14">
        <v>309</v>
      </c>
      <c r="AM271" s="14">
        <v>24</v>
      </c>
      <c r="AO271" s="14">
        <v>67</v>
      </c>
      <c r="AR271" s="14">
        <v>681</v>
      </c>
    </row>
    <row r="272" spans="9:44" x14ac:dyDescent="0.25">
      <c r="I272" s="14">
        <v>236</v>
      </c>
      <c r="R272" s="14">
        <v>578</v>
      </c>
      <c r="V272" s="14">
        <v>50</v>
      </c>
      <c r="AA272" s="14">
        <v>306</v>
      </c>
      <c r="AD272" s="14">
        <v>930</v>
      </c>
      <c r="AG272" s="14">
        <v>71</v>
      </c>
      <c r="AK272" s="14">
        <v>261</v>
      </c>
      <c r="AM272" s="14">
        <v>322</v>
      </c>
      <c r="AO272" s="14">
        <v>92</v>
      </c>
      <c r="AR272" s="14">
        <v>245</v>
      </c>
    </row>
    <row r="273" spans="9:44" x14ac:dyDescent="0.25">
      <c r="I273" s="14">
        <v>198</v>
      </c>
      <c r="R273" s="14">
        <v>382</v>
      </c>
      <c r="V273" s="14">
        <v>5</v>
      </c>
      <c r="AA273" s="14">
        <v>207</v>
      </c>
      <c r="AD273" s="14">
        <v>794</v>
      </c>
      <c r="AG273" s="14">
        <v>758</v>
      </c>
      <c r="AK273" s="14">
        <v>161</v>
      </c>
      <c r="AM273" s="14">
        <v>288</v>
      </c>
      <c r="AO273" s="14">
        <v>15</v>
      </c>
      <c r="AR273" s="14">
        <v>78</v>
      </c>
    </row>
    <row r="274" spans="9:44" x14ac:dyDescent="0.25">
      <c r="I274" s="14">
        <v>292</v>
      </c>
      <c r="R274" s="14">
        <v>161</v>
      </c>
      <c r="V274" s="14">
        <v>44</v>
      </c>
      <c r="AA274" s="14">
        <v>117</v>
      </c>
      <c r="AD274" s="14">
        <v>684</v>
      </c>
      <c r="AG274" s="14">
        <v>2</v>
      </c>
      <c r="AK274" s="14">
        <v>271</v>
      </c>
      <c r="AM274" s="14">
        <v>15</v>
      </c>
      <c r="AO274" s="14">
        <v>157</v>
      </c>
      <c r="AR274" s="14">
        <v>33</v>
      </c>
    </row>
    <row r="275" spans="9:44" x14ac:dyDescent="0.25">
      <c r="I275" s="14">
        <v>456</v>
      </c>
      <c r="R275" s="14">
        <v>18</v>
      </c>
      <c r="V275" s="14">
        <v>120</v>
      </c>
      <c r="AA275" s="14">
        <v>65</v>
      </c>
      <c r="AD275" s="14">
        <v>342</v>
      </c>
      <c r="AG275" s="14">
        <v>921</v>
      </c>
      <c r="AK275" s="14">
        <v>108</v>
      </c>
      <c r="AM275" s="14">
        <v>59</v>
      </c>
      <c r="AO275" s="14">
        <v>335</v>
      </c>
      <c r="AR275" s="14">
        <v>306</v>
      </c>
    </row>
    <row r="276" spans="9:44" x14ac:dyDescent="0.25">
      <c r="I276" s="14">
        <v>358</v>
      </c>
      <c r="R276" s="14">
        <v>85</v>
      </c>
      <c r="V276" s="14">
        <v>287</v>
      </c>
      <c r="AA276" s="14">
        <v>113</v>
      </c>
      <c r="AD276" s="14">
        <v>127</v>
      </c>
      <c r="AG276" s="14">
        <v>317</v>
      </c>
      <c r="AK276" s="14">
        <v>171</v>
      </c>
      <c r="AM276" s="14">
        <v>131</v>
      </c>
      <c r="AO276" s="14">
        <v>362</v>
      </c>
      <c r="AR276" s="14">
        <v>76</v>
      </c>
    </row>
    <row r="277" spans="9:44" x14ac:dyDescent="0.25">
      <c r="I277" s="14">
        <v>331</v>
      </c>
      <c r="R277" s="14">
        <v>613</v>
      </c>
      <c r="V277" s="14">
        <v>145</v>
      </c>
      <c r="AA277" s="14">
        <v>133</v>
      </c>
      <c r="AD277" s="14">
        <v>509</v>
      </c>
      <c r="AG277" s="14">
        <v>105</v>
      </c>
      <c r="AK277" s="14">
        <v>258</v>
      </c>
      <c r="AM277" s="14">
        <v>360</v>
      </c>
      <c r="AO277" s="14">
        <v>133</v>
      </c>
      <c r="AR277" s="14">
        <v>164</v>
      </c>
    </row>
    <row r="278" spans="9:44" x14ac:dyDescent="0.25">
      <c r="I278" s="14">
        <v>319</v>
      </c>
      <c r="R278" s="14">
        <v>126</v>
      </c>
      <c r="V278" s="14">
        <v>190</v>
      </c>
      <c r="AA278" s="14">
        <v>152</v>
      </c>
      <c r="AD278" s="14">
        <v>138</v>
      </c>
      <c r="AG278" s="14">
        <v>82</v>
      </c>
      <c r="AK278" s="14">
        <v>355</v>
      </c>
      <c r="AM278" s="14">
        <v>16</v>
      </c>
      <c r="AO278" s="14">
        <v>33</v>
      </c>
      <c r="AR278" s="14">
        <v>223</v>
      </c>
    </row>
    <row r="279" spans="9:44" x14ac:dyDescent="0.25">
      <c r="I279" s="14">
        <v>312</v>
      </c>
      <c r="R279" s="14">
        <v>641</v>
      </c>
      <c r="V279" s="14">
        <v>332</v>
      </c>
      <c r="AA279" s="14">
        <v>91</v>
      </c>
      <c r="AD279" s="14">
        <v>81</v>
      </c>
      <c r="AG279" s="14">
        <v>594</v>
      </c>
      <c r="AK279" s="14">
        <v>204</v>
      </c>
      <c r="AM279" s="14">
        <v>323</v>
      </c>
      <c r="AO279" s="14">
        <v>288</v>
      </c>
      <c r="AR279" s="14">
        <v>420</v>
      </c>
    </row>
    <row r="280" spans="9:44" x14ac:dyDescent="0.25">
      <c r="I280" s="14">
        <v>771</v>
      </c>
      <c r="R280" s="14">
        <v>124</v>
      </c>
      <c r="V280" s="14">
        <v>498</v>
      </c>
      <c r="AA280" s="14">
        <v>108</v>
      </c>
      <c r="AD280" s="14">
        <v>162</v>
      </c>
      <c r="AG280" s="14">
        <v>75</v>
      </c>
      <c r="AK280" s="14">
        <v>232</v>
      </c>
      <c r="AM280" s="14">
        <v>275</v>
      </c>
      <c r="AO280" s="14">
        <v>5</v>
      </c>
      <c r="AR280" s="14">
        <v>353</v>
      </c>
    </row>
    <row r="281" spans="9:44" x14ac:dyDescent="0.25">
      <c r="I281" s="14">
        <v>952</v>
      </c>
      <c r="R281" s="14">
        <v>437</v>
      </c>
      <c r="V281" s="14">
        <v>230</v>
      </c>
      <c r="AA281" s="14">
        <v>165</v>
      </c>
      <c r="AD281" s="14">
        <v>132</v>
      </c>
      <c r="AG281" s="14">
        <v>414</v>
      </c>
      <c r="AK281" s="14">
        <v>211</v>
      </c>
      <c r="AM281" s="14">
        <v>159</v>
      </c>
      <c r="AO281" s="14">
        <v>60</v>
      </c>
      <c r="AR281" s="14">
        <v>84</v>
      </c>
    </row>
    <row r="282" spans="9:44" x14ac:dyDescent="0.25">
      <c r="I282" s="14">
        <v>304</v>
      </c>
      <c r="R282" s="14">
        <v>102</v>
      </c>
      <c r="V282" s="14">
        <v>225</v>
      </c>
      <c r="AA282" s="14">
        <v>160</v>
      </c>
      <c r="AD282" s="14">
        <v>609</v>
      </c>
      <c r="AG282" s="14">
        <v>516</v>
      </c>
      <c r="AK282" s="14">
        <v>212</v>
      </c>
      <c r="AM282" s="14">
        <v>184</v>
      </c>
      <c r="AO282" s="14">
        <v>21</v>
      </c>
      <c r="AR282" s="14">
        <v>109</v>
      </c>
    </row>
    <row r="283" spans="9:44" x14ac:dyDescent="0.25">
      <c r="I283" s="14">
        <v>831</v>
      </c>
      <c r="R283" s="14">
        <v>155</v>
      </c>
      <c r="V283" s="14">
        <v>474</v>
      </c>
      <c r="AA283" s="14">
        <v>95</v>
      </c>
      <c r="AD283" s="14">
        <v>158</v>
      </c>
      <c r="AG283" s="14">
        <v>28</v>
      </c>
      <c r="AK283" s="14">
        <v>227</v>
      </c>
      <c r="AM283" s="14">
        <v>43</v>
      </c>
      <c r="AO283" s="14">
        <v>41</v>
      </c>
      <c r="AR283" s="14">
        <v>48</v>
      </c>
    </row>
    <row r="284" spans="9:44" x14ac:dyDescent="0.25">
      <c r="I284" s="14">
        <v>735</v>
      </c>
      <c r="R284" s="14">
        <v>970</v>
      </c>
      <c r="V284" s="14">
        <v>482</v>
      </c>
      <c r="AA284" s="14">
        <v>166</v>
      </c>
      <c r="AD284" s="14">
        <v>170</v>
      </c>
      <c r="AG284" s="14">
        <v>285</v>
      </c>
      <c r="AK284" s="14">
        <v>42</v>
      </c>
      <c r="AM284" s="14">
        <v>255</v>
      </c>
      <c r="AO284" s="14">
        <v>116</v>
      </c>
      <c r="AR284" s="14">
        <v>120</v>
      </c>
    </row>
    <row r="285" spans="9:44" x14ac:dyDescent="0.25">
      <c r="I285" s="14">
        <v>513</v>
      </c>
      <c r="R285" s="14">
        <v>258</v>
      </c>
      <c r="V285" s="14">
        <v>28</v>
      </c>
      <c r="AA285" s="14">
        <v>108</v>
      </c>
      <c r="AD285" s="14">
        <v>58</v>
      </c>
      <c r="AG285" s="14">
        <v>511</v>
      </c>
      <c r="AK285" s="14">
        <v>161</v>
      </c>
      <c r="AM285" s="14">
        <v>57</v>
      </c>
      <c r="AO285" s="14">
        <v>178</v>
      </c>
      <c r="AR285" s="14">
        <v>100</v>
      </c>
    </row>
    <row r="286" spans="9:44" x14ac:dyDescent="0.25">
      <c r="I286" s="14">
        <v>414</v>
      </c>
      <c r="R286" s="14">
        <v>969</v>
      </c>
      <c r="V286" s="14">
        <v>77</v>
      </c>
      <c r="AA286" s="14">
        <v>114</v>
      </c>
      <c r="AD286" s="14">
        <v>40</v>
      </c>
      <c r="AG286" s="14">
        <v>178</v>
      </c>
      <c r="AK286" s="14">
        <v>136</v>
      </c>
      <c r="AM286" s="14">
        <v>296</v>
      </c>
      <c r="AO286" s="14">
        <v>74</v>
      </c>
      <c r="AR286" s="14">
        <v>126</v>
      </c>
    </row>
    <row r="287" spans="9:44" x14ac:dyDescent="0.25">
      <c r="I287" s="14">
        <v>362</v>
      </c>
      <c r="R287" s="14">
        <v>140</v>
      </c>
      <c r="V287" s="14">
        <v>22</v>
      </c>
      <c r="AA287" s="14">
        <v>361</v>
      </c>
      <c r="AD287" s="14">
        <v>23</v>
      </c>
      <c r="AG287" s="14">
        <v>368</v>
      </c>
      <c r="AK287" s="14">
        <v>28</v>
      </c>
      <c r="AM287" s="14">
        <v>132</v>
      </c>
      <c r="AO287" s="14">
        <v>116</v>
      </c>
      <c r="AR287" s="14">
        <v>280</v>
      </c>
    </row>
    <row r="288" spans="9:44" x14ac:dyDescent="0.25">
      <c r="I288" s="14">
        <v>329</v>
      </c>
      <c r="R288" s="14">
        <v>141</v>
      </c>
      <c r="V288" s="14">
        <v>185</v>
      </c>
      <c r="AA288" s="14">
        <v>124</v>
      </c>
      <c r="AD288" s="14">
        <v>912</v>
      </c>
      <c r="AG288" s="14">
        <v>662</v>
      </c>
      <c r="AK288" s="14">
        <v>47</v>
      </c>
      <c r="AM288" s="14">
        <v>159</v>
      </c>
      <c r="AO288" s="14">
        <v>46</v>
      </c>
      <c r="AR288" s="14">
        <v>16</v>
      </c>
    </row>
    <row r="289" spans="9:44" x14ac:dyDescent="0.25">
      <c r="I289" s="14">
        <v>855</v>
      </c>
      <c r="R289" s="14">
        <v>84</v>
      </c>
      <c r="V289" s="14">
        <v>245</v>
      </c>
      <c r="AA289" s="14">
        <v>121</v>
      </c>
      <c r="AD289" s="14">
        <v>789</v>
      </c>
      <c r="AG289" s="14">
        <v>393</v>
      </c>
      <c r="AK289" s="14">
        <v>153</v>
      </c>
      <c r="AM289" s="14">
        <v>265</v>
      </c>
      <c r="AO289" s="14">
        <v>207</v>
      </c>
      <c r="AR289" s="14">
        <v>129</v>
      </c>
    </row>
    <row r="290" spans="9:44" x14ac:dyDescent="0.25">
      <c r="I290" s="14">
        <v>276</v>
      </c>
      <c r="R290" s="14">
        <v>119</v>
      </c>
      <c r="V290" s="14">
        <v>443</v>
      </c>
      <c r="AA290" s="14">
        <v>158</v>
      </c>
      <c r="AD290" s="14">
        <v>934</v>
      </c>
      <c r="AG290" s="14">
        <v>618</v>
      </c>
      <c r="AK290" s="14">
        <v>244</v>
      </c>
      <c r="AM290" s="14">
        <v>26</v>
      </c>
      <c r="AO290" s="14">
        <v>41</v>
      </c>
      <c r="AR290" s="14">
        <v>165</v>
      </c>
    </row>
    <row r="291" spans="9:44" x14ac:dyDescent="0.25">
      <c r="I291" s="14">
        <v>531</v>
      </c>
      <c r="R291" s="14">
        <v>80</v>
      </c>
      <c r="V291" s="14">
        <v>726</v>
      </c>
      <c r="AA291" s="14">
        <v>16</v>
      </c>
      <c r="AD291" s="14">
        <v>516</v>
      </c>
      <c r="AG291" s="14">
        <v>436</v>
      </c>
      <c r="AK291" s="14">
        <v>159</v>
      </c>
      <c r="AM291" s="14">
        <v>275</v>
      </c>
      <c r="AO291" s="14">
        <v>152</v>
      </c>
      <c r="AR291" s="14">
        <v>117</v>
      </c>
    </row>
    <row r="292" spans="9:44" x14ac:dyDescent="0.25">
      <c r="I292" s="14">
        <v>884</v>
      </c>
      <c r="R292" s="14">
        <v>7</v>
      </c>
      <c r="V292" s="14">
        <v>538</v>
      </c>
      <c r="AA292" s="14">
        <v>33</v>
      </c>
      <c r="AD292" s="14">
        <v>174</v>
      </c>
      <c r="AG292" s="14">
        <v>127</v>
      </c>
      <c r="AK292" s="14">
        <v>256</v>
      </c>
      <c r="AM292" s="14">
        <v>249</v>
      </c>
      <c r="AO292" s="14">
        <v>111</v>
      </c>
      <c r="AR292" s="14">
        <v>211</v>
      </c>
    </row>
    <row r="293" spans="9:44" x14ac:dyDescent="0.25">
      <c r="I293" s="14">
        <v>575</v>
      </c>
      <c r="R293" s="14">
        <v>50</v>
      </c>
      <c r="V293" s="14">
        <v>231</v>
      </c>
      <c r="AA293" s="14">
        <v>30</v>
      </c>
      <c r="AD293" s="14">
        <v>180</v>
      </c>
      <c r="AG293" s="14">
        <v>164</v>
      </c>
      <c r="AK293" s="14">
        <v>122</v>
      </c>
      <c r="AM293" s="14">
        <v>408</v>
      </c>
      <c r="AO293" s="14">
        <v>133</v>
      </c>
      <c r="AR293" s="14">
        <v>155</v>
      </c>
    </row>
    <row r="294" spans="9:44" x14ac:dyDescent="0.25">
      <c r="I294" s="14">
        <v>378</v>
      </c>
      <c r="R294" s="14">
        <v>38</v>
      </c>
      <c r="V294" s="14">
        <v>378</v>
      </c>
      <c r="AA294" s="14">
        <v>95</v>
      </c>
      <c r="AD294" s="14">
        <v>298</v>
      </c>
      <c r="AG294" s="14">
        <v>438</v>
      </c>
      <c r="AK294" s="14">
        <v>246</v>
      </c>
      <c r="AM294" s="14">
        <v>168</v>
      </c>
      <c r="AO294" s="14">
        <v>67</v>
      </c>
      <c r="AR294" s="14">
        <v>492</v>
      </c>
    </row>
    <row r="295" spans="9:44" x14ac:dyDescent="0.25">
      <c r="I295" s="14">
        <v>287</v>
      </c>
      <c r="R295" s="14">
        <v>606</v>
      </c>
      <c r="V295" s="14">
        <v>235</v>
      </c>
      <c r="AA295" s="14">
        <v>86</v>
      </c>
      <c r="AD295" s="14">
        <v>212</v>
      </c>
      <c r="AG295" s="14">
        <v>223</v>
      </c>
      <c r="AK295" s="14">
        <v>177</v>
      </c>
      <c r="AM295" s="14">
        <v>424</v>
      </c>
      <c r="AO295" s="14">
        <v>86</v>
      </c>
      <c r="AR295" s="14">
        <v>95</v>
      </c>
    </row>
    <row r="296" spans="9:44" x14ac:dyDescent="0.25">
      <c r="I296" s="14">
        <v>237</v>
      </c>
      <c r="R296" s="14">
        <v>470</v>
      </c>
      <c r="V296" s="14">
        <v>369</v>
      </c>
      <c r="AA296" s="14">
        <v>117</v>
      </c>
      <c r="AD296" s="14">
        <v>478</v>
      </c>
      <c r="AG296" s="14">
        <v>246</v>
      </c>
      <c r="AK296" s="14">
        <v>29</v>
      </c>
      <c r="AM296" s="14">
        <v>141</v>
      </c>
      <c r="AO296" s="14">
        <v>407</v>
      </c>
      <c r="AR296" s="14">
        <v>48</v>
      </c>
    </row>
    <row r="297" spans="9:44" x14ac:dyDescent="0.25">
      <c r="I297" s="14">
        <v>205</v>
      </c>
      <c r="R297" s="14">
        <v>259</v>
      </c>
      <c r="V297" s="14">
        <v>370</v>
      </c>
      <c r="AA297" s="14">
        <v>97</v>
      </c>
      <c r="AD297" s="14">
        <v>406</v>
      </c>
      <c r="AG297" s="14">
        <v>61</v>
      </c>
      <c r="AK297" s="14">
        <v>71</v>
      </c>
      <c r="AM297" s="14">
        <v>200</v>
      </c>
      <c r="AO297" s="14">
        <v>258</v>
      </c>
      <c r="AR297" s="14">
        <v>199</v>
      </c>
    </row>
    <row r="298" spans="9:44" x14ac:dyDescent="0.25">
      <c r="I298" s="14">
        <v>301</v>
      </c>
      <c r="R298" s="14">
        <v>178</v>
      </c>
      <c r="V298" s="14">
        <v>977</v>
      </c>
      <c r="AA298" s="14">
        <v>289</v>
      </c>
      <c r="AD298" s="14">
        <v>112</v>
      </c>
      <c r="AG298" s="14">
        <v>61</v>
      </c>
      <c r="AK298" s="14">
        <v>281</v>
      </c>
      <c r="AM298" s="14">
        <v>33</v>
      </c>
      <c r="AO298" s="14">
        <v>197</v>
      </c>
      <c r="AR298" s="14">
        <v>162</v>
      </c>
    </row>
    <row r="299" spans="9:44" x14ac:dyDescent="0.25">
      <c r="I299" s="14">
        <v>365</v>
      </c>
      <c r="R299" s="14">
        <v>134</v>
      </c>
      <c r="V299" s="14">
        <v>123</v>
      </c>
      <c r="AA299" s="14">
        <v>273</v>
      </c>
      <c r="AD299" s="14">
        <v>411</v>
      </c>
      <c r="AG299" s="14">
        <v>107</v>
      </c>
      <c r="AK299" s="14">
        <v>133</v>
      </c>
      <c r="AM299" s="14">
        <v>31</v>
      </c>
      <c r="AO299" s="14">
        <v>161</v>
      </c>
      <c r="AR299" s="14">
        <v>148</v>
      </c>
    </row>
    <row r="300" spans="9:44" x14ac:dyDescent="0.25">
      <c r="I300" s="14">
        <v>398</v>
      </c>
      <c r="R300" s="14">
        <v>52</v>
      </c>
      <c r="V300" s="14">
        <v>120</v>
      </c>
      <c r="AA300" s="14">
        <v>270</v>
      </c>
      <c r="AD300" s="14">
        <v>326</v>
      </c>
      <c r="AG300" s="14">
        <v>56</v>
      </c>
      <c r="AK300" s="14">
        <v>982</v>
      </c>
      <c r="AM300" s="14">
        <v>305</v>
      </c>
      <c r="AO300" s="14">
        <v>195</v>
      </c>
      <c r="AR300" s="14">
        <v>202</v>
      </c>
    </row>
    <row r="301" spans="9:44" x14ac:dyDescent="0.25">
      <c r="I301" s="14">
        <v>596</v>
      </c>
      <c r="R301" s="14">
        <v>259</v>
      </c>
      <c r="V301" s="14">
        <v>257</v>
      </c>
      <c r="AA301" s="14">
        <v>63</v>
      </c>
      <c r="AD301" s="14">
        <v>128</v>
      </c>
      <c r="AG301" s="14">
        <v>91</v>
      </c>
      <c r="AK301" s="14">
        <v>38</v>
      </c>
      <c r="AM301" s="14">
        <v>54</v>
      </c>
      <c r="AO301" s="14">
        <v>6</v>
      </c>
      <c r="AR301" s="14">
        <v>488</v>
      </c>
    </row>
    <row r="302" spans="9:44" x14ac:dyDescent="0.25">
      <c r="I302" s="14">
        <v>175</v>
      </c>
      <c r="R302" s="14">
        <v>251</v>
      </c>
      <c r="V302" s="14">
        <v>83</v>
      </c>
      <c r="AA302" s="14">
        <v>281</v>
      </c>
      <c r="AD302" s="14">
        <v>63</v>
      </c>
      <c r="AG302" s="14">
        <v>89</v>
      </c>
      <c r="AK302" s="14">
        <v>102</v>
      </c>
      <c r="AM302" s="14">
        <v>290</v>
      </c>
      <c r="AO302" s="14">
        <v>104</v>
      </c>
      <c r="AR302" s="14">
        <v>212</v>
      </c>
    </row>
    <row r="303" spans="9:44" x14ac:dyDescent="0.25">
      <c r="I303" s="14">
        <v>260</v>
      </c>
      <c r="R303" s="14">
        <v>162</v>
      </c>
      <c r="V303" s="14">
        <v>409</v>
      </c>
      <c r="AA303" s="14">
        <v>299</v>
      </c>
      <c r="AD303" s="14">
        <v>115</v>
      </c>
      <c r="AG303" s="14">
        <v>196</v>
      </c>
      <c r="AK303" s="14">
        <v>119</v>
      </c>
      <c r="AM303" s="14">
        <v>194</v>
      </c>
      <c r="AO303" s="14">
        <v>38</v>
      </c>
      <c r="AR303" s="14">
        <v>223</v>
      </c>
    </row>
    <row r="304" spans="9:44" x14ac:dyDescent="0.25">
      <c r="I304" s="14">
        <v>283</v>
      </c>
      <c r="R304" s="14">
        <v>169</v>
      </c>
      <c r="V304" s="14">
        <v>222</v>
      </c>
      <c r="AA304" s="14">
        <v>8</v>
      </c>
      <c r="AD304" s="14">
        <v>104</v>
      </c>
      <c r="AG304" s="14">
        <v>107</v>
      </c>
      <c r="AK304" s="14">
        <v>61</v>
      </c>
      <c r="AM304" s="14">
        <v>319</v>
      </c>
      <c r="AO304" s="14">
        <v>428</v>
      </c>
      <c r="AR304" s="14">
        <v>205</v>
      </c>
    </row>
    <row r="305" spans="9:44" x14ac:dyDescent="0.25">
      <c r="I305" s="14">
        <v>293</v>
      </c>
      <c r="R305" s="14">
        <v>208</v>
      </c>
      <c r="V305" s="14">
        <v>307</v>
      </c>
      <c r="AA305" s="14">
        <v>165</v>
      </c>
      <c r="AD305" s="14">
        <v>105</v>
      </c>
      <c r="AG305" s="14">
        <v>148</v>
      </c>
      <c r="AK305" s="14">
        <v>37</v>
      </c>
      <c r="AM305" s="14">
        <v>572</v>
      </c>
      <c r="AO305" s="14">
        <v>255</v>
      </c>
      <c r="AR305" s="14">
        <v>248</v>
      </c>
    </row>
    <row r="306" spans="9:44" x14ac:dyDescent="0.25">
      <c r="I306" s="14">
        <v>299</v>
      </c>
      <c r="R306" s="14">
        <v>887</v>
      </c>
      <c r="V306" s="14">
        <v>529</v>
      </c>
      <c r="AA306" s="14">
        <v>195</v>
      </c>
      <c r="AD306" s="14">
        <v>870</v>
      </c>
      <c r="AG306" s="14">
        <v>35</v>
      </c>
      <c r="AK306" s="14">
        <v>277</v>
      </c>
      <c r="AM306" s="14">
        <v>71</v>
      </c>
      <c r="AO306" s="14">
        <v>198</v>
      </c>
      <c r="AR306" s="14">
        <v>216</v>
      </c>
    </row>
    <row r="307" spans="9:44" x14ac:dyDescent="0.25">
      <c r="I307" s="14">
        <v>23</v>
      </c>
      <c r="R307" s="14">
        <v>133</v>
      </c>
      <c r="V307" s="14">
        <v>190</v>
      </c>
      <c r="AA307" s="14">
        <v>79</v>
      </c>
      <c r="AD307" s="14">
        <v>726</v>
      </c>
      <c r="AG307" s="14">
        <v>95</v>
      </c>
      <c r="AK307" s="14">
        <v>343</v>
      </c>
      <c r="AM307" s="14">
        <v>232</v>
      </c>
      <c r="AO307" s="14">
        <v>185</v>
      </c>
      <c r="AR307" s="14">
        <v>194</v>
      </c>
    </row>
    <row r="308" spans="9:44" x14ac:dyDescent="0.25">
      <c r="I308" s="14">
        <v>253</v>
      </c>
      <c r="R308" s="14">
        <v>313</v>
      </c>
      <c r="V308" s="14">
        <v>337</v>
      </c>
      <c r="AA308" s="14">
        <v>149</v>
      </c>
      <c r="AD308" s="14">
        <v>222</v>
      </c>
      <c r="AG308" s="14">
        <v>89</v>
      </c>
      <c r="AK308" s="14">
        <v>44</v>
      </c>
      <c r="AM308" s="14">
        <v>105</v>
      </c>
      <c r="AO308" s="14">
        <v>134</v>
      </c>
      <c r="AR308" s="14">
        <v>243</v>
      </c>
    </row>
    <row r="309" spans="9:44" x14ac:dyDescent="0.25">
      <c r="I309" s="14">
        <v>519</v>
      </c>
      <c r="R309" s="14">
        <v>60</v>
      </c>
      <c r="V309" s="14">
        <v>188</v>
      </c>
      <c r="AA309" s="14">
        <v>161</v>
      </c>
      <c r="AD309" s="14">
        <v>9</v>
      </c>
      <c r="AG309" s="14">
        <v>182</v>
      </c>
      <c r="AK309" s="14">
        <v>236</v>
      </c>
      <c r="AM309" s="14">
        <v>187</v>
      </c>
      <c r="AO309" s="14">
        <v>292</v>
      </c>
      <c r="AR309" s="14">
        <v>23</v>
      </c>
    </row>
    <row r="310" spans="9:44" x14ac:dyDescent="0.25">
      <c r="I310" s="14">
        <v>906</v>
      </c>
      <c r="R310" s="14">
        <v>891</v>
      </c>
      <c r="V310" s="14">
        <v>112</v>
      </c>
      <c r="AA310" s="14">
        <v>94</v>
      </c>
      <c r="AD310" s="14">
        <v>236</v>
      </c>
      <c r="AG310" s="14">
        <v>142</v>
      </c>
      <c r="AK310" s="14">
        <v>60</v>
      </c>
      <c r="AM310" s="14">
        <v>423</v>
      </c>
      <c r="AO310" s="14">
        <v>207</v>
      </c>
      <c r="AR310" s="14">
        <v>93</v>
      </c>
    </row>
    <row r="311" spans="9:44" x14ac:dyDescent="0.25">
      <c r="I311" s="14">
        <v>612</v>
      </c>
      <c r="R311" s="14">
        <v>122</v>
      </c>
      <c r="V311" s="14">
        <v>149</v>
      </c>
      <c r="AA311" s="14">
        <v>172</v>
      </c>
      <c r="AD311" s="14">
        <v>150</v>
      </c>
      <c r="AG311" s="14">
        <v>158</v>
      </c>
      <c r="AK311" s="14">
        <v>382</v>
      </c>
      <c r="AM311" s="14">
        <v>789</v>
      </c>
      <c r="AO311" s="14">
        <v>402</v>
      </c>
      <c r="AR311" s="14">
        <v>257</v>
      </c>
    </row>
    <row r="312" spans="9:44" x14ac:dyDescent="0.25">
      <c r="I312" s="14">
        <v>416</v>
      </c>
      <c r="R312" s="14">
        <v>649</v>
      </c>
      <c r="V312" s="14">
        <v>94</v>
      </c>
      <c r="AA312" s="14">
        <v>237</v>
      </c>
      <c r="AD312" s="14">
        <v>416</v>
      </c>
      <c r="AG312" s="14">
        <v>17</v>
      </c>
      <c r="AK312" s="14">
        <v>25</v>
      </c>
      <c r="AM312" s="14">
        <v>295</v>
      </c>
      <c r="AO312" s="14">
        <v>179</v>
      </c>
      <c r="AR312" s="14">
        <v>36</v>
      </c>
    </row>
    <row r="313" spans="9:44" x14ac:dyDescent="0.25">
      <c r="I313" s="14">
        <v>324</v>
      </c>
      <c r="R313" s="14">
        <v>76</v>
      </c>
      <c r="V313" s="14">
        <v>238</v>
      </c>
      <c r="AA313" s="14">
        <v>48</v>
      </c>
      <c r="AD313" s="14">
        <v>526</v>
      </c>
      <c r="AG313" s="14">
        <v>55</v>
      </c>
      <c r="AK313" s="14">
        <v>301</v>
      </c>
      <c r="AM313" s="14">
        <v>193</v>
      </c>
      <c r="AO313" s="14">
        <v>171</v>
      </c>
      <c r="AR313" s="14">
        <v>147</v>
      </c>
    </row>
    <row r="314" spans="9:44" x14ac:dyDescent="0.25">
      <c r="I314" s="14">
        <v>273</v>
      </c>
      <c r="R314" s="14">
        <v>100</v>
      </c>
      <c r="V314" s="14">
        <v>110</v>
      </c>
      <c r="AA314" s="14">
        <v>156</v>
      </c>
      <c r="AD314" s="14">
        <v>213</v>
      </c>
      <c r="AG314" s="14">
        <v>54</v>
      </c>
      <c r="AK314" s="14">
        <v>175</v>
      </c>
      <c r="AM314" s="14">
        <v>1</v>
      </c>
      <c r="AO314" s="14">
        <v>254</v>
      </c>
      <c r="AR314" s="14">
        <v>101</v>
      </c>
    </row>
    <row r="315" spans="9:44" x14ac:dyDescent="0.25">
      <c r="I315" s="14">
        <v>240</v>
      </c>
      <c r="R315" s="14">
        <v>120</v>
      </c>
      <c r="V315" s="14">
        <v>441</v>
      </c>
      <c r="AA315" s="14">
        <v>58</v>
      </c>
      <c r="AD315" s="14">
        <v>442</v>
      </c>
      <c r="AG315" s="14">
        <v>88</v>
      </c>
      <c r="AK315" s="14">
        <v>136</v>
      </c>
      <c r="AM315" s="14">
        <v>84</v>
      </c>
      <c r="AO315" s="14">
        <v>317</v>
      </c>
      <c r="AR315" s="14">
        <v>230</v>
      </c>
    </row>
    <row r="316" spans="9:44" x14ac:dyDescent="0.25">
      <c r="I316" s="14">
        <v>111</v>
      </c>
      <c r="R316" s="14">
        <v>153</v>
      </c>
      <c r="V316" s="14">
        <v>167</v>
      </c>
      <c r="AA316" s="14">
        <v>82</v>
      </c>
      <c r="AD316" s="14">
        <v>621</v>
      </c>
      <c r="AG316" s="14">
        <v>534</v>
      </c>
      <c r="AK316" s="14">
        <v>463</v>
      </c>
      <c r="AM316" s="14">
        <v>169</v>
      </c>
      <c r="AO316" s="14">
        <v>160</v>
      </c>
      <c r="AR316" s="14">
        <v>373</v>
      </c>
    </row>
    <row r="317" spans="9:44" x14ac:dyDescent="0.25">
      <c r="I317" s="14">
        <v>271</v>
      </c>
      <c r="R317" s="14">
        <v>65</v>
      </c>
      <c r="AA317" s="14">
        <v>168</v>
      </c>
      <c r="AD317" s="14">
        <v>140</v>
      </c>
      <c r="AG317" s="14">
        <v>668</v>
      </c>
      <c r="AK317" s="14">
        <v>209</v>
      </c>
      <c r="AM317" s="14">
        <v>8</v>
      </c>
      <c r="AO317" s="14">
        <v>189</v>
      </c>
      <c r="AR317" s="14">
        <v>22</v>
      </c>
    </row>
    <row r="318" spans="9:44" x14ac:dyDescent="0.25">
      <c r="I318" s="14">
        <v>302</v>
      </c>
      <c r="R318" s="14">
        <v>9</v>
      </c>
      <c r="AA318" s="14">
        <v>62</v>
      </c>
      <c r="AD318" s="14">
        <v>235</v>
      </c>
      <c r="AG318" s="14">
        <v>338</v>
      </c>
      <c r="AK318" s="14">
        <v>169</v>
      </c>
      <c r="AM318" s="14">
        <v>16</v>
      </c>
      <c r="AO318" s="14">
        <v>176</v>
      </c>
      <c r="AR318" s="14">
        <v>111</v>
      </c>
    </row>
    <row r="319" spans="9:44" x14ac:dyDescent="0.25">
      <c r="I319" s="14">
        <v>486</v>
      </c>
      <c r="R319" s="14">
        <v>275</v>
      </c>
      <c r="AA319" s="14">
        <v>279</v>
      </c>
      <c r="AD319" s="14">
        <v>121</v>
      </c>
      <c r="AG319" s="14">
        <v>121</v>
      </c>
      <c r="AK319" s="14">
        <v>421</v>
      </c>
      <c r="AM319" s="14">
        <v>266</v>
      </c>
      <c r="AO319" s="14">
        <v>123</v>
      </c>
      <c r="AR319" s="14">
        <v>67</v>
      </c>
    </row>
    <row r="320" spans="9:44" x14ac:dyDescent="0.25">
      <c r="I320" s="14">
        <v>925</v>
      </c>
      <c r="R320" s="14">
        <v>88</v>
      </c>
      <c r="AA320" s="14">
        <v>297</v>
      </c>
      <c r="AD320" s="14">
        <v>463</v>
      </c>
      <c r="AG320" s="14">
        <v>109</v>
      </c>
      <c r="AK320" s="14">
        <v>228</v>
      </c>
      <c r="AM320" s="14">
        <v>143</v>
      </c>
      <c r="AO320" s="14">
        <v>205</v>
      </c>
      <c r="AR320" s="14">
        <v>40</v>
      </c>
    </row>
    <row r="321" spans="9:44" x14ac:dyDescent="0.25">
      <c r="I321" s="14">
        <v>171</v>
      </c>
      <c r="R321" s="14">
        <v>385</v>
      </c>
      <c r="AA321" s="14">
        <v>10</v>
      </c>
      <c r="AD321" s="14">
        <v>632</v>
      </c>
      <c r="AG321" s="14">
        <v>142</v>
      </c>
      <c r="AK321" s="14">
        <v>353</v>
      </c>
      <c r="AM321" s="14">
        <v>145</v>
      </c>
      <c r="AO321" s="14">
        <v>138</v>
      </c>
      <c r="AR321" s="14">
        <v>103</v>
      </c>
    </row>
    <row r="322" spans="9:44" x14ac:dyDescent="0.25">
      <c r="I322" s="14">
        <v>193</v>
      </c>
      <c r="R322" s="14">
        <v>397</v>
      </c>
      <c r="AA322" s="14">
        <v>169</v>
      </c>
      <c r="AD322" s="14">
        <v>481</v>
      </c>
      <c r="AG322" s="14">
        <v>122</v>
      </c>
      <c r="AK322" s="14">
        <v>303</v>
      </c>
      <c r="AM322" s="14">
        <v>40</v>
      </c>
      <c r="AO322" s="14">
        <v>91</v>
      </c>
      <c r="AR322" s="14">
        <v>79</v>
      </c>
    </row>
    <row r="323" spans="9:44" x14ac:dyDescent="0.25">
      <c r="I323" s="14">
        <v>202</v>
      </c>
      <c r="R323" s="14">
        <v>243</v>
      </c>
      <c r="AA323" s="14">
        <v>194</v>
      </c>
      <c r="AD323" s="14">
        <v>442</v>
      </c>
      <c r="AG323" s="14">
        <v>71</v>
      </c>
      <c r="AK323" s="14">
        <v>349</v>
      </c>
      <c r="AM323" s="14">
        <v>154</v>
      </c>
      <c r="AO323" s="14">
        <v>259</v>
      </c>
      <c r="AR323" s="14">
        <v>66</v>
      </c>
    </row>
    <row r="324" spans="9:44" x14ac:dyDescent="0.25">
      <c r="I324" s="14">
        <v>208</v>
      </c>
      <c r="R324" s="14">
        <v>5</v>
      </c>
      <c r="AA324" s="14">
        <v>79</v>
      </c>
      <c r="AD324" s="14">
        <v>415</v>
      </c>
      <c r="AG324" s="14">
        <v>113</v>
      </c>
      <c r="AK324" s="14">
        <v>100</v>
      </c>
      <c r="AM324" s="14">
        <v>45</v>
      </c>
      <c r="AO324" s="14">
        <v>36</v>
      </c>
      <c r="AR324" s="14">
        <v>253</v>
      </c>
    </row>
    <row r="325" spans="9:44" x14ac:dyDescent="0.25">
      <c r="I325" s="14">
        <v>65</v>
      </c>
      <c r="R325" s="14">
        <v>121</v>
      </c>
      <c r="AA325" s="14">
        <v>184</v>
      </c>
      <c r="AD325" s="14">
        <v>172</v>
      </c>
      <c r="AG325" s="14">
        <v>464</v>
      </c>
      <c r="AK325" s="14">
        <v>311</v>
      </c>
      <c r="AM325" s="14">
        <v>431</v>
      </c>
      <c r="AO325" s="14">
        <v>124</v>
      </c>
      <c r="AR325" s="14">
        <v>11</v>
      </c>
    </row>
    <row r="326" spans="9:44" x14ac:dyDescent="0.25">
      <c r="I326" s="14">
        <v>300</v>
      </c>
      <c r="R326" s="14">
        <v>235</v>
      </c>
      <c r="AA326" s="14">
        <v>161</v>
      </c>
      <c r="AD326" s="14">
        <v>11</v>
      </c>
      <c r="AG326" s="14">
        <v>692</v>
      </c>
      <c r="AK326" s="14">
        <v>454</v>
      </c>
      <c r="AM326" s="14">
        <v>133</v>
      </c>
      <c r="AO326" s="14">
        <v>303</v>
      </c>
      <c r="AR326" s="14">
        <v>52</v>
      </c>
    </row>
    <row r="327" spans="9:44" x14ac:dyDescent="0.25">
      <c r="I327" s="14">
        <v>606</v>
      </c>
      <c r="R327" s="14">
        <v>295</v>
      </c>
      <c r="AA327" s="14">
        <v>95</v>
      </c>
      <c r="AD327" s="14">
        <v>280</v>
      </c>
      <c r="AG327" s="14">
        <v>43</v>
      </c>
      <c r="AK327" s="14">
        <v>16</v>
      </c>
      <c r="AM327" s="14">
        <v>66</v>
      </c>
      <c r="AO327" s="14">
        <v>168</v>
      </c>
      <c r="AR327" s="14">
        <v>159</v>
      </c>
    </row>
    <row r="328" spans="9:44" x14ac:dyDescent="0.25">
      <c r="I328" s="14">
        <v>104</v>
      </c>
      <c r="R328" s="14">
        <v>337</v>
      </c>
      <c r="AA328" s="14">
        <v>173</v>
      </c>
      <c r="AD328" s="14">
        <v>276</v>
      </c>
      <c r="AG328" s="14">
        <v>517</v>
      </c>
      <c r="AK328" s="14">
        <v>257</v>
      </c>
      <c r="AM328" s="14">
        <v>66</v>
      </c>
      <c r="AO328" s="14">
        <v>115</v>
      </c>
      <c r="AR328" s="14">
        <v>153</v>
      </c>
    </row>
    <row r="329" spans="9:44" x14ac:dyDescent="0.25">
      <c r="I329" s="14">
        <v>702</v>
      </c>
      <c r="R329" s="14">
        <v>294</v>
      </c>
      <c r="AA329" s="14">
        <v>239</v>
      </c>
      <c r="AD329" s="14">
        <v>47</v>
      </c>
      <c r="AG329" s="14">
        <v>838</v>
      </c>
      <c r="AK329" s="14">
        <v>334</v>
      </c>
      <c r="AM329" s="14">
        <v>350</v>
      </c>
      <c r="AO329" s="14">
        <v>175</v>
      </c>
      <c r="AR329" s="14">
        <v>170</v>
      </c>
    </row>
    <row r="330" spans="9:44" x14ac:dyDescent="0.25">
      <c r="I330" s="14">
        <v>473</v>
      </c>
      <c r="R330" s="14">
        <v>66</v>
      </c>
      <c r="AA330" s="14">
        <v>49</v>
      </c>
      <c r="AD330" s="14">
        <v>36</v>
      </c>
      <c r="AG330" s="14">
        <v>521</v>
      </c>
      <c r="AK330" s="14">
        <v>124</v>
      </c>
      <c r="AM330" s="14">
        <v>108</v>
      </c>
      <c r="AO330" s="14">
        <v>231</v>
      </c>
      <c r="AR330" s="14">
        <v>150</v>
      </c>
    </row>
    <row r="331" spans="9:44" x14ac:dyDescent="0.25">
      <c r="I331" s="14">
        <v>367</v>
      </c>
      <c r="R331" s="14">
        <v>134</v>
      </c>
      <c r="AA331" s="14">
        <v>156</v>
      </c>
      <c r="AD331" s="14">
        <v>389</v>
      </c>
      <c r="AG331" s="14">
        <v>662</v>
      </c>
      <c r="AK331" s="14">
        <v>191</v>
      </c>
      <c r="AM331" s="14">
        <v>265</v>
      </c>
      <c r="AO331" s="14">
        <v>161</v>
      </c>
      <c r="AR331" s="14">
        <v>186</v>
      </c>
    </row>
    <row r="332" spans="9:44" x14ac:dyDescent="0.25">
      <c r="I332" s="14">
        <v>308</v>
      </c>
      <c r="R332" s="14">
        <v>558</v>
      </c>
      <c r="AA332" s="14">
        <v>59</v>
      </c>
      <c r="AD332" s="14">
        <v>506</v>
      </c>
      <c r="AG332" s="14">
        <v>949</v>
      </c>
      <c r="AK332" s="14">
        <v>123</v>
      </c>
      <c r="AM332" s="14">
        <v>232</v>
      </c>
      <c r="AO332" s="14">
        <v>143</v>
      </c>
      <c r="AR332" s="14">
        <v>97</v>
      </c>
    </row>
    <row r="333" spans="9:44" x14ac:dyDescent="0.25">
      <c r="I333" s="14">
        <v>270</v>
      </c>
      <c r="R333" s="14">
        <v>199</v>
      </c>
      <c r="AA333" s="14">
        <v>84</v>
      </c>
      <c r="AD333" s="14">
        <v>273</v>
      </c>
      <c r="AG333" s="14">
        <v>92</v>
      </c>
      <c r="AK333" s="14">
        <v>31</v>
      </c>
      <c r="AM333" s="14">
        <v>316</v>
      </c>
      <c r="AO333" s="14">
        <v>238</v>
      </c>
      <c r="AR333" s="14">
        <v>56</v>
      </c>
    </row>
    <row r="334" spans="9:44" x14ac:dyDescent="0.25">
      <c r="I334" s="14">
        <v>258</v>
      </c>
      <c r="R334" s="14">
        <v>121</v>
      </c>
      <c r="AA334" s="14">
        <v>166</v>
      </c>
      <c r="AD334" s="14">
        <v>320</v>
      </c>
      <c r="AG334" s="14">
        <v>967</v>
      </c>
      <c r="AK334" s="14">
        <v>238</v>
      </c>
      <c r="AM334" s="14">
        <v>56</v>
      </c>
      <c r="AO334" s="14">
        <v>134</v>
      </c>
      <c r="AR334" s="14">
        <v>213</v>
      </c>
    </row>
    <row r="335" spans="9:44" x14ac:dyDescent="0.25">
      <c r="I335" s="14">
        <v>269</v>
      </c>
      <c r="R335" s="14">
        <v>35</v>
      </c>
      <c r="AA335" s="14">
        <v>64</v>
      </c>
      <c r="AD335" s="14">
        <v>26</v>
      </c>
      <c r="AG335" s="14">
        <v>724</v>
      </c>
      <c r="AK335" s="14">
        <v>603</v>
      </c>
      <c r="AM335" s="14">
        <v>115</v>
      </c>
      <c r="AO335" s="14">
        <v>288</v>
      </c>
      <c r="AR335" s="14">
        <v>83</v>
      </c>
    </row>
    <row r="336" spans="9:44" x14ac:dyDescent="0.25">
      <c r="I336" s="14">
        <v>317</v>
      </c>
      <c r="R336" s="14">
        <v>182</v>
      </c>
      <c r="AA336" s="14">
        <v>278</v>
      </c>
      <c r="AD336" s="14">
        <v>44</v>
      </c>
      <c r="AG336" s="14">
        <v>463</v>
      </c>
      <c r="AK336" s="14">
        <v>3</v>
      </c>
      <c r="AM336" s="14">
        <v>124</v>
      </c>
      <c r="AO336" s="14">
        <v>79</v>
      </c>
      <c r="AR336" s="14">
        <v>136</v>
      </c>
    </row>
    <row r="337" spans="9:44" x14ac:dyDescent="0.25">
      <c r="I337" s="14">
        <v>354</v>
      </c>
      <c r="R337" s="14">
        <v>168</v>
      </c>
      <c r="AA337" s="14">
        <v>300</v>
      </c>
      <c r="AD337" s="14">
        <v>143</v>
      </c>
      <c r="AG337" s="14">
        <v>444</v>
      </c>
      <c r="AK337" s="14">
        <v>41</v>
      </c>
      <c r="AM337" s="14">
        <v>52</v>
      </c>
      <c r="AO337" s="14">
        <v>110</v>
      </c>
      <c r="AR337" s="14">
        <v>156</v>
      </c>
    </row>
    <row r="338" spans="9:44" x14ac:dyDescent="0.25">
      <c r="I338" s="14">
        <v>442</v>
      </c>
      <c r="R338" s="14">
        <v>630</v>
      </c>
      <c r="AA338" s="14">
        <v>12</v>
      </c>
      <c r="AD338" s="14">
        <v>173</v>
      </c>
      <c r="AG338" s="14">
        <v>319</v>
      </c>
      <c r="AK338" s="14">
        <v>433</v>
      </c>
      <c r="AM338" s="14">
        <v>556</v>
      </c>
      <c r="AO338" s="14">
        <v>327</v>
      </c>
      <c r="AR338" s="14">
        <v>190</v>
      </c>
    </row>
    <row r="339" spans="9:44" x14ac:dyDescent="0.25">
      <c r="I339" s="14">
        <v>723</v>
      </c>
      <c r="AA339" s="14">
        <v>171</v>
      </c>
      <c r="AD339" s="14">
        <v>435</v>
      </c>
      <c r="AG339" s="14">
        <v>34</v>
      </c>
      <c r="AK339" s="14">
        <v>281</v>
      </c>
      <c r="AM339" s="14">
        <v>69</v>
      </c>
      <c r="AO339" s="14">
        <v>406</v>
      </c>
      <c r="AR339" s="14">
        <v>467</v>
      </c>
    </row>
    <row r="340" spans="9:44" x14ac:dyDescent="0.25">
      <c r="I340" s="14">
        <v>112</v>
      </c>
      <c r="AA340" s="14">
        <v>198</v>
      </c>
      <c r="AD340" s="14">
        <v>209</v>
      </c>
      <c r="AG340" s="14">
        <v>11</v>
      </c>
      <c r="AK340" s="14">
        <v>505</v>
      </c>
      <c r="AM340" s="14">
        <v>170</v>
      </c>
      <c r="AO340" s="14">
        <v>534</v>
      </c>
      <c r="AR340" s="14">
        <v>51</v>
      </c>
    </row>
    <row r="341" spans="9:44" x14ac:dyDescent="0.25">
      <c r="I341" s="14">
        <v>132</v>
      </c>
      <c r="AA341" s="14">
        <v>80</v>
      </c>
      <c r="AD341" s="14">
        <v>73</v>
      </c>
      <c r="AG341" s="14">
        <v>437</v>
      </c>
      <c r="AK341" s="14">
        <v>368</v>
      </c>
      <c r="AM341" s="14">
        <v>138</v>
      </c>
      <c r="AO341" s="14">
        <v>136</v>
      </c>
      <c r="AR341" s="14">
        <v>368</v>
      </c>
    </row>
    <row r="342" spans="9:44" x14ac:dyDescent="0.25">
      <c r="I342" s="14">
        <v>143</v>
      </c>
      <c r="AA342" s="14">
        <v>261</v>
      </c>
      <c r="AD342" s="14">
        <v>484</v>
      </c>
      <c r="AG342" s="14">
        <v>76</v>
      </c>
      <c r="AK342" s="14">
        <v>237</v>
      </c>
      <c r="AM342" s="14">
        <v>188</v>
      </c>
      <c r="AO342" s="14">
        <v>9</v>
      </c>
      <c r="AR342" s="14">
        <v>40</v>
      </c>
    </row>
    <row r="343" spans="9:44" x14ac:dyDescent="0.25">
      <c r="I343" s="14">
        <v>229</v>
      </c>
      <c r="AA343" s="14">
        <v>166</v>
      </c>
      <c r="AD343" s="14">
        <v>131</v>
      </c>
      <c r="AG343" s="14">
        <v>132</v>
      </c>
      <c r="AK343" s="14">
        <v>248</v>
      </c>
      <c r="AM343" s="14">
        <v>248</v>
      </c>
      <c r="AO343" s="14">
        <v>185</v>
      </c>
      <c r="AR343" s="14">
        <v>205</v>
      </c>
    </row>
    <row r="344" spans="9:44" x14ac:dyDescent="0.25">
      <c r="I344" s="14">
        <v>365</v>
      </c>
      <c r="AA344" s="14">
        <v>98</v>
      </c>
      <c r="AD344" s="14">
        <v>142</v>
      </c>
      <c r="AG344" s="14">
        <v>132</v>
      </c>
      <c r="AK344" s="14">
        <v>304</v>
      </c>
      <c r="AM344" s="14">
        <v>784</v>
      </c>
      <c r="AO344" s="14">
        <v>65</v>
      </c>
      <c r="AR344" s="14">
        <v>215</v>
      </c>
    </row>
    <row r="345" spans="9:44" x14ac:dyDescent="0.25">
      <c r="I345" s="14">
        <v>694</v>
      </c>
      <c r="AA345" s="14">
        <v>173</v>
      </c>
      <c r="AD345" s="14">
        <v>183</v>
      </c>
      <c r="AG345" s="14">
        <v>451</v>
      </c>
      <c r="AK345" s="14">
        <v>373</v>
      </c>
      <c r="AM345" s="14">
        <v>179</v>
      </c>
      <c r="AO345" s="14">
        <v>70</v>
      </c>
      <c r="AR345" s="14">
        <v>320</v>
      </c>
    </row>
    <row r="346" spans="9:44" x14ac:dyDescent="0.25">
      <c r="I346" s="14">
        <v>114</v>
      </c>
      <c r="AA346" s="14">
        <v>239</v>
      </c>
      <c r="AD346" s="14">
        <v>9</v>
      </c>
      <c r="AG346" s="14">
        <v>324</v>
      </c>
      <c r="AK346" s="14">
        <v>221</v>
      </c>
      <c r="AM346" s="14">
        <v>100</v>
      </c>
      <c r="AO346" s="14">
        <v>329</v>
      </c>
      <c r="AR346" s="14">
        <v>902</v>
      </c>
    </row>
    <row r="347" spans="9:44" x14ac:dyDescent="0.25">
      <c r="I347" s="14">
        <v>738</v>
      </c>
      <c r="AA347" s="14">
        <v>50</v>
      </c>
      <c r="AD347" s="14">
        <v>44</v>
      </c>
      <c r="AG347" s="14">
        <v>531</v>
      </c>
      <c r="AK347" s="14">
        <v>339</v>
      </c>
      <c r="AM347" s="14">
        <v>176</v>
      </c>
      <c r="AO347" s="14">
        <v>59</v>
      </c>
      <c r="AR347" s="14">
        <v>225</v>
      </c>
    </row>
    <row r="348" spans="9:44" x14ac:dyDescent="0.25">
      <c r="I348" s="14">
        <v>483</v>
      </c>
      <c r="AA348" s="14">
        <v>154</v>
      </c>
      <c r="AD348" s="14">
        <v>80</v>
      </c>
      <c r="AG348" s="14">
        <v>576</v>
      </c>
      <c r="AK348" s="14">
        <v>264</v>
      </c>
      <c r="AM348" s="14">
        <v>60</v>
      </c>
      <c r="AO348" s="14">
        <v>42</v>
      </c>
      <c r="AR348" s="14">
        <v>241</v>
      </c>
    </row>
    <row r="349" spans="9:44" x14ac:dyDescent="0.25">
      <c r="I349" s="14">
        <v>365</v>
      </c>
      <c r="AA349" s="14">
        <v>61</v>
      </c>
      <c r="AD349" s="14">
        <v>92</v>
      </c>
      <c r="AG349" s="14">
        <v>569</v>
      </c>
      <c r="AK349" s="14">
        <v>318</v>
      </c>
      <c r="AM349" s="14">
        <v>209</v>
      </c>
      <c r="AO349" s="14">
        <v>243</v>
      </c>
      <c r="AR349" s="14">
        <v>195</v>
      </c>
    </row>
    <row r="350" spans="9:44" x14ac:dyDescent="0.25">
      <c r="I350" s="14">
        <v>299</v>
      </c>
      <c r="AA350" s="14">
        <v>87</v>
      </c>
      <c r="AD350" s="14">
        <v>42</v>
      </c>
      <c r="AG350" s="14">
        <v>375</v>
      </c>
      <c r="AK350" s="14">
        <v>313</v>
      </c>
      <c r="AM350" s="14">
        <v>8</v>
      </c>
      <c r="AO350" s="14">
        <v>186</v>
      </c>
      <c r="AR350" s="14">
        <v>195</v>
      </c>
    </row>
    <row r="351" spans="9:44" x14ac:dyDescent="0.25">
      <c r="I351" s="14">
        <v>258</v>
      </c>
      <c r="AA351" s="14">
        <v>157</v>
      </c>
      <c r="AD351" s="14">
        <v>159</v>
      </c>
      <c r="AG351" s="14">
        <v>343</v>
      </c>
      <c r="AK351" s="14">
        <v>137</v>
      </c>
      <c r="AM351" s="14">
        <v>92</v>
      </c>
      <c r="AO351" s="14">
        <v>233</v>
      </c>
      <c r="AR351" s="14">
        <v>190</v>
      </c>
    </row>
    <row r="352" spans="9:44" x14ac:dyDescent="0.25">
      <c r="I352" s="14">
        <v>119</v>
      </c>
      <c r="AA352" s="14">
        <v>63</v>
      </c>
      <c r="AD352" s="14">
        <v>119</v>
      </c>
      <c r="AG352" s="14">
        <v>313</v>
      </c>
      <c r="AK352" s="14">
        <v>103</v>
      </c>
      <c r="AM352" s="14">
        <v>276</v>
      </c>
      <c r="AO352" s="14">
        <v>549</v>
      </c>
      <c r="AR352" s="14">
        <v>185</v>
      </c>
    </row>
    <row r="353" spans="9:44" x14ac:dyDescent="0.25">
      <c r="I353" s="14">
        <v>320</v>
      </c>
      <c r="AA353" s="14">
        <v>280</v>
      </c>
      <c r="AD353" s="14">
        <v>66</v>
      </c>
      <c r="AG353" s="14">
        <v>501</v>
      </c>
      <c r="AK353" s="14">
        <v>102</v>
      </c>
      <c r="AM353" s="14">
        <v>172</v>
      </c>
      <c r="AO353" s="14">
        <v>210</v>
      </c>
      <c r="AR353" s="14">
        <v>273</v>
      </c>
    </row>
    <row r="354" spans="9:44" x14ac:dyDescent="0.25">
      <c r="I354" s="14">
        <v>356</v>
      </c>
      <c r="AA354" s="14">
        <v>302</v>
      </c>
      <c r="AD354" s="14">
        <v>7</v>
      </c>
      <c r="AG354" s="14">
        <v>564</v>
      </c>
      <c r="AK354" s="14">
        <v>100</v>
      </c>
      <c r="AM354" s="14">
        <v>47</v>
      </c>
      <c r="AO354" s="14">
        <v>99</v>
      </c>
      <c r="AR354" s="14">
        <v>133</v>
      </c>
    </row>
    <row r="355" spans="9:44" x14ac:dyDescent="0.25">
      <c r="I355" s="14">
        <v>330</v>
      </c>
      <c r="AA355" s="14">
        <v>13</v>
      </c>
      <c r="AD355" s="14">
        <v>46</v>
      </c>
      <c r="AG355" s="14">
        <v>534</v>
      </c>
      <c r="AK355" s="14">
        <v>65</v>
      </c>
      <c r="AM355" s="14">
        <v>80</v>
      </c>
      <c r="AO355" s="14">
        <v>514</v>
      </c>
      <c r="AR355" s="14">
        <v>255</v>
      </c>
    </row>
    <row r="356" spans="9:44" x14ac:dyDescent="0.25">
      <c r="I356" s="14">
        <v>281</v>
      </c>
      <c r="AA356" s="14">
        <v>171</v>
      </c>
      <c r="AD356" s="14">
        <v>35</v>
      </c>
      <c r="AG356" s="14">
        <v>371</v>
      </c>
      <c r="AK356" s="14">
        <v>93</v>
      </c>
      <c r="AM356" s="14">
        <v>38</v>
      </c>
      <c r="AO356" s="14">
        <v>503</v>
      </c>
      <c r="AR356" s="14">
        <v>188</v>
      </c>
    </row>
    <row r="357" spans="9:44" x14ac:dyDescent="0.25">
      <c r="I357" s="14">
        <v>120</v>
      </c>
      <c r="AA357" s="14">
        <v>199</v>
      </c>
      <c r="AD357" s="14">
        <v>18</v>
      </c>
      <c r="AG357" s="14">
        <v>298</v>
      </c>
      <c r="AK357" s="14">
        <v>85</v>
      </c>
      <c r="AM357" s="14">
        <v>38</v>
      </c>
      <c r="AO357" s="14">
        <v>107</v>
      </c>
      <c r="AR357" s="14">
        <v>56</v>
      </c>
    </row>
    <row r="358" spans="9:44" x14ac:dyDescent="0.25">
      <c r="I358" s="14">
        <v>164</v>
      </c>
      <c r="AA358" s="14">
        <v>81</v>
      </c>
      <c r="AD358" s="14">
        <v>58</v>
      </c>
      <c r="AG358" s="14">
        <v>251</v>
      </c>
      <c r="AK358" s="14">
        <v>19</v>
      </c>
      <c r="AM358" s="14">
        <v>343</v>
      </c>
      <c r="AO358" s="14">
        <v>292</v>
      </c>
      <c r="AR358" s="14">
        <v>41</v>
      </c>
    </row>
    <row r="359" spans="9:44" x14ac:dyDescent="0.25">
      <c r="I359" s="14">
        <v>185</v>
      </c>
      <c r="AA359" s="14">
        <v>233</v>
      </c>
      <c r="AD359" s="14">
        <v>87</v>
      </c>
      <c r="AG359" s="14">
        <v>671</v>
      </c>
      <c r="AK359" s="14">
        <v>36</v>
      </c>
      <c r="AM359" s="14">
        <v>96</v>
      </c>
      <c r="AO359" s="14">
        <v>572</v>
      </c>
      <c r="AR359" s="14">
        <v>46</v>
      </c>
    </row>
    <row r="360" spans="9:44" x14ac:dyDescent="0.25">
      <c r="I360" s="14">
        <v>197</v>
      </c>
      <c r="AA360" s="14">
        <v>166</v>
      </c>
      <c r="AD360" s="14">
        <v>13</v>
      </c>
      <c r="AG360" s="14">
        <v>265</v>
      </c>
      <c r="AK360" s="14">
        <v>118</v>
      </c>
      <c r="AM360" s="14">
        <v>94</v>
      </c>
      <c r="AO360" s="14">
        <v>642</v>
      </c>
      <c r="AR360" s="14">
        <v>755</v>
      </c>
    </row>
    <row r="361" spans="9:44" x14ac:dyDescent="0.25">
      <c r="I361" s="14">
        <v>411</v>
      </c>
      <c r="AA361" s="14">
        <v>98</v>
      </c>
      <c r="AD361" s="14">
        <v>84</v>
      </c>
      <c r="AG361" s="14">
        <v>814</v>
      </c>
      <c r="AK361" s="14">
        <v>84</v>
      </c>
      <c r="AM361" s="14">
        <v>67</v>
      </c>
      <c r="AO361" s="14">
        <v>442</v>
      </c>
      <c r="AR361" s="14">
        <v>175</v>
      </c>
    </row>
    <row r="362" spans="9:44" x14ac:dyDescent="0.25">
      <c r="I362" s="14">
        <v>131</v>
      </c>
      <c r="AA362" s="14">
        <v>173</v>
      </c>
      <c r="AD362" s="14">
        <v>188</v>
      </c>
      <c r="AG362" s="14">
        <v>441</v>
      </c>
      <c r="AK362" s="14">
        <v>65</v>
      </c>
      <c r="AM362" s="14">
        <v>347</v>
      </c>
      <c r="AO362" s="14">
        <v>269</v>
      </c>
      <c r="AR362" s="14">
        <v>184</v>
      </c>
    </row>
    <row r="363" spans="9:44" x14ac:dyDescent="0.25">
      <c r="I363" s="14">
        <v>235</v>
      </c>
      <c r="AA363" s="14">
        <v>239</v>
      </c>
      <c r="AD363" s="14">
        <v>172</v>
      </c>
      <c r="AG363" s="14">
        <v>939</v>
      </c>
      <c r="AK363" s="14">
        <v>95</v>
      </c>
      <c r="AM363" s="14">
        <v>766</v>
      </c>
      <c r="AO363" s="14">
        <v>243</v>
      </c>
      <c r="AR363" s="14">
        <v>340</v>
      </c>
    </row>
    <row r="364" spans="9:44" x14ac:dyDescent="0.25">
      <c r="I364" s="14">
        <v>37</v>
      </c>
      <c r="AA364" s="14">
        <v>50</v>
      </c>
      <c r="AD364" s="14">
        <v>158</v>
      </c>
      <c r="AG364" s="14">
        <v>704</v>
      </c>
      <c r="AK364" s="14">
        <v>56</v>
      </c>
      <c r="AM364" s="14">
        <v>335</v>
      </c>
      <c r="AO364" s="14">
        <v>128</v>
      </c>
      <c r="AR364" s="14">
        <v>169</v>
      </c>
    </row>
    <row r="365" spans="9:44" x14ac:dyDescent="0.25">
      <c r="I365" s="14">
        <v>644</v>
      </c>
      <c r="AA365" s="14">
        <v>154</v>
      </c>
      <c r="AD365" s="14">
        <v>37</v>
      </c>
      <c r="AG365" s="14">
        <v>676</v>
      </c>
      <c r="AK365" s="14">
        <v>126</v>
      </c>
      <c r="AM365" s="14">
        <v>265</v>
      </c>
      <c r="AO365" s="14">
        <v>583</v>
      </c>
      <c r="AR365" s="14">
        <v>287</v>
      </c>
    </row>
    <row r="366" spans="9:44" x14ac:dyDescent="0.25">
      <c r="I366" s="14">
        <v>789</v>
      </c>
      <c r="AA366" s="14">
        <v>61</v>
      </c>
      <c r="AD366" s="14">
        <v>181</v>
      </c>
      <c r="AG366" s="14">
        <v>584</v>
      </c>
      <c r="AK366" s="14">
        <v>135</v>
      </c>
      <c r="AM366" s="14">
        <v>319</v>
      </c>
      <c r="AO366" s="14">
        <v>99</v>
      </c>
      <c r="AR366" s="14">
        <v>268</v>
      </c>
    </row>
    <row r="367" spans="9:44" x14ac:dyDescent="0.25">
      <c r="I367" s="14">
        <v>456</v>
      </c>
      <c r="AA367" s="14">
        <v>85</v>
      </c>
      <c r="AD367" s="14">
        <v>46</v>
      </c>
      <c r="AG367" s="14">
        <v>281</v>
      </c>
      <c r="AK367" s="14">
        <v>68</v>
      </c>
      <c r="AM367" s="14">
        <v>52</v>
      </c>
      <c r="AO367" s="14">
        <v>64</v>
      </c>
      <c r="AR367" s="14">
        <v>478</v>
      </c>
    </row>
    <row r="368" spans="9:44" x14ac:dyDescent="0.25">
      <c r="I368" s="14">
        <v>114</v>
      </c>
      <c r="AA368" s="14">
        <v>158</v>
      </c>
      <c r="AD368" s="14">
        <v>402</v>
      </c>
      <c r="AG368" s="14">
        <v>638</v>
      </c>
      <c r="AK368" s="14">
        <v>13</v>
      </c>
      <c r="AM368" s="14">
        <v>104</v>
      </c>
      <c r="AO368" s="14">
        <v>76</v>
      </c>
      <c r="AR368" s="14">
        <v>307</v>
      </c>
    </row>
    <row r="369" spans="9:44" x14ac:dyDescent="0.25">
      <c r="I369" s="14">
        <v>211</v>
      </c>
      <c r="AD369" s="14">
        <v>422</v>
      </c>
      <c r="AG369" s="14">
        <v>204</v>
      </c>
      <c r="AK369" s="14">
        <v>198</v>
      </c>
      <c r="AM369" s="14">
        <v>92</v>
      </c>
      <c r="AO369" s="14">
        <v>101</v>
      </c>
      <c r="AR369" s="14">
        <v>428</v>
      </c>
    </row>
    <row r="370" spans="9:44" x14ac:dyDescent="0.25">
      <c r="I370" s="14">
        <v>37</v>
      </c>
      <c r="AD370" s="14">
        <v>492</v>
      </c>
      <c r="AG370" s="14">
        <v>132</v>
      </c>
      <c r="AK370" s="14">
        <v>82</v>
      </c>
      <c r="AM370" s="14">
        <v>283</v>
      </c>
      <c r="AO370" s="14">
        <v>117</v>
      </c>
      <c r="AR370" s="14">
        <v>233</v>
      </c>
    </row>
    <row r="371" spans="9:44" x14ac:dyDescent="0.25">
      <c r="I371" s="14">
        <v>595</v>
      </c>
      <c r="AD371" s="14">
        <v>135</v>
      </c>
      <c r="AG371" s="14">
        <v>794</v>
      </c>
      <c r="AK371" s="14">
        <v>32</v>
      </c>
      <c r="AM371" s="14">
        <v>503</v>
      </c>
      <c r="AO371" s="14">
        <v>96</v>
      </c>
      <c r="AR371" s="14">
        <v>213</v>
      </c>
    </row>
    <row r="372" spans="9:44" x14ac:dyDescent="0.25">
      <c r="I372" s="14">
        <v>769</v>
      </c>
      <c r="AD372" s="14">
        <v>172</v>
      </c>
      <c r="AG372" s="14">
        <v>172</v>
      </c>
      <c r="AK372" s="14">
        <v>199</v>
      </c>
      <c r="AM372" s="14">
        <v>66</v>
      </c>
      <c r="AO372" s="14">
        <v>194</v>
      </c>
      <c r="AR372" s="14">
        <v>188</v>
      </c>
    </row>
    <row r="373" spans="9:44" x14ac:dyDescent="0.25">
      <c r="I373" s="14">
        <v>231</v>
      </c>
      <c r="AD373" s="14">
        <v>165</v>
      </c>
      <c r="AG373" s="14">
        <v>104</v>
      </c>
      <c r="AK373" s="14">
        <v>9</v>
      </c>
      <c r="AM373" s="14">
        <v>142</v>
      </c>
      <c r="AO373" s="14">
        <v>162</v>
      </c>
      <c r="AR373" s="14">
        <v>209</v>
      </c>
    </row>
    <row r="374" spans="9:44" x14ac:dyDescent="0.25">
      <c r="I374" s="14">
        <v>142</v>
      </c>
      <c r="AD374" s="14">
        <v>107</v>
      </c>
      <c r="AG374" s="14">
        <v>173</v>
      </c>
      <c r="AK374" s="14">
        <v>153</v>
      </c>
      <c r="AM374" s="14">
        <v>148</v>
      </c>
      <c r="AO374" s="14">
        <v>64</v>
      </c>
      <c r="AR374" s="14">
        <v>198</v>
      </c>
    </row>
    <row r="375" spans="9:44" x14ac:dyDescent="0.25">
      <c r="I375" s="14">
        <v>214</v>
      </c>
      <c r="AD375" s="14">
        <v>113</v>
      </c>
      <c r="AG375" s="14">
        <v>891</v>
      </c>
      <c r="AK375" s="14">
        <v>33</v>
      </c>
      <c r="AM375" s="14">
        <v>196</v>
      </c>
      <c r="AO375" s="14">
        <v>97</v>
      </c>
      <c r="AR375" s="14">
        <v>297</v>
      </c>
    </row>
    <row r="376" spans="9:44" x14ac:dyDescent="0.25">
      <c r="I376" s="14">
        <v>195</v>
      </c>
      <c r="AD376" s="14">
        <v>172</v>
      </c>
      <c r="AG376" s="14">
        <v>628</v>
      </c>
      <c r="AK376" s="14">
        <v>114</v>
      </c>
      <c r="AM376" s="14">
        <v>259</v>
      </c>
      <c r="AO376" s="14">
        <v>237</v>
      </c>
      <c r="AR376" s="14">
        <v>85</v>
      </c>
    </row>
    <row r="377" spans="9:44" x14ac:dyDescent="0.25">
      <c r="I377" s="14">
        <v>130</v>
      </c>
      <c r="AD377" s="14">
        <v>49</v>
      </c>
      <c r="AG377" s="14">
        <v>200</v>
      </c>
      <c r="AK377" s="14">
        <v>66</v>
      </c>
      <c r="AM377" s="14">
        <v>784</v>
      </c>
      <c r="AO377" s="14">
        <v>186</v>
      </c>
      <c r="AR377" s="14">
        <v>297</v>
      </c>
    </row>
    <row r="378" spans="9:44" x14ac:dyDescent="0.25">
      <c r="I378" s="14">
        <v>303</v>
      </c>
      <c r="AD378" s="14">
        <v>75</v>
      </c>
      <c r="AG378" s="14">
        <v>117</v>
      </c>
      <c r="AK378" s="14">
        <v>52</v>
      </c>
      <c r="AM378" s="14">
        <v>134</v>
      </c>
      <c r="AO378" s="14">
        <v>173</v>
      </c>
      <c r="AR378" s="14">
        <v>194</v>
      </c>
    </row>
    <row r="379" spans="9:44" x14ac:dyDescent="0.25">
      <c r="I379" s="14">
        <v>292</v>
      </c>
      <c r="AD379" s="14">
        <v>222</v>
      </c>
      <c r="AG379" s="14">
        <v>841</v>
      </c>
      <c r="AK379" s="14">
        <v>9</v>
      </c>
      <c r="AM379" s="14">
        <v>121</v>
      </c>
      <c r="AO379" s="14">
        <v>127</v>
      </c>
      <c r="AR379" s="14">
        <v>101</v>
      </c>
    </row>
    <row r="380" spans="9:44" x14ac:dyDescent="0.25">
      <c r="I380" s="14">
        <v>328</v>
      </c>
      <c r="AD380" s="14">
        <v>883</v>
      </c>
      <c r="AG380" s="14">
        <v>147</v>
      </c>
      <c r="AK380" s="14">
        <v>302</v>
      </c>
      <c r="AM380" s="14">
        <v>139</v>
      </c>
      <c r="AO380" s="14">
        <v>196</v>
      </c>
      <c r="AR380" s="14">
        <v>20</v>
      </c>
    </row>
    <row r="381" spans="9:44" x14ac:dyDescent="0.25">
      <c r="I381" s="14">
        <v>237</v>
      </c>
      <c r="AD381" s="14">
        <v>899</v>
      </c>
      <c r="AG381" s="14">
        <v>972</v>
      </c>
      <c r="AK381" s="14">
        <v>122</v>
      </c>
      <c r="AM381" s="14">
        <v>53</v>
      </c>
      <c r="AO381" s="14">
        <v>241</v>
      </c>
      <c r="AR381" s="14">
        <v>72</v>
      </c>
    </row>
    <row r="382" spans="9:44" x14ac:dyDescent="0.25">
      <c r="I382" s="14">
        <v>187</v>
      </c>
      <c r="AD382" s="14">
        <v>711</v>
      </c>
      <c r="AG382" s="14">
        <v>155</v>
      </c>
      <c r="AK382" s="14">
        <v>274</v>
      </c>
      <c r="AM382" s="14">
        <v>260</v>
      </c>
      <c r="AO382" s="14">
        <v>59</v>
      </c>
      <c r="AR382" s="14">
        <v>1022</v>
      </c>
    </row>
    <row r="383" spans="9:44" x14ac:dyDescent="0.25">
      <c r="I383" s="14">
        <v>148</v>
      </c>
      <c r="AD383" s="14">
        <v>585</v>
      </c>
      <c r="AG383" s="14">
        <v>468</v>
      </c>
      <c r="AK383" s="14">
        <v>178</v>
      </c>
      <c r="AM383" s="14">
        <v>8</v>
      </c>
      <c r="AO383" s="14">
        <v>217</v>
      </c>
      <c r="AR383" s="14">
        <v>158</v>
      </c>
    </row>
    <row r="384" spans="9:44" x14ac:dyDescent="0.25">
      <c r="I384" s="14">
        <v>290</v>
      </c>
      <c r="AD384" s="14">
        <v>358</v>
      </c>
      <c r="AG384" s="14">
        <v>213</v>
      </c>
      <c r="AK384" s="14">
        <v>259</v>
      </c>
      <c r="AM384" s="14">
        <v>67</v>
      </c>
      <c r="AO384" s="14">
        <v>55</v>
      </c>
      <c r="AR384" s="14">
        <v>244</v>
      </c>
    </row>
    <row r="385" spans="9:44" x14ac:dyDescent="0.25">
      <c r="I385" s="14">
        <v>361</v>
      </c>
      <c r="AD385" s="14">
        <v>72</v>
      </c>
      <c r="AG385" s="14">
        <v>724</v>
      </c>
      <c r="AK385" s="14">
        <v>281</v>
      </c>
      <c r="AM385" s="14">
        <v>313</v>
      </c>
      <c r="AO385" s="14">
        <v>315</v>
      </c>
      <c r="AR385" s="14">
        <v>19</v>
      </c>
    </row>
    <row r="386" spans="9:44" x14ac:dyDescent="0.25">
      <c r="I386" s="14">
        <v>108</v>
      </c>
      <c r="AD386" s="14">
        <v>254</v>
      </c>
      <c r="AG386" s="14">
        <v>486</v>
      </c>
      <c r="AK386" s="14">
        <v>202</v>
      </c>
      <c r="AM386" s="14">
        <v>171</v>
      </c>
      <c r="AO386" s="14">
        <v>659</v>
      </c>
      <c r="AR386" s="14">
        <v>54</v>
      </c>
    </row>
    <row r="387" spans="9:44" x14ac:dyDescent="0.25">
      <c r="I387" s="14">
        <v>448</v>
      </c>
      <c r="AD387" s="14">
        <v>205</v>
      </c>
      <c r="AG387" s="14">
        <v>261</v>
      </c>
      <c r="AK387" s="14">
        <v>3</v>
      </c>
      <c r="AM387" s="14">
        <v>14</v>
      </c>
      <c r="AO387" s="14">
        <v>401</v>
      </c>
      <c r="AR387" s="14">
        <v>75</v>
      </c>
    </row>
    <row r="388" spans="9:44" x14ac:dyDescent="0.25">
      <c r="AD388" s="14">
        <v>132</v>
      </c>
      <c r="AG388" s="14">
        <v>788</v>
      </c>
      <c r="AK388" s="14">
        <v>159</v>
      </c>
      <c r="AM388" s="14">
        <v>90</v>
      </c>
      <c r="AO388" s="14">
        <v>405</v>
      </c>
      <c r="AR388" s="14">
        <v>56</v>
      </c>
    </row>
    <row r="389" spans="9:44" x14ac:dyDescent="0.25">
      <c r="AD389" s="14">
        <v>34</v>
      </c>
      <c r="AG389" s="14">
        <v>406</v>
      </c>
      <c r="AK389" s="14">
        <v>355</v>
      </c>
      <c r="AM389" s="14">
        <v>49</v>
      </c>
      <c r="AO389" s="14">
        <v>339</v>
      </c>
      <c r="AR389" s="14">
        <v>45</v>
      </c>
    </row>
    <row r="390" spans="9:44" x14ac:dyDescent="0.25">
      <c r="AD390" s="14">
        <v>153</v>
      </c>
      <c r="AG390" s="14">
        <v>712</v>
      </c>
      <c r="AK390" s="14">
        <v>165</v>
      </c>
      <c r="AM390" s="14">
        <v>91</v>
      </c>
      <c r="AO390" s="14">
        <v>356</v>
      </c>
      <c r="AR390" s="14">
        <v>18</v>
      </c>
    </row>
    <row r="391" spans="9:44" x14ac:dyDescent="0.25">
      <c r="AD391" s="14">
        <v>99</v>
      </c>
      <c r="AG391" s="14">
        <v>120</v>
      </c>
      <c r="AK391" s="14">
        <v>179</v>
      </c>
      <c r="AM391" s="14">
        <v>552</v>
      </c>
      <c r="AO391" s="14">
        <v>226</v>
      </c>
      <c r="AR391" s="14">
        <v>202</v>
      </c>
    </row>
    <row r="392" spans="9:44" x14ac:dyDescent="0.25">
      <c r="AD392" s="14">
        <v>270</v>
      </c>
      <c r="AG392" s="14">
        <v>4</v>
      </c>
      <c r="AK392" s="14">
        <v>162</v>
      </c>
      <c r="AM392" s="14">
        <v>88</v>
      </c>
      <c r="AO392" s="14">
        <v>151</v>
      </c>
      <c r="AR392" s="14">
        <v>44</v>
      </c>
    </row>
    <row r="393" spans="9:44" x14ac:dyDescent="0.25">
      <c r="AD393" s="14">
        <v>183</v>
      </c>
      <c r="AG393" s="14">
        <v>502</v>
      </c>
      <c r="AK393" s="14">
        <v>333</v>
      </c>
      <c r="AM393" s="14">
        <v>37</v>
      </c>
      <c r="AO393" s="14">
        <v>136</v>
      </c>
      <c r="AR393" s="14">
        <v>206</v>
      </c>
    </row>
    <row r="394" spans="9:44" x14ac:dyDescent="0.25">
      <c r="AD394" s="14">
        <v>135</v>
      </c>
      <c r="AG394" s="14">
        <v>25</v>
      </c>
      <c r="AK394" s="14">
        <v>152</v>
      </c>
      <c r="AM394" s="14">
        <v>68</v>
      </c>
      <c r="AO394" s="14">
        <v>634</v>
      </c>
      <c r="AR394" s="14">
        <v>194</v>
      </c>
    </row>
    <row r="395" spans="9:44" x14ac:dyDescent="0.25">
      <c r="AD395" s="14">
        <v>480</v>
      </c>
      <c r="AG395" s="14">
        <v>31</v>
      </c>
      <c r="AK395" s="14">
        <v>251</v>
      </c>
      <c r="AM395" s="14">
        <v>122</v>
      </c>
      <c r="AO395" s="14">
        <v>296</v>
      </c>
      <c r="AR395" s="14">
        <v>201</v>
      </c>
    </row>
    <row r="396" spans="9:44" x14ac:dyDescent="0.25">
      <c r="AD396" s="14">
        <v>709</v>
      </c>
      <c r="AG396" s="14">
        <v>811</v>
      </c>
      <c r="AK396" s="14">
        <v>282</v>
      </c>
      <c r="AM396" s="14">
        <v>860</v>
      </c>
      <c r="AO396" s="14">
        <v>22</v>
      </c>
      <c r="AR396" s="14">
        <v>193</v>
      </c>
    </row>
    <row r="397" spans="9:44" x14ac:dyDescent="0.25">
      <c r="AD397" s="14">
        <v>556</v>
      </c>
      <c r="AG397" s="14">
        <v>154</v>
      </c>
      <c r="AK397" s="14">
        <v>264</v>
      </c>
      <c r="AM397" s="14">
        <v>222</v>
      </c>
      <c r="AO397" s="14">
        <v>48</v>
      </c>
      <c r="AR397" s="14">
        <v>286</v>
      </c>
    </row>
    <row r="398" spans="9:44" x14ac:dyDescent="0.25">
      <c r="AD398" s="14">
        <v>379</v>
      </c>
      <c r="AG398" s="14">
        <v>578</v>
      </c>
      <c r="AK398" s="14">
        <v>217</v>
      </c>
      <c r="AM398" s="14">
        <v>289</v>
      </c>
      <c r="AO398" s="14">
        <v>14</v>
      </c>
      <c r="AR398" s="14">
        <v>120</v>
      </c>
    </row>
    <row r="399" spans="9:44" x14ac:dyDescent="0.25">
      <c r="AD399" s="14">
        <v>131</v>
      </c>
      <c r="AG399" s="14">
        <v>250</v>
      </c>
      <c r="AK399" s="14">
        <v>302</v>
      </c>
      <c r="AM399" s="14">
        <v>94</v>
      </c>
      <c r="AO399" s="14">
        <v>224</v>
      </c>
      <c r="AR399" s="14">
        <v>288</v>
      </c>
    </row>
    <row r="400" spans="9:44" x14ac:dyDescent="0.25">
      <c r="AD400" s="14">
        <v>20</v>
      </c>
      <c r="AG400" s="14">
        <v>5</v>
      </c>
      <c r="AK400" s="14">
        <v>262</v>
      </c>
      <c r="AM400" s="14">
        <v>230</v>
      </c>
      <c r="AO400" s="14">
        <v>286</v>
      </c>
      <c r="AR400" s="14">
        <v>191</v>
      </c>
    </row>
    <row r="401" spans="30:44" x14ac:dyDescent="0.25">
      <c r="AD401" s="14">
        <v>39</v>
      </c>
      <c r="AG401" s="14">
        <v>133</v>
      </c>
      <c r="AK401" s="14">
        <v>181</v>
      </c>
      <c r="AM401" s="14">
        <v>217</v>
      </c>
      <c r="AO401" s="14">
        <v>109</v>
      </c>
      <c r="AR401" s="14">
        <v>88</v>
      </c>
    </row>
    <row r="402" spans="30:44" x14ac:dyDescent="0.25">
      <c r="AD402" s="14">
        <v>101</v>
      </c>
      <c r="AG402" s="14">
        <v>39</v>
      </c>
      <c r="AK402" s="14">
        <v>4</v>
      </c>
      <c r="AM402" s="14">
        <v>197</v>
      </c>
      <c r="AO402" s="14">
        <v>259</v>
      </c>
      <c r="AR402" s="14">
        <v>33</v>
      </c>
    </row>
    <row r="403" spans="30:44" x14ac:dyDescent="0.25">
      <c r="AD403" s="14">
        <v>153</v>
      </c>
      <c r="AG403" s="14">
        <v>102</v>
      </c>
      <c r="AK403" s="14">
        <v>31</v>
      </c>
      <c r="AM403" s="14">
        <v>204</v>
      </c>
      <c r="AO403" s="14">
        <v>57</v>
      </c>
      <c r="AR403" s="14">
        <v>66</v>
      </c>
    </row>
    <row r="404" spans="30:44" x14ac:dyDescent="0.25">
      <c r="AD404" s="14">
        <v>255</v>
      </c>
      <c r="AG404" s="14">
        <v>554</v>
      </c>
      <c r="AK404" s="14">
        <v>4</v>
      </c>
      <c r="AM404" s="14">
        <v>263</v>
      </c>
      <c r="AO404" s="14">
        <v>138</v>
      </c>
      <c r="AR404" s="14">
        <v>907</v>
      </c>
    </row>
    <row r="405" spans="30:44" x14ac:dyDescent="0.25">
      <c r="AD405" s="14">
        <v>92</v>
      </c>
      <c r="AG405" s="14">
        <v>175</v>
      </c>
      <c r="AK405" s="14">
        <v>59</v>
      </c>
      <c r="AM405" s="14">
        <v>69</v>
      </c>
      <c r="AO405" s="14">
        <v>332</v>
      </c>
      <c r="AR405" s="14">
        <v>162</v>
      </c>
    </row>
    <row r="406" spans="30:44" x14ac:dyDescent="0.25">
      <c r="AD406" s="14">
        <v>179</v>
      </c>
      <c r="AG406" s="14">
        <v>115</v>
      </c>
      <c r="AK406" s="14">
        <v>91</v>
      </c>
      <c r="AM406" s="14">
        <v>117</v>
      </c>
      <c r="AO406" s="14">
        <v>127</v>
      </c>
      <c r="AR406" s="14">
        <v>231</v>
      </c>
    </row>
    <row r="407" spans="30:44" x14ac:dyDescent="0.25">
      <c r="AD407" s="14">
        <v>101</v>
      </c>
      <c r="AG407" s="14">
        <v>344</v>
      </c>
      <c r="AK407" s="14">
        <v>48</v>
      </c>
      <c r="AM407" s="14">
        <v>73</v>
      </c>
      <c r="AO407" s="14">
        <v>148</v>
      </c>
      <c r="AR407" s="14">
        <v>424</v>
      </c>
    </row>
    <row r="408" spans="30:44" x14ac:dyDescent="0.25">
      <c r="AD408" s="14">
        <v>79</v>
      </c>
      <c r="AG408" s="14">
        <v>45</v>
      </c>
      <c r="AK408" s="14">
        <v>119</v>
      </c>
      <c r="AM408" s="14">
        <v>160</v>
      </c>
      <c r="AO408" s="14">
        <v>123</v>
      </c>
      <c r="AR408" s="14">
        <v>137</v>
      </c>
    </row>
    <row r="409" spans="30:44" x14ac:dyDescent="0.25">
      <c r="AD409" s="14">
        <v>53</v>
      </c>
      <c r="AG409" s="14">
        <v>149</v>
      </c>
      <c r="AK409" s="14">
        <v>84</v>
      </c>
      <c r="AM409" s="14">
        <v>256</v>
      </c>
      <c r="AO409" s="14">
        <v>201</v>
      </c>
      <c r="AR409" s="14">
        <v>597</v>
      </c>
    </row>
    <row r="410" spans="30:44" x14ac:dyDescent="0.25">
      <c r="AD410" s="14">
        <v>723</v>
      </c>
      <c r="AG410" s="14">
        <v>125</v>
      </c>
      <c r="AK410" s="14">
        <v>356</v>
      </c>
      <c r="AM410" s="14">
        <v>33</v>
      </c>
      <c r="AO410" s="14">
        <v>269</v>
      </c>
      <c r="AR410" s="14">
        <v>483</v>
      </c>
    </row>
    <row r="411" spans="30:44" x14ac:dyDescent="0.25">
      <c r="AD411" s="14">
        <v>46</v>
      </c>
      <c r="AG411" s="14">
        <v>56</v>
      </c>
      <c r="AK411" s="14">
        <v>159</v>
      </c>
      <c r="AM411" s="14">
        <v>298</v>
      </c>
      <c r="AO411" s="14">
        <v>396</v>
      </c>
      <c r="AR411" s="14">
        <v>764</v>
      </c>
    </row>
    <row r="412" spans="30:44" x14ac:dyDescent="0.25">
      <c r="AD412" s="14">
        <v>55</v>
      </c>
      <c r="AG412" s="14">
        <v>226</v>
      </c>
      <c r="AK412" s="14">
        <v>119</v>
      </c>
      <c r="AM412" s="14">
        <v>58</v>
      </c>
      <c r="AO412" s="14">
        <v>6</v>
      </c>
      <c r="AR412" s="14">
        <v>296</v>
      </c>
    </row>
    <row r="413" spans="30:44" x14ac:dyDescent="0.25">
      <c r="AD413" s="14">
        <v>171</v>
      </c>
      <c r="AG413" s="14">
        <v>82</v>
      </c>
      <c r="AK413" s="14">
        <v>1</v>
      </c>
      <c r="AM413" s="14">
        <v>233</v>
      </c>
      <c r="AO413" s="14">
        <v>267</v>
      </c>
      <c r="AR413" s="14">
        <v>42</v>
      </c>
    </row>
    <row r="414" spans="30:44" x14ac:dyDescent="0.25">
      <c r="AD414" s="14">
        <v>245</v>
      </c>
      <c r="AG414" s="14">
        <v>59</v>
      </c>
      <c r="AK414" s="14">
        <v>99</v>
      </c>
      <c r="AM414" s="14">
        <v>96</v>
      </c>
      <c r="AO414" s="14">
        <v>235</v>
      </c>
      <c r="AR414" s="14">
        <v>159</v>
      </c>
    </row>
    <row r="415" spans="30:44" x14ac:dyDescent="0.25">
      <c r="AD415" s="14">
        <v>41</v>
      </c>
      <c r="AG415" s="14">
        <v>99</v>
      </c>
      <c r="AK415" s="14">
        <v>153</v>
      </c>
      <c r="AM415" s="14">
        <v>70</v>
      </c>
      <c r="AO415" s="14">
        <v>43</v>
      </c>
      <c r="AR415" s="14">
        <v>332</v>
      </c>
    </row>
    <row r="416" spans="30:44" x14ac:dyDescent="0.25">
      <c r="AD416" s="14">
        <v>70</v>
      </c>
      <c r="AG416" s="14">
        <v>26</v>
      </c>
      <c r="AK416" s="14">
        <v>375</v>
      </c>
      <c r="AM416" s="14">
        <v>5</v>
      </c>
      <c r="AO416" s="14">
        <v>267</v>
      </c>
      <c r="AR416" s="14">
        <v>411</v>
      </c>
    </row>
    <row r="417" spans="30:44" x14ac:dyDescent="0.25">
      <c r="AD417" s="14">
        <v>29</v>
      </c>
      <c r="AG417" s="14">
        <v>303</v>
      </c>
      <c r="AK417" s="14">
        <v>148</v>
      </c>
      <c r="AM417" s="14">
        <v>82</v>
      </c>
      <c r="AO417" s="14">
        <v>74</v>
      </c>
      <c r="AR417" s="14">
        <v>317</v>
      </c>
    </row>
    <row r="418" spans="30:44" x14ac:dyDescent="0.25">
      <c r="AD418" s="14">
        <v>128</v>
      </c>
      <c r="AG418" s="14">
        <v>170</v>
      </c>
      <c r="AK418" s="14">
        <v>199</v>
      </c>
      <c r="AM418" s="14">
        <v>106</v>
      </c>
      <c r="AO418" s="14">
        <v>270</v>
      </c>
      <c r="AR418" s="14">
        <v>325</v>
      </c>
    </row>
    <row r="419" spans="30:44" x14ac:dyDescent="0.25">
      <c r="AD419" s="14">
        <v>201</v>
      </c>
      <c r="AG419" s="14">
        <v>179</v>
      </c>
      <c r="AK419" s="14">
        <v>111</v>
      </c>
      <c r="AM419" s="14">
        <v>56</v>
      </c>
      <c r="AO419" s="14">
        <v>316</v>
      </c>
      <c r="AR419" s="14">
        <v>342</v>
      </c>
    </row>
    <row r="420" spans="30:44" x14ac:dyDescent="0.25">
      <c r="AD420" s="14">
        <v>39</v>
      </c>
      <c r="AG420" s="14">
        <v>529</v>
      </c>
      <c r="AK420" s="14">
        <v>77</v>
      </c>
      <c r="AM420" s="14">
        <v>171</v>
      </c>
      <c r="AO420" s="14">
        <v>144</v>
      </c>
      <c r="AR420" s="14">
        <v>162</v>
      </c>
    </row>
    <row r="421" spans="30:44" x14ac:dyDescent="0.25">
      <c r="AD421" s="14">
        <v>259</v>
      </c>
      <c r="AG421" s="14">
        <v>291</v>
      </c>
      <c r="AK421" s="14">
        <v>56</v>
      </c>
      <c r="AM421" s="14">
        <v>64</v>
      </c>
      <c r="AO421" s="14">
        <v>33</v>
      </c>
      <c r="AR421" s="14">
        <v>242</v>
      </c>
    </row>
    <row r="422" spans="30:44" x14ac:dyDescent="0.25">
      <c r="AD422" s="14">
        <v>263</v>
      </c>
      <c r="AG422" s="14">
        <v>214</v>
      </c>
      <c r="AK422" s="14">
        <v>102</v>
      </c>
      <c r="AM422" s="14">
        <v>152</v>
      </c>
      <c r="AO422" s="14">
        <v>223</v>
      </c>
      <c r="AR422" s="14">
        <v>420</v>
      </c>
    </row>
    <row r="423" spans="30:44" x14ac:dyDescent="0.25">
      <c r="AD423" s="14">
        <v>227</v>
      </c>
      <c r="AG423" s="14">
        <v>264</v>
      </c>
      <c r="AK423" s="14">
        <v>21</v>
      </c>
      <c r="AM423" s="14">
        <v>162</v>
      </c>
      <c r="AO423" s="14">
        <v>1</v>
      </c>
      <c r="AR423" s="14">
        <v>38</v>
      </c>
    </row>
    <row r="424" spans="30:44" x14ac:dyDescent="0.25">
      <c r="AD424" s="14">
        <v>196</v>
      </c>
      <c r="AG424" s="14">
        <v>281</v>
      </c>
      <c r="AK424" s="14">
        <v>246</v>
      </c>
      <c r="AM424" s="14">
        <v>342</v>
      </c>
      <c r="AO424" s="14">
        <v>261</v>
      </c>
      <c r="AR424" s="14">
        <v>20</v>
      </c>
    </row>
    <row r="425" spans="30:44" x14ac:dyDescent="0.25">
      <c r="AD425" s="14">
        <v>133</v>
      </c>
      <c r="AG425" s="14">
        <v>786</v>
      </c>
      <c r="AK425" s="14">
        <v>78</v>
      </c>
      <c r="AM425" s="14">
        <v>144</v>
      </c>
      <c r="AO425" s="14">
        <v>111</v>
      </c>
      <c r="AR425" s="14">
        <v>41</v>
      </c>
    </row>
    <row r="426" spans="30:44" x14ac:dyDescent="0.25">
      <c r="AD426" s="14">
        <v>303</v>
      </c>
      <c r="AG426" s="14">
        <v>120</v>
      </c>
      <c r="AK426" s="14">
        <v>196</v>
      </c>
      <c r="AM426" s="14">
        <v>209</v>
      </c>
      <c r="AO426" s="14">
        <v>167</v>
      </c>
      <c r="AR426" s="14">
        <v>153</v>
      </c>
    </row>
    <row r="427" spans="30:44" x14ac:dyDescent="0.25">
      <c r="AD427" s="14">
        <v>276</v>
      </c>
      <c r="AG427" s="14">
        <v>643</v>
      </c>
      <c r="AK427" s="14">
        <v>36</v>
      </c>
      <c r="AM427" s="14">
        <v>65</v>
      </c>
      <c r="AO427" s="14">
        <v>178</v>
      </c>
      <c r="AR427" s="14">
        <v>423</v>
      </c>
    </row>
    <row r="428" spans="30:44" x14ac:dyDescent="0.25">
      <c r="AD428" s="14">
        <v>238</v>
      </c>
      <c r="AG428" s="14">
        <v>376</v>
      </c>
      <c r="AK428" s="14">
        <v>29</v>
      </c>
      <c r="AM428" s="14">
        <v>133</v>
      </c>
      <c r="AO428" s="14">
        <v>714</v>
      </c>
      <c r="AR428" s="14">
        <v>44</v>
      </c>
    </row>
    <row r="429" spans="30:44" x14ac:dyDescent="0.25">
      <c r="AD429" s="14">
        <v>143</v>
      </c>
      <c r="AG429" s="14">
        <v>121</v>
      </c>
      <c r="AK429" s="14">
        <v>199</v>
      </c>
      <c r="AM429" s="14">
        <v>284</v>
      </c>
      <c r="AO429" s="14">
        <v>182</v>
      </c>
      <c r="AR429" s="14">
        <v>36</v>
      </c>
    </row>
    <row r="430" spans="30:44" x14ac:dyDescent="0.25">
      <c r="AD430" s="14">
        <v>136</v>
      </c>
      <c r="AG430" s="14">
        <v>754</v>
      </c>
      <c r="AK430" s="14">
        <v>223</v>
      </c>
      <c r="AM430" s="14">
        <v>443</v>
      </c>
      <c r="AO430" s="14">
        <v>178</v>
      </c>
      <c r="AR430" s="14">
        <v>688</v>
      </c>
    </row>
    <row r="431" spans="30:44" x14ac:dyDescent="0.25">
      <c r="AD431" s="14">
        <v>115</v>
      </c>
      <c r="AG431" s="14">
        <v>43</v>
      </c>
      <c r="AK431" s="14">
        <v>156</v>
      </c>
      <c r="AM431" s="14">
        <v>185</v>
      </c>
      <c r="AO431" s="14">
        <v>173</v>
      </c>
      <c r="AR431" s="14">
        <v>283</v>
      </c>
    </row>
    <row r="432" spans="30:44" x14ac:dyDescent="0.25">
      <c r="AD432" s="14">
        <v>113</v>
      </c>
      <c r="AG432" s="14">
        <v>2</v>
      </c>
      <c r="AK432" s="14">
        <v>24</v>
      </c>
      <c r="AM432" s="14">
        <v>660</v>
      </c>
      <c r="AO432" s="14">
        <v>728</v>
      </c>
      <c r="AR432" s="14">
        <v>466</v>
      </c>
    </row>
    <row r="433" spans="30:44" x14ac:dyDescent="0.25">
      <c r="AD433" s="14">
        <v>774</v>
      </c>
      <c r="AG433" s="14">
        <v>728</v>
      </c>
      <c r="AK433" s="14">
        <v>143</v>
      </c>
      <c r="AM433" s="14">
        <v>524</v>
      </c>
      <c r="AO433" s="14">
        <v>397</v>
      </c>
      <c r="AR433" s="14">
        <v>624</v>
      </c>
    </row>
    <row r="434" spans="30:44" x14ac:dyDescent="0.25">
      <c r="AD434" s="14">
        <v>194</v>
      </c>
      <c r="AG434" s="14">
        <v>952</v>
      </c>
      <c r="AK434" s="14">
        <v>89</v>
      </c>
      <c r="AM434" s="14">
        <v>423</v>
      </c>
      <c r="AO434" s="14">
        <v>663</v>
      </c>
      <c r="AR434" s="14">
        <v>803</v>
      </c>
    </row>
    <row r="435" spans="30:44" x14ac:dyDescent="0.25">
      <c r="AD435" s="14">
        <v>178</v>
      </c>
      <c r="AG435" s="14">
        <v>102</v>
      </c>
      <c r="AK435" s="14">
        <v>119</v>
      </c>
      <c r="AM435" s="14">
        <v>322</v>
      </c>
      <c r="AO435" s="14">
        <v>233</v>
      </c>
      <c r="AR435" s="14">
        <v>764</v>
      </c>
    </row>
    <row r="436" spans="30:44" x14ac:dyDescent="0.25">
      <c r="AD436" s="14">
        <v>195</v>
      </c>
      <c r="AG436" s="14">
        <v>486</v>
      </c>
      <c r="AK436" s="14">
        <v>192</v>
      </c>
      <c r="AM436" s="14">
        <v>545</v>
      </c>
      <c r="AO436" s="14">
        <v>292</v>
      </c>
      <c r="AR436" s="14">
        <v>737</v>
      </c>
    </row>
    <row r="437" spans="30:44" x14ac:dyDescent="0.25">
      <c r="AD437" s="14">
        <v>124</v>
      </c>
      <c r="AG437" s="14">
        <v>891</v>
      </c>
      <c r="AK437" s="14">
        <v>668</v>
      </c>
      <c r="AM437" s="14">
        <v>376</v>
      </c>
      <c r="AO437" s="14">
        <v>116</v>
      </c>
      <c r="AR437" s="14">
        <v>894</v>
      </c>
    </row>
    <row r="438" spans="30:44" x14ac:dyDescent="0.25">
      <c r="AD438" s="14">
        <v>129</v>
      </c>
      <c r="AG438" s="14">
        <v>167</v>
      </c>
      <c r="AK438" s="14">
        <v>191</v>
      </c>
      <c r="AM438" s="14">
        <v>548</v>
      </c>
      <c r="AO438" s="14">
        <v>662</v>
      </c>
      <c r="AR438" s="14">
        <v>351</v>
      </c>
    </row>
    <row r="439" spans="30:44" x14ac:dyDescent="0.25">
      <c r="AD439" s="14">
        <v>111</v>
      </c>
      <c r="AG439" s="14">
        <v>164</v>
      </c>
      <c r="AK439" s="14">
        <v>40</v>
      </c>
      <c r="AM439" s="14">
        <v>643</v>
      </c>
      <c r="AO439" s="14">
        <v>413</v>
      </c>
      <c r="AR439" s="14">
        <v>391</v>
      </c>
    </row>
    <row r="440" spans="30:44" x14ac:dyDescent="0.25">
      <c r="AD440" s="14">
        <v>127</v>
      </c>
      <c r="AG440" s="14">
        <v>485</v>
      </c>
      <c r="AK440" s="14">
        <v>172</v>
      </c>
      <c r="AM440" s="14">
        <v>363</v>
      </c>
      <c r="AO440" s="14">
        <v>379</v>
      </c>
      <c r="AR440" s="14">
        <v>341</v>
      </c>
    </row>
    <row r="441" spans="30:44" x14ac:dyDescent="0.25">
      <c r="AD441" s="14">
        <v>955</v>
      </c>
      <c r="AG441" s="14">
        <v>519</v>
      </c>
      <c r="AK441" s="14">
        <v>43</v>
      </c>
      <c r="AM441" s="14">
        <v>224</v>
      </c>
      <c r="AO441" s="14">
        <v>190</v>
      </c>
      <c r="AR441" s="14">
        <v>339</v>
      </c>
    </row>
    <row r="442" spans="30:44" x14ac:dyDescent="0.25">
      <c r="AD442" s="14">
        <v>606</v>
      </c>
      <c r="AG442" s="14">
        <v>989</v>
      </c>
      <c r="AK442" s="14">
        <v>40</v>
      </c>
      <c r="AM442" s="14">
        <v>477</v>
      </c>
      <c r="AO442" s="14">
        <v>300</v>
      </c>
      <c r="AR442" s="14">
        <v>382</v>
      </c>
    </row>
    <row r="443" spans="30:44" x14ac:dyDescent="0.25">
      <c r="AD443" s="14">
        <v>191</v>
      </c>
      <c r="AG443" s="14">
        <v>476</v>
      </c>
      <c r="AK443" s="14">
        <v>21</v>
      </c>
      <c r="AM443" s="14">
        <v>398</v>
      </c>
      <c r="AO443" s="14">
        <v>156</v>
      </c>
      <c r="AR443" s="14">
        <v>168</v>
      </c>
    </row>
    <row r="444" spans="30:44" x14ac:dyDescent="0.25">
      <c r="AD444" s="14">
        <v>177</v>
      </c>
      <c r="AG444" s="14">
        <v>107</v>
      </c>
      <c r="AK444" s="14">
        <v>395</v>
      </c>
      <c r="AM444" s="14">
        <v>459</v>
      </c>
      <c r="AO444" s="14">
        <v>453</v>
      </c>
      <c r="AR444" s="14">
        <v>277</v>
      </c>
    </row>
    <row r="445" spans="30:44" x14ac:dyDescent="0.25">
      <c r="AD445" s="14">
        <v>230</v>
      </c>
      <c r="AG445" s="14">
        <v>369</v>
      </c>
      <c r="AK445" s="14">
        <v>77</v>
      </c>
      <c r="AM445" s="14">
        <v>633</v>
      </c>
      <c r="AO445" s="14">
        <v>828</v>
      </c>
      <c r="AR445" s="14">
        <v>395</v>
      </c>
    </row>
    <row r="446" spans="30:44" x14ac:dyDescent="0.25">
      <c r="AD446" s="14">
        <v>150</v>
      </c>
      <c r="AG446" s="14">
        <v>71</v>
      </c>
      <c r="AK446" s="14">
        <v>124</v>
      </c>
      <c r="AM446" s="14">
        <v>465</v>
      </c>
      <c r="AO446" s="14">
        <v>122</v>
      </c>
      <c r="AR446" s="14">
        <v>64</v>
      </c>
    </row>
    <row r="447" spans="30:44" x14ac:dyDescent="0.25">
      <c r="AD447" s="14">
        <v>766</v>
      </c>
      <c r="AG447" s="14">
        <v>130</v>
      </c>
      <c r="AK447" s="14">
        <v>40</v>
      </c>
      <c r="AM447" s="14">
        <v>317</v>
      </c>
      <c r="AO447" s="14">
        <v>824</v>
      </c>
      <c r="AR447" s="14">
        <v>7</v>
      </c>
    </row>
    <row r="448" spans="30:44" x14ac:dyDescent="0.25">
      <c r="AD448" s="14">
        <v>948</v>
      </c>
      <c r="AG448" s="14">
        <v>145</v>
      </c>
      <c r="AK448" s="14">
        <v>142</v>
      </c>
      <c r="AM448" s="14">
        <v>379</v>
      </c>
      <c r="AO448" s="14">
        <v>493</v>
      </c>
      <c r="AR448" s="14">
        <v>142</v>
      </c>
    </row>
    <row r="449" spans="30:44" x14ac:dyDescent="0.25">
      <c r="AD449" s="14">
        <v>107</v>
      </c>
      <c r="AG449" s="14">
        <v>275</v>
      </c>
      <c r="AK449" s="14">
        <v>183</v>
      </c>
      <c r="AM449" s="14">
        <v>214</v>
      </c>
      <c r="AO449" s="14">
        <v>631</v>
      </c>
      <c r="AR449" s="14">
        <v>296</v>
      </c>
    </row>
    <row r="450" spans="30:44" x14ac:dyDescent="0.25">
      <c r="AD450" s="14">
        <v>629</v>
      </c>
      <c r="AG450" s="14">
        <v>638</v>
      </c>
      <c r="AK450" s="14">
        <v>126</v>
      </c>
      <c r="AM450" s="14">
        <v>345</v>
      </c>
      <c r="AO450" s="14">
        <v>598</v>
      </c>
      <c r="AR450" s="14">
        <v>471</v>
      </c>
    </row>
    <row r="451" spans="30:44" x14ac:dyDescent="0.25">
      <c r="AD451" s="14">
        <v>107</v>
      </c>
      <c r="AG451" s="14">
        <v>204</v>
      </c>
      <c r="AK451" s="14">
        <v>95</v>
      </c>
      <c r="AM451" s="14">
        <v>491</v>
      </c>
      <c r="AO451" s="14">
        <v>701</v>
      </c>
      <c r="AR451" s="14">
        <v>33</v>
      </c>
    </row>
    <row r="452" spans="30:44" x14ac:dyDescent="0.25">
      <c r="AD452" s="14">
        <v>107</v>
      </c>
      <c r="AG452" s="14">
        <v>132</v>
      </c>
      <c r="AK452" s="14">
        <v>128</v>
      </c>
      <c r="AM452" s="14">
        <v>381</v>
      </c>
      <c r="AO452" s="14">
        <v>207</v>
      </c>
      <c r="AR452" s="14">
        <v>101</v>
      </c>
    </row>
    <row r="453" spans="30:44" x14ac:dyDescent="0.25">
      <c r="AD453" s="14">
        <v>886</v>
      </c>
      <c r="AG453" s="14">
        <v>794</v>
      </c>
      <c r="AK453" s="14">
        <v>162</v>
      </c>
      <c r="AM453" s="14">
        <v>368</v>
      </c>
      <c r="AO453" s="14">
        <v>901</v>
      </c>
      <c r="AR453" s="14">
        <v>25</v>
      </c>
    </row>
    <row r="454" spans="30:44" x14ac:dyDescent="0.25">
      <c r="AD454" s="14">
        <v>459</v>
      </c>
      <c r="AG454" s="14">
        <v>787</v>
      </c>
      <c r="AK454" s="14">
        <v>210</v>
      </c>
      <c r="AM454" s="14">
        <v>423</v>
      </c>
      <c r="AO454" s="14">
        <v>478</v>
      </c>
      <c r="AR454" s="14">
        <v>35</v>
      </c>
    </row>
    <row r="455" spans="30:44" x14ac:dyDescent="0.25">
      <c r="AD455" s="14">
        <v>258</v>
      </c>
      <c r="AG455" s="14">
        <v>225</v>
      </c>
      <c r="AK455" s="14">
        <v>77</v>
      </c>
      <c r="AM455" s="14">
        <v>488</v>
      </c>
      <c r="AO455" s="14">
        <v>930</v>
      </c>
      <c r="AR455" s="14">
        <v>488</v>
      </c>
    </row>
    <row r="456" spans="30:44" x14ac:dyDescent="0.25">
      <c r="AG456" s="14">
        <v>146</v>
      </c>
      <c r="AK456" s="14">
        <v>122</v>
      </c>
      <c r="AM456" s="14">
        <v>419</v>
      </c>
      <c r="AO456" s="14">
        <v>465</v>
      </c>
      <c r="AR456" s="14">
        <v>40</v>
      </c>
    </row>
    <row r="457" spans="30:44" x14ac:dyDescent="0.25">
      <c r="AG457" s="14">
        <v>305</v>
      </c>
      <c r="AK457" s="14">
        <v>329</v>
      </c>
      <c r="AM457" s="14">
        <v>454</v>
      </c>
      <c r="AO457" s="14">
        <v>450</v>
      </c>
      <c r="AR457" s="14">
        <v>344</v>
      </c>
    </row>
    <row r="458" spans="30:44" x14ac:dyDescent="0.25">
      <c r="AG458" s="14">
        <v>347</v>
      </c>
      <c r="AK458" s="14">
        <v>107</v>
      </c>
      <c r="AM458" s="14">
        <v>450</v>
      </c>
      <c r="AO458" s="14">
        <v>274</v>
      </c>
      <c r="AR458" s="14">
        <v>407</v>
      </c>
    </row>
    <row r="459" spans="30:44" x14ac:dyDescent="0.25">
      <c r="AG459" s="14">
        <v>614</v>
      </c>
      <c r="AK459" s="14">
        <v>118</v>
      </c>
      <c r="AM459" s="14">
        <v>344</v>
      </c>
      <c r="AO459" s="14">
        <v>674</v>
      </c>
      <c r="AR459" s="14">
        <v>333</v>
      </c>
    </row>
    <row r="460" spans="30:44" x14ac:dyDescent="0.25">
      <c r="AG460" s="14">
        <v>253</v>
      </c>
      <c r="AK460" s="14">
        <v>115</v>
      </c>
      <c r="AM460" s="14">
        <v>417</v>
      </c>
      <c r="AO460" s="14">
        <v>692</v>
      </c>
      <c r="AR460" s="14">
        <v>334</v>
      </c>
    </row>
    <row r="461" spans="30:44" x14ac:dyDescent="0.25">
      <c r="AG461" s="14">
        <v>119</v>
      </c>
      <c r="AK461" s="14">
        <v>66</v>
      </c>
      <c r="AM461" s="14">
        <v>391</v>
      </c>
      <c r="AO461" s="14">
        <v>209</v>
      </c>
      <c r="AR461" s="14">
        <v>364</v>
      </c>
    </row>
    <row r="462" spans="30:44" x14ac:dyDescent="0.25">
      <c r="AG462" s="14">
        <v>102</v>
      </c>
      <c r="AK462" s="14">
        <v>59</v>
      </c>
      <c r="AM462" s="14">
        <v>423</v>
      </c>
      <c r="AO462" s="14">
        <v>891</v>
      </c>
      <c r="AR462" s="14">
        <v>166</v>
      </c>
    </row>
    <row r="463" spans="30:44" x14ac:dyDescent="0.25">
      <c r="AG463" s="14">
        <v>91</v>
      </c>
      <c r="AK463" s="14">
        <v>41</v>
      </c>
      <c r="AM463" s="14">
        <v>695</v>
      </c>
      <c r="AO463" s="14">
        <v>605</v>
      </c>
      <c r="AR463" s="14">
        <v>271</v>
      </c>
    </row>
    <row r="464" spans="30:44" x14ac:dyDescent="0.25">
      <c r="AG464" s="14">
        <v>51</v>
      </c>
      <c r="AK464" s="14">
        <v>69</v>
      </c>
      <c r="AM464" s="14">
        <v>395</v>
      </c>
      <c r="AO464" s="14">
        <v>791</v>
      </c>
      <c r="AR464" s="14">
        <v>402</v>
      </c>
    </row>
    <row r="465" spans="33:44" x14ac:dyDescent="0.25">
      <c r="AG465" s="14">
        <v>847</v>
      </c>
      <c r="AK465" s="14">
        <v>88</v>
      </c>
      <c r="AM465" s="14">
        <v>399</v>
      </c>
      <c r="AO465" s="14">
        <v>150</v>
      </c>
      <c r="AR465" s="14">
        <v>26</v>
      </c>
    </row>
    <row r="466" spans="33:44" x14ac:dyDescent="0.25">
      <c r="AG466" s="14">
        <v>974</v>
      </c>
      <c r="AK466" s="14">
        <v>149</v>
      </c>
      <c r="AM466" s="14">
        <v>727</v>
      </c>
      <c r="AO466" s="14">
        <v>105</v>
      </c>
      <c r="AR466" s="14">
        <v>16</v>
      </c>
    </row>
    <row r="467" spans="33:44" x14ac:dyDescent="0.25">
      <c r="AG467" s="14">
        <v>842</v>
      </c>
      <c r="AK467" s="14">
        <v>119</v>
      </c>
      <c r="AM467" s="14">
        <v>337</v>
      </c>
      <c r="AO467" s="14">
        <v>58</v>
      </c>
      <c r="AR467" s="14">
        <v>129</v>
      </c>
    </row>
    <row r="468" spans="33:44" x14ac:dyDescent="0.25">
      <c r="AG468" s="14">
        <v>496</v>
      </c>
      <c r="AK468" s="14">
        <v>112</v>
      </c>
      <c r="AM468" s="14">
        <v>327</v>
      </c>
      <c r="AO468" s="14">
        <v>35</v>
      </c>
      <c r="AR468" s="14">
        <v>220</v>
      </c>
    </row>
    <row r="469" spans="33:44" x14ac:dyDescent="0.25">
      <c r="AG469" s="14">
        <v>628</v>
      </c>
      <c r="AK469" s="14">
        <v>69</v>
      </c>
      <c r="AM469" s="14">
        <v>802</v>
      </c>
      <c r="AO469" s="14">
        <v>103</v>
      </c>
      <c r="AR469" s="14">
        <v>453</v>
      </c>
    </row>
    <row r="470" spans="33:44" x14ac:dyDescent="0.25">
      <c r="AG470" s="14">
        <v>200</v>
      </c>
      <c r="AK470" s="14">
        <v>13</v>
      </c>
      <c r="AM470" s="14">
        <v>394</v>
      </c>
      <c r="AO470" s="14">
        <v>126</v>
      </c>
      <c r="AR470" s="14">
        <v>77</v>
      </c>
    </row>
    <row r="471" spans="33:44" x14ac:dyDescent="0.25">
      <c r="AG471" s="14">
        <v>117</v>
      </c>
      <c r="AK471" s="14">
        <v>104</v>
      </c>
      <c r="AM471" s="14">
        <v>312</v>
      </c>
      <c r="AO471" s="14">
        <v>116</v>
      </c>
      <c r="AR471" s="14">
        <v>692</v>
      </c>
    </row>
    <row r="472" spans="33:44" x14ac:dyDescent="0.25">
      <c r="AG472" s="14">
        <v>841</v>
      </c>
      <c r="AK472" s="14">
        <v>84</v>
      </c>
      <c r="AM472" s="14">
        <v>645</v>
      </c>
      <c r="AO472" s="14">
        <v>243</v>
      </c>
      <c r="AR472" s="14">
        <v>146</v>
      </c>
    </row>
    <row r="473" spans="33:44" x14ac:dyDescent="0.25">
      <c r="AG473" s="14">
        <v>165</v>
      </c>
      <c r="AK473" s="14">
        <v>65</v>
      </c>
      <c r="AM473" s="14">
        <v>484</v>
      </c>
      <c r="AO473" s="14">
        <v>256</v>
      </c>
      <c r="AR473" s="14">
        <v>487</v>
      </c>
    </row>
    <row r="474" spans="33:44" x14ac:dyDescent="0.25">
      <c r="AG474" s="14">
        <v>268</v>
      </c>
      <c r="AK474" s="14">
        <v>10</v>
      </c>
      <c r="AM474" s="14">
        <v>506</v>
      </c>
      <c r="AO474" s="14">
        <v>524</v>
      </c>
      <c r="AR474" s="14">
        <v>816</v>
      </c>
    </row>
    <row r="475" spans="33:44" x14ac:dyDescent="0.25">
      <c r="AG475" s="14">
        <v>121</v>
      </c>
      <c r="AK475" s="14">
        <v>106</v>
      </c>
      <c r="AM475" s="14">
        <v>269</v>
      </c>
      <c r="AO475" s="14">
        <v>803</v>
      </c>
      <c r="AR475" s="14">
        <v>587</v>
      </c>
    </row>
    <row r="476" spans="33:44" x14ac:dyDescent="0.25">
      <c r="AG476" s="14">
        <v>387</v>
      </c>
      <c r="AK476" s="14">
        <v>103</v>
      </c>
      <c r="AM476" s="14">
        <v>398</v>
      </c>
      <c r="AO476" s="14">
        <v>140</v>
      </c>
      <c r="AR476" s="14">
        <v>1162</v>
      </c>
    </row>
    <row r="477" spans="33:44" x14ac:dyDescent="0.25">
      <c r="AG477" s="14">
        <v>478</v>
      </c>
      <c r="AK477" s="14">
        <v>145</v>
      </c>
      <c r="AM477" s="14">
        <v>322</v>
      </c>
      <c r="AO477" s="14">
        <v>88</v>
      </c>
      <c r="AR477" s="14">
        <v>345</v>
      </c>
    </row>
    <row r="478" spans="33:44" x14ac:dyDescent="0.25">
      <c r="AG478" s="14">
        <v>462</v>
      </c>
      <c r="AK478" s="14">
        <v>107</v>
      </c>
      <c r="AM478" s="14">
        <v>477</v>
      </c>
      <c r="AO478" s="14">
        <v>7</v>
      </c>
      <c r="AR478" s="14">
        <v>363</v>
      </c>
    </row>
    <row r="479" spans="33:44" x14ac:dyDescent="0.25">
      <c r="AG479" s="14">
        <v>442</v>
      </c>
      <c r="AK479" s="14">
        <v>136</v>
      </c>
      <c r="AM479" s="14">
        <v>472</v>
      </c>
      <c r="AO479" s="14">
        <v>2</v>
      </c>
      <c r="AR479" s="14">
        <v>25</v>
      </c>
    </row>
    <row r="480" spans="33:44" x14ac:dyDescent="0.25">
      <c r="AG480" s="14">
        <v>968</v>
      </c>
      <c r="AK480" s="14">
        <v>115</v>
      </c>
      <c r="AM480" s="14">
        <v>383</v>
      </c>
      <c r="AO480" s="14">
        <v>80</v>
      </c>
      <c r="AR480" s="14">
        <v>66</v>
      </c>
    </row>
    <row r="481" spans="33:44" x14ac:dyDescent="0.25">
      <c r="AG481" s="14">
        <v>727</v>
      </c>
      <c r="AK481" s="14">
        <v>62</v>
      </c>
      <c r="AM481" s="14">
        <v>412</v>
      </c>
      <c r="AO481" s="14">
        <v>94</v>
      </c>
      <c r="AR481" s="14">
        <v>143</v>
      </c>
    </row>
    <row r="482" spans="33:44" x14ac:dyDescent="0.25">
      <c r="AG482" s="14">
        <v>173</v>
      </c>
      <c r="AK482" s="14">
        <v>147</v>
      </c>
      <c r="AM482" s="14">
        <v>594</v>
      </c>
      <c r="AO482" s="14">
        <v>154</v>
      </c>
      <c r="AR482" s="14">
        <v>33</v>
      </c>
    </row>
    <row r="483" spans="33:44" x14ac:dyDescent="0.25">
      <c r="AG483" s="14">
        <v>423</v>
      </c>
      <c r="AK483" s="14">
        <v>258</v>
      </c>
      <c r="AM483" s="14">
        <v>320</v>
      </c>
      <c r="AO483" s="14">
        <v>205</v>
      </c>
      <c r="AR483" s="14">
        <v>2</v>
      </c>
    </row>
    <row r="484" spans="33:44" x14ac:dyDescent="0.25">
      <c r="AG484" s="14">
        <v>134</v>
      </c>
      <c r="AK484" s="14">
        <v>36</v>
      </c>
      <c r="AM484" s="14">
        <v>332</v>
      </c>
      <c r="AO484" s="14">
        <v>206</v>
      </c>
      <c r="AR484" s="14">
        <v>222</v>
      </c>
    </row>
    <row r="485" spans="33:44" x14ac:dyDescent="0.25">
      <c r="AG485" s="14">
        <v>128</v>
      </c>
      <c r="AK485" s="14">
        <v>97</v>
      </c>
      <c r="AM485" s="14">
        <v>216</v>
      </c>
      <c r="AO485" s="14">
        <v>390</v>
      </c>
      <c r="AR485" s="14">
        <v>236</v>
      </c>
    </row>
    <row r="486" spans="33:44" x14ac:dyDescent="0.25">
      <c r="AG486" s="14">
        <v>295</v>
      </c>
      <c r="AK486" s="14">
        <v>152</v>
      </c>
      <c r="AM486" s="14">
        <v>442</v>
      </c>
      <c r="AO486" s="14">
        <v>728</v>
      </c>
      <c r="AR486" s="14">
        <v>286</v>
      </c>
    </row>
    <row r="487" spans="33:44" x14ac:dyDescent="0.25">
      <c r="AG487" s="14">
        <v>172</v>
      </c>
      <c r="AK487" s="14">
        <v>46</v>
      </c>
      <c r="AM487" s="14">
        <v>694</v>
      </c>
      <c r="AO487" s="14">
        <v>118</v>
      </c>
      <c r="AR487" s="14">
        <v>17</v>
      </c>
    </row>
    <row r="488" spans="33:44" x14ac:dyDescent="0.25">
      <c r="AG488" s="14">
        <v>104</v>
      </c>
      <c r="AK488" s="14">
        <v>157</v>
      </c>
      <c r="AM488" s="14">
        <v>225</v>
      </c>
      <c r="AO488" s="14">
        <v>34</v>
      </c>
      <c r="AR488" s="14">
        <v>1</v>
      </c>
    </row>
    <row r="489" spans="33:44" x14ac:dyDescent="0.25">
      <c r="AG489" s="14">
        <v>787</v>
      </c>
      <c r="AK489" s="14">
        <v>39</v>
      </c>
      <c r="AM489" s="14">
        <v>514</v>
      </c>
      <c r="AO489" s="14">
        <v>14</v>
      </c>
      <c r="AR489" s="14">
        <v>189</v>
      </c>
    </row>
    <row r="490" spans="33:44" x14ac:dyDescent="0.25">
      <c r="AG490" s="14">
        <v>154</v>
      </c>
      <c r="AK490" s="14">
        <v>16</v>
      </c>
      <c r="AM490" s="14">
        <v>239</v>
      </c>
      <c r="AO490" s="14">
        <v>16</v>
      </c>
      <c r="AR490" s="14">
        <v>175</v>
      </c>
    </row>
    <row r="491" spans="33:44" x14ac:dyDescent="0.25">
      <c r="AG491" s="14">
        <v>489</v>
      </c>
      <c r="AK491" s="14">
        <v>69</v>
      </c>
      <c r="AM491" s="14">
        <v>424</v>
      </c>
      <c r="AO491" s="14">
        <v>24</v>
      </c>
      <c r="AR491" s="14">
        <v>324</v>
      </c>
    </row>
    <row r="492" spans="33:44" x14ac:dyDescent="0.25">
      <c r="AG492" s="14">
        <v>621</v>
      </c>
      <c r="AK492" s="14">
        <v>27</v>
      </c>
      <c r="AM492" s="14">
        <v>657</v>
      </c>
      <c r="AO492" s="14">
        <v>48</v>
      </c>
      <c r="AR492" s="14">
        <v>312</v>
      </c>
    </row>
    <row r="493" spans="33:44" x14ac:dyDescent="0.25">
      <c r="AG493" s="14">
        <v>203</v>
      </c>
      <c r="AK493" s="14">
        <v>2</v>
      </c>
      <c r="AM493" s="14">
        <v>615</v>
      </c>
      <c r="AO493" s="14">
        <v>347</v>
      </c>
      <c r="AR493" s="14">
        <v>53</v>
      </c>
    </row>
    <row r="494" spans="33:44" x14ac:dyDescent="0.25">
      <c r="AG494" s="14">
        <v>117</v>
      </c>
      <c r="AK494" s="14">
        <v>75</v>
      </c>
      <c r="AM494" s="14">
        <v>412</v>
      </c>
      <c r="AO494" s="14">
        <v>78</v>
      </c>
      <c r="AR494" s="14">
        <v>72</v>
      </c>
    </row>
    <row r="495" spans="33:44" x14ac:dyDescent="0.25">
      <c r="AG495" s="14">
        <v>102</v>
      </c>
      <c r="AK495" s="14">
        <v>118</v>
      </c>
      <c r="AM495" s="14">
        <v>395</v>
      </c>
      <c r="AO495" s="14">
        <v>126</v>
      </c>
      <c r="AR495" s="14">
        <v>350</v>
      </c>
    </row>
    <row r="496" spans="33:44" x14ac:dyDescent="0.25">
      <c r="AG496" s="14">
        <v>169</v>
      </c>
      <c r="AK496" s="14">
        <v>34</v>
      </c>
      <c r="AM496" s="14">
        <v>346</v>
      </c>
      <c r="AO496" s="14">
        <v>242</v>
      </c>
      <c r="AR496" s="14">
        <v>344</v>
      </c>
    </row>
    <row r="497" spans="33:44" x14ac:dyDescent="0.25">
      <c r="AG497" s="14">
        <v>74</v>
      </c>
      <c r="AK497" s="14">
        <v>133</v>
      </c>
      <c r="AM497" s="14">
        <v>552</v>
      </c>
      <c r="AO497" s="14">
        <v>127</v>
      </c>
      <c r="AR497" s="14">
        <v>209</v>
      </c>
    </row>
    <row r="498" spans="33:44" x14ac:dyDescent="0.25">
      <c r="AG498" s="14">
        <v>835</v>
      </c>
      <c r="AK498" s="14">
        <v>97</v>
      </c>
      <c r="AM498" s="14">
        <v>714</v>
      </c>
      <c r="AO498" s="14">
        <v>501</v>
      </c>
      <c r="AR498" s="14">
        <v>186</v>
      </c>
    </row>
    <row r="499" spans="33:44" x14ac:dyDescent="0.25">
      <c r="AG499" s="14">
        <v>943</v>
      </c>
      <c r="AK499" s="14">
        <v>58</v>
      </c>
      <c r="AM499" s="14">
        <v>147</v>
      </c>
      <c r="AO499" s="14">
        <v>773</v>
      </c>
      <c r="AR499" s="14">
        <v>120</v>
      </c>
    </row>
    <row r="500" spans="33:44" x14ac:dyDescent="0.25">
      <c r="AG500" s="14">
        <v>815</v>
      </c>
      <c r="AK500" s="14">
        <v>180</v>
      </c>
      <c r="AM500" s="14">
        <v>141</v>
      </c>
      <c r="AO500" s="14">
        <v>145</v>
      </c>
      <c r="AR500" s="14">
        <v>89</v>
      </c>
    </row>
    <row r="501" spans="33:44" x14ac:dyDescent="0.25">
      <c r="AG501" s="14">
        <v>530</v>
      </c>
      <c r="AK501" s="14">
        <v>210</v>
      </c>
      <c r="AM501" s="14">
        <v>146</v>
      </c>
      <c r="AO501" s="14">
        <v>106</v>
      </c>
      <c r="AR501" s="14">
        <v>38</v>
      </c>
    </row>
    <row r="502" spans="33:44" x14ac:dyDescent="0.25">
      <c r="AG502" s="14">
        <v>147</v>
      </c>
      <c r="AK502" s="14">
        <v>53</v>
      </c>
      <c r="AM502" s="14">
        <v>140</v>
      </c>
      <c r="AO502" s="14">
        <v>58</v>
      </c>
      <c r="AR502" s="14">
        <v>40</v>
      </c>
    </row>
    <row r="503" spans="33:44" x14ac:dyDescent="0.25">
      <c r="AG503" s="14">
        <v>972</v>
      </c>
      <c r="AK503" s="14">
        <v>297</v>
      </c>
      <c r="AM503" s="14">
        <v>140</v>
      </c>
      <c r="AO503" s="14">
        <v>32</v>
      </c>
      <c r="AR503" s="14">
        <v>79</v>
      </c>
    </row>
    <row r="504" spans="33:44" x14ac:dyDescent="0.25">
      <c r="AG504" s="14">
        <v>165</v>
      </c>
      <c r="AK504" s="14">
        <v>226</v>
      </c>
      <c r="AM504" s="14">
        <v>74</v>
      </c>
      <c r="AO504" s="14">
        <v>101</v>
      </c>
      <c r="AR504" s="14">
        <v>69</v>
      </c>
    </row>
    <row r="505" spans="33:44" x14ac:dyDescent="0.25">
      <c r="AG505" s="14">
        <v>871</v>
      </c>
      <c r="AK505" s="14">
        <v>395</v>
      </c>
      <c r="AM505" s="14">
        <v>95</v>
      </c>
      <c r="AO505" s="14">
        <v>123</v>
      </c>
      <c r="AR505" s="14">
        <v>175</v>
      </c>
    </row>
    <row r="506" spans="33:44" x14ac:dyDescent="0.25">
      <c r="AG506" s="14">
        <v>422</v>
      </c>
      <c r="AK506" s="14">
        <v>336</v>
      </c>
      <c r="AM506" s="14">
        <v>100</v>
      </c>
      <c r="AO506" s="14">
        <v>116</v>
      </c>
      <c r="AR506" s="14">
        <v>4</v>
      </c>
    </row>
    <row r="507" spans="33:44" x14ac:dyDescent="0.25">
      <c r="AG507" s="14">
        <v>471</v>
      </c>
      <c r="AK507" s="14">
        <v>195</v>
      </c>
      <c r="AM507" s="14">
        <v>73</v>
      </c>
      <c r="AO507" s="14">
        <v>230</v>
      </c>
      <c r="AR507" s="14">
        <v>7</v>
      </c>
    </row>
    <row r="508" spans="33:44" x14ac:dyDescent="0.25">
      <c r="AG508" s="14">
        <v>449</v>
      </c>
      <c r="AK508" s="14">
        <v>307</v>
      </c>
      <c r="AM508" s="14">
        <v>91</v>
      </c>
      <c r="AO508" s="14">
        <v>262</v>
      </c>
      <c r="AR508" s="14">
        <v>285</v>
      </c>
    </row>
    <row r="509" spans="33:44" x14ac:dyDescent="0.25">
      <c r="AG509" s="14">
        <v>950</v>
      </c>
      <c r="AK509" s="14">
        <v>174</v>
      </c>
      <c r="AM509" s="14">
        <v>97</v>
      </c>
      <c r="AO509" s="14">
        <v>391</v>
      </c>
      <c r="AR509" s="14">
        <v>285</v>
      </c>
    </row>
    <row r="510" spans="33:44" x14ac:dyDescent="0.25">
      <c r="AG510" s="14">
        <v>702</v>
      </c>
      <c r="AK510" s="14">
        <v>264</v>
      </c>
      <c r="AM510" s="14">
        <v>49</v>
      </c>
      <c r="AO510" s="14">
        <v>789</v>
      </c>
      <c r="AR510" s="14">
        <v>136</v>
      </c>
    </row>
    <row r="511" spans="33:44" x14ac:dyDescent="0.25">
      <c r="AG511" s="14">
        <v>170</v>
      </c>
      <c r="AK511" s="14">
        <v>125</v>
      </c>
      <c r="AM511" s="14">
        <v>66</v>
      </c>
      <c r="AO511" s="14">
        <v>136</v>
      </c>
      <c r="AR511" s="14">
        <v>117</v>
      </c>
    </row>
    <row r="512" spans="33:44" x14ac:dyDescent="0.25">
      <c r="AG512" s="14">
        <v>426</v>
      </c>
      <c r="AK512" s="14">
        <v>233</v>
      </c>
      <c r="AM512" s="14">
        <v>71</v>
      </c>
      <c r="AO512" s="14">
        <v>88</v>
      </c>
      <c r="AR512" s="14">
        <v>110</v>
      </c>
    </row>
    <row r="513" spans="33:44" x14ac:dyDescent="0.25">
      <c r="AG513" s="14">
        <v>37</v>
      </c>
      <c r="AK513" s="14">
        <v>196</v>
      </c>
      <c r="AM513" s="14">
        <v>44</v>
      </c>
      <c r="AO513" s="14">
        <v>7</v>
      </c>
      <c r="AR513" s="14">
        <v>154</v>
      </c>
    </row>
    <row r="514" spans="33:44" x14ac:dyDescent="0.25">
      <c r="AG514" s="14">
        <v>132</v>
      </c>
      <c r="AK514" s="14">
        <v>275</v>
      </c>
      <c r="AM514" s="14">
        <v>46</v>
      </c>
      <c r="AO514" s="14">
        <v>4</v>
      </c>
      <c r="AR514" s="14">
        <v>128</v>
      </c>
    </row>
    <row r="515" spans="33:44" x14ac:dyDescent="0.25">
      <c r="AG515" s="14">
        <v>130</v>
      </c>
      <c r="AK515" s="14">
        <v>172</v>
      </c>
      <c r="AM515" s="14">
        <v>71</v>
      </c>
      <c r="AO515" s="14">
        <v>77</v>
      </c>
      <c r="AR515" s="14">
        <v>131</v>
      </c>
    </row>
    <row r="516" spans="33:44" x14ac:dyDescent="0.25">
      <c r="AG516" s="14">
        <v>302</v>
      </c>
      <c r="AK516" s="14">
        <v>371</v>
      </c>
      <c r="AM516" s="14">
        <v>53</v>
      </c>
      <c r="AO516" s="14">
        <v>91</v>
      </c>
      <c r="AR516" s="14">
        <v>216</v>
      </c>
    </row>
    <row r="517" spans="33:44" x14ac:dyDescent="0.25">
      <c r="AG517" s="14">
        <v>173</v>
      </c>
      <c r="AK517" s="14">
        <v>349</v>
      </c>
      <c r="AM517" s="14">
        <v>77</v>
      </c>
      <c r="AO517" s="14">
        <v>155</v>
      </c>
      <c r="AR517" s="14">
        <v>190</v>
      </c>
    </row>
    <row r="518" spans="33:44" x14ac:dyDescent="0.25">
      <c r="AG518" s="14">
        <v>786</v>
      </c>
      <c r="AK518" s="14">
        <v>118</v>
      </c>
      <c r="AM518" s="14">
        <v>74</v>
      </c>
      <c r="AO518" s="14">
        <v>191</v>
      </c>
      <c r="AR518" s="14">
        <v>227</v>
      </c>
    </row>
    <row r="519" spans="33:44" x14ac:dyDescent="0.25">
      <c r="AG519" s="14">
        <v>131</v>
      </c>
      <c r="AK519" s="14">
        <v>173</v>
      </c>
      <c r="AM519" s="14">
        <v>130</v>
      </c>
      <c r="AO519" s="14">
        <v>210</v>
      </c>
      <c r="AR519" s="14">
        <v>210</v>
      </c>
    </row>
    <row r="520" spans="33:44" x14ac:dyDescent="0.25">
      <c r="AG520" s="14">
        <v>626</v>
      </c>
      <c r="AK520" s="14">
        <v>243</v>
      </c>
      <c r="AM520" s="14">
        <v>125</v>
      </c>
      <c r="AO520" s="14">
        <v>303</v>
      </c>
      <c r="AR520" s="14">
        <v>202</v>
      </c>
    </row>
    <row r="521" spans="33:44" x14ac:dyDescent="0.25">
      <c r="AG521" s="14">
        <v>269</v>
      </c>
      <c r="AK521" s="14">
        <v>223</v>
      </c>
      <c r="AM521" s="14">
        <v>163</v>
      </c>
      <c r="AO521" s="14">
        <v>717</v>
      </c>
      <c r="AR521" s="14">
        <v>183</v>
      </c>
    </row>
    <row r="522" spans="33:44" x14ac:dyDescent="0.25">
      <c r="AG522" s="14">
        <v>115</v>
      </c>
      <c r="AK522" s="14">
        <v>279</v>
      </c>
      <c r="AM522" s="14">
        <v>88</v>
      </c>
      <c r="AO522" s="14">
        <v>116</v>
      </c>
      <c r="AR522" s="14">
        <v>154</v>
      </c>
    </row>
    <row r="523" spans="33:44" x14ac:dyDescent="0.25">
      <c r="AG523" s="14">
        <v>979</v>
      </c>
      <c r="AK523" s="14">
        <v>285</v>
      </c>
      <c r="AM523" s="14">
        <v>83</v>
      </c>
      <c r="AO523" s="14">
        <v>34</v>
      </c>
      <c r="AR523" s="14">
        <v>173</v>
      </c>
    </row>
    <row r="524" spans="33:44" x14ac:dyDescent="0.25">
      <c r="AG524" s="14">
        <v>138</v>
      </c>
      <c r="AK524" s="14">
        <v>447</v>
      </c>
      <c r="AM524" s="14">
        <v>144</v>
      </c>
      <c r="AO524" s="14">
        <v>138</v>
      </c>
      <c r="AR524" s="14">
        <v>63</v>
      </c>
    </row>
    <row r="525" spans="33:44" x14ac:dyDescent="0.25">
      <c r="AG525" s="14">
        <v>54</v>
      </c>
      <c r="AK525" s="14">
        <v>107</v>
      </c>
      <c r="AM525" s="14">
        <v>136</v>
      </c>
      <c r="AO525" s="14">
        <v>17</v>
      </c>
      <c r="AR525" s="14">
        <v>48</v>
      </c>
    </row>
    <row r="526" spans="33:44" x14ac:dyDescent="0.25">
      <c r="AG526" s="14">
        <v>772</v>
      </c>
      <c r="AK526" s="14">
        <v>396</v>
      </c>
      <c r="AM526" s="14">
        <v>207</v>
      </c>
      <c r="AO526" s="14">
        <v>25</v>
      </c>
      <c r="AR526" s="14">
        <v>54</v>
      </c>
    </row>
    <row r="527" spans="33:44" x14ac:dyDescent="0.25">
      <c r="AG527" s="14">
        <v>960</v>
      </c>
      <c r="AK527" s="14">
        <v>104</v>
      </c>
      <c r="AM527" s="14">
        <v>6</v>
      </c>
      <c r="AO527" s="14">
        <v>49</v>
      </c>
      <c r="AR527" s="14">
        <v>40</v>
      </c>
    </row>
    <row r="528" spans="33:44" x14ac:dyDescent="0.25">
      <c r="AG528" s="14">
        <v>850</v>
      </c>
      <c r="AK528" s="14">
        <v>181</v>
      </c>
      <c r="AM528" s="14">
        <v>7</v>
      </c>
      <c r="AO528" s="14">
        <v>34</v>
      </c>
      <c r="AR528" s="14">
        <v>31</v>
      </c>
    </row>
    <row r="529" spans="33:44" x14ac:dyDescent="0.25">
      <c r="AG529" s="14">
        <v>545</v>
      </c>
      <c r="AK529" s="14">
        <v>332</v>
      </c>
      <c r="AM529" s="14">
        <v>8</v>
      </c>
      <c r="AO529" s="14">
        <v>77</v>
      </c>
      <c r="AR529" s="14">
        <v>18</v>
      </c>
    </row>
    <row r="530" spans="33:44" x14ac:dyDescent="0.25">
      <c r="AG530" s="14">
        <v>155</v>
      </c>
      <c r="AK530" s="14">
        <v>4</v>
      </c>
      <c r="AM530" s="14">
        <v>7</v>
      </c>
      <c r="AO530" s="14">
        <v>129</v>
      </c>
      <c r="AR530" s="14">
        <v>254</v>
      </c>
    </row>
    <row r="531" spans="33:44" x14ac:dyDescent="0.25">
      <c r="AG531" s="14">
        <v>165</v>
      </c>
      <c r="AK531" s="14">
        <v>41</v>
      </c>
      <c r="AM531" s="14">
        <v>8</v>
      </c>
      <c r="AO531" s="14">
        <v>21</v>
      </c>
      <c r="AR531" s="14">
        <v>262</v>
      </c>
    </row>
    <row r="532" spans="33:44" x14ac:dyDescent="0.25">
      <c r="AG532" s="14">
        <v>897</v>
      </c>
      <c r="AK532" s="14">
        <v>148</v>
      </c>
      <c r="AM532" s="14">
        <v>9</v>
      </c>
      <c r="AO532" s="14">
        <v>126</v>
      </c>
      <c r="AR532" s="14">
        <v>18</v>
      </c>
    </row>
    <row r="533" spans="33:44" x14ac:dyDescent="0.25">
      <c r="AG533" s="14">
        <v>473</v>
      </c>
      <c r="AK533" s="14">
        <v>64</v>
      </c>
      <c r="AM533" s="14">
        <v>91</v>
      </c>
      <c r="AO533" s="14">
        <v>1</v>
      </c>
      <c r="AR533" s="14">
        <v>9</v>
      </c>
    </row>
    <row r="534" spans="33:44" x14ac:dyDescent="0.25">
      <c r="AG534" s="14">
        <v>473</v>
      </c>
      <c r="AK534" s="14">
        <v>133</v>
      </c>
      <c r="AM534" s="14">
        <v>105</v>
      </c>
      <c r="AO534" s="14">
        <v>618</v>
      </c>
      <c r="AR534" s="14">
        <v>228</v>
      </c>
    </row>
    <row r="535" spans="33:44" x14ac:dyDescent="0.25">
      <c r="AG535" s="14">
        <v>937</v>
      </c>
      <c r="AK535" s="14">
        <v>146</v>
      </c>
      <c r="AM535" s="14">
        <v>110</v>
      </c>
      <c r="AO535" s="14">
        <v>449</v>
      </c>
      <c r="AR535" s="14">
        <v>226</v>
      </c>
    </row>
    <row r="536" spans="33:44" x14ac:dyDescent="0.25">
      <c r="AG536" s="14">
        <v>691</v>
      </c>
      <c r="AK536" s="14">
        <v>18</v>
      </c>
      <c r="AM536" s="14">
        <v>91</v>
      </c>
      <c r="AO536" s="14">
        <v>168</v>
      </c>
      <c r="AR536" s="14">
        <v>123</v>
      </c>
    </row>
    <row r="537" spans="33:44" x14ac:dyDescent="0.25">
      <c r="AG537" s="14">
        <v>181</v>
      </c>
      <c r="AK537" s="14">
        <v>356</v>
      </c>
      <c r="AM537" s="14">
        <v>104</v>
      </c>
      <c r="AO537" s="14">
        <v>172</v>
      </c>
      <c r="AR537" s="14">
        <v>156</v>
      </c>
    </row>
    <row r="538" spans="33:44" x14ac:dyDescent="0.25">
      <c r="AG538" s="14">
        <v>420</v>
      </c>
      <c r="AK538" s="14">
        <v>18</v>
      </c>
      <c r="AM538" s="14">
        <v>108</v>
      </c>
      <c r="AO538" s="14">
        <v>239</v>
      </c>
      <c r="AR538" s="14">
        <v>239</v>
      </c>
    </row>
    <row r="539" spans="33:44" x14ac:dyDescent="0.25">
      <c r="AG539" s="14">
        <v>68</v>
      </c>
      <c r="AK539" s="14">
        <v>153</v>
      </c>
      <c r="AM539" s="14">
        <v>82</v>
      </c>
      <c r="AO539" s="14">
        <v>57</v>
      </c>
      <c r="AR539" s="14">
        <v>180</v>
      </c>
    </row>
    <row r="540" spans="33:44" x14ac:dyDescent="0.25">
      <c r="AG540" s="14">
        <v>133</v>
      </c>
      <c r="AK540" s="14">
        <v>214</v>
      </c>
      <c r="AM540" s="14">
        <v>97</v>
      </c>
      <c r="AO540" s="14">
        <v>220</v>
      </c>
      <c r="AR540" s="14">
        <v>275</v>
      </c>
    </row>
    <row r="541" spans="33:44" x14ac:dyDescent="0.25">
      <c r="AG541" s="14">
        <v>131</v>
      </c>
      <c r="AK541" s="14">
        <v>157</v>
      </c>
      <c r="AM541" s="14">
        <v>103</v>
      </c>
      <c r="AO541" s="14">
        <v>6</v>
      </c>
      <c r="AR541" s="14">
        <v>245</v>
      </c>
    </row>
    <row r="542" spans="33:44" x14ac:dyDescent="0.25">
      <c r="AG542" s="14">
        <v>239</v>
      </c>
      <c r="AK542" s="14">
        <v>63</v>
      </c>
      <c r="AM542" s="14">
        <v>309</v>
      </c>
      <c r="AO542" s="14">
        <v>153</v>
      </c>
      <c r="AR542" s="14">
        <v>81</v>
      </c>
    </row>
    <row r="543" spans="33:44" x14ac:dyDescent="0.25">
      <c r="AG543" s="14">
        <v>25</v>
      </c>
      <c r="AK543" s="14">
        <v>139</v>
      </c>
      <c r="AM543" s="14">
        <v>308</v>
      </c>
      <c r="AO543" s="14">
        <v>285</v>
      </c>
      <c r="AR543" s="14">
        <v>111</v>
      </c>
    </row>
    <row r="544" spans="33:44" x14ac:dyDescent="0.25">
      <c r="AG544" s="14">
        <v>644</v>
      </c>
      <c r="AK544" s="14">
        <v>1</v>
      </c>
      <c r="AM544" s="14">
        <v>304</v>
      </c>
      <c r="AO544" s="14">
        <v>357</v>
      </c>
      <c r="AR544" s="14">
        <v>194</v>
      </c>
    </row>
    <row r="545" spans="33:44" x14ac:dyDescent="0.25">
      <c r="AG545" s="14">
        <v>606</v>
      </c>
      <c r="AK545" s="14">
        <v>67</v>
      </c>
      <c r="AM545" s="14">
        <v>305</v>
      </c>
      <c r="AO545" s="14">
        <v>454</v>
      </c>
      <c r="AR545" s="14">
        <v>199</v>
      </c>
    </row>
    <row r="546" spans="33:44" x14ac:dyDescent="0.25">
      <c r="AG546" s="14">
        <v>124</v>
      </c>
      <c r="AK546" s="14">
        <v>78</v>
      </c>
      <c r="AM546" s="14">
        <v>304</v>
      </c>
      <c r="AO546" s="14">
        <v>557</v>
      </c>
      <c r="AR546" s="14">
        <v>31</v>
      </c>
    </row>
    <row r="547" spans="33:44" x14ac:dyDescent="0.25">
      <c r="AG547" s="14">
        <v>607</v>
      </c>
      <c r="AK547" s="14">
        <v>45</v>
      </c>
      <c r="AM547" s="14">
        <v>299</v>
      </c>
      <c r="AO547" s="14">
        <v>152</v>
      </c>
      <c r="AR547" s="14">
        <v>23</v>
      </c>
    </row>
    <row r="548" spans="33:44" x14ac:dyDescent="0.25">
      <c r="AG548" s="14">
        <v>308</v>
      </c>
      <c r="AK548" s="14">
        <v>123</v>
      </c>
      <c r="AM548" s="14">
        <v>108</v>
      </c>
      <c r="AO548" s="14">
        <v>128</v>
      </c>
      <c r="AR548" s="14">
        <v>228</v>
      </c>
    </row>
    <row r="549" spans="33:44" x14ac:dyDescent="0.25">
      <c r="AG549" s="14">
        <v>352</v>
      </c>
      <c r="AK549" s="14">
        <v>44</v>
      </c>
      <c r="AM549" s="14">
        <v>113</v>
      </c>
      <c r="AO549" s="14">
        <v>212</v>
      </c>
      <c r="AR549" s="14">
        <v>261</v>
      </c>
    </row>
    <row r="550" spans="33:44" x14ac:dyDescent="0.25">
      <c r="AG550" s="14">
        <v>319</v>
      </c>
      <c r="AK550" s="14">
        <v>160</v>
      </c>
      <c r="AM550" s="14">
        <v>116</v>
      </c>
      <c r="AO550" s="14">
        <v>134</v>
      </c>
      <c r="AR550" s="14">
        <v>2083</v>
      </c>
    </row>
    <row r="551" spans="33:44" x14ac:dyDescent="0.25">
      <c r="AG551" s="14">
        <v>788</v>
      </c>
      <c r="AK551" s="14">
        <v>94</v>
      </c>
      <c r="AM551" s="14">
        <v>112</v>
      </c>
      <c r="AO551" s="14">
        <v>194</v>
      </c>
      <c r="AR551" s="14">
        <v>3951</v>
      </c>
    </row>
    <row r="552" spans="33:44" x14ac:dyDescent="0.25">
      <c r="AG552" s="14">
        <v>947</v>
      </c>
      <c r="AK552" s="14">
        <v>34</v>
      </c>
      <c r="AM552" s="14">
        <v>116</v>
      </c>
      <c r="AO552" s="14">
        <v>139</v>
      </c>
      <c r="AR552" s="14">
        <v>207</v>
      </c>
    </row>
    <row r="553" spans="33:44" x14ac:dyDescent="0.25">
      <c r="AG553" s="14">
        <v>210</v>
      </c>
      <c r="AK553" s="14">
        <v>69</v>
      </c>
      <c r="AM553" s="14">
        <v>118</v>
      </c>
      <c r="AO553" s="14">
        <v>118</v>
      </c>
      <c r="AR553" s="14">
        <v>193</v>
      </c>
    </row>
    <row r="554" spans="33:44" x14ac:dyDescent="0.25">
      <c r="AG554" s="14">
        <v>386</v>
      </c>
      <c r="AK554" s="14">
        <v>60</v>
      </c>
      <c r="AM554" s="14">
        <v>126</v>
      </c>
      <c r="AO554" s="14">
        <v>288</v>
      </c>
      <c r="AR554" s="14">
        <v>891</v>
      </c>
    </row>
    <row r="555" spans="33:44" x14ac:dyDescent="0.25">
      <c r="AG555" s="14">
        <v>241</v>
      </c>
      <c r="AK555" s="14">
        <v>121</v>
      </c>
      <c r="AM555" s="14">
        <v>133</v>
      </c>
      <c r="AO555" s="14">
        <v>371</v>
      </c>
      <c r="AR555" s="14">
        <v>1058</v>
      </c>
    </row>
    <row r="556" spans="33:44" x14ac:dyDescent="0.25">
      <c r="AG556" s="14">
        <v>225</v>
      </c>
      <c r="AK556" s="14">
        <v>48</v>
      </c>
      <c r="AM556" s="14">
        <v>136</v>
      </c>
      <c r="AO556" s="14">
        <v>26</v>
      </c>
      <c r="AR556" s="14">
        <v>1103</v>
      </c>
    </row>
    <row r="557" spans="33:44" x14ac:dyDescent="0.25">
      <c r="AG557" s="14">
        <v>423</v>
      </c>
      <c r="AK557" s="14">
        <v>85</v>
      </c>
      <c r="AM557" s="14">
        <v>245</v>
      </c>
      <c r="AO557" s="14">
        <v>855</v>
      </c>
      <c r="AR557" s="14">
        <v>632</v>
      </c>
    </row>
    <row r="558" spans="33:44" x14ac:dyDescent="0.25">
      <c r="AG558" s="14">
        <v>98</v>
      </c>
      <c r="AK558" s="14">
        <v>382</v>
      </c>
      <c r="AM558" s="14">
        <v>244</v>
      </c>
      <c r="AO558" s="14">
        <v>202</v>
      </c>
      <c r="AR558" s="14">
        <v>289</v>
      </c>
    </row>
    <row r="559" spans="33:44" x14ac:dyDescent="0.25">
      <c r="AG559" s="14">
        <v>274</v>
      </c>
      <c r="AK559" s="14">
        <v>146</v>
      </c>
      <c r="AM559" s="14">
        <v>242</v>
      </c>
      <c r="AO559" s="14">
        <v>43</v>
      </c>
      <c r="AR559" s="14">
        <v>1</v>
      </c>
    </row>
    <row r="560" spans="33:44" x14ac:dyDescent="0.25">
      <c r="AG560" s="14">
        <v>615</v>
      </c>
      <c r="AK560" s="14">
        <v>112</v>
      </c>
      <c r="AM560" s="14">
        <v>170</v>
      </c>
      <c r="AO560" s="14">
        <v>61</v>
      </c>
      <c r="AR560" s="14">
        <v>177</v>
      </c>
    </row>
    <row r="561" spans="33:44" x14ac:dyDescent="0.25">
      <c r="AG561" s="14">
        <v>171</v>
      </c>
      <c r="AK561" s="14">
        <v>39</v>
      </c>
      <c r="AM561" s="14">
        <v>167</v>
      </c>
      <c r="AO561" s="14">
        <v>68</v>
      </c>
      <c r="AR561" s="14">
        <v>159</v>
      </c>
    </row>
    <row r="562" spans="33:44" x14ac:dyDescent="0.25">
      <c r="AG562" s="14">
        <v>119</v>
      </c>
      <c r="AK562" s="14">
        <v>12</v>
      </c>
      <c r="AM562" s="14">
        <v>167</v>
      </c>
      <c r="AO562" s="14">
        <v>39</v>
      </c>
      <c r="AR562" s="14">
        <v>450</v>
      </c>
    </row>
    <row r="563" spans="33:44" x14ac:dyDescent="0.25">
      <c r="AG563" s="14">
        <v>941</v>
      </c>
      <c r="AK563" s="14">
        <v>50</v>
      </c>
      <c r="AM563" s="14">
        <v>163</v>
      </c>
      <c r="AO563" s="14">
        <v>249</v>
      </c>
      <c r="AR563" s="14">
        <v>249</v>
      </c>
    </row>
    <row r="564" spans="33:44" x14ac:dyDescent="0.25">
      <c r="AG564" s="14">
        <v>232</v>
      </c>
      <c r="AK564" s="14">
        <v>106</v>
      </c>
      <c r="AM564" s="14">
        <v>164</v>
      </c>
      <c r="AO564" s="14">
        <v>239</v>
      </c>
      <c r="AR564" s="14">
        <v>397</v>
      </c>
    </row>
    <row r="565" spans="33:44" x14ac:dyDescent="0.25">
      <c r="AG565" s="14">
        <v>50</v>
      </c>
      <c r="AK565" s="14">
        <v>1</v>
      </c>
      <c r="AM565" s="14">
        <v>163</v>
      </c>
      <c r="AO565" s="14">
        <v>438</v>
      </c>
      <c r="AR565" s="14">
        <v>228</v>
      </c>
    </row>
    <row r="566" spans="33:44" x14ac:dyDescent="0.25">
      <c r="AG566" s="14">
        <v>876</v>
      </c>
      <c r="AK566" s="14">
        <v>37</v>
      </c>
      <c r="AM566" s="14">
        <v>119</v>
      </c>
      <c r="AO566" s="14">
        <v>363</v>
      </c>
      <c r="AR566" s="14">
        <v>105</v>
      </c>
    </row>
    <row r="567" spans="33:44" x14ac:dyDescent="0.25">
      <c r="AG567" s="14">
        <v>924</v>
      </c>
      <c r="AK567" s="14">
        <v>9</v>
      </c>
      <c r="AM567" s="14">
        <v>123</v>
      </c>
      <c r="AO567" s="14">
        <v>226</v>
      </c>
      <c r="AR567" s="14">
        <v>168</v>
      </c>
    </row>
    <row r="568" spans="33:44" x14ac:dyDescent="0.25">
      <c r="AG568" s="14">
        <v>818</v>
      </c>
      <c r="AK568" s="14">
        <v>96</v>
      </c>
      <c r="AM568" s="14">
        <v>135</v>
      </c>
      <c r="AO568" s="14">
        <v>77</v>
      </c>
      <c r="AR568" s="14">
        <v>197</v>
      </c>
    </row>
    <row r="569" spans="33:44" x14ac:dyDescent="0.25">
      <c r="AG569" s="14">
        <v>437</v>
      </c>
      <c r="AK569" s="14">
        <v>2</v>
      </c>
      <c r="AM569" s="14">
        <v>207</v>
      </c>
      <c r="AO569" s="14">
        <v>19</v>
      </c>
      <c r="AR569" s="14">
        <v>188</v>
      </c>
    </row>
    <row r="570" spans="33:44" x14ac:dyDescent="0.25">
      <c r="AG570" s="14">
        <v>676</v>
      </c>
      <c r="AK570" s="14">
        <v>22</v>
      </c>
      <c r="AM570" s="14">
        <v>205</v>
      </c>
      <c r="AO570" s="14">
        <v>685</v>
      </c>
      <c r="AR570" s="14">
        <v>190</v>
      </c>
    </row>
    <row r="571" spans="33:44" x14ac:dyDescent="0.25">
      <c r="AG571" s="14">
        <v>621</v>
      </c>
      <c r="AK571" s="14">
        <v>26</v>
      </c>
      <c r="AM571" s="14">
        <v>204</v>
      </c>
      <c r="AO571" s="14">
        <v>719</v>
      </c>
      <c r="AR571" s="14">
        <v>151</v>
      </c>
    </row>
    <row r="572" spans="33:44" x14ac:dyDescent="0.25">
      <c r="AG572" s="14">
        <v>847</v>
      </c>
      <c r="AK572" s="14">
        <v>104</v>
      </c>
      <c r="AM572" s="14">
        <v>197</v>
      </c>
      <c r="AO572" s="14">
        <v>17</v>
      </c>
      <c r="AR572" s="14">
        <v>163</v>
      </c>
    </row>
    <row r="573" spans="33:44" x14ac:dyDescent="0.25">
      <c r="AG573" s="14">
        <v>112</v>
      </c>
      <c r="AK573" s="14">
        <v>15</v>
      </c>
      <c r="AM573" s="14">
        <v>197</v>
      </c>
      <c r="AO573" s="14">
        <v>98</v>
      </c>
      <c r="AR573" s="14">
        <v>89</v>
      </c>
    </row>
    <row r="574" spans="33:44" x14ac:dyDescent="0.25">
      <c r="AG574" s="14">
        <v>695</v>
      </c>
      <c r="AK574" s="14">
        <v>135</v>
      </c>
      <c r="AM574" s="14">
        <v>196</v>
      </c>
      <c r="AO574" s="14">
        <v>175</v>
      </c>
      <c r="AR574" s="14">
        <v>237</v>
      </c>
    </row>
    <row r="575" spans="33:44" x14ac:dyDescent="0.25">
      <c r="AG575" s="14">
        <v>33</v>
      </c>
      <c r="AK575" s="14">
        <v>23</v>
      </c>
      <c r="AM575" s="14">
        <v>197</v>
      </c>
      <c r="AO575" s="14">
        <v>159</v>
      </c>
      <c r="AR575" s="14">
        <v>215</v>
      </c>
    </row>
    <row r="576" spans="33:44" x14ac:dyDescent="0.25">
      <c r="AG576" s="14">
        <v>176</v>
      </c>
      <c r="AK576" s="14">
        <v>74</v>
      </c>
      <c r="AM576" s="14">
        <v>197</v>
      </c>
      <c r="AO576" s="14">
        <v>182</v>
      </c>
      <c r="AR576" s="14">
        <v>177</v>
      </c>
    </row>
    <row r="577" spans="33:44" x14ac:dyDescent="0.25">
      <c r="AG577" s="14">
        <v>288</v>
      </c>
      <c r="AK577" s="14">
        <v>152</v>
      </c>
      <c r="AM577" s="14">
        <v>196</v>
      </c>
      <c r="AO577" s="14">
        <v>121</v>
      </c>
      <c r="AR577" s="14">
        <v>213</v>
      </c>
    </row>
    <row r="578" spans="33:44" x14ac:dyDescent="0.25">
      <c r="AG578" s="14">
        <v>166</v>
      </c>
      <c r="AK578" s="14">
        <v>39</v>
      </c>
      <c r="AM578" s="14">
        <v>104</v>
      </c>
      <c r="AO578" s="14">
        <v>55</v>
      </c>
      <c r="AR578" s="14">
        <v>61</v>
      </c>
    </row>
    <row r="579" spans="33:44" x14ac:dyDescent="0.25">
      <c r="AG579" s="14">
        <v>148</v>
      </c>
      <c r="AK579" s="14">
        <v>71</v>
      </c>
      <c r="AM579" s="14">
        <v>104</v>
      </c>
      <c r="AO579" s="14">
        <v>77</v>
      </c>
      <c r="AR579" s="14">
        <v>65</v>
      </c>
    </row>
    <row r="580" spans="33:44" x14ac:dyDescent="0.25">
      <c r="AG580" s="14">
        <v>240</v>
      </c>
      <c r="AK580" s="14">
        <v>314</v>
      </c>
      <c r="AM580" s="14">
        <v>103</v>
      </c>
      <c r="AO580" s="14">
        <v>311</v>
      </c>
      <c r="AR580" s="14">
        <v>15</v>
      </c>
    </row>
    <row r="581" spans="33:44" x14ac:dyDescent="0.25">
      <c r="AG581" s="14">
        <v>634</v>
      </c>
      <c r="AK581" s="14">
        <v>283</v>
      </c>
      <c r="AM581" s="14">
        <v>108</v>
      </c>
      <c r="AO581" s="14">
        <v>74</v>
      </c>
      <c r="AR581" s="14">
        <v>69</v>
      </c>
    </row>
    <row r="582" spans="33:44" x14ac:dyDescent="0.25">
      <c r="AG582" s="14">
        <v>326</v>
      </c>
      <c r="AK582" s="14">
        <v>168</v>
      </c>
      <c r="AM582" s="14">
        <v>107</v>
      </c>
      <c r="AO582" s="14">
        <v>559</v>
      </c>
      <c r="AR582" s="14">
        <v>1038</v>
      </c>
    </row>
    <row r="583" spans="33:44" x14ac:dyDescent="0.25">
      <c r="AG583" s="14">
        <v>410</v>
      </c>
      <c r="AK583" s="14">
        <v>2</v>
      </c>
      <c r="AM583" s="14">
        <v>107</v>
      </c>
      <c r="AO583" s="14">
        <v>15</v>
      </c>
      <c r="AR583" s="14">
        <v>877</v>
      </c>
    </row>
    <row r="584" spans="33:44" x14ac:dyDescent="0.25">
      <c r="AG584" s="14">
        <v>140</v>
      </c>
      <c r="AK584" s="14">
        <v>32</v>
      </c>
      <c r="AM584" s="14">
        <v>143</v>
      </c>
      <c r="AO584" s="14">
        <v>99</v>
      </c>
      <c r="AR584" s="14">
        <v>342</v>
      </c>
    </row>
    <row r="585" spans="33:44" x14ac:dyDescent="0.25">
      <c r="AG585" s="14">
        <v>86</v>
      </c>
      <c r="AK585" s="14">
        <v>43</v>
      </c>
      <c r="AM585" s="14">
        <v>142</v>
      </c>
      <c r="AO585" s="14">
        <v>159</v>
      </c>
      <c r="AR585" s="14">
        <v>413</v>
      </c>
    </row>
    <row r="586" spans="33:44" x14ac:dyDescent="0.25">
      <c r="AG586" s="14">
        <v>198</v>
      </c>
      <c r="AK586" s="14">
        <v>1</v>
      </c>
      <c r="AM586" s="14">
        <v>141</v>
      </c>
      <c r="AO586" s="14">
        <v>216</v>
      </c>
      <c r="AR586" s="14">
        <v>165</v>
      </c>
    </row>
    <row r="587" spans="33:44" x14ac:dyDescent="0.25">
      <c r="AG587" s="14">
        <v>466</v>
      </c>
      <c r="AK587" s="14">
        <v>75</v>
      </c>
      <c r="AM587" s="14">
        <v>10</v>
      </c>
      <c r="AO587" s="14">
        <v>91</v>
      </c>
      <c r="AR587" s="14">
        <v>167</v>
      </c>
    </row>
    <row r="588" spans="33:44" x14ac:dyDescent="0.25">
      <c r="AG588" s="14">
        <v>411</v>
      </c>
      <c r="AK588" s="14">
        <v>109</v>
      </c>
      <c r="AM588" s="14">
        <v>17</v>
      </c>
      <c r="AO588" s="14">
        <v>104</v>
      </c>
      <c r="AR588" s="14">
        <v>588</v>
      </c>
    </row>
    <row r="589" spans="33:44" x14ac:dyDescent="0.25">
      <c r="AG589" s="14">
        <v>991</v>
      </c>
      <c r="AK589" s="14">
        <v>65</v>
      </c>
      <c r="AM589" s="14">
        <v>15</v>
      </c>
      <c r="AO589" s="14">
        <v>67</v>
      </c>
      <c r="AR589" s="14">
        <v>438</v>
      </c>
    </row>
    <row r="590" spans="33:44" x14ac:dyDescent="0.25">
      <c r="AG590" s="14">
        <v>582</v>
      </c>
      <c r="AK590" s="14">
        <v>68</v>
      </c>
      <c r="AM590" s="14">
        <v>3</v>
      </c>
      <c r="AO590" s="14">
        <v>36</v>
      </c>
      <c r="AR590" s="14">
        <v>76</v>
      </c>
    </row>
    <row r="591" spans="33:44" x14ac:dyDescent="0.25">
      <c r="AG591" s="14">
        <v>247</v>
      </c>
      <c r="AK591" s="14">
        <v>64</v>
      </c>
      <c r="AM591" s="14">
        <v>9</v>
      </c>
      <c r="AO591" s="14">
        <v>224</v>
      </c>
      <c r="AR591" s="14">
        <v>235</v>
      </c>
    </row>
    <row r="592" spans="33:44" x14ac:dyDescent="0.25">
      <c r="AG592" s="14">
        <v>393</v>
      </c>
      <c r="AK592" s="14">
        <v>112</v>
      </c>
      <c r="AM592" s="14">
        <v>8</v>
      </c>
      <c r="AO592" s="14">
        <v>445</v>
      </c>
      <c r="AR592" s="14">
        <v>250</v>
      </c>
    </row>
    <row r="593" spans="33:44" x14ac:dyDescent="0.25">
      <c r="AG593" s="14">
        <v>27</v>
      </c>
      <c r="AK593" s="14">
        <v>99</v>
      </c>
      <c r="AM593" s="14">
        <v>47</v>
      </c>
      <c r="AO593" s="14">
        <v>665</v>
      </c>
      <c r="AR593" s="14">
        <v>79</v>
      </c>
    </row>
    <row r="594" spans="33:44" x14ac:dyDescent="0.25">
      <c r="AG594" s="14">
        <v>131</v>
      </c>
      <c r="AK594" s="14">
        <v>104</v>
      </c>
      <c r="AM594" s="14">
        <v>47</v>
      </c>
      <c r="AO594" s="14">
        <v>20</v>
      </c>
      <c r="AR594" s="14">
        <v>301</v>
      </c>
    </row>
    <row r="595" spans="33:44" x14ac:dyDescent="0.25">
      <c r="AG595" s="14">
        <v>133</v>
      </c>
      <c r="AK595" s="14">
        <v>45</v>
      </c>
      <c r="AM595" s="14">
        <v>50</v>
      </c>
      <c r="AO595" s="14">
        <v>73</v>
      </c>
      <c r="AR595" s="14">
        <v>83</v>
      </c>
    </row>
    <row r="596" spans="33:44" x14ac:dyDescent="0.25">
      <c r="AK596" s="14">
        <v>56</v>
      </c>
      <c r="AM596" s="14">
        <v>55</v>
      </c>
      <c r="AO596" s="14">
        <v>192</v>
      </c>
      <c r="AR596" s="14">
        <v>195</v>
      </c>
    </row>
    <row r="597" spans="33:44" x14ac:dyDescent="0.25">
      <c r="AK597" s="14">
        <v>108</v>
      </c>
      <c r="AM597" s="14">
        <v>54</v>
      </c>
      <c r="AO597" s="14">
        <v>211</v>
      </c>
      <c r="AR597" s="14">
        <v>163</v>
      </c>
    </row>
    <row r="598" spans="33:44" x14ac:dyDescent="0.25">
      <c r="AK598" s="14">
        <v>78</v>
      </c>
      <c r="AM598" s="14">
        <v>56</v>
      </c>
      <c r="AO598" s="14">
        <v>203</v>
      </c>
      <c r="AR598" s="14">
        <v>115</v>
      </c>
    </row>
    <row r="599" spans="33:44" x14ac:dyDescent="0.25">
      <c r="AK599" s="14">
        <v>157</v>
      </c>
      <c r="AM599" s="14">
        <v>49</v>
      </c>
      <c r="AO599" s="14">
        <v>132</v>
      </c>
      <c r="AR599" s="14">
        <v>177</v>
      </c>
    </row>
    <row r="600" spans="33:44" x14ac:dyDescent="0.25">
      <c r="AK600" s="14">
        <v>60</v>
      </c>
      <c r="AM600" s="14">
        <v>43</v>
      </c>
      <c r="AO600" s="14">
        <v>46</v>
      </c>
      <c r="AR600" s="14">
        <v>105</v>
      </c>
    </row>
    <row r="601" spans="33:44" x14ac:dyDescent="0.25">
      <c r="AK601" s="14">
        <v>162</v>
      </c>
      <c r="AM601" s="14">
        <v>47</v>
      </c>
      <c r="AO601" s="14">
        <v>131</v>
      </c>
      <c r="AR601" s="14">
        <v>254</v>
      </c>
    </row>
    <row r="602" spans="33:44" x14ac:dyDescent="0.25">
      <c r="AK602" s="14">
        <v>58</v>
      </c>
      <c r="AM602" s="14">
        <v>81</v>
      </c>
      <c r="AO602" s="14">
        <v>327</v>
      </c>
      <c r="AR602" s="14">
        <v>56</v>
      </c>
    </row>
    <row r="603" spans="33:44" x14ac:dyDescent="0.25">
      <c r="AK603" s="14">
        <v>126</v>
      </c>
      <c r="AM603" s="14">
        <v>103</v>
      </c>
      <c r="AO603" s="14">
        <v>191</v>
      </c>
      <c r="AR603" s="14">
        <v>230</v>
      </c>
    </row>
    <row r="604" spans="33:44" x14ac:dyDescent="0.25">
      <c r="AK604" s="14">
        <v>55</v>
      </c>
      <c r="AM604" s="14">
        <v>102</v>
      </c>
      <c r="AO604" s="14">
        <v>421</v>
      </c>
      <c r="AR604" s="14">
        <v>31</v>
      </c>
    </row>
    <row r="605" spans="33:44" x14ac:dyDescent="0.25">
      <c r="AK605" s="14">
        <v>44</v>
      </c>
      <c r="AM605" s="14">
        <v>92</v>
      </c>
      <c r="AO605" s="14">
        <v>12</v>
      </c>
      <c r="AR605" s="14">
        <v>172</v>
      </c>
    </row>
    <row r="606" spans="33:44" x14ac:dyDescent="0.25">
      <c r="AK606" s="14">
        <v>1</v>
      </c>
      <c r="AM606" s="14">
        <v>109</v>
      </c>
      <c r="AO606" s="14">
        <v>536</v>
      </c>
      <c r="AR606" s="14">
        <v>218</v>
      </c>
    </row>
    <row r="607" spans="33:44" x14ac:dyDescent="0.25">
      <c r="AK607" s="14">
        <v>88</v>
      </c>
      <c r="AM607" s="14">
        <v>107</v>
      </c>
      <c r="AO607" s="14">
        <v>213</v>
      </c>
      <c r="AR607" s="14">
        <v>231</v>
      </c>
    </row>
    <row r="608" spans="33:44" x14ac:dyDescent="0.25">
      <c r="AK608" s="14">
        <v>96</v>
      </c>
      <c r="AM608" s="14">
        <v>5</v>
      </c>
      <c r="AO608" s="14">
        <v>110</v>
      </c>
      <c r="AR608" s="14">
        <v>255</v>
      </c>
    </row>
    <row r="609" spans="37:44" x14ac:dyDescent="0.25">
      <c r="AK609" s="14">
        <v>46</v>
      </c>
      <c r="AM609" s="14">
        <v>157</v>
      </c>
      <c r="AO609" s="14">
        <v>103</v>
      </c>
      <c r="AR609" s="14">
        <v>43</v>
      </c>
    </row>
    <row r="610" spans="37:44" x14ac:dyDescent="0.25">
      <c r="AK610" s="14">
        <v>26</v>
      </c>
      <c r="AM610" s="14">
        <v>71</v>
      </c>
      <c r="AO610" s="14">
        <v>230</v>
      </c>
      <c r="AR610" s="14">
        <v>35</v>
      </c>
    </row>
    <row r="611" spans="37:44" x14ac:dyDescent="0.25">
      <c r="AK611" s="14">
        <v>74</v>
      </c>
      <c r="AM611" s="14">
        <v>6</v>
      </c>
      <c r="AO611" s="14">
        <v>416</v>
      </c>
      <c r="AR611" s="14">
        <v>196</v>
      </c>
    </row>
    <row r="612" spans="37:44" x14ac:dyDescent="0.25">
      <c r="AK612" s="14">
        <v>44</v>
      </c>
      <c r="AM612" s="14">
        <v>159</v>
      </c>
      <c r="AO612" s="14">
        <v>328</v>
      </c>
      <c r="AR612" s="14">
        <v>231</v>
      </c>
    </row>
    <row r="613" spans="37:44" x14ac:dyDescent="0.25">
      <c r="AK613" s="14">
        <v>101</v>
      </c>
      <c r="AM613" s="14">
        <v>73</v>
      </c>
      <c r="AO613" s="14">
        <v>160</v>
      </c>
      <c r="AR613" s="14">
        <v>99</v>
      </c>
    </row>
    <row r="614" spans="37:44" x14ac:dyDescent="0.25">
      <c r="AK614" s="14">
        <v>47</v>
      </c>
      <c r="AM614" s="14">
        <v>6</v>
      </c>
      <c r="AO614" s="14">
        <v>221</v>
      </c>
      <c r="AR614" s="14">
        <v>156</v>
      </c>
    </row>
    <row r="615" spans="37:44" x14ac:dyDescent="0.25">
      <c r="AK615" s="14">
        <v>1</v>
      </c>
      <c r="AM615" s="14">
        <v>159</v>
      </c>
      <c r="AO615" s="14">
        <v>291</v>
      </c>
      <c r="AR615" s="14">
        <v>91</v>
      </c>
    </row>
    <row r="616" spans="37:44" x14ac:dyDescent="0.25">
      <c r="AK616" s="14">
        <v>14</v>
      </c>
      <c r="AM616" s="14">
        <v>73</v>
      </c>
      <c r="AO616" s="14">
        <v>463</v>
      </c>
      <c r="AR616" s="14">
        <v>255</v>
      </c>
    </row>
    <row r="617" spans="37:44" x14ac:dyDescent="0.25">
      <c r="AK617" s="14">
        <v>77</v>
      </c>
      <c r="AM617" s="14">
        <v>156</v>
      </c>
      <c r="AO617" s="14">
        <v>172</v>
      </c>
      <c r="AR617" s="14">
        <v>185</v>
      </c>
    </row>
    <row r="618" spans="37:44" x14ac:dyDescent="0.25">
      <c r="AK618" s="14">
        <v>192</v>
      </c>
      <c r="AM618" s="14">
        <v>149</v>
      </c>
      <c r="AO618" s="14">
        <v>473</v>
      </c>
      <c r="AR618" s="14">
        <v>185</v>
      </c>
    </row>
    <row r="619" spans="37:44" x14ac:dyDescent="0.25">
      <c r="AK619" s="14">
        <v>252</v>
      </c>
      <c r="AM619" s="14">
        <v>130</v>
      </c>
      <c r="AO619" s="14">
        <v>137</v>
      </c>
      <c r="AR619" s="14">
        <v>22</v>
      </c>
    </row>
    <row r="620" spans="37:44" x14ac:dyDescent="0.25">
      <c r="AK620" s="14">
        <v>32</v>
      </c>
      <c r="AM620" s="14">
        <v>126</v>
      </c>
      <c r="AO620" s="14">
        <v>224</v>
      </c>
      <c r="AR620" s="14">
        <v>254</v>
      </c>
    </row>
    <row r="621" spans="37:44" x14ac:dyDescent="0.25">
      <c r="AK621" s="14">
        <v>101</v>
      </c>
      <c r="AM621" s="14">
        <v>126</v>
      </c>
      <c r="AO621" s="14">
        <v>176</v>
      </c>
      <c r="AR621" s="14">
        <v>222</v>
      </c>
    </row>
    <row r="622" spans="37:44" x14ac:dyDescent="0.25">
      <c r="AK622" s="14">
        <v>3</v>
      </c>
      <c r="AM622" s="14">
        <v>131</v>
      </c>
      <c r="AO622" s="14">
        <v>243</v>
      </c>
      <c r="AR622" s="14">
        <v>196</v>
      </c>
    </row>
    <row r="623" spans="37:44" x14ac:dyDescent="0.25">
      <c r="AK623" s="14">
        <v>138</v>
      </c>
      <c r="AM623" s="14">
        <v>126</v>
      </c>
      <c r="AO623" s="14">
        <v>415</v>
      </c>
      <c r="AR623" s="14">
        <v>226</v>
      </c>
    </row>
    <row r="624" spans="37:44" x14ac:dyDescent="0.25">
      <c r="AK624" s="14">
        <v>31</v>
      </c>
      <c r="AM624" s="14">
        <v>237</v>
      </c>
      <c r="AO624" s="14">
        <v>200</v>
      </c>
      <c r="AR624" s="14">
        <v>202</v>
      </c>
    </row>
    <row r="625" spans="37:44" x14ac:dyDescent="0.25">
      <c r="AK625" s="14">
        <v>244</v>
      </c>
      <c r="AM625" s="14">
        <v>235</v>
      </c>
      <c r="AO625" s="14">
        <v>247</v>
      </c>
      <c r="AR625" s="14">
        <v>81</v>
      </c>
    </row>
    <row r="626" spans="37:44" x14ac:dyDescent="0.25">
      <c r="AK626" s="14">
        <v>222</v>
      </c>
      <c r="AM626" s="14">
        <v>235</v>
      </c>
      <c r="AO626" s="14">
        <v>432</v>
      </c>
      <c r="AR626" s="14">
        <v>78</v>
      </c>
    </row>
    <row r="627" spans="37:44" x14ac:dyDescent="0.25">
      <c r="AK627" s="14">
        <v>59</v>
      </c>
      <c r="AM627" s="14">
        <v>235</v>
      </c>
      <c r="AO627" s="14">
        <v>785</v>
      </c>
      <c r="AR627" s="14">
        <v>59</v>
      </c>
    </row>
    <row r="628" spans="37:44" x14ac:dyDescent="0.25">
      <c r="AK628" s="14">
        <v>9</v>
      </c>
      <c r="AM628" s="14">
        <v>120</v>
      </c>
      <c r="AO628" s="14">
        <v>257</v>
      </c>
      <c r="AR628" s="14">
        <v>56</v>
      </c>
    </row>
    <row r="629" spans="37:44" x14ac:dyDescent="0.25">
      <c r="AK629" s="14">
        <v>94</v>
      </c>
      <c r="AM629" s="14">
        <v>116</v>
      </c>
      <c r="AO629" s="14">
        <v>576</v>
      </c>
      <c r="AR629" s="14">
        <v>63</v>
      </c>
    </row>
    <row r="630" spans="37:44" x14ac:dyDescent="0.25">
      <c r="AK630" s="14">
        <v>171</v>
      </c>
      <c r="AM630" s="14">
        <v>24</v>
      </c>
      <c r="AO630" s="14">
        <v>102</v>
      </c>
      <c r="AR630" s="14">
        <v>60</v>
      </c>
    </row>
    <row r="631" spans="37:44" x14ac:dyDescent="0.25">
      <c r="AK631" s="14">
        <v>59</v>
      </c>
      <c r="AM631" s="14">
        <v>22</v>
      </c>
      <c r="AO631" s="14">
        <v>279</v>
      </c>
      <c r="AR631" s="14">
        <v>177</v>
      </c>
    </row>
    <row r="632" spans="37:44" x14ac:dyDescent="0.25">
      <c r="AK632" s="14">
        <v>63</v>
      </c>
      <c r="AM632" s="14">
        <v>22</v>
      </c>
      <c r="AO632" s="14">
        <v>697</v>
      </c>
      <c r="AR632" s="14">
        <v>223</v>
      </c>
    </row>
    <row r="633" spans="37:44" x14ac:dyDescent="0.25">
      <c r="AK633" s="14">
        <v>18</v>
      </c>
      <c r="AM633" s="14">
        <v>2</v>
      </c>
      <c r="AO633" s="14">
        <v>906</v>
      </c>
      <c r="AR633" s="14">
        <v>80</v>
      </c>
    </row>
    <row r="634" spans="37:44" x14ac:dyDescent="0.25">
      <c r="AK634" s="14">
        <v>125</v>
      </c>
      <c r="AM634" s="14">
        <v>113</v>
      </c>
      <c r="AO634" s="14">
        <v>615</v>
      </c>
      <c r="AR634" s="14">
        <v>87</v>
      </c>
    </row>
    <row r="635" spans="37:44" x14ac:dyDescent="0.25">
      <c r="AK635" s="14">
        <v>267</v>
      </c>
      <c r="AM635" s="14">
        <v>114</v>
      </c>
      <c r="AO635" s="14">
        <v>630</v>
      </c>
      <c r="AR635" s="14">
        <v>171</v>
      </c>
    </row>
    <row r="636" spans="37:44" x14ac:dyDescent="0.25">
      <c r="AK636" s="14">
        <v>190</v>
      </c>
      <c r="AM636" s="14">
        <v>13</v>
      </c>
      <c r="AO636" s="14">
        <v>285</v>
      </c>
      <c r="AR636" s="14">
        <v>225</v>
      </c>
    </row>
    <row r="637" spans="37:44" x14ac:dyDescent="0.25">
      <c r="AK637" s="14">
        <v>141</v>
      </c>
      <c r="AM637" s="14">
        <v>121</v>
      </c>
      <c r="AO637" s="14">
        <v>210</v>
      </c>
      <c r="AR637" s="14">
        <v>109</v>
      </c>
    </row>
    <row r="638" spans="37:44" x14ac:dyDescent="0.25">
      <c r="AK638" s="14">
        <v>135</v>
      </c>
      <c r="AM638" s="14">
        <v>120</v>
      </c>
      <c r="AO638" s="14">
        <v>352</v>
      </c>
      <c r="AR638" s="14">
        <v>118</v>
      </c>
    </row>
    <row r="639" spans="37:44" x14ac:dyDescent="0.25">
      <c r="AK639" s="14">
        <v>158</v>
      </c>
      <c r="AM639" s="14">
        <v>21</v>
      </c>
      <c r="AO639" s="14">
        <v>251</v>
      </c>
      <c r="AR639" s="14">
        <v>261</v>
      </c>
    </row>
    <row r="640" spans="37:44" x14ac:dyDescent="0.25">
      <c r="AK640" s="14">
        <v>147</v>
      </c>
      <c r="AM640" s="14">
        <v>77</v>
      </c>
      <c r="AO640" s="14">
        <v>796</v>
      </c>
      <c r="AR640" s="14">
        <v>263</v>
      </c>
    </row>
    <row r="641" spans="37:44" x14ac:dyDescent="0.25">
      <c r="AK641" s="14">
        <v>253</v>
      </c>
      <c r="AM641" s="14">
        <v>63</v>
      </c>
      <c r="AO641" s="14">
        <v>573</v>
      </c>
      <c r="AR641" s="14">
        <v>1</v>
      </c>
    </row>
    <row r="642" spans="37:44" x14ac:dyDescent="0.25">
      <c r="AK642" s="14">
        <v>379</v>
      </c>
      <c r="AM642" s="14">
        <v>19</v>
      </c>
      <c r="AO642" s="14">
        <v>376</v>
      </c>
      <c r="AR642" s="14">
        <v>198</v>
      </c>
    </row>
    <row r="643" spans="37:44" x14ac:dyDescent="0.25">
      <c r="AK643" s="14">
        <v>353</v>
      </c>
      <c r="AM643" s="14">
        <v>81</v>
      </c>
      <c r="AO643" s="14">
        <v>108</v>
      </c>
      <c r="AR643" s="14">
        <v>42</v>
      </c>
    </row>
    <row r="644" spans="37:44" x14ac:dyDescent="0.25">
      <c r="AK644" s="14">
        <v>286</v>
      </c>
      <c r="AM644" s="14">
        <v>67</v>
      </c>
      <c r="AO644" s="14">
        <v>256</v>
      </c>
      <c r="AR644" s="14">
        <v>224</v>
      </c>
    </row>
    <row r="645" spans="37:44" x14ac:dyDescent="0.25">
      <c r="AK645" s="14">
        <v>1</v>
      </c>
      <c r="AM645" s="14">
        <v>19</v>
      </c>
      <c r="AO645" s="14">
        <v>213</v>
      </c>
      <c r="AR645" s="14">
        <v>182</v>
      </c>
    </row>
    <row r="646" spans="37:44" x14ac:dyDescent="0.25">
      <c r="AK646" s="14">
        <v>135</v>
      </c>
      <c r="AM646" s="14">
        <v>81</v>
      </c>
      <c r="AO646" s="14">
        <v>116</v>
      </c>
      <c r="AR646" s="14">
        <v>182</v>
      </c>
    </row>
    <row r="647" spans="37:44" x14ac:dyDescent="0.25">
      <c r="AK647" s="14">
        <v>156</v>
      </c>
      <c r="AM647" s="14">
        <v>67</v>
      </c>
      <c r="AO647" s="14">
        <v>172</v>
      </c>
      <c r="AR647" s="14">
        <v>185</v>
      </c>
    </row>
    <row r="648" spans="37:44" x14ac:dyDescent="0.25">
      <c r="AK648" s="14">
        <v>449</v>
      </c>
      <c r="AM648" s="14">
        <v>99</v>
      </c>
      <c r="AO648" s="14">
        <v>217</v>
      </c>
      <c r="AR648" s="14">
        <v>186</v>
      </c>
    </row>
    <row r="649" spans="37:44" x14ac:dyDescent="0.25">
      <c r="AK649" s="14">
        <v>152</v>
      </c>
      <c r="AM649" s="14">
        <v>97</v>
      </c>
      <c r="AO649" s="14">
        <v>227</v>
      </c>
      <c r="AR649" s="14">
        <v>19</v>
      </c>
    </row>
    <row r="650" spans="37:44" x14ac:dyDescent="0.25">
      <c r="AK650" s="14">
        <v>165</v>
      </c>
      <c r="AM650" s="14">
        <v>93</v>
      </c>
      <c r="AO650" s="14">
        <v>150</v>
      </c>
      <c r="AR650" s="14">
        <v>94</v>
      </c>
    </row>
    <row r="651" spans="37:44" x14ac:dyDescent="0.25">
      <c r="AK651" s="14">
        <v>219</v>
      </c>
      <c r="AM651" s="14">
        <v>99</v>
      </c>
      <c r="AO651" s="14">
        <v>484</v>
      </c>
      <c r="AR651" s="14">
        <v>13</v>
      </c>
    </row>
    <row r="652" spans="37:44" x14ac:dyDescent="0.25">
      <c r="AK652" s="14">
        <v>50</v>
      </c>
      <c r="AM652" s="14">
        <v>97</v>
      </c>
      <c r="AO652" s="14">
        <v>339</v>
      </c>
      <c r="AR652" s="14">
        <v>93</v>
      </c>
    </row>
    <row r="653" spans="37:44" x14ac:dyDescent="0.25">
      <c r="AK653" s="14">
        <v>247</v>
      </c>
      <c r="AM653" s="14">
        <v>94</v>
      </c>
      <c r="AO653" s="14">
        <v>636</v>
      </c>
      <c r="AR653" s="14">
        <v>74</v>
      </c>
    </row>
    <row r="654" spans="37:44" x14ac:dyDescent="0.25">
      <c r="AK654" s="14">
        <v>79</v>
      </c>
      <c r="AM654" s="14">
        <v>108</v>
      </c>
      <c r="AO654" s="14">
        <v>444</v>
      </c>
      <c r="AR654" s="14">
        <v>92</v>
      </c>
    </row>
    <row r="655" spans="37:44" x14ac:dyDescent="0.25">
      <c r="AK655" s="14">
        <v>48</v>
      </c>
      <c r="AM655" s="14">
        <v>161</v>
      </c>
      <c r="AO655" s="14">
        <v>142</v>
      </c>
      <c r="AR655" s="14">
        <v>461</v>
      </c>
    </row>
    <row r="656" spans="37:44" x14ac:dyDescent="0.25">
      <c r="AK656" s="14">
        <v>68</v>
      </c>
      <c r="AM656" s="14">
        <v>6</v>
      </c>
      <c r="AO656" s="14">
        <v>575</v>
      </c>
      <c r="AR656" s="14">
        <v>425</v>
      </c>
    </row>
    <row r="657" spans="37:44" x14ac:dyDescent="0.25">
      <c r="AK657" s="14">
        <v>93</v>
      </c>
      <c r="AM657" s="14">
        <v>109</v>
      </c>
      <c r="AO657" s="14">
        <v>468</v>
      </c>
      <c r="AR657" s="14">
        <v>286</v>
      </c>
    </row>
    <row r="658" spans="37:44" x14ac:dyDescent="0.25">
      <c r="AK658" s="14">
        <v>178</v>
      </c>
      <c r="AM658" s="14">
        <v>163</v>
      </c>
      <c r="AO658" s="14">
        <v>136</v>
      </c>
      <c r="AR658" s="14">
        <v>414</v>
      </c>
    </row>
    <row r="659" spans="37:44" x14ac:dyDescent="0.25">
      <c r="AK659" s="14">
        <v>133</v>
      </c>
      <c r="AM659" s="14">
        <v>3</v>
      </c>
      <c r="AO659" s="14">
        <v>497</v>
      </c>
      <c r="AR659" s="14">
        <v>178</v>
      </c>
    </row>
    <row r="660" spans="37:44" x14ac:dyDescent="0.25">
      <c r="AK660" s="14">
        <v>22</v>
      </c>
      <c r="AM660" s="14">
        <v>109</v>
      </c>
      <c r="AO660" s="14">
        <v>699</v>
      </c>
      <c r="AR660" s="14">
        <v>327</v>
      </c>
    </row>
    <row r="661" spans="37:44" x14ac:dyDescent="0.25">
      <c r="AK661" s="14">
        <v>200</v>
      </c>
      <c r="AM661" s="14">
        <v>163</v>
      </c>
      <c r="AO661" s="14">
        <v>268</v>
      </c>
      <c r="AR661" s="14">
        <v>93</v>
      </c>
    </row>
    <row r="662" spans="37:44" x14ac:dyDescent="0.25">
      <c r="AK662" s="14">
        <v>47</v>
      </c>
      <c r="AM662" s="14">
        <v>3</v>
      </c>
      <c r="AO662" s="14">
        <v>478</v>
      </c>
      <c r="AR662" s="14">
        <v>228</v>
      </c>
    </row>
    <row r="663" spans="37:44" x14ac:dyDescent="0.25">
      <c r="AK663" s="14">
        <v>789</v>
      </c>
      <c r="AM663" s="14">
        <v>252</v>
      </c>
      <c r="AO663" s="14">
        <v>596</v>
      </c>
      <c r="AR663" s="14">
        <v>265</v>
      </c>
    </row>
    <row r="664" spans="37:44" x14ac:dyDescent="0.25">
      <c r="AK664" s="14">
        <v>393</v>
      </c>
      <c r="AM664" s="14">
        <v>292</v>
      </c>
      <c r="AO664" s="14">
        <v>212</v>
      </c>
      <c r="AR664" s="14">
        <v>215</v>
      </c>
    </row>
    <row r="665" spans="37:44" x14ac:dyDescent="0.25">
      <c r="AK665" s="14">
        <v>49</v>
      </c>
      <c r="AM665" s="14">
        <v>239</v>
      </c>
      <c r="AO665" s="14">
        <v>329</v>
      </c>
      <c r="AR665" s="14">
        <v>63</v>
      </c>
    </row>
    <row r="666" spans="37:44" x14ac:dyDescent="0.25">
      <c r="AK666" s="14">
        <v>157</v>
      </c>
      <c r="AM666" s="14">
        <v>62</v>
      </c>
      <c r="AO666" s="14">
        <v>298</v>
      </c>
      <c r="AR666" s="14">
        <v>326</v>
      </c>
    </row>
    <row r="667" spans="37:44" x14ac:dyDescent="0.25">
      <c r="AK667" s="14">
        <v>84</v>
      </c>
      <c r="AM667" s="14">
        <v>145</v>
      </c>
      <c r="AO667" s="14">
        <v>318</v>
      </c>
      <c r="AR667" s="14">
        <v>205</v>
      </c>
    </row>
    <row r="668" spans="37:44" x14ac:dyDescent="0.25">
      <c r="AK668" s="14">
        <v>194</v>
      </c>
      <c r="AM668" s="14">
        <v>126</v>
      </c>
      <c r="AO668" s="14">
        <v>221</v>
      </c>
      <c r="AR668" s="14">
        <v>302</v>
      </c>
    </row>
    <row r="669" spans="37:44" x14ac:dyDescent="0.25">
      <c r="AK669" s="14">
        <v>69</v>
      </c>
      <c r="AM669" s="14">
        <v>61</v>
      </c>
      <c r="AO669" s="14">
        <v>219</v>
      </c>
      <c r="AR669" s="14">
        <v>173</v>
      </c>
    </row>
    <row r="670" spans="37:44" x14ac:dyDescent="0.25">
      <c r="AK670" s="14">
        <v>174</v>
      </c>
      <c r="AM670" s="14">
        <v>147</v>
      </c>
      <c r="AO670" s="14">
        <v>638</v>
      </c>
      <c r="AR670" s="14">
        <v>194</v>
      </c>
    </row>
    <row r="671" spans="37:44" x14ac:dyDescent="0.25">
      <c r="AK671" s="14">
        <v>203</v>
      </c>
      <c r="AM671" s="14">
        <v>129</v>
      </c>
      <c r="AO671" s="14">
        <v>129</v>
      </c>
      <c r="AR671" s="14">
        <v>147</v>
      </c>
    </row>
    <row r="672" spans="37:44" x14ac:dyDescent="0.25">
      <c r="AK672" s="14">
        <v>211</v>
      </c>
      <c r="AM672" s="14">
        <v>61</v>
      </c>
      <c r="AO672" s="14">
        <v>168</v>
      </c>
      <c r="AR672" s="14">
        <v>182</v>
      </c>
    </row>
    <row r="673" spans="37:44" x14ac:dyDescent="0.25">
      <c r="AK673" s="14">
        <v>152</v>
      </c>
      <c r="AM673" s="14">
        <v>147</v>
      </c>
      <c r="AO673" s="14">
        <v>240</v>
      </c>
      <c r="AR673" s="14">
        <v>243</v>
      </c>
    </row>
    <row r="674" spans="37:44" x14ac:dyDescent="0.25">
      <c r="AK674" s="14">
        <v>220</v>
      </c>
      <c r="AM674" s="14">
        <v>129</v>
      </c>
      <c r="AO674" s="14">
        <v>331</v>
      </c>
      <c r="AR674" s="14">
        <v>103</v>
      </c>
    </row>
    <row r="675" spans="37:44" x14ac:dyDescent="0.25">
      <c r="AK675" s="14">
        <v>155</v>
      </c>
      <c r="AM675" s="14">
        <v>248</v>
      </c>
      <c r="AO675" s="14">
        <v>248</v>
      </c>
      <c r="AR675" s="14">
        <v>249</v>
      </c>
    </row>
    <row r="676" spans="37:44" x14ac:dyDescent="0.25">
      <c r="AK676" s="14">
        <v>653</v>
      </c>
      <c r="AM676" s="14">
        <v>256</v>
      </c>
      <c r="AO676" s="14">
        <v>141</v>
      </c>
      <c r="AR676" s="14">
        <v>120</v>
      </c>
    </row>
    <row r="677" spans="37:44" x14ac:dyDescent="0.25">
      <c r="AK677" s="14">
        <v>145</v>
      </c>
      <c r="AM677" s="14">
        <v>238</v>
      </c>
      <c r="AO677" s="14">
        <v>319</v>
      </c>
      <c r="AR677" s="14">
        <v>249</v>
      </c>
    </row>
    <row r="678" spans="37:44" x14ac:dyDescent="0.25">
      <c r="AK678" s="14">
        <v>57</v>
      </c>
      <c r="AM678" s="14">
        <v>90</v>
      </c>
      <c r="AO678" s="14">
        <v>143</v>
      </c>
      <c r="AR678" s="14">
        <v>289</v>
      </c>
    </row>
    <row r="679" spans="37:44" x14ac:dyDescent="0.25">
      <c r="AK679" s="14">
        <v>55</v>
      </c>
      <c r="AM679" s="14">
        <v>92</v>
      </c>
      <c r="AO679" s="14">
        <v>822</v>
      </c>
      <c r="AR679" s="14">
        <v>295</v>
      </c>
    </row>
    <row r="680" spans="37:44" x14ac:dyDescent="0.25">
      <c r="AK680" s="14">
        <v>141</v>
      </c>
      <c r="AM680" s="14">
        <v>92</v>
      </c>
      <c r="AO680" s="14">
        <v>531</v>
      </c>
      <c r="AR680" s="14">
        <v>316</v>
      </c>
    </row>
    <row r="681" spans="37:44" x14ac:dyDescent="0.25">
      <c r="AK681" s="14">
        <v>123</v>
      </c>
      <c r="AM681" s="14">
        <v>91</v>
      </c>
      <c r="AO681" s="14">
        <v>102</v>
      </c>
      <c r="AR681" s="14">
        <v>10</v>
      </c>
    </row>
    <row r="682" spans="37:44" x14ac:dyDescent="0.25">
      <c r="AK682" s="14">
        <v>65</v>
      </c>
      <c r="AM682" s="14">
        <v>92</v>
      </c>
      <c r="AO682" s="14">
        <v>434</v>
      </c>
      <c r="AR682" s="14">
        <v>24</v>
      </c>
    </row>
    <row r="683" spans="37:44" x14ac:dyDescent="0.25">
      <c r="AK683" s="14">
        <v>51</v>
      </c>
      <c r="AM683" s="14">
        <v>93</v>
      </c>
      <c r="AO683" s="14">
        <v>482</v>
      </c>
      <c r="AR683" s="14">
        <v>295</v>
      </c>
    </row>
    <row r="684" spans="37:44" x14ac:dyDescent="0.25">
      <c r="AK684" s="14">
        <v>67</v>
      </c>
      <c r="AM684" s="14">
        <v>59</v>
      </c>
      <c r="AO684" s="14">
        <v>157</v>
      </c>
      <c r="AR684" s="14">
        <v>299</v>
      </c>
    </row>
    <row r="685" spans="37:44" x14ac:dyDescent="0.25">
      <c r="AK685" s="14">
        <v>14</v>
      </c>
      <c r="AM685" s="14">
        <v>57</v>
      </c>
      <c r="AO685" s="14">
        <v>101</v>
      </c>
      <c r="AR685" s="14">
        <v>144</v>
      </c>
    </row>
    <row r="686" spans="37:44" x14ac:dyDescent="0.25">
      <c r="AK686" s="14">
        <v>14</v>
      </c>
      <c r="AM686" s="14">
        <v>108</v>
      </c>
      <c r="AO686" s="14">
        <v>511</v>
      </c>
      <c r="AR686" s="14">
        <v>265</v>
      </c>
    </row>
    <row r="687" spans="37:44" x14ac:dyDescent="0.25">
      <c r="AK687" s="14">
        <v>77</v>
      </c>
      <c r="AM687" s="14">
        <v>58</v>
      </c>
      <c r="AO687" s="14">
        <v>575</v>
      </c>
      <c r="AR687" s="14">
        <v>156</v>
      </c>
    </row>
    <row r="688" spans="37:44" x14ac:dyDescent="0.25">
      <c r="AK688" s="14">
        <v>138</v>
      </c>
      <c r="AM688" s="14">
        <v>58</v>
      </c>
      <c r="AO688" s="14">
        <v>667</v>
      </c>
      <c r="AR688" s="14">
        <v>207</v>
      </c>
    </row>
    <row r="689" spans="37:44" x14ac:dyDescent="0.25">
      <c r="AK689" s="14">
        <v>91</v>
      </c>
      <c r="AM689" s="14">
        <v>110</v>
      </c>
      <c r="AO689" s="14">
        <v>185</v>
      </c>
      <c r="AR689" s="14">
        <v>204</v>
      </c>
    </row>
    <row r="690" spans="37:44" x14ac:dyDescent="0.25">
      <c r="AK690" s="14">
        <v>32</v>
      </c>
      <c r="AM690" s="14">
        <v>58</v>
      </c>
      <c r="AO690" s="14">
        <v>170</v>
      </c>
      <c r="AR690" s="14">
        <v>210</v>
      </c>
    </row>
    <row r="691" spans="37:44" x14ac:dyDescent="0.25">
      <c r="AK691" s="14">
        <v>50</v>
      </c>
      <c r="AM691" s="14">
        <v>58</v>
      </c>
      <c r="AO691" s="14">
        <v>320</v>
      </c>
      <c r="AR691" s="14">
        <v>8</v>
      </c>
    </row>
    <row r="692" spans="37:44" x14ac:dyDescent="0.25">
      <c r="AK692" s="14">
        <v>72</v>
      </c>
      <c r="AM692" s="14">
        <v>110</v>
      </c>
      <c r="AO692" s="14">
        <v>665</v>
      </c>
      <c r="AR692" s="14">
        <v>233</v>
      </c>
    </row>
    <row r="693" spans="37:44" x14ac:dyDescent="0.25">
      <c r="AK693" s="14">
        <v>112</v>
      </c>
      <c r="AM693" s="14">
        <v>77</v>
      </c>
      <c r="AO693" s="14">
        <v>345</v>
      </c>
      <c r="AR693" s="14">
        <v>120</v>
      </c>
    </row>
    <row r="694" spans="37:44" x14ac:dyDescent="0.25">
      <c r="AK694" s="14">
        <v>104</v>
      </c>
      <c r="AM694" s="14">
        <v>82</v>
      </c>
      <c r="AO694" s="14">
        <v>141</v>
      </c>
      <c r="AR694" s="14">
        <v>72</v>
      </c>
    </row>
    <row r="695" spans="37:44" x14ac:dyDescent="0.25">
      <c r="AK695" s="14">
        <v>63</v>
      </c>
      <c r="AM695" s="14">
        <v>79</v>
      </c>
      <c r="AO695" s="14">
        <v>527</v>
      </c>
      <c r="AR695" s="14">
        <v>136</v>
      </c>
    </row>
    <row r="696" spans="37:44" x14ac:dyDescent="0.25">
      <c r="AK696" s="14">
        <v>92</v>
      </c>
      <c r="AM696" s="14">
        <v>76</v>
      </c>
      <c r="AO696" s="14">
        <v>536</v>
      </c>
      <c r="AR696" s="14">
        <v>75</v>
      </c>
    </row>
    <row r="697" spans="37:44" x14ac:dyDescent="0.25">
      <c r="AK697" s="14">
        <v>14</v>
      </c>
      <c r="AM697" s="14">
        <v>80</v>
      </c>
      <c r="AO697" s="14">
        <v>213</v>
      </c>
      <c r="AR697" s="14">
        <v>22</v>
      </c>
    </row>
    <row r="698" spans="37:44" x14ac:dyDescent="0.25">
      <c r="AK698" s="14">
        <v>188</v>
      </c>
      <c r="AM698" s="14">
        <v>77</v>
      </c>
      <c r="AO698" s="14">
        <v>110</v>
      </c>
      <c r="AR698" s="14">
        <v>399</v>
      </c>
    </row>
    <row r="699" spans="37:44" x14ac:dyDescent="0.25">
      <c r="AK699" s="14">
        <v>189</v>
      </c>
      <c r="AM699" s="14">
        <v>23</v>
      </c>
      <c r="AO699" s="14">
        <v>103</v>
      </c>
      <c r="AR699" s="14">
        <v>323</v>
      </c>
    </row>
    <row r="700" spans="37:44" x14ac:dyDescent="0.25">
      <c r="AK700" s="14">
        <v>12</v>
      </c>
      <c r="AM700" s="14">
        <v>285</v>
      </c>
      <c r="AO700" s="14">
        <v>230</v>
      </c>
      <c r="AR700" s="14">
        <v>42</v>
      </c>
    </row>
    <row r="701" spans="37:44" x14ac:dyDescent="0.25">
      <c r="AK701" s="14">
        <v>278</v>
      </c>
      <c r="AM701" s="14">
        <v>223</v>
      </c>
      <c r="AO701" s="14">
        <v>416</v>
      </c>
      <c r="AR701" s="14">
        <v>122</v>
      </c>
    </row>
    <row r="702" spans="37:44" x14ac:dyDescent="0.25">
      <c r="AK702" s="14">
        <v>307</v>
      </c>
      <c r="AM702" s="14">
        <v>21</v>
      </c>
      <c r="AO702" s="14">
        <v>328</v>
      </c>
      <c r="AR702" s="14">
        <v>248</v>
      </c>
    </row>
    <row r="703" spans="37:44" x14ac:dyDescent="0.25">
      <c r="AK703" s="14">
        <v>31</v>
      </c>
      <c r="AM703" s="14">
        <v>287</v>
      </c>
      <c r="AO703" s="14">
        <v>160</v>
      </c>
      <c r="AR703" s="14">
        <v>118</v>
      </c>
    </row>
    <row r="704" spans="37:44" x14ac:dyDescent="0.25">
      <c r="AK704" s="14">
        <v>120</v>
      </c>
      <c r="AM704" s="14">
        <v>224</v>
      </c>
      <c r="AO704" s="14">
        <v>221</v>
      </c>
      <c r="AR704" s="14">
        <v>283</v>
      </c>
    </row>
    <row r="705" spans="37:44" x14ac:dyDescent="0.25">
      <c r="AK705" s="14">
        <v>69</v>
      </c>
      <c r="AM705" s="14">
        <v>21</v>
      </c>
      <c r="AO705" s="14">
        <v>291</v>
      </c>
      <c r="AR705" s="14">
        <v>395</v>
      </c>
    </row>
    <row r="706" spans="37:44" x14ac:dyDescent="0.25">
      <c r="AK706" s="14">
        <v>213</v>
      </c>
      <c r="AM706" s="14">
        <v>287</v>
      </c>
      <c r="AO706" s="14">
        <v>462</v>
      </c>
      <c r="AR706" s="14">
        <v>55</v>
      </c>
    </row>
    <row r="707" spans="37:44" x14ac:dyDescent="0.25">
      <c r="AK707" s="14">
        <v>144</v>
      </c>
      <c r="AM707" s="14">
        <v>224</v>
      </c>
      <c r="AO707" s="14">
        <v>626</v>
      </c>
      <c r="AR707" s="14">
        <v>307</v>
      </c>
    </row>
    <row r="708" spans="37:44" x14ac:dyDescent="0.25">
      <c r="AK708" s="14">
        <v>226</v>
      </c>
      <c r="AM708" s="14">
        <v>266</v>
      </c>
      <c r="AO708" s="14">
        <v>206</v>
      </c>
      <c r="AR708" s="14">
        <v>112</v>
      </c>
    </row>
    <row r="709" spans="37:44" x14ac:dyDescent="0.25">
      <c r="AK709" s="14">
        <v>106</v>
      </c>
      <c r="AM709" s="14">
        <v>255</v>
      </c>
      <c r="AO709" s="14">
        <v>348</v>
      </c>
      <c r="AR709" s="14">
        <v>52</v>
      </c>
    </row>
    <row r="710" spans="37:44" x14ac:dyDescent="0.25">
      <c r="AK710" s="14">
        <v>27</v>
      </c>
      <c r="AM710" s="14">
        <v>252</v>
      </c>
      <c r="AO710" s="14">
        <v>25</v>
      </c>
      <c r="AR710" s="14">
        <v>283</v>
      </c>
    </row>
    <row r="711" spans="37:44" x14ac:dyDescent="0.25">
      <c r="AK711" s="14">
        <v>139</v>
      </c>
      <c r="AM711" s="14">
        <v>271</v>
      </c>
      <c r="AO711" s="14">
        <v>748</v>
      </c>
      <c r="AR711" s="14">
        <v>176</v>
      </c>
    </row>
    <row r="712" spans="37:44" x14ac:dyDescent="0.25">
      <c r="AK712" s="14">
        <v>164</v>
      </c>
      <c r="AM712" s="14">
        <v>261</v>
      </c>
      <c r="AO712" s="14">
        <v>691</v>
      </c>
      <c r="AR712" s="14">
        <v>171</v>
      </c>
    </row>
    <row r="713" spans="37:44" x14ac:dyDescent="0.25">
      <c r="AK713" s="14">
        <v>39</v>
      </c>
      <c r="AM713" s="14">
        <v>258</v>
      </c>
      <c r="AO713" s="14">
        <v>418</v>
      </c>
      <c r="AR713" s="14">
        <v>98</v>
      </c>
    </row>
    <row r="714" spans="37:44" x14ac:dyDescent="0.25">
      <c r="AK714" s="14">
        <v>126</v>
      </c>
      <c r="AM714" s="14">
        <v>81</v>
      </c>
      <c r="AO714" s="14">
        <v>163</v>
      </c>
      <c r="AR714" s="14">
        <v>291</v>
      </c>
    </row>
    <row r="715" spans="37:44" x14ac:dyDescent="0.25">
      <c r="AK715" s="14">
        <v>322</v>
      </c>
      <c r="AM715" s="14">
        <v>82</v>
      </c>
      <c r="AO715" s="14">
        <v>249</v>
      </c>
      <c r="AR715" s="14">
        <v>189</v>
      </c>
    </row>
    <row r="716" spans="37:44" x14ac:dyDescent="0.25">
      <c r="AK716" s="14">
        <v>252</v>
      </c>
      <c r="AM716" s="14">
        <v>87</v>
      </c>
      <c r="AO716" s="14">
        <v>100</v>
      </c>
      <c r="AR716" s="14">
        <v>161</v>
      </c>
    </row>
    <row r="717" spans="37:44" x14ac:dyDescent="0.25">
      <c r="AK717" s="14">
        <v>318</v>
      </c>
      <c r="AM717" s="14">
        <v>77</v>
      </c>
      <c r="AO717" s="14">
        <v>678</v>
      </c>
      <c r="AR717" s="14">
        <v>48</v>
      </c>
    </row>
    <row r="718" spans="37:44" x14ac:dyDescent="0.25">
      <c r="AK718" s="14">
        <v>621</v>
      </c>
      <c r="AM718" s="14">
        <v>78</v>
      </c>
      <c r="AO718" s="14">
        <v>210</v>
      </c>
      <c r="AR718" s="14">
        <v>195</v>
      </c>
    </row>
    <row r="719" spans="37:44" x14ac:dyDescent="0.25">
      <c r="AK719" s="14">
        <v>228</v>
      </c>
      <c r="AM719" s="14">
        <v>83</v>
      </c>
      <c r="AO719" s="14">
        <v>585</v>
      </c>
      <c r="AR719" s="14">
        <v>29</v>
      </c>
    </row>
    <row r="720" spans="37:44" x14ac:dyDescent="0.25">
      <c r="AK720" s="14">
        <v>75</v>
      </c>
      <c r="AM720" s="14">
        <v>78</v>
      </c>
      <c r="AO720" s="14">
        <v>286</v>
      </c>
      <c r="AR720" s="14">
        <v>197</v>
      </c>
    </row>
    <row r="721" spans="37:44" x14ac:dyDescent="0.25">
      <c r="AK721" s="14">
        <v>94</v>
      </c>
      <c r="AM721" s="14">
        <v>73</v>
      </c>
      <c r="AO721" s="14">
        <v>110</v>
      </c>
      <c r="AR721" s="14">
        <v>192</v>
      </c>
    </row>
    <row r="722" spans="37:44" x14ac:dyDescent="0.25">
      <c r="AK722" s="14">
        <v>303</v>
      </c>
      <c r="AM722" s="14">
        <v>77</v>
      </c>
      <c r="AO722" s="14">
        <v>502</v>
      </c>
      <c r="AR722" s="14">
        <v>178</v>
      </c>
    </row>
    <row r="723" spans="37:44" x14ac:dyDescent="0.25">
      <c r="AK723" s="14">
        <v>197</v>
      </c>
      <c r="AM723" s="14">
        <v>8</v>
      </c>
      <c r="AO723" s="14">
        <v>612</v>
      </c>
      <c r="AR723" s="14">
        <v>161</v>
      </c>
    </row>
    <row r="724" spans="37:44" x14ac:dyDescent="0.25">
      <c r="AK724" s="14">
        <v>265</v>
      </c>
      <c r="AM724" s="14">
        <v>8</v>
      </c>
      <c r="AO724" s="14">
        <v>764</v>
      </c>
      <c r="AR724" s="14">
        <v>176</v>
      </c>
    </row>
    <row r="725" spans="37:44" x14ac:dyDescent="0.25">
      <c r="AK725" s="14">
        <v>167</v>
      </c>
      <c r="AM725" s="14">
        <v>149</v>
      </c>
      <c r="AO725" s="14">
        <v>999</v>
      </c>
      <c r="AR725" s="14">
        <v>163</v>
      </c>
    </row>
    <row r="726" spans="37:44" x14ac:dyDescent="0.25">
      <c r="AK726" s="14">
        <v>217</v>
      </c>
      <c r="AM726" s="14">
        <v>146</v>
      </c>
      <c r="AO726" s="14">
        <v>129</v>
      </c>
      <c r="AR726" s="14">
        <v>156</v>
      </c>
    </row>
    <row r="727" spans="37:44" x14ac:dyDescent="0.25">
      <c r="AK727" s="14">
        <v>537</v>
      </c>
      <c r="AM727" s="14">
        <v>122</v>
      </c>
      <c r="AO727" s="14">
        <v>636</v>
      </c>
      <c r="AR727" s="14">
        <v>350</v>
      </c>
    </row>
    <row r="728" spans="37:44" x14ac:dyDescent="0.25">
      <c r="AK728" s="14">
        <v>269</v>
      </c>
      <c r="AM728" s="14">
        <v>38</v>
      </c>
      <c r="AO728" s="14">
        <v>172</v>
      </c>
      <c r="AR728" s="14">
        <v>145</v>
      </c>
    </row>
    <row r="729" spans="37:44" x14ac:dyDescent="0.25">
      <c r="AK729" s="14">
        <v>208</v>
      </c>
      <c r="AM729" s="14">
        <v>34</v>
      </c>
      <c r="AO729" s="14">
        <v>473</v>
      </c>
      <c r="AR729" s="14">
        <v>99</v>
      </c>
    </row>
    <row r="730" spans="37:44" x14ac:dyDescent="0.25">
      <c r="AK730" s="14">
        <v>250</v>
      </c>
      <c r="AM730" s="14">
        <v>164</v>
      </c>
      <c r="AO730" s="14">
        <v>137</v>
      </c>
      <c r="AR730" s="14">
        <v>124</v>
      </c>
    </row>
    <row r="731" spans="37:44" x14ac:dyDescent="0.25">
      <c r="AK731" s="14">
        <v>272</v>
      </c>
      <c r="AM731" s="14">
        <v>147</v>
      </c>
      <c r="AO731" s="14">
        <v>224</v>
      </c>
      <c r="AR731" s="14">
        <v>163</v>
      </c>
    </row>
    <row r="732" spans="37:44" x14ac:dyDescent="0.25">
      <c r="AK732" s="14">
        <v>233</v>
      </c>
      <c r="AM732" s="14">
        <v>261</v>
      </c>
      <c r="AO732" s="14">
        <v>176</v>
      </c>
      <c r="AR732" s="14">
        <v>116</v>
      </c>
    </row>
    <row r="733" spans="37:44" x14ac:dyDescent="0.25">
      <c r="AK733" s="14">
        <v>269</v>
      </c>
      <c r="AM733" s="14">
        <v>59</v>
      </c>
      <c r="AO733" s="14">
        <v>243</v>
      </c>
      <c r="AR733" s="14">
        <v>69</v>
      </c>
    </row>
    <row r="734" spans="37:44" x14ac:dyDescent="0.25">
      <c r="AK734" s="14">
        <v>369</v>
      </c>
      <c r="AM734" s="14">
        <v>53</v>
      </c>
      <c r="AO734" s="14">
        <v>415</v>
      </c>
      <c r="AR734" s="14">
        <v>142</v>
      </c>
    </row>
    <row r="735" spans="37:44" x14ac:dyDescent="0.25">
      <c r="AK735" s="14">
        <v>342</v>
      </c>
      <c r="AM735" s="14">
        <v>189</v>
      </c>
      <c r="AO735" s="14">
        <v>200</v>
      </c>
      <c r="AR735" s="14">
        <v>95</v>
      </c>
    </row>
    <row r="736" spans="37:44" x14ac:dyDescent="0.25">
      <c r="AK736" s="14">
        <v>154</v>
      </c>
      <c r="AM736" s="14">
        <v>160</v>
      </c>
      <c r="AO736" s="14">
        <v>247</v>
      </c>
      <c r="AR736" s="14">
        <v>285</v>
      </c>
    </row>
    <row r="737" spans="37:44" x14ac:dyDescent="0.25">
      <c r="AK737" s="14">
        <v>185</v>
      </c>
      <c r="AM737" s="14">
        <v>248</v>
      </c>
      <c r="AO737" s="14">
        <v>432</v>
      </c>
      <c r="AR737" s="14">
        <v>160</v>
      </c>
    </row>
    <row r="738" spans="37:44" x14ac:dyDescent="0.25">
      <c r="AK738" s="14">
        <v>188</v>
      </c>
      <c r="AM738" s="14">
        <v>132</v>
      </c>
      <c r="AO738" s="14">
        <v>785</v>
      </c>
      <c r="AR738" s="14">
        <v>116</v>
      </c>
    </row>
    <row r="739" spans="37:44" x14ac:dyDescent="0.25">
      <c r="AK739" s="14">
        <v>107</v>
      </c>
      <c r="AM739" s="14">
        <v>128</v>
      </c>
      <c r="AO739" s="14">
        <v>736</v>
      </c>
      <c r="AR739" s="14">
        <v>130</v>
      </c>
    </row>
    <row r="740" spans="37:44" x14ac:dyDescent="0.25">
      <c r="AK740" s="14">
        <v>409</v>
      </c>
      <c r="AM740" s="14">
        <v>127</v>
      </c>
      <c r="AO740" s="14">
        <v>145</v>
      </c>
      <c r="AR740" s="14">
        <v>244</v>
      </c>
    </row>
    <row r="741" spans="37:44" x14ac:dyDescent="0.25">
      <c r="AK741" s="14">
        <v>61</v>
      </c>
      <c r="AM741" s="14">
        <v>140</v>
      </c>
      <c r="AO741" s="14">
        <v>123</v>
      </c>
      <c r="AR741" s="14">
        <v>10</v>
      </c>
    </row>
    <row r="742" spans="37:44" x14ac:dyDescent="0.25">
      <c r="AK742" s="14">
        <v>381</v>
      </c>
      <c r="AM742" s="14">
        <v>136</v>
      </c>
      <c r="AO742" s="14">
        <v>822</v>
      </c>
      <c r="AR742" s="14">
        <v>165</v>
      </c>
    </row>
    <row r="743" spans="37:44" x14ac:dyDescent="0.25">
      <c r="AK743" s="14">
        <v>83</v>
      </c>
      <c r="AM743" s="14">
        <v>135</v>
      </c>
      <c r="AO743" s="14">
        <v>108</v>
      </c>
      <c r="AR743" s="14">
        <v>51</v>
      </c>
    </row>
    <row r="744" spans="37:44" x14ac:dyDescent="0.25">
      <c r="AK744" s="14">
        <v>469</v>
      </c>
      <c r="AM744" s="14">
        <v>99</v>
      </c>
      <c r="AO744" s="14">
        <v>173</v>
      </c>
      <c r="AR744" s="14">
        <v>146</v>
      </c>
    </row>
    <row r="745" spans="37:44" x14ac:dyDescent="0.25">
      <c r="AK745" s="14">
        <v>53</v>
      </c>
      <c r="AM745" s="14">
        <v>101</v>
      </c>
      <c r="AO745" s="14">
        <v>999</v>
      </c>
      <c r="AR745" s="14">
        <v>5</v>
      </c>
    </row>
    <row r="746" spans="37:44" x14ac:dyDescent="0.25">
      <c r="AK746" s="14">
        <v>217</v>
      </c>
      <c r="AM746" s="14">
        <v>105</v>
      </c>
      <c r="AO746" s="14">
        <v>117</v>
      </c>
      <c r="AR746" s="14">
        <v>140</v>
      </c>
    </row>
    <row r="747" spans="37:44" x14ac:dyDescent="0.25">
      <c r="AK747" s="14">
        <v>187</v>
      </c>
      <c r="AM747" s="14">
        <v>99</v>
      </c>
      <c r="AO747" s="14">
        <v>758</v>
      </c>
      <c r="AR747" s="14">
        <v>158</v>
      </c>
    </row>
    <row r="748" spans="37:44" x14ac:dyDescent="0.25">
      <c r="AK748" s="14">
        <v>151</v>
      </c>
      <c r="AM748" s="14">
        <v>101</v>
      </c>
      <c r="AO748" s="14">
        <v>115</v>
      </c>
      <c r="AR748" s="14">
        <v>98</v>
      </c>
    </row>
    <row r="749" spans="37:44" x14ac:dyDescent="0.25">
      <c r="AK749" s="14">
        <v>408</v>
      </c>
      <c r="AM749" s="14">
        <v>104</v>
      </c>
      <c r="AO749" s="14">
        <v>122</v>
      </c>
      <c r="AR749" s="14">
        <v>26</v>
      </c>
    </row>
    <row r="750" spans="37:44" x14ac:dyDescent="0.25">
      <c r="AK750" s="14">
        <v>590</v>
      </c>
      <c r="AM750" s="14">
        <v>98</v>
      </c>
      <c r="AO750" s="14">
        <v>112</v>
      </c>
      <c r="AR750" s="14">
        <v>76</v>
      </c>
    </row>
    <row r="751" spans="37:44" x14ac:dyDescent="0.25">
      <c r="AK751" s="14">
        <v>324</v>
      </c>
      <c r="AM751" s="14">
        <v>97</v>
      </c>
      <c r="AO751" s="14">
        <v>134</v>
      </c>
      <c r="AR751" s="14">
        <v>28</v>
      </c>
    </row>
    <row r="752" spans="37:44" x14ac:dyDescent="0.25">
      <c r="AK752" s="14">
        <v>248</v>
      </c>
      <c r="AM752" s="14">
        <v>99</v>
      </c>
      <c r="AO752" s="14">
        <v>148</v>
      </c>
      <c r="AR752" s="14">
        <v>173</v>
      </c>
    </row>
    <row r="753" spans="37:44" x14ac:dyDescent="0.25">
      <c r="AK753" s="14">
        <v>456</v>
      </c>
      <c r="AM753" s="14">
        <v>361</v>
      </c>
      <c r="AO753" s="14">
        <v>313</v>
      </c>
      <c r="AR753" s="14">
        <v>119</v>
      </c>
    </row>
    <row r="754" spans="37:44" x14ac:dyDescent="0.25">
      <c r="AK754" s="14">
        <v>111</v>
      </c>
      <c r="AM754" s="14">
        <v>361</v>
      </c>
      <c r="AO754" s="14">
        <v>280</v>
      </c>
      <c r="AR754" s="14">
        <v>54</v>
      </c>
    </row>
    <row r="755" spans="37:44" x14ac:dyDescent="0.25">
      <c r="AK755" s="14">
        <v>49</v>
      </c>
      <c r="AM755" s="14">
        <v>360</v>
      </c>
      <c r="AO755" s="14">
        <v>100</v>
      </c>
      <c r="AR755" s="14">
        <v>97</v>
      </c>
    </row>
    <row r="756" spans="37:44" x14ac:dyDescent="0.25">
      <c r="AK756" s="14">
        <v>636</v>
      </c>
      <c r="AM756" s="14">
        <v>356</v>
      </c>
      <c r="AO756" s="14">
        <v>111</v>
      </c>
      <c r="AR756" s="14">
        <v>268</v>
      </c>
    </row>
    <row r="757" spans="37:44" x14ac:dyDescent="0.25">
      <c r="AK757" s="14">
        <v>197</v>
      </c>
      <c r="AM757" s="14">
        <v>355</v>
      </c>
      <c r="AO757" s="14">
        <v>513</v>
      </c>
      <c r="AR757" s="14">
        <v>92</v>
      </c>
    </row>
    <row r="758" spans="37:44" x14ac:dyDescent="0.25">
      <c r="AK758" s="14">
        <v>628</v>
      </c>
      <c r="AM758" s="14">
        <v>353</v>
      </c>
      <c r="AO758" s="14">
        <v>135</v>
      </c>
      <c r="AR758" s="14">
        <v>71</v>
      </c>
    </row>
    <row r="759" spans="37:44" x14ac:dyDescent="0.25">
      <c r="AK759" s="14">
        <v>63</v>
      </c>
      <c r="AM759" s="14">
        <v>98</v>
      </c>
      <c r="AO759" s="14">
        <v>117</v>
      </c>
      <c r="AR759" s="14">
        <v>29</v>
      </c>
    </row>
    <row r="760" spans="37:44" x14ac:dyDescent="0.25">
      <c r="AK760" s="14">
        <v>300</v>
      </c>
      <c r="AM760" s="14">
        <v>101</v>
      </c>
      <c r="AO760" s="14">
        <v>257</v>
      </c>
      <c r="AR760" s="14">
        <v>109</v>
      </c>
    </row>
    <row r="761" spans="37:44" x14ac:dyDescent="0.25">
      <c r="AK761" s="14">
        <v>346</v>
      </c>
      <c r="AM761" s="14">
        <v>107</v>
      </c>
      <c r="AO761" s="14">
        <v>576</v>
      </c>
      <c r="AR761" s="14">
        <v>403609</v>
      </c>
    </row>
    <row r="762" spans="37:44" x14ac:dyDescent="0.25">
      <c r="AK762" s="14">
        <v>17</v>
      </c>
      <c r="AM762" s="14">
        <v>104</v>
      </c>
      <c r="AO762" s="14">
        <v>102</v>
      </c>
      <c r="AR762" s="14">
        <v>644810</v>
      </c>
    </row>
    <row r="763" spans="37:44" x14ac:dyDescent="0.25">
      <c r="AK763" s="14">
        <v>111</v>
      </c>
      <c r="AM763" s="14">
        <v>106</v>
      </c>
      <c r="AO763" s="14">
        <v>279</v>
      </c>
    </row>
    <row r="764" spans="37:44" x14ac:dyDescent="0.25">
      <c r="AK764" s="14">
        <v>14</v>
      </c>
      <c r="AM764" s="14">
        <v>109</v>
      </c>
      <c r="AO764" s="14">
        <v>697</v>
      </c>
    </row>
    <row r="765" spans="37:44" x14ac:dyDescent="0.25">
      <c r="AK765" s="14">
        <v>7</v>
      </c>
      <c r="AM765" s="14">
        <v>122</v>
      </c>
      <c r="AO765" s="14">
        <v>906</v>
      </c>
    </row>
    <row r="766" spans="37:44" x14ac:dyDescent="0.25">
      <c r="AK766" s="14">
        <v>79</v>
      </c>
      <c r="AM766" s="14">
        <v>127</v>
      </c>
      <c r="AO766" s="14">
        <v>615</v>
      </c>
    </row>
    <row r="767" spans="37:44" x14ac:dyDescent="0.25">
      <c r="AK767" s="14">
        <v>38</v>
      </c>
      <c r="AM767" s="14">
        <v>128</v>
      </c>
      <c r="AO767" s="14">
        <v>630</v>
      </c>
    </row>
    <row r="768" spans="37:44" x14ac:dyDescent="0.25">
      <c r="AK768" s="14">
        <v>128</v>
      </c>
      <c r="AM768" s="14">
        <v>180</v>
      </c>
      <c r="AO768" s="14">
        <v>285</v>
      </c>
    </row>
    <row r="769" spans="37:41" x14ac:dyDescent="0.25">
      <c r="AK769" s="14">
        <v>363</v>
      </c>
      <c r="AM769" s="14">
        <v>179</v>
      </c>
      <c r="AO769" s="14">
        <v>210</v>
      </c>
    </row>
    <row r="770" spans="37:41" x14ac:dyDescent="0.25">
      <c r="AK770" s="14">
        <v>323</v>
      </c>
      <c r="AM770" s="14">
        <v>179</v>
      </c>
      <c r="AO770" s="14">
        <v>352</v>
      </c>
    </row>
    <row r="771" spans="37:41" x14ac:dyDescent="0.25">
      <c r="AK771" s="14">
        <v>140</v>
      </c>
      <c r="AM771" s="14">
        <v>129</v>
      </c>
      <c r="AO771" s="14">
        <v>251</v>
      </c>
    </row>
    <row r="772" spans="37:41" x14ac:dyDescent="0.25">
      <c r="AK772" s="14">
        <v>107</v>
      </c>
      <c r="AM772" s="14">
        <v>169</v>
      </c>
      <c r="AO772" s="14">
        <v>173</v>
      </c>
    </row>
    <row r="773" spans="37:41" x14ac:dyDescent="0.25">
      <c r="AK773" s="14">
        <v>132</v>
      </c>
      <c r="AM773" s="14">
        <v>165</v>
      </c>
      <c r="AO773" s="14">
        <v>640</v>
      </c>
    </row>
    <row r="774" spans="37:41" x14ac:dyDescent="0.25">
      <c r="AK774" s="14">
        <v>42</v>
      </c>
      <c r="AM774" s="14">
        <v>125</v>
      </c>
      <c r="AO774" s="14">
        <v>353</v>
      </c>
    </row>
    <row r="775" spans="37:41" x14ac:dyDescent="0.25">
      <c r="AK775" s="14">
        <v>395</v>
      </c>
      <c r="AM775" s="14">
        <v>166</v>
      </c>
      <c r="AO775" s="14">
        <v>387</v>
      </c>
    </row>
    <row r="776" spans="37:41" x14ac:dyDescent="0.25">
      <c r="AK776" s="14">
        <v>33</v>
      </c>
      <c r="AM776" s="14">
        <v>162</v>
      </c>
      <c r="AO776" s="14">
        <v>324</v>
      </c>
    </row>
    <row r="777" spans="37:41" x14ac:dyDescent="0.25">
      <c r="AK777" s="14">
        <v>122</v>
      </c>
      <c r="AM777" s="14">
        <v>100</v>
      </c>
      <c r="AO777" s="14">
        <v>207</v>
      </c>
    </row>
    <row r="778" spans="37:41" x14ac:dyDescent="0.25">
      <c r="AK778" s="14">
        <v>639</v>
      </c>
      <c r="AM778" s="14">
        <v>112</v>
      </c>
      <c r="AO778" s="14">
        <v>396</v>
      </c>
    </row>
    <row r="779" spans="37:41" x14ac:dyDescent="0.25">
      <c r="AK779" s="14">
        <v>547</v>
      </c>
      <c r="AM779" s="14">
        <v>110</v>
      </c>
      <c r="AO779" s="14">
        <v>410</v>
      </c>
    </row>
    <row r="780" spans="37:41" x14ac:dyDescent="0.25">
      <c r="AK780" s="14">
        <v>55</v>
      </c>
      <c r="AM780" s="14">
        <v>132</v>
      </c>
      <c r="AO780" s="14">
        <v>250</v>
      </c>
    </row>
    <row r="781" spans="37:41" x14ac:dyDescent="0.25">
      <c r="AK781" s="14">
        <v>302</v>
      </c>
      <c r="AM781" s="14">
        <v>131</v>
      </c>
      <c r="AO781" s="14">
        <v>441</v>
      </c>
    </row>
    <row r="782" spans="37:41" x14ac:dyDescent="0.25">
      <c r="AK782" s="14">
        <v>116</v>
      </c>
      <c r="AM782" s="14">
        <v>130</v>
      </c>
      <c r="AO782" s="14">
        <v>313</v>
      </c>
    </row>
    <row r="783" spans="37:41" x14ac:dyDescent="0.25">
      <c r="AK783" s="14">
        <v>75</v>
      </c>
      <c r="AM783" s="14">
        <v>138</v>
      </c>
      <c r="AO783" s="14">
        <v>587</v>
      </c>
    </row>
    <row r="784" spans="37:41" x14ac:dyDescent="0.25">
      <c r="AK784" s="14">
        <v>523</v>
      </c>
      <c r="AM784" s="14">
        <v>139</v>
      </c>
      <c r="AO784" s="14">
        <v>754</v>
      </c>
    </row>
    <row r="785" spans="37:41" x14ac:dyDescent="0.25">
      <c r="AK785" s="14">
        <v>335</v>
      </c>
      <c r="AM785" s="14">
        <v>132</v>
      </c>
      <c r="AO785" s="14">
        <v>498</v>
      </c>
    </row>
    <row r="786" spans="37:41" x14ac:dyDescent="0.25">
      <c r="AK786" s="14">
        <v>347</v>
      </c>
      <c r="AM786" s="14">
        <v>132</v>
      </c>
      <c r="AO786" s="14">
        <v>157</v>
      </c>
    </row>
    <row r="787" spans="37:41" x14ac:dyDescent="0.25">
      <c r="AK787" s="14">
        <v>103</v>
      </c>
      <c r="AM787" s="14">
        <v>133</v>
      </c>
      <c r="AO787" s="14">
        <v>345</v>
      </c>
    </row>
    <row r="788" spans="37:41" x14ac:dyDescent="0.25">
      <c r="AK788" s="14">
        <v>709</v>
      </c>
      <c r="AM788" s="14">
        <v>127</v>
      </c>
      <c r="AO788" s="14">
        <v>261</v>
      </c>
    </row>
    <row r="789" spans="37:41" x14ac:dyDescent="0.25">
      <c r="AK789" s="14">
        <v>35</v>
      </c>
      <c r="AM789" s="14">
        <v>100</v>
      </c>
      <c r="AO789" s="14">
        <v>332</v>
      </c>
    </row>
    <row r="790" spans="37:41" x14ac:dyDescent="0.25">
      <c r="AK790" s="14">
        <v>175</v>
      </c>
      <c r="AM790" s="14">
        <v>98</v>
      </c>
      <c r="AO790" s="14">
        <v>127</v>
      </c>
    </row>
    <row r="791" spans="37:41" x14ac:dyDescent="0.25">
      <c r="AK791" s="14">
        <v>404</v>
      </c>
      <c r="AM791" s="14">
        <v>96</v>
      </c>
      <c r="AO791" s="14">
        <v>330</v>
      </c>
    </row>
    <row r="792" spans="37:41" x14ac:dyDescent="0.25">
      <c r="AK792" s="14">
        <v>11</v>
      </c>
      <c r="AM792" s="14">
        <v>103</v>
      </c>
      <c r="AO792" s="14">
        <v>864</v>
      </c>
    </row>
    <row r="793" spans="37:41" x14ac:dyDescent="0.25">
      <c r="AK793" s="14">
        <v>58</v>
      </c>
      <c r="AM793" s="14">
        <v>97</v>
      </c>
      <c r="AO793" s="14">
        <v>404</v>
      </c>
    </row>
    <row r="794" spans="37:41" x14ac:dyDescent="0.25">
      <c r="AK794" s="14">
        <v>570</v>
      </c>
      <c r="AM794" s="14">
        <v>97</v>
      </c>
      <c r="AO794" s="14">
        <v>683</v>
      </c>
    </row>
    <row r="795" spans="37:41" x14ac:dyDescent="0.25">
      <c r="AK795" s="14">
        <v>172</v>
      </c>
      <c r="AM795" s="14">
        <v>133</v>
      </c>
      <c r="AO795" s="14">
        <v>796</v>
      </c>
    </row>
    <row r="796" spans="37:41" x14ac:dyDescent="0.25">
      <c r="AK796" s="14">
        <v>464</v>
      </c>
      <c r="AM796" s="14">
        <v>121</v>
      </c>
      <c r="AO796" s="14">
        <v>573</v>
      </c>
    </row>
    <row r="797" spans="37:41" x14ac:dyDescent="0.25">
      <c r="AK797" s="14">
        <v>276</v>
      </c>
      <c r="AM797" s="14">
        <v>120</v>
      </c>
      <c r="AO797" s="14">
        <v>376</v>
      </c>
    </row>
    <row r="798" spans="37:41" x14ac:dyDescent="0.25">
      <c r="AK798" s="14">
        <v>498</v>
      </c>
      <c r="AM798" s="14">
        <v>26</v>
      </c>
      <c r="AO798" s="14">
        <v>108</v>
      </c>
    </row>
    <row r="799" spans="37:41" x14ac:dyDescent="0.25">
      <c r="AK799" s="14">
        <v>177</v>
      </c>
      <c r="AM799" s="14">
        <v>46</v>
      </c>
      <c r="AO799" s="14">
        <v>256</v>
      </c>
    </row>
    <row r="800" spans="37:41" x14ac:dyDescent="0.25">
      <c r="AK800" s="14">
        <v>471</v>
      </c>
      <c r="AM800" s="14">
        <v>44</v>
      </c>
      <c r="AO800" s="14">
        <v>213</v>
      </c>
    </row>
    <row r="801" spans="37:41" x14ac:dyDescent="0.25">
      <c r="AK801" s="14">
        <v>472</v>
      </c>
      <c r="AM801" s="14">
        <v>22</v>
      </c>
      <c r="AO801" s="14">
        <v>116</v>
      </c>
    </row>
    <row r="802" spans="37:41" x14ac:dyDescent="0.25">
      <c r="AK802" s="14">
        <v>257</v>
      </c>
      <c r="AM802" s="14">
        <v>43</v>
      </c>
      <c r="AO802" s="14">
        <v>172</v>
      </c>
    </row>
    <row r="803" spans="37:41" x14ac:dyDescent="0.25">
      <c r="AK803" s="14">
        <v>189</v>
      </c>
      <c r="AM803" s="14">
        <v>41</v>
      </c>
      <c r="AO803" s="14">
        <v>217</v>
      </c>
    </row>
    <row r="804" spans="37:41" x14ac:dyDescent="0.25">
      <c r="AK804" s="14">
        <v>237</v>
      </c>
      <c r="AM804" s="14">
        <v>53</v>
      </c>
      <c r="AO804" s="14">
        <v>227</v>
      </c>
    </row>
    <row r="805" spans="37:41" x14ac:dyDescent="0.25">
      <c r="AK805" s="14">
        <v>263</v>
      </c>
      <c r="AM805" s="14">
        <v>58</v>
      </c>
      <c r="AO805" s="14">
        <v>150</v>
      </c>
    </row>
    <row r="806" spans="37:41" x14ac:dyDescent="0.25">
      <c r="AK806" s="14">
        <v>430</v>
      </c>
      <c r="AM806" s="14">
        <v>62</v>
      </c>
      <c r="AO806" s="14">
        <v>484</v>
      </c>
    </row>
    <row r="807" spans="37:41" x14ac:dyDescent="0.25">
      <c r="AK807" s="14">
        <v>356</v>
      </c>
      <c r="AM807" s="14">
        <v>63</v>
      </c>
      <c r="AO807" s="14">
        <v>54</v>
      </c>
    </row>
    <row r="808" spans="37:41" x14ac:dyDescent="0.25">
      <c r="AK808" s="14">
        <v>154</v>
      </c>
      <c r="AM808" s="14">
        <v>71</v>
      </c>
      <c r="AO808" s="14">
        <v>413</v>
      </c>
    </row>
    <row r="809" spans="37:41" x14ac:dyDescent="0.25">
      <c r="AK809" s="14">
        <v>89</v>
      </c>
      <c r="AM809" s="14">
        <v>73</v>
      </c>
      <c r="AO809" s="14">
        <v>122</v>
      </c>
    </row>
    <row r="810" spans="37:41" x14ac:dyDescent="0.25">
      <c r="AK810" s="14">
        <v>27</v>
      </c>
      <c r="AM810" s="14">
        <v>32</v>
      </c>
      <c r="AO810" s="14">
        <v>151</v>
      </c>
    </row>
    <row r="811" spans="37:41" x14ac:dyDescent="0.25">
      <c r="AK811" s="14">
        <v>82</v>
      </c>
      <c r="AM811" s="14">
        <v>42</v>
      </c>
      <c r="AO811" s="14">
        <v>336</v>
      </c>
    </row>
    <row r="812" spans="37:41" x14ac:dyDescent="0.25">
      <c r="AK812" s="14">
        <v>39</v>
      </c>
      <c r="AM812" s="14">
        <v>42</v>
      </c>
      <c r="AO812" s="14">
        <v>219</v>
      </c>
    </row>
    <row r="813" spans="37:41" x14ac:dyDescent="0.25">
      <c r="AK813" s="14">
        <v>39</v>
      </c>
      <c r="AM813" s="14">
        <v>27</v>
      </c>
      <c r="AO813" s="14">
        <v>211</v>
      </c>
    </row>
    <row r="814" spans="37:41" x14ac:dyDescent="0.25">
      <c r="AK814" s="14">
        <v>126</v>
      </c>
      <c r="AM814" s="14">
        <v>71</v>
      </c>
      <c r="AO814" s="14">
        <v>458</v>
      </c>
    </row>
    <row r="815" spans="37:41" x14ac:dyDescent="0.25">
      <c r="AK815" s="14">
        <v>17</v>
      </c>
      <c r="AM815" s="14">
        <v>73</v>
      </c>
      <c r="AO815" s="14">
        <v>738</v>
      </c>
    </row>
    <row r="816" spans="37:41" x14ac:dyDescent="0.25">
      <c r="AK816" s="14">
        <v>25</v>
      </c>
      <c r="AM816" s="14">
        <v>36</v>
      </c>
      <c r="AO816" s="14">
        <v>-214</v>
      </c>
    </row>
    <row r="817" spans="37:41" x14ac:dyDescent="0.25">
      <c r="AK817" s="14">
        <v>50</v>
      </c>
      <c r="AM817" s="14">
        <v>76</v>
      </c>
      <c r="AO817" s="14">
        <v>-174</v>
      </c>
    </row>
    <row r="818" spans="37:41" x14ac:dyDescent="0.25">
      <c r="AK818" s="14">
        <v>62</v>
      </c>
      <c r="AM818" s="14">
        <v>77</v>
      </c>
      <c r="AO818" s="14">
        <v>126</v>
      </c>
    </row>
    <row r="819" spans="37:41" x14ac:dyDescent="0.25">
      <c r="AK819" s="14">
        <v>18</v>
      </c>
      <c r="AM819" s="14">
        <v>42</v>
      </c>
      <c r="AO819" s="14">
        <v>-712</v>
      </c>
    </row>
    <row r="820" spans="37:41" x14ac:dyDescent="0.25">
      <c r="AK820" s="14">
        <v>26</v>
      </c>
      <c r="AM820" s="14">
        <v>95</v>
      </c>
      <c r="AO820" s="14">
        <v>103</v>
      </c>
    </row>
    <row r="821" spans="37:41" x14ac:dyDescent="0.25">
      <c r="AK821" s="14">
        <v>107</v>
      </c>
      <c r="AM821" s="14">
        <v>18</v>
      </c>
      <c r="AO821" s="14">
        <v>-264</v>
      </c>
    </row>
    <row r="822" spans="37:41" x14ac:dyDescent="0.25">
      <c r="AK822" s="14">
        <v>12</v>
      </c>
      <c r="AM822" s="14">
        <v>39</v>
      </c>
      <c r="AO822" s="14">
        <v>653</v>
      </c>
    </row>
    <row r="823" spans="37:41" x14ac:dyDescent="0.25">
      <c r="AK823" s="14">
        <v>385</v>
      </c>
      <c r="AM823" s="14">
        <v>99</v>
      </c>
      <c r="AO823" s="14">
        <v>-314</v>
      </c>
    </row>
    <row r="824" spans="37:41" x14ac:dyDescent="0.25">
      <c r="AK824" s="14">
        <v>50</v>
      </c>
      <c r="AM824" s="14">
        <v>22</v>
      </c>
      <c r="AO824" s="14">
        <v>-199</v>
      </c>
    </row>
    <row r="825" spans="37:41" x14ac:dyDescent="0.25">
      <c r="AK825" s="14">
        <v>22</v>
      </c>
      <c r="AM825" s="14">
        <v>43</v>
      </c>
      <c r="AO825" s="14">
        <v>144</v>
      </c>
    </row>
    <row r="826" spans="37:41" x14ac:dyDescent="0.25">
      <c r="AK826" s="14">
        <v>56</v>
      </c>
      <c r="AM826" s="14">
        <v>99</v>
      </c>
      <c r="AO826" s="14">
        <v>81</v>
      </c>
    </row>
    <row r="827" spans="37:41" x14ac:dyDescent="0.25">
      <c r="AK827" s="14">
        <v>3</v>
      </c>
      <c r="AM827" s="14">
        <v>23</v>
      </c>
      <c r="AO827" s="14">
        <v>334</v>
      </c>
    </row>
    <row r="828" spans="37:41" x14ac:dyDescent="0.25">
      <c r="AK828" s="14">
        <v>229</v>
      </c>
      <c r="AM828" s="14">
        <v>157</v>
      </c>
      <c r="AO828" s="14">
        <v>-378</v>
      </c>
    </row>
    <row r="829" spans="37:41" x14ac:dyDescent="0.25">
      <c r="AK829" s="14">
        <v>178</v>
      </c>
      <c r="AM829" s="14">
        <v>149</v>
      </c>
      <c r="AO829" s="14">
        <v>-339</v>
      </c>
    </row>
    <row r="830" spans="37:41" x14ac:dyDescent="0.25">
      <c r="AK830" s="14">
        <v>81</v>
      </c>
      <c r="AM830" s="14">
        <v>189</v>
      </c>
      <c r="AO830" s="14">
        <v>-636</v>
      </c>
    </row>
    <row r="831" spans="37:41" x14ac:dyDescent="0.25">
      <c r="AK831" s="14">
        <v>209</v>
      </c>
      <c r="AM831" s="14">
        <v>185</v>
      </c>
      <c r="AO831" s="14">
        <v>-444</v>
      </c>
    </row>
    <row r="832" spans="37:41" x14ac:dyDescent="0.25">
      <c r="AK832" s="14">
        <v>36</v>
      </c>
      <c r="AM832" s="14">
        <v>150</v>
      </c>
      <c r="AO832" s="14">
        <v>-142</v>
      </c>
    </row>
    <row r="833" spans="37:41" x14ac:dyDescent="0.25">
      <c r="AK833" s="14">
        <v>13</v>
      </c>
      <c r="AM833" s="14">
        <v>129</v>
      </c>
      <c r="AO833" s="14">
        <v>-575</v>
      </c>
    </row>
    <row r="834" spans="37:41" x14ac:dyDescent="0.25">
      <c r="AK834" s="14">
        <v>25</v>
      </c>
      <c r="AM834" s="14">
        <v>124</v>
      </c>
      <c r="AO834" s="14">
        <v>468</v>
      </c>
    </row>
    <row r="835" spans="37:41" x14ac:dyDescent="0.25">
      <c r="AK835" s="14">
        <v>346</v>
      </c>
      <c r="AM835" s="14">
        <v>295</v>
      </c>
      <c r="AO835" s="14">
        <v>136</v>
      </c>
    </row>
    <row r="836" spans="37:41" x14ac:dyDescent="0.25">
      <c r="AK836" s="14">
        <v>67</v>
      </c>
      <c r="AM836" s="14">
        <v>284</v>
      </c>
      <c r="AO836" s="14">
        <v>-497</v>
      </c>
    </row>
    <row r="837" spans="37:41" x14ac:dyDescent="0.25">
      <c r="AK837" s="14">
        <v>173</v>
      </c>
      <c r="AM837" s="14">
        <v>284</v>
      </c>
      <c r="AO837" s="14">
        <v>-699</v>
      </c>
    </row>
    <row r="838" spans="37:41" x14ac:dyDescent="0.25">
      <c r="AK838" s="14">
        <v>192</v>
      </c>
      <c r="AM838" s="14">
        <v>117</v>
      </c>
      <c r="AO838" s="14">
        <v>-268</v>
      </c>
    </row>
    <row r="839" spans="37:41" x14ac:dyDescent="0.25">
      <c r="AK839" s="14">
        <v>195</v>
      </c>
      <c r="AM839" s="14">
        <v>114</v>
      </c>
      <c r="AO839" s="14">
        <v>478</v>
      </c>
    </row>
    <row r="840" spans="37:41" x14ac:dyDescent="0.25">
      <c r="AK840" s="14">
        <v>129</v>
      </c>
      <c r="AM840" s="14">
        <v>103</v>
      </c>
      <c r="AO840" s="14">
        <v>596</v>
      </c>
    </row>
    <row r="841" spans="37:41" x14ac:dyDescent="0.25">
      <c r="AK841" s="14">
        <v>295</v>
      </c>
      <c r="AM841" s="14">
        <v>91</v>
      </c>
      <c r="AO841" s="14">
        <v>260</v>
      </c>
    </row>
    <row r="842" spans="37:41" x14ac:dyDescent="0.25">
      <c r="AK842" s="14">
        <v>109</v>
      </c>
      <c r="AM842" s="14">
        <v>60</v>
      </c>
      <c r="AO842" s="14">
        <v>344</v>
      </c>
    </row>
    <row r="843" spans="37:41" x14ac:dyDescent="0.25">
      <c r="AK843" s="14">
        <v>260</v>
      </c>
      <c r="AM843" s="14">
        <v>44</v>
      </c>
      <c r="AO843" s="14">
        <v>204</v>
      </c>
    </row>
    <row r="844" spans="37:41" x14ac:dyDescent="0.25">
      <c r="AK844" s="14">
        <v>50</v>
      </c>
      <c r="AM844" s="14">
        <v>80</v>
      </c>
      <c r="AO844" s="14">
        <v>363</v>
      </c>
    </row>
    <row r="845" spans="37:41" x14ac:dyDescent="0.25">
      <c r="AK845" s="14">
        <v>253</v>
      </c>
      <c r="AM845" s="14">
        <v>89</v>
      </c>
      <c r="AO845" s="14">
        <v>293</v>
      </c>
    </row>
    <row r="846" spans="37:41" x14ac:dyDescent="0.25">
      <c r="AK846" s="14">
        <v>8</v>
      </c>
      <c r="AM846" s="14">
        <v>38</v>
      </c>
      <c r="AO846" s="14">
        <v>451</v>
      </c>
    </row>
    <row r="847" spans="37:41" x14ac:dyDescent="0.25">
      <c r="AK847" s="14">
        <v>301</v>
      </c>
      <c r="AM847" s="14">
        <v>85</v>
      </c>
      <c r="AO847" s="14">
        <v>333</v>
      </c>
    </row>
    <row r="848" spans="37:41" x14ac:dyDescent="0.25">
      <c r="AK848" s="14">
        <v>463</v>
      </c>
      <c r="AM848" s="14">
        <v>92</v>
      </c>
      <c r="AO848" s="14">
        <v>318</v>
      </c>
    </row>
    <row r="849" spans="37:41" x14ac:dyDescent="0.25">
      <c r="AK849" s="14">
        <v>457</v>
      </c>
      <c r="AM849" s="14">
        <v>91</v>
      </c>
      <c r="AO849" s="14">
        <v>193</v>
      </c>
    </row>
    <row r="850" spans="37:41" x14ac:dyDescent="0.25">
      <c r="AK850" s="14">
        <v>94</v>
      </c>
      <c r="AM850" s="14">
        <v>41</v>
      </c>
      <c r="AO850" s="14">
        <v>132</v>
      </c>
    </row>
    <row r="851" spans="37:41" x14ac:dyDescent="0.25">
      <c r="AK851" s="14">
        <v>682</v>
      </c>
      <c r="AM851" s="14">
        <v>45</v>
      </c>
      <c r="AO851" s="14">
        <v>443</v>
      </c>
    </row>
    <row r="852" spans="37:41" x14ac:dyDescent="0.25">
      <c r="AK852" s="14">
        <v>13</v>
      </c>
      <c r="AM852" s="14">
        <v>90</v>
      </c>
      <c r="AO852" s="14">
        <v>55</v>
      </c>
    </row>
    <row r="853" spans="37:41" x14ac:dyDescent="0.25">
      <c r="AK853" s="14">
        <v>285</v>
      </c>
      <c r="AM853" s="14">
        <v>39</v>
      </c>
      <c r="AO853" s="14">
        <v>185</v>
      </c>
    </row>
    <row r="854" spans="37:41" x14ac:dyDescent="0.25">
      <c r="AK854" s="14">
        <v>195</v>
      </c>
      <c r="AM854" s="14">
        <v>42</v>
      </c>
      <c r="AO854" s="14">
        <v>443</v>
      </c>
    </row>
    <row r="855" spans="37:41" x14ac:dyDescent="0.25">
      <c r="AK855" s="14">
        <v>11</v>
      </c>
      <c r="AM855" s="14">
        <v>83</v>
      </c>
      <c r="AO855" s="14">
        <v>521</v>
      </c>
    </row>
    <row r="856" spans="37:41" x14ac:dyDescent="0.25">
      <c r="AK856" s="14">
        <v>286</v>
      </c>
      <c r="AM856" s="14">
        <v>13</v>
      </c>
      <c r="AO856" s="14">
        <v>684</v>
      </c>
    </row>
    <row r="857" spans="37:41" x14ac:dyDescent="0.25">
      <c r="AK857" s="14">
        <v>30</v>
      </c>
      <c r="AM857" s="14">
        <v>21</v>
      </c>
      <c r="AO857" s="14">
        <v>752</v>
      </c>
    </row>
    <row r="858" spans="37:41" x14ac:dyDescent="0.25">
      <c r="AK858" s="14">
        <v>168</v>
      </c>
      <c r="AM858" s="14">
        <v>87</v>
      </c>
      <c r="AO858" s="14">
        <v>342</v>
      </c>
    </row>
    <row r="859" spans="37:41" x14ac:dyDescent="0.25">
      <c r="AK859" s="14">
        <v>27</v>
      </c>
      <c r="AM859" s="14">
        <v>86</v>
      </c>
      <c r="AO859" s="14">
        <v>664</v>
      </c>
    </row>
    <row r="860" spans="37:41" x14ac:dyDescent="0.25">
      <c r="AK860" s="14">
        <v>172</v>
      </c>
      <c r="AM860" s="14">
        <v>83</v>
      </c>
      <c r="AO860" s="14">
        <v>410</v>
      </c>
    </row>
    <row r="861" spans="37:41" x14ac:dyDescent="0.25">
      <c r="AK861" s="14">
        <v>508</v>
      </c>
      <c r="AM861" s="14">
        <v>88</v>
      </c>
      <c r="AO861" s="14">
        <v>736</v>
      </c>
    </row>
    <row r="862" spans="37:41" x14ac:dyDescent="0.25">
      <c r="AK862" s="14">
        <v>163</v>
      </c>
      <c r="AM862" s="14">
        <v>87</v>
      </c>
      <c r="AO862" s="14">
        <v>212</v>
      </c>
    </row>
    <row r="863" spans="37:41" x14ac:dyDescent="0.25">
      <c r="AK863" s="14">
        <v>79</v>
      </c>
      <c r="AM863" s="14">
        <v>84</v>
      </c>
      <c r="AO863" s="14">
        <v>329</v>
      </c>
    </row>
    <row r="864" spans="37:41" x14ac:dyDescent="0.25">
      <c r="AK864" s="14">
        <v>570</v>
      </c>
      <c r="AM864" s="14">
        <v>32</v>
      </c>
      <c r="AO864" s="14">
        <v>298</v>
      </c>
    </row>
    <row r="865" spans="37:41" x14ac:dyDescent="0.25">
      <c r="AK865" s="14">
        <v>18</v>
      </c>
      <c r="AM865" s="14">
        <v>47</v>
      </c>
      <c r="AO865" s="14">
        <v>318</v>
      </c>
    </row>
    <row r="866" spans="37:41" x14ac:dyDescent="0.25">
      <c r="AK866" s="14">
        <v>138</v>
      </c>
      <c r="AM866" s="14">
        <v>80</v>
      </c>
      <c r="AO866" s="14">
        <v>221</v>
      </c>
    </row>
    <row r="867" spans="37:41" x14ac:dyDescent="0.25">
      <c r="AK867" s="14">
        <v>262</v>
      </c>
      <c r="AM867" s="14">
        <v>33</v>
      </c>
      <c r="AO867" s="14">
        <v>219</v>
      </c>
    </row>
    <row r="868" spans="37:41" x14ac:dyDescent="0.25">
      <c r="AK868" s="14">
        <v>16</v>
      </c>
      <c r="AM868" s="14">
        <v>48</v>
      </c>
      <c r="AO868" s="14">
        <v>638</v>
      </c>
    </row>
    <row r="869" spans="37:41" x14ac:dyDescent="0.25">
      <c r="AK869" s="14">
        <v>41</v>
      </c>
      <c r="AM869" s="14">
        <v>79</v>
      </c>
      <c r="AO869" s="14">
        <v>129</v>
      </c>
    </row>
    <row r="870" spans="37:41" x14ac:dyDescent="0.25">
      <c r="AK870" s="14">
        <v>80</v>
      </c>
      <c r="AM870" s="14">
        <v>44</v>
      </c>
      <c r="AO870" s="14">
        <v>168</v>
      </c>
    </row>
    <row r="871" spans="37:41" x14ac:dyDescent="0.25">
      <c r="AK871" s="14">
        <v>237</v>
      </c>
      <c r="AM871" s="14">
        <v>69</v>
      </c>
      <c r="AO871" s="14">
        <v>240</v>
      </c>
    </row>
    <row r="872" spans="37:41" x14ac:dyDescent="0.25">
      <c r="AK872" s="14">
        <v>107</v>
      </c>
      <c r="AM872" s="14">
        <v>74</v>
      </c>
      <c r="AO872" s="14">
        <v>331</v>
      </c>
    </row>
    <row r="873" spans="37:41" x14ac:dyDescent="0.25">
      <c r="AK873" s="14">
        <v>325</v>
      </c>
      <c r="AM873" s="14">
        <v>202</v>
      </c>
      <c r="AO873" s="14">
        <v>248</v>
      </c>
    </row>
    <row r="874" spans="37:41" x14ac:dyDescent="0.25">
      <c r="AK874" s="14">
        <v>354</v>
      </c>
      <c r="AM874" s="14">
        <v>232</v>
      </c>
      <c r="AO874" s="14">
        <v>141</v>
      </c>
    </row>
    <row r="875" spans="37:41" x14ac:dyDescent="0.25">
      <c r="AK875" s="14">
        <v>315</v>
      </c>
      <c r="AM875" s="14">
        <v>183</v>
      </c>
      <c r="AO875" s="14">
        <v>316</v>
      </c>
    </row>
    <row r="876" spans="37:41" x14ac:dyDescent="0.25">
      <c r="AK876" s="14">
        <v>83</v>
      </c>
      <c r="AM876" s="14">
        <v>78</v>
      </c>
      <c r="AO876" s="14">
        <v>645</v>
      </c>
    </row>
    <row r="877" spans="37:41" x14ac:dyDescent="0.25">
      <c r="AK877" s="14">
        <v>47</v>
      </c>
      <c r="AM877" s="14">
        <v>100</v>
      </c>
      <c r="AO877" s="14">
        <v>506</v>
      </c>
    </row>
    <row r="878" spans="37:41" x14ac:dyDescent="0.25">
      <c r="AK878" s="14">
        <v>58</v>
      </c>
      <c r="AM878" s="14">
        <v>54</v>
      </c>
      <c r="AO878" s="14">
        <v>108</v>
      </c>
    </row>
    <row r="879" spans="37:41" x14ac:dyDescent="0.25">
      <c r="AK879" s="14">
        <v>339</v>
      </c>
      <c r="AM879" s="14">
        <v>77</v>
      </c>
      <c r="AO879" s="14">
        <v>6</v>
      </c>
    </row>
    <row r="880" spans="37:41" x14ac:dyDescent="0.25">
      <c r="AK880" s="14">
        <v>292</v>
      </c>
      <c r="AM880" s="14">
        <v>102</v>
      </c>
      <c r="AO880" s="14">
        <v>744</v>
      </c>
    </row>
    <row r="881" spans="37:41" x14ac:dyDescent="0.25">
      <c r="AK881" s="14">
        <v>72</v>
      </c>
      <c r="AM881" s="14">
        <v>57</v>
      </c>
      <c r="AO881" s="14">
        <v>522</v>
      </c>
    </row>
    <row r="882" spans="37:41" x14ac:dyDescent="0.25">
      <c r="AK882" s="14">
        <v>130</v>
      </c>
      <c r="AM882" s="14">
        <v>87</v>
      </c>
      <c r="AO882" s="14">
        <v>85</v>
      </c>
    </row>
    <row r="883" spans="37:41" x14ac:dyDescent="0.25">
      <c r="AK883" s="14">
        <v>25</v>
      </c>
      <c r="AM883" s="14">
        <v>55</v>
      </c>
      <c r="AO883" s="14">
        <v>502</v>
      </c>
    </row>
    <row r="884" spans="37:41" x14ac:dyDescent="0.25">
      <c r="AK884" s="14">
        <v>46</v>
      </c>
      <c r="AM884" s="14">
        <v>21</v>
      </c>
      <c r="AO884" s="14">
        <v>507</v>
      </c>
    </row>
    <row r="885" spans="37:41" x14ac:dyDescent="0.25">
      <c r="AK885" s="14">
        <v>51</v>
      </c>
      <c r="AM885" s="14">
        <v>205</v>
      </c>
      <c r="AO885" s="14">
        <v>85</v>
      </c>
    </row>
    <row r="886" spans="37:41" x14ac:dyDescent="0.25">
      <c r="AK886" s="14">
        <v>53</v>
      </c>
      <c r="AM886" s="14">
        <v>210</v>
      </c>
      <c r="AO886" s="14">
        <v>242</v>
      </c>
    </row>
    <row r="887" spans="37:41" x14ac:dyDescent="0.25">
      <c r="AK887" s="14">
        <v>26</v>
      </c>
      <c r="AM887" s="14">
        <v>191</v>
      </c>
      <c r="AO887" s="14">
        <v>499</v>
      </c>
    </row>
    <row r="888" spans="37:41" x14ac:dyDescent="0.25">
      <c r="AK888" s="14">
        <v>39</v>
      </c>
      <c r="AM888" s="14">
        <v>79</v>
      </c>
      <c r="AO888" s="14">
        <v>422</v>
      </c>
    </row>
    <row r="889" spans="37:41" x14ac:dyDescent="0.25">
      <c r="AK889" s="14">
        <v>89</v>
      </c>
      <c r="AM889" s="14">
        <v>82</v>
      </c>
      <c r="AO889" s="14">
        <v>612</v>
      </c>
    </row>
    <row r="890" spans="37:41" x14ac:dyDescent="0.25">
      <c r="AK890" s="14">
        <v>88</v>
      </c>
      <c r="AM890" s="14">
        <v>84</v>
      </c>
      <c r="AO890" s="14">
        <v>369</v>
      </c>
    </row>
    <row r="891" spans="37:41" x14ac:dyDescent="0.25">
      <c r="AK891" s="14">
        <v>124</v>
      </c>
      <c r="AM891" s="14">
        <v>80</v>
      </c>
      <c r="AO891" s="14">
        <v>312</v>
      </c>
    </row>
    <row r="892" spans="37:41" x14ac:dyDescent="0.25">
      <c r="AK892" s="14">
        <v>101</v>
      </c>
      <c r="AM892" s="14">
        <v>82</v>
      </c>
      <c r="AO892" s="14">
        <v>594</v>
      </c>
    </row>
    <row r="893" spans="37:41" x14ac:dyDescent="0.25">
      <c r="AK893" s="14">
        <v>133</v>
      </c>
      <c r="AM893" s="14">
        <v>85</v>
      </c>
      <c r="AO893" s="14">
        <v>379</v>
      </c>
    </row>
    <row r="894" spans="37:41" x14ac:dyDescent="0.25">
      <c r="AK894" s="14">
        <v>3</v>
      </c>
      <c r="AM894" s="14">
        <v>111</v>
      </c>
      <c r="AO894" s="14">
        <v>648</v>
      </c>
    </row>
    <row r="895" spans="37:41" x14ac:dyDescent="0.25">
      <c r="AK895" s="14">
        <v>213</v>
      </c>
      <c r="AM895" s="14">
        <v>54</v>
      </c>
      <c r="AO895" s="14">
        <v>409</v>
      </c>
    </row>
    <row r="896" spans="37:41" x14ac:dyDescent="0.25">
      <c r="AK896" s="14">
        <v>325</v>
      </c>
      <c r="AM896" s="14">
        <v>30</v>
      </c>
      <c r="AO896" s="14">
        <v>241</v>
      </c>
    </row>
    <row r="897" spans="37:41" x14ac:dyDescent="0.25">
      <c r="AK897" s="14">
        <v>350</v>
      </c>
      <c r="AM897" s="14">
        <v>111</v>
      </c>
      <c r="AO897" s="14">
        <v>883</v>
      </c>
    </row>
    <row r="898" spans="37:41" x14ac:dyDescent="0.25">
      <c r="AK898" s="14">
        <v>519</v>
      </c>
      <c r="AM898" s="14">
        <v>53</v>
      </c>
      <c r="AO898" s="14">
        <v>465</v>
      </c>
    </row>
    <row r="899" spans="37:41" x14ac:dyDescent="0.25">
      <c r="AK899" s="14">
        <v>473</v>
      </c>
      <c r="AM899" s="14">
        <v>28</v>
      </c>
      <c r="AO899" s="14">
        <v>35</v>
      </c>
    </row>
    <row r="900" spans="37:41" x14ac:dyDescent="0.25">
      <c r="AK900" s="14">
        <v>681</v>
      </c>
      <c r="AM900" s="14">
        <v>97</v>
      </c>
      <c r="AO900" s="14">
        <v>55</v>
      </c>
    </row>
    <row r="901" spans="37:41" x14ac:dyDescent="0.25">
      <c r="AK901" s="14">
        <v>436</v>
      </c>
      <c r="AM901" s="14">
        <v>12</v>
      </c>
      <c r="AO901" s="14">
        <v>79</v>
      </c>
    </row>
    <row r="902" spans="37:41" x14ac:dyDescent="0.25">
      <c r="AK902" s="14">
        <v>605</v>
      </c>
      <c r="AM902" s="14">
        <v>26</v>
      </c>
      <c r="AO902" s="14">
        <v>53</v>
      </c>
    </row>
    <row r="903" spans="37:41" x14ac:dyDescent="0.25">
      <c r="AK903" s="14">
        <v>462</v>
      </c>
      <c r="AM903" s="14">
        <v>78</v>
      </c>
      <c r="AO903" s="14">
        <v>349</v>
      </c>
    </row>
    <row r="904" spans="37:41" x14ac:dyDescent="0.25">
      <c r="AK904" s="14">
        <v>191</v>
      </c>
      <c r="AM904" s="14">
        <v>84</v>
      </c>
      <c r="AO904" s="14">
        <v>420</v>
      </c>
    </row>
    <row r="905" spans="37:41" x14ac:dyDescent="0.25">
      <c r="AK905" s="14">
        <v>253</v>
      </c>
      <c r="AM905" s="14">
        <v>81</v>
      </c>
      <c r="AO905" s="14">
        <v>170</v>
      </c>
    </row>
    <row r="906" spans="37:41" x14ac:dyDescent="0.25">
      <c r="AK906" s="14">
        <v>327</v>
      </c>
      <c r="AM906" s="14">
        <v>76</v>
      </c>
      <c r="AO906" s="14">
        <v>69</v>
      </c>
    </row>
    <row r="907" spans="37:41" x14ac:dyDescent="0.25">
      <c r="AK907" s="14">
        <v>77</v>
      </c>
      <c r="AM907" s="14">
        <v>81</v>
      </c>
      <c r="AO907" s="14">
        <v>577</v>
      </c>
    </row>
    <row r="908" spans="37:41" x14ac:dyDescent="0.25">
      <c r="AK908" s="14">
        <v>383</v>
      </c>
      <c r="AM908" s="14">
        <v>79</v>
      </c>
      <c r="AO908" s="14">
        <v>432</v>
      </c>
    </row>
    <row r="909" spans="37:41" x14ac:dyDescent="0.25">
      <c r="AK909" s="14">
        <v>141</v>
      </c>
      <c r="AM909" s="14">
        <v>21</v>
      </c>
      <c r="AO909" s="14">
        <v>12</v>
      </c>
    </row>
    <row r="910" spans="37:41" x14ac:dyDescent="0.25">
      <c r="AK910" s="14">
        <v>396</v>
      </c>
      <c r="AM910" s="14">
        <v>150</v>
      </c>
      <c r="AO910" s="14">
        <v>29</v>
      </c>
    </row>
    <row r="911" spans="37:41" x14ac:dyDescent="0.25">
      <c r="AK911" s="14">
        <v>519</v>
      </c>
      <c r="AM911" s="14">
        <v>143</v>
      </c>
      <c r="AO911" s="14">
        <v>375</v>
      </c>
    </row>
    <row r="912" spans="37:41" x14ac:dyDescent="0.25">
      <c r="AK912" s="14">
        <v>417</v>
      </c>
      <c r="AM912" s="14">
        <v>30</v>
      </c>
      <c r="AO912" s="14">
        <v>72</v>
      </c>
    </row>
    <row r="913" spans="37:41" x14ac:dyDescent="0.25">
      <c r="AK913" s="14">
        <v>612</v>
      </c>
      <c r="AM913" s="14">
        <v>164</v>
      </c>
      <c r="AO913" s="14">
        <v>383</v>
      </c>
    </row>
    <row r="914" spans="37:41" x14ac:dyDescent="0.25">
      <c r="AK914" s="14">
        <v>469</v>
      </c>
      <c r="AM914" s="14">
        <v>155</v>
      </c>
      <c r="AO914" s="14">
        <v>588</v>
      </c>
    </row>
    <row r="915" spans="37:41" x14ac:dyDescent="0.25">
      <c r="AK915" s="14">
        <v>438</v>
      </c>
      <c r="AM915" s="14">
        <v>10</v>
      </c>
      <c r="AO915" s="14">
        <v>350</v>
      </c>
    </row>
    <row r="916" spans="37:41" x14ac:dyDescent="0.25">
      <c r="AK916" s="14">
        <v>425</v>
      </c>
      <c r="AM916" s="14">
        <v>248</v>
      </c>
      <c r="AO916" s="14">
        <v>105</v>
      </c>
    </row>
    <row r="917" spans="37:41" x14ac:dyDescent="0.25">
      <c r="AK917" s="14">
        <v>289</v>
      </c>
      <c r="AM917" s="14">
        <v>207</v>
      </c>
      <c r="AO917" s="14">
        <v>651</v>
      </c>
    </row>
    <row r="918" spans="37:41" x14ac:dyDescent="0.25">
      <c r="AK918" s="14">
        <v>412</v>
      </c>
      <c r="AM918" s="14">
        <v>27</v>
      </c>
      <c r="AO918" s="14">
        <v>56</v>
      </c>
    </row>
    <row r="919" spans="37:41" x14ac:dyDescent="0.25">
      <c r="AK919" s="14">
        <v>587</v>
      </c>
      <c r="AM919" s="14">
        <v>125</v>
      </c>
      <c r="AO919" s="14">
        <v>25</v>
      </c>
    </row>
    <row r="920" spans="37:41" x14ac:dyDescent="0.25">
      <c r="AK920" s="14">
        <v>309</v>
      </c>
      <c r="AM920" s="14">
        <v>138</v>
      </c>
      <c r="AO920" s="14">
        <v>9</v>
      </c>
    </row>
    <row r="921" spans="37:41" x14ac:dyDescent="0.25">
      <c r="AK921" s="14">
        <v>342</v>
      </c>
      <c r="AM921" s="14">
        <v>41</v>
      </c>
      <c r="AO921" s="14">
        <v>15</v>
      </c>
    </row>
    <row r="922" spans="37:41" x14ac:dyDescent="0.25">
      <c r="AK922" s="14">
        <v>434</v>
      </c>
      <c r="AM922" s="14">
        <v>133</v>
      </c>
      <c r="AO922" s="14">
        <v>50</v>
      </c>
    </row>
    <row r="923" spans="37:41" x14ac:dyDescent="0.25">
      <c r="AK923" s="14">
        <v>442</v>
      </c>
      <c r="AM923" s="14">
        <v>143</v>
      </c>
      <c r="AO923" s="14">
        <v>52</v>
      </c>
    </row>
    <row r="924" spans="37:41" x14ac:dyDescent="0.25">
      <c r="AK924" s="14">
        <v>93</v>
      </c>
      <c r="AM924" s="14">
        <v>70</v>
      </c>
      <c r="AO924" s="14">
        <v>264</v>
      </c>
    </row>
    <row r="925" spans="37:41" x14ac:dyDescent="0.25">
      <c r="AK925" s="14">
        <v>240</v>
      </c>
      <c r="AM925" s="14">
        <v>47</v>
      </c>
      <c r="AO925" s="14">
        <v>176</v>
      </c>
    </row>
    <row r="926" spans="37:41" x14ac:dyDescent="0.25">
      <c r="AK926" s="14">
        <v>454</v>
      </c>
      <c r="AM926" s="14">
        <v>74</v>
      </c>
      <c r="AO926" s="14">
        <v>236</v>
      </c>
    </row>
    <row r="927" spans="37:41" x14ac:dyDescent="0.25">
      <c r="AK927" s="14">
        <v>614</v>
      </c>
      <c r="AM927" s="14">
        <v>61</v>
      </c>
      <c r="AO927" s="14">
        <v>194</v>
      </c>
    </row>
    <row r="928" spans="37:41" x14ac:dyDescent="0.25">
      <c r="AK928" s="14">
        <v>355</v>
      </c>
      <c r="AM928" s="14">
        <v>50</v>
      </c>
      <c r="AO928" s="14">
        <v>92</v>
      </c>
    </row>
    <row r="929" spans="37:41" x14ac:dyDescent="0.25">
      <c r="AK929" s="14">
        <v>318</v>
      </c>
      <c r="AM929" s="14">
        <v>76</v>
      </c>
      <c r="AO929" s="14">
        <v>139</v>
      </c>
    </row>
    <row r="930" spans="37:41" x14ac:dyDescent="0.25">
      <c r="AK930" s="14">
        <v>457</v>
      </c>
      <c r="AM930" s="14">
        <v>175</v>
      </c>
      <c r="AO930" s="14">
        <v>268</v>
      </c>
    </row>
    <row r="931" spans="37:41" x14ac:dyDescent="0.25">
      <c r="AK931" s="14">
        <v>206</v>
      </c>
      <c r="AM931" s="14">
        <v>170</v>
      </c>
      <c r="AO931" s="14">
        <v>178</v>
      </c>
    </row>
    <row r="932" spans="37:41" x14ac:dyDescent="0.25">
      <c r="AK932" s="14">
        <v>429</v>
      </c>
      <c r="AM932" s="14">
        <v>177</v>
      </c>
      <c r="AO932" s="14">
        <v>494</v>
      </c>
    </row>
    <row r="933" spans="37:41" x14ac:dyDescent="0.25">
      <c r="AK933" s="14">
        <v>400</v>
      </c>
      <c r="AM933" s="14">
        <v>171</v>
      </c>
      <c r="AO933" s="14">
        <v>113</v>
      </c>
    </row>
    <row r="934" spans="37:41" x14ac:dyDescent="0.25">
      <c r="AK934" s="14">
        <v>232</v>
      </c>
      <c r="AM934" s="14">
        <v>156</v>
      </c>
      <c r="AO934" s="14">
        <v>181</v>
      </c>
    </row>
    <row r="935" spans="37:41" x14ac:dyDescent="0.25">
      <c r="AK935" s="14">
        <v>447</v>
      </c>
      <c r="AM935" s="14">
        <v>153</v>
      </c>
      <c r="AO935" s="14">
        <v>251</v>
      </c>
    </row>
    <row r="936" spans="37:41" x14ac:dyDescent="0.25">
      <c r="AK936" s="14">
        <v>567</v>
      </c>
      <c r="AM936" s="14">
        <v>154</v>
      </c>
      <c r="AO936" s="14">
        <v>248</v>
      </c>
    </row>
    <row r="937" spans="37:41" x14ac:dyDescent="0.25">
      <c r="AK937" s="14">
        <v>392</v>
      </c>
      <c r="AM937" s="14">
        <v>151</v>
      </c>
      <c r="AO937" s="14">
        <v>688</v>
      </c>
    </row>
    <row r="938" spans="37:41" x14ac:dyDescent="0.25">
      <c r="AK938" s="14">
        <v>548</v>
      </c>
      <c r="AM938" s="14">
        <v>146</v>
      </c>
      <c r="AO938" s="14">
        <v>701</v>
      </c>
    </row>
    <row r="939" spans="37:41" x14ac:dyDescent="0.25">
      <c r="AK939" s="14">
        <v>168</v>
      </c>
      <c r="AM939" s="14">
        <v>143</v>
      </c>
      <c r="AO939" s="14">
        <v>112</v>
      </c>
    </row>
    <row r="940" spans="37:41" x14ac:dyDescent="0.25">
      <c r="AK940" s="14">
        <v>252</v>
      </c>
      <c r="AM940" s="14">
        <v>143</v>
      </c>
      <c r="AO940" s="14">
        <v>600</v>
      </c>
    </row>
    <row r="941" spans="37:41" x14ac:dyDescent="0.25">
      <c r="AK941" s="14">
        <v>61</v>
      </c>
      <c r="AM941" s="14">
        <v>140</v>
      </c>
      <c r="AO941" s="14">
        <v>81</v>
      </c>
    </row>
    <row r="942" spans="37:41" x14ac:dyDescent="0.25">
      <c r="AK942" s="14">
        <v>394</v>
      </c>
      <c r="AM942" s="14">
        <v>52</v>
      </c>
      <c r="AO942" s="14">
        <v>37</v>
      </c>
    </row>
    <row r="943" spans="37:41" x14ac:dyDescent="0.25">
      <c r="AK943" s="14">
        <v>113</v>
      </c>
      <c r="AM943" s="14">
        <v>43</v>
      </c>
      <c r="AO943" s="14">
        <v>57</v>
      </c>
    </row>
    <row r="944" spans="37:41" x14ac:dyDescent="0.25">
      <c r="AK944" s="14">
        <v>470</v>
      </c>
      <c r="AM944" s="14">
        <v>108</v>
      </c>
      <c r="AO944" s="14">
        <v>52</v>
      </c>
    </row>
    <row r="945" spans="37:41" x14ac:dyDescent="0.25">
      <c r="AK945" s="14">
        <v>631</v>
      </c>
      <c r="AM945" s="14">
        <v>52</v>
      </c>
      <c r="AO945" s="14">
        <v>7</v>
      </c>
    </row>
    <row r="946" spans="37:41" x14ac:dyDescent="0.25">
      <c r="AK946" s="14">
        <v>525</v>
      </c>
      <c r="AM946" s="14">
        <v>37</v>
      </c>
      <c r="AO946" s="14">
        <v>43</v>
      </c>
    </row>
    <row r="947" spans="37:41" x14ac:dyDescent="0.25">
      <c r="AK947" s="14">
        <v>311</v>
      </c>
      <c r="AM947" s="14">
        <v>107</v>
      </c>
      <c r="AO947" s="14">
        <v>43</v>
      </c>
    </row>
    <row r="948" spans="37:41" x14ac:dyDescent="0.25">
      <c r="AK948" s="14">
        <v>348</v>
      </c>
      <c r="AM948" s="14">
        <v>85</v>
      </c>
      <c r="AO948" s="14">
        <v>40</v>
      </c>
    </row>
    <row r="949" spans="37:41" x14ac:dyDescent="0.25">
      <c r="AK949" s="14">
        <v>162</v>
      </c>
      <c r="AM949" s="14">
        <v>62</v>
      </c>
      <c r="AO949" s="14">
        <v>39</v>
      </c>
    </row>
    <row r="950" spans="37:41" x14ac:dyDescent="0.25">
      <c r="AK950" s="14">
        <v>65</v>
      </c>
      <c r="AM950" s="14">
        <v>86</v>
      </c>
      <c r="AO950" s="14">
        <v>41</v>
      </c>
    </row>
    <row r="951" spans="37:41" x14ac:dyDescent="0.25">
      <c r="AK951" s="14">
        <v>144</v>
      </c>
      <c r="AM951" s="14">
        <v>8</v>
      </c>
      <c r="AO951" s="14">
        <v>47</v>
      </c>
    </row>
    <row r="952" spans="37:41" x14ac:dyDescent="0.25">
      <c r="AK952" s="14">
        <v>379</v>
      </c>
      <c r="AM952" s="14">
        <v>57</v>
      </c>
      <c r="AO952" s="14">
        <v>42</v>
      </c>
    </row>
    <row r="953" spans="37:41" x14ac:dyDescent="0.25">
      <c r="AK953" s="14">
        <v>216</v>
      </c>
      <c r="AM953" s="14">
        <v>108</v>
      </c>
      <c r="AO953" s="14">
        <v>18</v>
      </c>
    </row>
    <row r="954" spans="37:41" x14ac:dyDescent="0.25">
      <c r="AK954" s="14">
        <v>561</v>
      </c>
      <c r="AM954" s="14">
        <v>104</v>
      </c>
      <c r="AO954" s="14">
        <v>10</v>
      </c>
    </row>
    <row r="955" spans="37:41" x14ac:dyDescent="0.25">
      <c r="AK955" s="14">
        <v>597</v>
      </c>
      <c r="AM955" s="14">
        <v>102</v>
      </c>
      <c r="AO955" s="14">
        <v>5</v>
      </c>
    </row>
    <row r="956" spans="37:41" x14ac:dyDescent="0.25">
      <c r="AK956" s="14">
        <v>218</v>
      </c>
      <c r="AM956" s="14">
        <v>108</v>
      </c>
      <c r="AO956" s="14">
        <v>419</v>
      </c>
    </row>
    <row r="957" spans="37:41" x14ac:dyDescent="0.25">
      <c r="AK957" s="14">
        <v>431</v>
      </c>
      <c r="AM957" s="14">
        <v>105</v>
      </c>
      <c r="AO957" s="14">
        <v>525</v>
      </c>
    </row>
    <row r="958" spans="37:41" x14ac:dyDescent="0.25">
      <c r="AK958" s="14">
        <v>381</v>
      </c>
      <c r="AM958" s="14">
        <v>102</v>
      </c>
      <c r="AO958" s="14">
        <v>139</v>
      </c>
    </row>
    <row r="959" spans="37:41" x14ac:dyDescent="0.25">
      <c r="AK959" s="14">
        <v>457</v>
      </c>
      <c r="AM959" s="14">
        <v>94</v>
      </c>
      <c r="AO959" s="14">
        <v>610</v>
      </c>
    </row>
    <row r="960" spans="37:41" x14ac:dyDescent="0.25">
      <c r="AK960" s="14">
        <v>326</v>
      </c>
      <c r="AM960" s="14">
        <v>92</v>
      </c>
      <c r="AO960" s="14">
        <v>847</v>
      </c>
    </row>
    <row r="961" spans="37:41" x14ac:dyDescent="0.25">
      <c r="AK961" s="14">
        <v>211</v>
      </c>
      <c r="AM961" s="14">
        <v>88</v>
      </c>
      <c r="AO961" s="14">
        <v>114</v>
      </c>
    </row>
    <row r="962" spans="37:41" x14ac:dyDescent="0.25">
      <c r="AK962" s="14">
        <v>566</v>
      </c>
      <c r="AM962" s="14">
        <v>94</v>
      </c>
      <c r="AO962" s="14">
        <v>44</v>
      </c>
    </row>
    <row r="963" spans="37:41" x14ac:dyDescent="0.25">
      <c r="AK963" s="14">
        <v>441</v>
      </c>
      <c r="AM963" s="14">
        <v>91</v>
      </c>
      <c r="AO963" s="14">
        <v>53</v>
      </c>
    </row>
    <row r="964" spans="37:41" x14ac:dyDescent="0.25">
      <c r="AK964" s="14">
        <v>347</v>
      </c>
      <c r="AM964" s="14">
        <v>89</v>
      </c>
      <c r="AO964" s="14">
        <v>19</v>
      </c>
    </row>
    <row r="965" spans="37:41" x14ac:dyDescent="0.25">
      <c r="AK965" s="14">
        <v>193</v>
      </c>
      <c r="AM965" s="14">
        <v>224</v>
      </c>
      <c r="AO965" s="14">
        <v>24</v>
      </c>
    </row>
    <row r="966" spans="37:41" x14ac:dyDescent="0.25">
      <c r="AK966" s="14">
        <v>306</v>
      </c>
      <c r="AM966" s="14">
        <v>205</v>
      </c>
      <c r="AO966" s="14">
        <v>30</v>
      </c>
    </row>
    <row r="967" spans="37:41" x14ac:dyDescent="0.25">
      <c r="AK967" s="14">
        <v>461</v>
      </c>
      <c r="AM967" s="14">
        <v>209</v>
      </c>
      <c r="AO967" s="14">
        <v>306</v>
      </c>
    </row>
    <row r="968" spans="37:41" x14ac:dyDescent="0.25">
      <c r="AK968" s="14">
        <v>501</v>
      </c>
      <c r="AM968" s="14">
        <v>200</v>
      </c>
      <c r="AO968" s="14">
        <v>326</v>
      </c>
    </row>
    <row r="969" spans="37:41" x14ac:dyDescent="0.25">
      <c r="AK969" s="14">
        <v>346</v>
      </c>
      <c r="AM969" s="14">
        <v>183</v>
      </c>
      <c r="AO969" s="14">
        <v>113</v>
      </c>
    </row>
    <row r="970" spans="37:41" x14ac:dyDescent="0.25">
      <c r="AK970" s="14">
        <v>77</v>
      </c>
      <c r="AM970" s="14">
        <v>186</v>
      </c>
      <c r="AO970" s="14">
        <v>339</v>
      </c>
    </row>
    <row r="971" spans="37:41" x14ac:dyDescent="0.25">
      <c r="AK971" s="14">
        <v>491</v>
      </c>
      <c r="AM971" s="14">
        <v>213</v>
      </c>
      <c r="AO971" s="14">
        <v>565</v>
      </c>
    </row>
    <row r="972" spans="37:41" x14ac:dyDescent="0.25">
      <c r="AK972" s="14">
        <v>509</v>
      </c>
      <c r="AM972" s="14">
        <v>195</v>
      </c>
      <c r="AO972" s="14">
        <v>236</v>
      </c>
    </row>
    <row r="973" spans="37:41" x14ac:dyDescent="0.25">
      <c r="AK973" s="14">
        <v>1</v>
      </c>
      <c r="AM973" s="14">
        <v>196</v>
      </c>
      <c r="AO973" s="14">
        <v>59</v>
      </c>
    </row>
    <row r="974" spans="37:41" x14ac:dyDescent="0.25">
      <c r="AK974" s="14">
        <v>325</v>
      </c>
      <c r="AM974" s="14">
        <v>195</v>
      </c>
      <c r="AO974" s="14">
        <v>31</v>
      </c>
    </row>
    <row r="975" spans="37:41" x14ac:dyDescent="0.25">
      <c r="AK975" s="14">
        <v>377</v>
      </c>
      <c r="AM975" s="14">
        <v>178</v>
      </c>
      <c r="AO975" s="14">
        <v>31</v>
      </c>
    </row>
    <row r="976" spans="37:41" x14ac:dyDescent="0.25">
      <c r="AK976" s="14">
        <v>88</v>
      </c>
      <c r="AM976" s="14">
        <v>88</v>
      </c>
      <c r="AO976" s="14">
        <v>12</v>
      </c>
    </row>
    <row r="977" spans="37:41" x14ac:dyDescent="0.25">
      <c r="AK977" s="14">
        <v>107</v>
      </c>
      <c r="AM977" s="14">
        <v>93</v>
      </c>
      <c r="AO977" s="14">
        <v>7</v>
      </c>
    </row>
    <row r="978" spans="37:41" x14ac:dyDescent="0.25">
      <c r="AK978" s="14">
        <v>427</v>
      </c>
      <c r="AM978" s="14">
        <v>95</v>
      </c>
      <c r="AO978" s="14">
        <v>10</v>
      </c>
    </row>
    <row r="979" spans="37:41" x14ac:dyDescent="0.25">
      <c r="AK979" s="14">
        <v>371</v>
      </c>
      <c r="AM979" s="14">
        <v>92</v>
      </c>
      <c r="AO979" s="14">
        <v>402</v>
      </c>
    </row>
    <row r="980" spans="37:41" x14ac:dyDescent="0.25">
      <c r="AK980" s="14">
        <v>114</v>
      </c>
      <c r="AM980" s="14">
        <v>96</v>
      </c>
      <c r="AO980" s="14">
        <v>534</v>
      </c>
    </row>
    <row r="981" spans="37:41" x14ac:dyDescent="0.25">
      <c r="AK981" s="14">
        <v>557</v>
      </c>
      <c r="AM981" s="14">
        <v>98</v>
      </c>
      <c r="AO981" s="14">
        <v>569</v>
      </c>
    </row>
    <row r="982" spans="37:41" x14ac:dyDescent="0.25">
      <c r="AK982" s="14">
        <v>76</v>
      </c>
      <c r="AM982" s="14">
        <v>74</v>
      </c>
      <c r="AO982" s="14">
        <v>216</v>
      </c>
    </row>
    <row r="983" spans="37:41" x14ac:dyDescent="0.25">
      <c r="AK983" s="14">
        <v>386</v>
      </c>
      <c r="AM983" s="14">
        <v>81</v>
      </c>
      <c r="AO983" s="14">
        <v>640</v>
      </c>
    </row>
    <row r="984" spans="37:41" x14ac:dyDescent="0.25">
      <c r="AK984" s="14">
        <v>498</v>
      </c>
      <c r="AM984" s="14">
        <v>85</v>
      </c>
      <c r="AO984" s="14">
        <v>787</v>
      </c>
    </row>
    <row r="985" spans="37:41" x14ac:dyDescent="0.25">
      <c r="AK985" s="14">
        <v>433</v>
      </c>
      <c r="AM985" s="14">
        <v>79</v>
      </c>
      <c r="AO985" s="14">
        <v>52</v>
      </c>
    </row>
    <row r="986" spans="37:41" x14ac:dyDescent="0.25">
      <c r="AK986" s="14">
        <v>502</v>
      </c>
      <c r="AM986" s="14">
        <v>84</v>
      </c>
      <c r="AO986" s="14">
        <v>24</v>
      </c>
    </row>
    <row r="987" spans="37:41" x14ac:dyDescent="0.25">
      <c r="AK987" s="14">
        <v>346</v>
      </c>
      <c r="AM987" s="14">
        <v>88</v>
      </c>
      <c r="AO987" s="14">
        <v>82</v>
      </c>
    </row>
    <row r="988" spans="37:41" x14ac:dyDescent="0.25">
      <c r="AK988" s="14">
        <v>443</v>
      </c>
      <c r="AM988" s="14">
        <v>88</v>
      </c>
      <c r="AO988" s="14">
        <v>54</v>
      </c>
    </row>
    <row r="989" spans="37:41" x14ac:dyDescent="0.25">
      <c r="AK989" s="14">
        <v>375</v>
      </c>
      <c r="AM989" s="14">
        <v>94</v>
      </c>
      <c r="AO989" s="14">
        <v>15</v>
      </c>
    </row>
    <row r="990" spans="37:41" x14ac:dyDescent="0.25">
      <c r="AK990" s="14">
        <v>536</v>
      </c>
      <c r="AM990" s="14">
        <v>94</v>
      </c>
      <c r="AO990" s="14">
        <v>27</v>
      </c>
    </row>
    <row r="991" spans="37:41" x14ac:dyDescent="0.25">
      <c r="AK991" s="14">
        <v>666</v>
      </c>
      <c r="AM991" s="14">
        <v>87</v>
      </c>
      <c r="AO991" s="14">
        <v>49</v>
      </c>
    </row>
    <row r="992" spans="37:41" x14ac:dyDescent="0.25">
      <c r="AK992" s="14">
        <v>320</v>
      </c>
      <c r="AM992" s="14">
        <v>92</v>
      </c>
      <c r="AO992" s="14">
        <v>299</v>
      </c>
    </row>
    <row r="993" spans="37:41" x14ac:dyDescent="0.25">
      <c r="AK993" s="14">
        <v>451</v>
      </c>
      <c r="AM993" s="14">
        <v>92</v>
      </c>
      <c r="AO993" s="14">
        <v>454</v>
      </c>
    </row>
    <row r="994" spans="37:41" x14ac:dyDescent="0.25">
      <c r="AK994" s="14">
        <v>227</v>
      </c>
      <c r="AM994" s="14">
        <v>90</v>
      </c>
      <c r="AO994" s="14">
        <v>471</v>
      </c>
    </row>
    <row r="995" spans="37:41" x14ac:dyDescent="0.25">
      <c r="AK995" s="14">
        <v>525</v>
      </c>
      <c r="AM995" s="14">
        <v>98</v>
      </c>
      <c r="AO995" s="14">
        <v>410</v>
      </c>
    </row>
    <row r="996" spans="37:41" x14ac:dyDescent="0.25">
      <c r="AK996" s="14">
        <v>445</v>
      </c>
      <c r="AM996" s="14">
        <v>97</v>
      </c>
      <c r="AO996" s="14">
        <v>35</v>
      </c>
    </row>
    <row r="997" spans="37:41" x14ac:dyDescent="0.25">
      <c r="AK997" s="14">
        <v>74</v>
      </c>
      <c r="AM997" s="14">
        <v>89</v>
      </c>
      <c r="AO997" s="14">
        <v>329</v>
      </c>
    </row>
    <row r="998" spans="37:41" x14ac:dyDescent="0.25">
      <c r="AK998" s="14">
        <v>292</v>
      </c>
      <c r="AM998" s="14">
        <v>95</v>
      </c>
      <c r="AO998" s="14">
        <v>475</v>
      </c>
    </row>
    <row r="999" spans="37:41" x14ac:dyDescent="0.25">
      <c r="AK999" s="14">
        <v>229</v>
      </c>
      <c r="AM999" s="14">
        <v>95</v>
      </c>
      <c r="AO999" s="14">
        <v>12</v>
      </c>
    </row>
    <row r="1000" spans="37:41" x14ac:dyDescent="0.25">
      <c r="AK1000" s="14">
        <v>351</v>
      </c>
      <c r="AO1000" s="14">
        <v>32</v>
      </c>
    </row>
    <row r="1001" spans="37:41" x14ac:dyDescent="0.25">
      <c r="AK1001" s="14">
        <v>498</v>
      </c>
      <c r="AO1001" s="14">
        <v>50</v>
      </c>
    </row>
    <row r="1002" spans="37:41" x14ac:dyDescent="0.25">
      <c r="AK1002" s="14">
        <v>66</v>
      </c>
      <c r="AO1002" s="14">
        <v>23</v>
      </c>
    </row>
    <row r="1003" spans="37:41" x14ac:dyDescent="0.25">
      <c r="AK1003" s="14">
        <v>257</v>
      </c>
      <c r="AO1003" s="14">
        <v>61</v>
      </c>
    </row>
    <row r="1004" spans="37:41" x14ac:dyDescent="0.25">
      <c r="AK1004" s="14">
        <v>225</v>
      </c>
      <c r="AO1004" s="14">
        <v>16</v>
      </c>
    </row>
    <row r="1005" spans="37:41" x14ac:dyDescent="0.25">
      <c r="AK1005" s="14">
        <v>399</v>
      </c>
      <c r="AO1005" s="14">
        <v>32</v>
      </c>
    </row>
    <row r="1006" spans="37:41" x14ac:dyDescent="0.25">
      <c r="AK1006" s="14">
        <v>474</v>
      </c>
      <c r="AO1006" s="14">
        <v>297</v>
      </c>
    </row>
    <row r="1007" spans="37:41" x14ac:dyDescent="0.25">
      <c r="AK1007" s="14">
        <v>262</v>
      </c>
      <c r="AO1007" s="14">
        <v>977</v>
      </c>
    </row>
    <row r="1008" spans="37:41" x14ac:dyDescent="0.25">
      <c r="AK1008" s="14">
        <v>436</v>
      </c>
      <c r="AO1008" s="14">
        <v>416</v>
      </c>
    </row>
    <row r="1009" spans="37:41" x14ac:dyDescent="0.25">
      <c r="AK1009" s="14">
        <v>584</v>
      </c>
      <c r="AO1009" s="14">
        <v>478</v>
      </c>
    </row>
    <row r="1010" spans="37:41" x14ac:dyDescent="0.25">
      <c r="AK1010" s="14">
        <v>38</v>
      </c>
      <c r="AO1010" s="14">
        <v>417</v>
      </c>
    </row>
    <row r="1011" spans="37:41" x14ac:dyDescent="0.25">
      <c r="AK1011" s="14">
        <v>546</v>
      </c>
      <c r="AO1011" s="14">
        <v>511</v>
      </c>
    </row>
    <row r="1012" spans="37:41" x14ac:dyDescent="0.25">
      <c r="AK1012" s="14">
        <v>732</v>
      </c>
      <c r="AO1012" s="14">
        <v>821</v>
      </c>
    </row>
    <row r="1013" spans="37:41" x14ac:dyDescent="0.25">
      <c r="AK1013" s="14">
        <v>371</v>
      </c>
      <c r="AO1013" s="14">
        <v>831</v>
      </c>
    </row>
    <row r="1014" spans="37:41" x14ac:dyDescent="0.25">
      <c r="AK1014" s="14">
        <v>421</v>
      </c>
      <c r="AO1014" s="14">
        <v>550</v>
      </c>
    </row>
    <row r="1015" spans="37:41" x14ac:dyDescent="0.25">
      <c r="AK1015" s="14">
        <v>618</v>
      </c>
      <c r="AO1015" s="14">
        <v>148</v>
      </c>
    </row>
    <row r="1016" spans="37:41" x14ac:dyDescent="0.25">
      <c r="AK1016" s="14">
        <v>396</v>
      </c>
      <c r="AO1016" s="14">
        <v>648</v>
      </c>
    </row>
    <row r="1017" spans="37:41" x14ac:dyDescent="0.25">
      <c r="AK1017" s="14">
        <v>469</v>
      </c>
      <c r="AO1017" s="14">
        <v>167</v>
      </c>
    </row>
    <row r="1018" spans="37:41" x14ac:dyDescent="0.25">
      <c r="AK1018" s="14">
        <v>199</v>
      </c>
      <c r="AO1018" s="14">
        <v>422</v>
      </c>
    </row>
    <row r="1019" spans="37:41" x14ac:dyDescent="0.25">
      <c r="AK1019" s="14">
        <v>99</v>
      </c>
      <c r="AO1019" s="14">
        <v>726</v>
      </c>
    </row>
    <row r="1020" spans="37:41" x14ac:dyDescent="0.25">
      <c r="AK1020" s="14">
        <v>272</v>
      </c>
      <c r="AO1020" s="14">
        <v>696</v>
      </c>
    </row>
    <row r="1021" spans="37:41" x14ac:dyDescent="0.25">
      <c r="AK1021" s="14">
        <v>491</v>
      </c>
      <c r="AO1021" s="14">
        <v>380</v>
      </c>
    </row>
    <row r="1022" spans="37:41" x14ac:dyDescent="0.25">
      <c r="AK1022" s="14">
        <v>602</v>
      </c>
      <c r="AO1022" s="14">
        <v>98</v>
      </c>
    </row>
    <row r="1023" spans="37:41" x14ac:dyDescent="0.25">
      <c r="AK1023" s="14">
        <v>321</v>
      </c>
      <c r="AO1023" s="14">
        <v>440</v>
      </c>
    </row>
    <row r="1024" spans="37:41" x14ac:dyDescent="0.25">
      <c r="AK1024" s="14">
        <v>574</v>
      </c>
      <c r="AO1024" s="14">
        <v>394</v>
      </c>
    </row>
    <row r="1025" spans="37:41" x14ac:dyDescent="0.25">
      <c r="AK1025" s="14">
        <v>284</v>
      </c>
      <c r="AO1025" s="14">
        <v>334</v>
      </c>
    </row>
    <row r="1026" spans="37:41" x14ac:dyDescent="0.25">
      <c r="AK1026" s="14">
        <v>376</v>
      </c>
      <c r="AO1026" s="14">
        <v>646</v>
      </c>
    </row>
    <row r="1027" spans="37:41" x14ac:dyDescent="0.25">
      <c r="AK1027" s="14">
        <v>519</v>
      </c>
      <c r="AO1027" s="14">
        <v>525</v>
      </c>
    </row>
    <row r="1028" spans="37:41" x14ac:dyDescent="0.25">
      <c r="AK1028" s="14">
        <v>353</v>
      </c>
      <c r="AO1028" s="14">
        <v>604</v>
      </c>
    </row>
    <row r="1029" spans="37:41" x14ac:dyDescent="0.25">
      <c r="AK1029" s="14">
        <v>263</v>
      </c>
      <c r="AO1029" s="14">
        <v>116</v>
      </c>
    </row>
    <row r="1030" spans="37:41" x14ac:dyDescent="0.25">
      <c r="AK1030" s="14">
        <v>252</v>
      </c>
      <c r="AO1030" s="14">
        <v>483</v>
      </c>
    </row>
    <row r="1031" spans="37:41" x14ac:dyDescent="0.25">
      <c r="AK1031" s="14">
        <v>468</v>
      </c>
      <c r="AO1031" s="14">
        <v>432</v>
      </c>
    </row>
    <row r="1032" spans="37:41" x14ac:dyDescent="0.25">
      <c r="AK1032" s="14">
        <v>45</v>
      </c>
      <c r="AO1032" s="14">
        <v>518</v>
      </c>
    </row>
    <row r="1033" spans="37:41" x14ac:dyDescent="0.25">
      <c r="AK1033" s="14">
        <v>446</v>
      </c>
      <c r="AO1033" s="14">
        <v>823</v>
      </c>
    </row>
    <row r="1034" spans="37:41" x14ac:dyDescent="0.25">
      <c r="AK1034" s="14">
        <v>320</v>
      </c>
      <c r="AO1034" s="14">
        <v>835</v>
      </c>
    </row>
    <row r="1035" spans="37:41" x14ac:dyDescent="0.25">
      <c r="AK1035" s="14">
        <v>213</v>
      </c>
      <c r="AO1035" s="14">
        <v>118</v>
      </c>
    </row>
    <row r="1036" spans="37:41" x14ac:dyDescent="0.25">
      <c r="AK1036" s="14">
        <v>325</v>
      </c>
      <c r="AO1036" s="14">
        <v>543</v>
      </c>
    </row>
    <row r="1037" spans="37:41" x14ac:dyDescent="0.25">
      <c r="AK1037" s="14">
        <v>350</v>
      </c>
      <c r="AO1037" s="14">
        <v>148</v>
      </c>
    </row>
    <row r="1038" spans="37:41" x14ac:dyDescent="0.25">
      <c r="AK1038" s="14">
        <v>519</v>
      </c>
      <c r="AO1038" s="14">
        <v>160</v>
      </c>
    </row>
    <row r="1039" spans="37:41" x14ac:dyDescent="0.25">
      <c r="AK1039" s="14">
        <v>473</v>
      </c>
      <c r="AO1039" s="14">
        <v>652</v>
      </c>
    </row>
    <row r="1040" spans="37:41" x14ac:dyDescent="0.25">
      <c r="AK1040" s="14">
        <v>681</v>
      </c>
      <c r="AO1040" s="14">
        <v>180</v>
      </c>
    </row>
    <row r="1041" spans="37:41" x14ac:dyDescent="0.25">
      <c r="AK1041" s="14">
        <v>436</v>
      </c>
      <c r="AO1041" s="14">
        <v>425</v>
      </c>
    </row>
    <row r="1042" spans="37:41" x14ac:dyDescent="0.25">
      <c r="AK1042" s="14">
        <v>605</v>
      </c>
      <c r="AO1042" s="14">
        <v>729</v>
      </c>
    </row>
    <row r="1043" spans="37:41" x14ac:dyDescent="0.25">
      <c r="AK1043" s="14">
        <v>462</v>
      </c>
      <c r="AO1043" s="14">
        <v>702</v>
      </c>
    </row>
    <row r="1044" spans="37:41" x14ac:dyDescent="0.25">
      <c r="AK1044" s="14">
        <v>191</v>
      </c>
      <c r="AO1044" s="14">
        <v>632</v>
      </c>
    </row>
    <row r="1045" spans="37:41" x14ac:dyDescent="0.25">
      <c r="AK1045" s="14">
        <v>253</v>
      </c>
      <c r="AO1045" s="14">
        <v>376</v>
      </c>
    </row>
    <row r="1046" spans="37:41" x14ac:dyDescent="0.25">
      <c r="AK1046" s="14">
        <v>327</v>
      </c>
      <c r="AO1046" s="14">
        <v>101</v>
      </c>
    </row>
    <row r="1047" spans="37:41" x14ac:dyDescent="0.25">
      <c r="AK1047" s="14">
        <v>77</v>
      </c>
      <c r="AO1047" s="14">
        <v>154</v>
      </c>
    </row>
    <row r="1048" spans="37:41" x14ac:dyDescent="0.25">
      <c r="AK1048" s="14">
        <v>383</v>
      </c>
      <c r="AO1048" s="14">
        <v>451</v>
      </c>
    </row>
    <row r="1049" spans="37:41" x14ac:dyDescent="0.25">
      <c r="AK1049" s="14">
        <v>141</v>
      </c>
      <c r="AO1049" s="14">
        <v>401</v>
      </c>
    </row>
    <row r="1050" spans="37:41" x14ac:dyDescent="0.25">
      <c r="AK1050" s="14">
        <v>396</v>
      </c>
      <c r="AO1050" s="14">
        <v>341</v>
      </c>
    </row>
    <row r="1051" spans="37:41" x14ac:dyDescent="0.25">
      <c r="AK1051" s="14">
        <v>519</v>
      </c>
      <c r="AO1051" s="14">
        <v>649</v>
      </c>
    </row>
    <row r="1052" spans="37:41" x14ac:dyDescent="0.25">
      <c r="AK1052" s="14">
        <v>417</v>
      </c>
      <c r="AO1052" s="14">
        <v>524</v>
      </c>
    </row>
    <row r="1053" spans="37:41" x14ac:dyDescent="0.25">
      <c r="AK1053" s="14">
        <v>612</v>
      </c>
      <c r="AO1053" s="14">
        <v>101</v>
      </c>
    </row>
    <row r="1054" spans="37:41" x14ac:dyDescent="0.25">
      <c r="AK1054" s="14">
        <v>469</v>
      </c>
      <c r="AO1054" s="14">
        <v>397</v>
      </c>
    </row>
    <row r="1055" spans="37:41" x14ac:dyDescent="0.25">
      <c r="AK1055" s="14">
        <v>438</v>
      </c>
      <c r="AO1055" s="14">
        <v>114</v>
      </c>
    </row>
    <row r="1056" spans="37:41" x14ac:dyDescent="0.25">
      <c r="AK1056" s="14">
        <v>425</v>
      </c>
      <c r="AO1056" s="14">
        <v>84</v>
      </c>
    </row>
    <row r="1057" spans="37:41" x14ac:dyDescent="0.25">
      <c r="AK1057" s="14">
        <v>289</v>
      </c>
      <c r="AO1057" s="14">
        <v>494</v>
      </c>
    </row>
    <row r="1058" spans="37:41" x14ac:dyDescent="0.25">
      <c r="AK1058" s="14">
        <v>412</v>
      </c>
      <c r="AO1058" s="14">
        <v>422</v>
      </c>
    </row>
    <row r="1059" spans="37:41" x14ac:dyDescent="0.25">
      <c r="AK1059" s="14">
        <v>587</v>
      </c>
      <c r="AO1059" s="14">
        <v>530</v>
      </c>
    </row>
    <row r="1060" spans="37:41" x14ac:dyDescent="0.25">
      <c r="AK1060" s="14">
        <v>309</v>
      </c>
      <c r="AO1060" s="14">
        <v>839</v>
      </c>
    </row>
    <row r="1061" spans="37:41" x14ac:dyDescent="0.25">
      <c r="AK1061" s="14">
        <v>342</v>
      </c>
      <c r="AO1061" s="14">
        <v>839</v>
      </c>
    </row>
    <row r="1062" spans="37:41" x14ac:dyDescent="0.25">
      <c r="AK1062" s="14">
        <v>434</v>
      </c>
      <c r="AO1062" s="14">
        <v>118</v>
      </c>
    </row>
    <row r="1063" spans="37:41" x14ac:dyDescent="0.25">
      <c r="AK1063" s="14">
        <v>442</v>
      </c>
      <c r="AO1063" s="14">
        <v>555</v>
      </c>
    </row>
    <row r="1064" spans="37:41" x14ac:dyDescent="0.25">
      <c r="AK1064" s="14">
        <v>93</v>
      </c>
      <c r="AO1064" s="14">
        <v>153</v>
      </c>
    </row>
    <row r="1065" spans="37:41" x14ac:dyDescent="0.25">
      <c r="AK1065" s="14">
        <v>240</v>
      </c>
      <c r="AO1065" s="14">
        <v>158</v>
      </c>
    </row>
    <row r="1066" spans="37:41" x14ac:dyDescent="0.25">
      <c r="AK1066" s="14">
        <v>454</v>
      </c>
      <c r="AO1066" s="14">
        <v>852</v>
      </c>
    </row>
    <row r="1067" spans="37:41" x14ac:dyDescent="0.25">
      <c r="AK1067" s="14">
        <v>614</v>
      </c>
      <c r="AO1067" s="14">
        <v>164</v>
      </c>
    </row>
    <row r="1068" spans="37:41" x14ac:dyDescent="0.25">
      <c r="AK1068" s="14">
        <v>355</v>
      </c>
      <c r="AO1068" s="14">
        <v>497</v>
      </c>
    </row>
    <row r="1069" spans="37:41" x14ac:dyDescent="0.25">
      <c r="AK1069" s="14">
        <v>318</v>
      </c>
      <c r="AO1069" s="14">
        <v>426</v>
      </c>
    </row>
    <row r="1070" spans="37:41" x14ac:dyDescent="0.25">
      <c r="AK1070" s="14">
        <v>457</v>
      </c>
      <c r="AO1070" s="14">
        <v>535</v>
      </c>
    </row>
    <row r="1071" spans="37:41" x14ac:dyDescent="0.25">
      <c r="AK1071" s="14">
        <v>206</v>
      </c>
      <c r="AO1071" s="14">
        <v>552</v>
      </c>
    </row>
    <row r="1072" spans="37:41" x14ac:dyDescent="0.25">
      <c r="AK1072" s="14">
        <v>429</v>
      </c>
      <c r="AO1072" s="14">
        <v>835</v>
      </c>
    </row>
    <row r="1073" spans="37:41" x14ac:dyDescent="0.25">
      <c r="AK1073" s="14">
        <v>400</v>
      </c>
      <c r="AO1073" s="14">
        <v>118</v>
      </c>
    </row>
    <row r="1074" spans="37:41" x14ac:dyDescent="0.25">
      <c r="AK1074" s="14">
        <v>232</v>
      </c>
      <c r="AO1074" s="14">
        <v>551</v>
      </c>
    </row>
    <row r="1075" spans="37:41" x14ac:dyDescent="0.25">
      <c r="AK1075" s="14">
        <v>447</v>
      </c>
      <c r="AO1075" s="14">
        <v>155</v>
      </c>
    </row>
    <row r="1076" spans="37:41" x14ac:dyDescent="0.25">
      <c r="AK1076" s="14">
        <v>567</v>
      </c>
      <c r="AO1076" s="14">
        <v>161</v>
      </c>
    </row>
    <row r="1077" spans="37:41" x14ac:dyDescent="0.25">
      <c r="AK1077" s="14">
        <v>392</v>
      </c>
      <c r="AO1077" s="14">
        <v>840</v>
      </c>
    </row>
    <row r="1078" spans="37:41" x14ac:dyDescent="0.25">
      <c r="AK1078" s="14">
        <v>548</v>
      </c>
      <c r="AO1078" s="14">
        <v>139</v>
      </c>
    </row>
    <row r="1079" spans="37:41" x14ac:dyDescent="0.25">
      <c r="AK1079" s="14">
        <v>168</v>
      </c>
      <c r="AO1079" s="14">
        <v>674</v>
      </c>
    </row>
    <row r="1080" spans="37:41" x14ac:dyDescent="0.25">
      <c r="AK1080" s="14">
        <v>252</v>
      </c>
      <c r="AO1080" s="14">
        <v>165</v>
      </c>
    </row>
    <row r="1081" spans="37:41" x14ac:dyDescent="0.25">
      <c r="AK1081" s="14">
        <v>61</v>
      </c>
      <c r="AO1081" s="14">
        <v>414</v>
      </c>
    </row>
    <row r="1082" spans="37:41" x14ac:dyDescent="0.25">
      <c r="AK1082" s="14">
        <v>394</v>
      </c>
      <c r="AO1082" s="14">
        <v>768</v>
      </c>
    </row>
    <row r="1083" spans="37:41" x14ac:dyDescent="0.25">
      <c r="AK1083" s="14">
        <v>113</v>
      </c>
      <c r="AO1083" s="14">
        <v>694</v>
      </c>
    </row>
    <row r="1084" spans="37:41" x14ac:dyDescent="0.25">
      <c r="AK1084" s="14">
        <v>470</v>
      </c>
      <c r="AO1084" s="14">
        <v>640</v>
      </c>
    </row>
    <row r="1085" spans="37:41" x14ac:dyDescent="0.25">
      <c r="AK1085" s="14">
        <v>631</v>
      </c>
      <c r="AO1085" s="14">
        <v>375</v>
      </c>
    </row>
    <row r="1086" spans="37:41" x14ac:dyDescent="0.25">
      <c r="AK1086" s="14">
        <v>525</v>
      </c>
      <c r="AO1086" s="14">
        <v>100</v>
      </c>
    </row>
    <row r="1087" spans="37:41" x14ac:dyDescent="0.25">
      <c r="AK1087" s="14">
        <v>311</v>
      </c>
      <c r="AO1087" s="14">
        <v>153</v>
      </c>
    </row>
    <row r="1088" spans="37:41" x14ac:dyDescent="0.25">
      <c r="AK1088" s="14">
        <v>348</v>
      </c>
      <c r="AO1088" s="14">
        <v>779</v>
      </c>
    </row>
    <row r="1089" spans="37:41" x14ac:dyDescent="0.25">
      <c r="AK1089" s="14">
        <v>162</v>
      </c>
      <c r="AO1089" s="14">
        <v>39</v>
      </c>
    </row>
    <row r="1090" spans="37:41" x14ac:dyDescent="0.25">
      <c r="AK1090" s="14">
        <v>65</v>
      </c>
      <c r="AO1090" s="14">
        <v>665</v>
      </c>
    </row>
    <row r="1091" spans="37:41" x14ac:dyDescent="0.25">
      <c r="AK1091" s="14">
        <v>144</v>
      </c>
      <c r="AO1091" s="14">
        <v>171</v>
      </c>
    </row>
    <row r="1092" spans="37:41" x14ac:dyDescent="0.25">
      <c r="AK1092" s="14">
        <v>379</v>
      </c>
      <c r="AO1092" s="14">
        <v>427</v>
      </c>
    </row>
    <row r="1093" spans="37:41" x14ac:dyDescent="0.25">
      <c r="AK1093" s="14">
        <v>216</v>
      </c>
      <c r="AO1093" s="14">
        <v>750</v>
      </c>
    </row>
    <row r="1094" spans="37:41" x14ac:dyDescent="0.25">
      <c r="AK1094" s="14">
        <v>561</v>
      </c>
      <c r="AO1094" s="14">
        <v>700</v>
      </c>
    </row>
    <row r="1095" spans="37:41" x14ac:dyDescent="0.25">
      <c r="AK1095" s="14">
        <v>597</v>
      </c>
      <c r="AO1095" s="14">
        <v>636</v>
      </c>
    </row>
    <row r="1096" spans="37:41" x14ac:dyDescent="0.25">
      <c r="AK1096" s="14">
        <v>218</v>
      </c>
      <c r="AO1096" s="14">
        <v>374</v>
      </c>
    </row>
    <row r="1097" spans="37:41" x14ac:dyDescent="0.25">
      <c r="AK1097" s="14">
        <v>431</v>
      </c>
      <c r="AO1097" s="14">
        <v>103</v>
      </c>
    </row>
    <row r="1098" spans="37:41" x14ac:dyDescent="0.25">
      <c r="AK1098" s="14">
        <v>381</v>
      </c>
      <c r="AO1098" s="14">
        <v>157</v>
      </c>
    </row>
    <row r="1099" spans="37:41" x14ac:dyDescent="0.25">
      <c r="AK1099" s="14">
        <v>457</v>
      </c>
      <c r="AO1099" s="14">
        <v>621</v>
      </c>
    </row>
    <row r="1100" spans="37:41" x14ac:dyDescent="0.25">
      <c r="AK1100" s="14">
        <v>326</v>
      </c>
      <c r="AO1100" s="14">
        <v>123</v>
      </c>
    </row>
    <row r="1101" spans="37:41" x14ac:dyDescent="0.25">
      <c r="AK1101" s="14">
        <v>211</v>
      </c>
      <c r="AO1101" s="14">
        <v>460</v>
      </c>
    </row>
    <row r="1102" spans="37:41" x14ac:dyDescent="0.25">
      <c r="AK1102" s="14">
        <v>566</v>
      </c>
      <c r="AO1102" s="14">
        <v>405</v>
      </c>
    </row>
    <row r="1103" spans="37:41" x14ac:dyDescent="0.25">
      <c r="AK1103" s="14">
        <v>441</v>
      </c>
      <c r="AO1103" s="14">
        <v>358</v>
      </c>
    </row>
    <row r="1104" spans="37:41" x14ac:dyDescent="0.25">
      <c r="AK1104" s="14">
        <v>347</v>
      </c>
      <c r="AO1104" s="14">
        <v>645</v>
      </c>
    </row>
    <row r="1105" spans="37:41" x14ac:dyDescent="0.25">
      <c r="AK1105" s="14">
        <v>193</v>
      </c>
      <c r="AO1105" s="14">
        <v>532</v>
      </c>
    </row>
    <row r="1106" spans="37:41" x14ac:dyDescent="0.25">
      <c r="AK1106" s="14">
        <v>306</v>
      </c>
      <c r="AO1106" s="14">
        <v>101</v>
      </c>
    </row>
    <row r="1107" spans="37:41" x14ac:dyDescent="0.25">
      <c r="AK1107" s="14">
        <v>461</v>
      </c>
      <c r="AO1107" s="14">
        <v>410</v>
      </c>
    </row>
    <row r="1108" spans="37:41" x14ac:dyDescent="0.25">
      <c r="AK1108" s="14">
        <v>501</v>
      </c>
      <c r="AO1108" s="14">
        <v>116</v>
      </c>
    </row>
    <row r="1109" spans="37:41" x14ac:dyDescent="0.25">
      <c r="AK1109" s="14">
        <v>346</v>
      </c>
      <c r="AO1109" s="14">
        <v>82</v>
      </c>
    </row>
    <row r="1110" spans="37:41" x14ac:dyDescent="0.25">
      <c r="AK1110" s="14">
        <v>77</v>
      </c>
      <c r="AO1110" s="14">
        <v>499</v>
      </c>
    </row>
    <row r="1111" spans="37:41" x14ac:dyDescent="0.25">
      <c r="AK1111" s="14">
        <v>491</v>
      </c>
      <c r="AO1111" s="14">
        <v>193</v>
      </c>
    </row>
    <row r="1112" spans="37:41" x14ac:dyDescent="0.25">
      <c r="AK1112" s="14">
        <v>509</v>
      </c>
      <c r="AO1112" s="14">
        <v>455</v>
      </c>
    </row>
    <row r="1113" spans="37:41" x14ac:dyDescent="0.25">
      <c r="AK1113" s="14">
        <v>1</v>
      </c>
      <c r="AO1113" s="14">
        <v>398</v>
      </c>
    </row>
    <row r="1114" spans="37:41" x14ac:dyDescent="0.25">
      <c r="AK1114" s="14">
        <v>325</v>
      </c>
      <c r="AO1114" s="14">
        <v>360</v>
      </c>
    </row>
    <row r="1115" spans="37:41" x14ac:dyDescent="0.25">
      <c r="AK1115" s="14">
        <v>377</v>
      </c>
      <c r="AO1115" s="14">
        <v>644</v>
      </c>
    </row>
    <row r="1116" spans="37:41" x14ac:dyDescent="0.25">
      <c r="AK1116" s="14">
        <v>88</v>
      </c>
      <c r="AO1116" s="14">
        <v>524</v>
      </c>
    </row>
    <row r="1117" spans="37:41" x14ac:dyDescent="0.25">
      <c r="AK1117" s="14">
        <v>107</v>
      </c>
      <c r="AO1117" s="14">
        <v>101</v>
      </c>
    </row>
    <row r="1118" spans="37:41" x14ac:dyDescent="0.25">
      <c r="AK1118" s="14">
        <v>427</v>
      </c>
      <c r="AO1118" s="14">
        <v>407</v>
      </c>
    </row>
    <row r="1119" spans="37:41" x14ac:dyDescent="0.25">
      <c r="AK1119" s="14">
        <v>371</v>
      </c>
      <c r="AO1119" s="14">
        <v>117</v>
      </c>
    </row>
    <row r="1120" spans="37:41" x14ac:dyDescent="0.25">
      <c r="AK1120" s="14">
        <v>206</v>
      </c>
      <c r="AO1120" s="14">
        <v>83</v>
      </c>
    </row>
    <row r="1121" spans="37:41" x14ac:dyDescent="0.25">
      <c r="AK1121" s="14">
        <v>148</v>
      </c>
      <c r="AO1121" s="14">
        <v>593</v>
      </c>
    </row>
    <row r="1122" spans="37:41" x14ac:dyDescent="0.25">
      <c r="AK1122" s="14">
        <v>311</v>
      </c>
      <c r="AO1122" s="14">
        <v>80</v>
      </c>
    </row>
    <row r="1123" spans="37:41" x14ac:dyDescent="0.25">
      <c r="AK1123" s="14">
        <v>170</v>
      </c>
      <c r="AO1123" s="14">
        <v>402</v>
      </c>
    </row>
    <row r="1124" spans="37:41" x14ac:dyDescent="0.25">
      <c r="AK1124" s="14">
        <v>160</v>
      </c>
      <c r="AO1124" s="14">
        <v>166</v>
      </c>
    </row>
    <row r="1125" spans="37:41" x14ac:dyDescent="0.25">
      <c r="AK1125" s="14">
        <v>663</v>
      </c>
      <c r="AO1125" s="14">
        <v>228</v>
      </c>
    </row>
    <row r="1126" spans="37:41" x14ac:dyDescent="0.25">
      <c r="AK1126" s="14">
        <v>169</v>
      </c>
      <c r="AO1126" s="14">
        <v>667</v>
      </c>
    </row>
    <row r="1127" spans="37:41" x14ac:dyDescent="0.25">
      <c r="AK1127" s="14">
        <v>108</v>
      </c>
      <c r="AO1127" s="14">
        <v>438</v>
      </c>
    </row>
    <row r="1128" spans="37:41" x14ac:dyDescent="0.25">
      <c r="AK1128" s="14">
        <v>373</v>
      </c>
      <c r="AO1128" s="14">
        <v>879</v>
      </c>
    </row>
    <row r="1129" spans="37:41" x14ac:dyDescent="0.25">
      <c r="AK1129" s="14">
        <v>281</v>
      </c>
      <c r="AO1129" s="14">
        <v>387</v>
      </c>
    </row>
    <row r="1130" spans="37:41" x14ac:dyDescent="0.25">
      <c r="AK1130" s="14">
        <v>925</v>
      </c>
      <c r="AO1130" s="14">
        <v>70</v>
      </c>
    </row>
    <row r="1131" spans="37:41" x14ac:dyDescent="0.25">
      <c r="AK1131" s="14">
        <v>16</v>
      </c>
      <c r="AO1131" s="14">
        <v>6</v>
      </c>
    </row>
    <row r="1132" spans="37:41" x14ac:dyDescent="0.25">
      <c r="AK1132" s="14">
        <v>125</v>
      </c>
      <c r="AO1132" s="14">
        <v>2</v>
      </c>
    </row>
    <row r="1133" spans="37:41" x14ac:dyDescent="0.25">
      <c r="AK1133" s="14">
        <v>100</v>
      </c>
      <c r="AO1133" s="14">
        <v>33</v>
      </c>
    </row>
    <row r="1134" spans="37:41" x14ac:dyDescent="0.25">
      <c r="AK1134" s="14">
        <v>745</v>
      </c>
      <c r="AO1134" s="14">
        <v>403</v>
      </c>
    </row>
    <row r="1135" spans="37:41" x14ac:dyDescent="0.25">
      <c r="AK1135" s="14">
        <v>110</v>
      </c>
      <c r="AO1135" s="14">
        <v>353</v>
      </c>
    </row>
    <row r="1136" spans="37:41" x14ac:dyDescent="0.25">
      <c r="AK1136" s="14">
        <v>414</v>
      </c>
      <c r="AO1136" s="14">
        <v>228</v>
      </c>
    </row>
    <row r="1137" spans="37:41" x14ac:dyDescent="0.25">
      <c r="AK1137" s="14">
        <v>367</v>
      </c>
      <c r="AO1137" s="14">
        <v>687</v>
      </c>
    </row>
    <row r="1138" spans="37:41" x14ac:dyDescent="0.25">
      <c r="AK1138" s="14">
        <v>134</v>
      </c>
      <c r="AO1138" s="14">
        <v>438</v>
      </c>
    </row>
    <row r="1139" spans="37:41" x14ac:dyDescent="0.25">
      <c r="AK1139" s="14">
        <v>552</v>
      </c>
      <c r="AO1139" s="14">
        <v>879</v>
      </c>
    </row>
    <row r="1140" spans="37:41" x14ac:dyDescent="0.25">
      <c r="AK1140" s="14">
        <v>290</v>
      </c>
      <c r="AO1140" s="14">
        <v>392</v>
      </c>
    </row>
    <row r="1141" spans="37:41" x14ac:dyDescent="0.25">
      <c r="AK1141" s="14">
        <v>214</v>
      </c>
      <c r="AO1141" s="14">
        <v>72</v>
      </c>
    </row>
    <row r="1142" spans="37:41" x14ac:dyDescent="0.25">
      <c r="AK1142" s="14">
        <v>142</v>
      </c>
      <c r="AO1142" s="14">
        <v>57</v>
      </c>
    </row>
    <row r="1143" spans="37:41" x14ac:dyDescent="0.25">
      <c r="AK1143" s="14">
        <v>143</v>
      </c>
      <c r="AO1143" s="14">
        <v>88</v>
      </c>
    </row>
    <row r="1144" spans="37:41" x14ac:dyDescent="0.25">
      <c r="AK1144" s="14">
        <v>287</v>
      </c>
      <c r="AO1144" s="14">
        <v>67</v>
      </c>
    </row>
    <row r="1145" spans="37:41" x14ac:dyDescent="0.25">
      <c r="AK1145" s="14">
        <v>921</v>
      </c>
      <c r="AO1145" s="14">
        <v>478</v>
      </c>
    </row>
    <row r="1146" spans="37:41" x14ac:dyDescent="0.25">
      <c r="AK1146" s="14">
        <v>150</v>
      </c>
      <c r="AO1146" s="14">
        <v>424</v>
      </c>
    </row>
    <row r="1147" spans="37:41" x14ac:dyDescent="0.25">
      <c r="AK1147" s="14">
        <v>274</v>
      </c>
      <c r="AO1147" s="14">
        <v>517</v>
      </c>
    </row>
    <row r="1148" spans="37:41" x14ac:dyDescent="0.25">
      <c r="AK1148" s="14">
        <v>703</v>
      </c>
      <c r="AO1148" s="14">
        <v>806</v>
      </c>
    </row>
    <row r="1149" spans="37:41" x14ac:dyDescent="0.25">
      <c r="AK1149" s="14">
        <v>367</v>
      </c>
      <c r="AO1149" s="14">
        <v>836</v>
      </c>
    </row>
    <row r="1150" spans="37:41" x14ac:dyDescent="0.25">
      <c r="AK1150" s="14">
        <v>261</v>
      </c>
      <c r="AO1150" s="14">
        <v>131</v>
      </c>
    </row>
    <row r="1151" spans="37:41" x14ac:dyDescent="0.25">
      <c r="AK1151" s="14">
        <v>393</v>
      </c>
      <c r="AO1151" s="14">
        <v>548</v>
      </c>
    </row>
    <row r="1152" spans="37:41" x14ac:dyDescent="0.25">
      <c r="AK1152" s="14">
        <v>101</v>
      </c>
      <c r="AO1152" s="14">
        <v>150</v>
      </c>
    </row>
    <row r="1153" spans="37:41" x14ac:dyDescent="0.25">
      <c r="AK1153" s="14">
        <v>310</v>
      </c>
      <c r="AO1153" s="14">
        <v>51</v>
      </c>
    </row>
    <row r="1154" spans="37:41" x14ac:dyDescent="0.25">
      <c r="AK1154" s="14">
        <v>95</v>
      </c>
      <c r="AO1154" s="14">
        <v>647</v>
      </c>
    </row>
    <row r="1155" spans="37:41" x14ac:dyDescent="0.25">
      <c r="AK1155" s="14">
        <v>683</v>
      </c>
      <c r="AO1155" s="14">
        <v>176</v>
      </c>
    </row>
    <row r="1156" spans="37:41" x14ac:dyDescent="0.25">
      <c r="AK1156" s="14">
        <v>234</v>
      </c>
      <c r="AO1156" s="14">
        <v>425</v>
      </c>
    </row>
    <row r="1157" spans="37:41" x14ac:dyDescent="0.25">
      <c r="AK1157" s="14">
        <v>722</v>
      </c>
      <c r="AO1157" s="14">
        <v>721</v>
      </c>
    </row>
    <row r="1158" spans="37:41" x14ac:dyDescent="0.25">
      <c r="AK1158" s="14">
        <v>195</v>
      </c>
      <c r="AO1158" s="14">
        <v>701</v>
      </c>
    </row>
    <row r="1159" spans="37:41" x14ac:dyDescent="0.25">
      <c r="AK1159" s="14">
        <v>353</v>
      </c>
      <c r="AO1159" s="14">
        <v>706</v>
      </c>
    </row>
    <row r="1160" spans="37:41" x14ac:dyDescent="0.25">
      <c r="AK1160" s="14">
        <v>914</v>
      </c>
      <c r="AO1160" s="14">
        <v>379</v>
      </c>
    </row>
    <row r="1161" spans="37:41" x14ac:dyDescent="0.25">
      <c r="AK1161" s="14">
        <v>224</v>
      </c>
      <c r="AO1161" s="14">
        <v>102</v>
      </c>
    </row>
    <row r="1162" spans="37:41" x14ac:dyDescent="0.25">
      <c r="AK1162" s="14">
        <v>370</v>
      </c>
      <c r="AO1162" s="14">
        <v>97</v>
      </c>
    </row>
    <row r="1163" spans="37:41" x14ac:dyDescent="0.25">
      <c r="AK1163" s="14">
        <v>133</v>
      </c>
      <c r="AO1163" s="14">
        <v>453</v>
      </c>
    </row>
    <row r="1164" spans="37:41" x14ac:dyDescent="0.25">
      <c r="AK1164" s="14">
        <v>117</v>
      </c>
      <c r="AO1164" s="14">
        <v>393</v>
      </c>
    </row>
    <row r="1165" spans="37:41" x14ac:dyDescent="0.25">
      <c r="AK1165" s="14">
        <v>337</v>
      </c>
      <c r="AO1165" s="14">
        <v>340</v>
      </c>
    </row>
    <row r="1166" spans="37:41" x14ac:dyDescent="0.25">
      <c r="AK1166" s="14">
        <v>548</v>
      </c>
      <c r="AO1166" s="14">
        <v>642</v>
      </c>
    </row>
    <row r="1167" spans="37:41" x14ac:dyDescent="0.25">
      <c r="AK1167" s="14">
        <v>235</v>
      </c>
      <c r="AO1167" s="14">
        <v>524</v>
      </c>
    </row>
    <row r="1168" spans="37:41" x14ac:dyDescent="0.25">
      <c r="AK1168" s="14">
        <v>390</v>
      </c>
      <c r="AO1168" s="14">
        <v>113</v>
      </c>
    </row>
    <row r="1169" spans="37:41" x14ac:dyDescent="0.25">
      <c r="AK1169" s="14">
        <v>691</v>
      </c>
      <c r="AO1169" s="14">
        <v>400</v>
      </c>
    </row>
    <row r="1170" spans="37:41" x14ac:dyDescent="0.25">
      <c r="AK1170" s="14">
        <v>707</v>
      </c>
      <c r="AO1170" s="14">
        <v>115</v>
      </c>
    </row>
    <row r="1171" spans="37:41" x14ac:dyDescent="0.25">
      <c r="AK1171" s="14">
        <v>329</v>
      </c>
      <c r="AO1171" s="14">
        <v>9</v>
      </c>
    </row>
    <row r="1172" spans="37:41" x14ac:dyDescent="0.25">
      <c r="AK1172" s="14">
        <v>693</v>
      </c>
      <c r="AO1172" s="14">
        <v>460</v>
      </c>
    </row>
    <row r="1173" spans="37:41" x14ac:dyDescent="0.25">
      <c r="AK1173" s="14">
        <v>104</v>
      </c>
      <c r="AO1173" s="14">
        <v>405</v>
      </c>
    </row>
    <row r="1174" spans="37:41" x14ac:dyDescent="0.25">
      <c r="AK1174" s="14">
        <v>162</v>
      </c>
      <c r="AO1174" s="14">
        <v>358</v>
      </c>
    </row>
    <row r="1175" spans="37:41" x14ac:dyDescent="0.25">
      <c r="AK1175" s="14">
        <v>58</v>
      </c>
      <c r="AO1175" s="14">
        <v>645</v>
      </c>
    </row>
    <row r="1176" spans="37:41" x14ac:dyDescent="0.25">
      <c r="AK1176" s="14">
        <v>171</v>
      </c>
      <c r="AO1176" s="14">
        <v>532</v>
      </c>
    </row>
    <row r="1177" spans="37:41" x14ac:dyDescent="0.25">
      <c r="AK1177" s="14">
        <v>165</v>
      </c>
      <c r="AO1177" s="14">
        <v>101</v>
      </c>
    </row>
    <row r="1178" spans="37:41" x14ac:dyDescent="0.25">
      <c r="AK1178" s="14">
        <v>416</v>
      </c>
      <c r="AO1178" s="14">
        <v>410</v>
      </c>
    </row>
    <row r="1179" spans="37:41" x14ac:dyDescent="0.25">
      <c r="AK1179" s="14">
        <v>795</v>
      </c>
      <c r="AO1179" s="14">
        <v>116</v>
      </c>
    </row>
    <row r="1180" spans="37:41" x14ac:dyDescent="0.25">
      <c r="AK1180" s="14">
        <v>936</v>
      </c>
      <c r="AO1180" s="14">
        <v>82</v>
      </c>
    </row>
    <row r="1181" spans="37:41" x14ac:dyDescent="0.25">
      <c r="AK1181" s="14">
        <v>841</v>
      </c>
      <c r="AO1181" s="14">
        <v>499</v>
      </c>
    </row>
    <row r="1182" spans="37:41" x14ac:dyDescent="0.25">
      <c r="AK1182" s="14">
        <v>959</v>
      </c>
      <c r="AO1182" s="14">
        <v>193</v>
      </c>
    </row>
    <row r="1183" spans="37:41" x14ac:dyDescent="0.25">
      <c r="AK1183" s="14">
        <v>67</v>
      </c>
      <c r="AO1183" s="14">
        <v>455</v>
      </c>
    </row>
    <row r="1184" spans="37:41" x14ac:dyDescent="0.25">
      <c r="AK1184" s="14">
        <v>903</v>
      </c>
      <c r="AO1184" s="14">
        <v>398</v>
      </c>
    </row>
    <row r="1185" spans="37:41" x14ac:dyDescent="0.25">
      <c r="AK1185" s="14">
        <v>51</v>
      </c>
      <c r="AO1185" s="14">
        <v>360</v>
      </c>
    </row>
    <row r="1186" spans="37:41" x14ac:dyDescent="0.25">
      <c r="AK1186" s="14">
        <v>425</v>
      </c>
      <c r="AO1186" s="14">
        <v>644</v>
      </c>
    </row>
    <row r="1187" spans="37:41" x14ac:dyDescent="0.25">
      <c r="AK1187" s="14">
        <v>110</v>
      </c>
      <c r="AO1187" s="14">
        <v>524</v>
      </c>
    </row>
    <row r="1188" spans="37:41" x14ac:dyDescent="0.25">
      <c r="AK1188" s="14">
        <v>119</v>
      </c>
      <c r="AO1188" s="14">
        <v>101</v>
      </c>
    </row>
    <row r="1189" spans="37:41" x14ac:dyDescent="0.25">
      <c r="AK1189" s="14">
        <v>83</v>
      </c>
      <c r="AO1189" s="14">
        <v>407</v>
      </c>
    </row>
    <row r="1190" spans="37:41" x14ac:dyDescent="0.25">
      <c r="AK1190" s="14">
        <v>723</v>
      </c>
      <c r="AO1190" s="14">
        <v>117</v>
      </c>
    </row>
    <row r="1191" spans="37:41" x14ac:dyDescent="0.25">
      <c r="AK1191" s="14">
        <v>109</v>
      </c>
      <c r="AO1191" s="14">
        <v>83</v>
      </c>
    </row>
    <row r="1192" spans="37:41" x14ac:dyDescent="0.25">
      <c r="AK1192" s="14">
        <v>523</v>
      </c>
      <c r="AO1192" s="14">
        <v>593</v>
      </c>
    </row>
    <row r="1193" spans="37:41" x14ac:dyDescent="0.25">
      <c r="AK1193" s="14">
        <v>169</v>
      </c>
      <c r="AO1193" s="14">
        <v>80</v>
      </c>
    </row>
    <row r="1194" spans="37:41" x14ac:dyDescent="0.25">
      <c r="AK1194" s="14">
        <v>227</v>
      </c>
      <c r="AO1194" s="14">
        <v>669</v>
      </c>
    </row>
    <row r="1195" spans="37:41" x14ac:dyDescent="0.25">
      <c r="AK1195" s="14">
        <v>176</v>
      </c>
      <c r="AO1195" s="14">
        <v>165</v>
      </c>
    </row>
    <row r="1196" spans="37:41" x14ac:dyDescent="0.25">
      <c r="AK1196" s="14">
        <v>357</v>
      </c>
      <c r="AO1196" s="14">
        <v>414</v>
      </c>
    </row>
    <row r="1197" spans="37:41" x14ac:dyDescent="0.25">
      <c r="AK1197" s="14">
        <v>229</v>
      </c>
      <c r="AO1197" s="14">
        <v>759</v>
      </c>
    </row>
    <row r="1198" spans="37:41" x14ac:dyDescent="0.25">
      <c r="AK1198" s="14">
        <v>447</v>
      </c>
      <c r="AO1198" s="14">
        <v>693</v>
      </c>
    </row>
    <row r="1199" spans="37:41" x14ac:dyDescent="0.25">
      <c r="AK1199" s="14">
        <v>134</v>
      </c>
      <c r="AO1199" s="14">
        <v>726</v>
      </c>
    </row>
    <row r="1200" spans="37:41" x14ac:dyDescent="0.25">
      <c r="AK1200" s="14">
        <v>626</v>
      </c>
      <c r="AO1200" s="14">
        <v>379</v>
      </c>
    </row>
    <row r="1201" spans="37:41" x14ac:dyDescent="0.25">
      <c r="AK1201" s="14">
        <v>78</v>
      </c>
      <c r="AO1201" s="14">
        <v>100</v>
      </c>
    </row>
    <row r="1202" spans="37:41" x14ac:dyDescent="0.25">
      <c r="AK1202" s="14">
        <v>44</v>
      </c>
      <c r="AO1202" s="14">
        <v>232</v>
      </c>
    </row>
    <row r="1203" spans="37:41" x14ac:dyDescent="0.25">
      <c r="AK1203" s="14">
        <v>102</v>
      </c>
      <c r="AO1203" s="14">
        <v>776</v>
      </c>
    </row>
    <row r="1204" spans="37:41" x14ac:dyDescent="0.25">
      <c r="AK1204" s="14">
        <v>206</v>
      </c>
      <c r="AO1204" s="14">
        <v>39</v>
      </c>
    </row>
    <row r="1205" spans="37:41" x14ac:dyDescent="0.25">
      <c r="AK1205" s="14">
        <v>413</v>
      </c>
      <c r="AO1205" s="14">
        <v>660</v>
      </c>
    </row>
    <row r="1206" spans="37:41" x14ac:dyDescent="0.25">
      <c r="AK1206" s="14">
        <v>301</v>
      </c>
      <c r="AO1206" s="14">
        <v>167</v>
      </c>
    </row>
    <row r="1207" spans="37:41" x14ac:dyDescent="0.25">
      <c r="AK1207" s="14">
        <v>218</v>
      </c>
      <c r="AO1207" s="14">
        <v>427</v>
      </c>
    </row>
    <row r="1208" spans="37:41" x14ac:dyDescent="0.25">
      <c r="AK1208" s="14">
        <v>711</v>
      </c>
      <c r="AO1208" s="14">
        <v>742</v>
      </c>
    </row>
    <row r="1209" spans="37:41" x14ac:dyDescent="0.25">
      <c r="AK1209" s="14">
        <v>386</v>
      </c>
      <c r="AO1209" s="14">
        <v>699</v>
      </c>
    </row>
    <row r="1210" spans="37:41" x14ac:dyDescent="0.25">
      <c r="AK1210" s="14">
        <v>243</v>
      </c>
      <c r="AO1210" s="14">
        <v>725</v>
      </c>
    </row>
    <row r="1211" spans="37:41" x14ac:dyDescent="0.25">
      <c r="AK1211" s="14">
        <v>712</v>
      </c>
      <c r="AO1211" s="14">
        <v>378</v>
      </c>
    </row>
    <row r="1212" spans="37:41" x14ac:dyDescent="0.25">
      <c r="AK1212" s="14">
        <v>544</v>
      </c>
      <c r="AO1212" s="14">
        <v>104</v>
      </c>
    </row>
    <row r="1213" spans="37:41" x14ac:dyDescent="0.25">
      <c r="AK1213" s="14">
        <v>136</v>
      </c>
      <c r="AO1213" s="14">
        <v>234</v>
      </c>
    </row>
    <row r="1214" spans="37:41" x14ac:dyDescent="0.25">
      <c r="AK1214" s="14">
        <v>650</v>
      </c>
      <c r="AO1214" s="14">
        <v>620</v>
      </c>
    </row>
    <row r="1215" spans="37:41" x14ac:dyDescent="0.25">
      <c r="AK1215" s="14">
        <v>113</v>
      </c>
      <c r="AO1215" s="14">
        <v>122</v>
      </c>
    </row>
    <row r="1216" spans="37:41" x14ac:dyDescent="0.25">
      <c r="AK1216" s="14">
        <v>147</v>
      </c>
      <c r="AO1216" s="14">
        <v>463</v>
      </c>
    </row>
    <row r="1217" spans="37:41" x14ac:dyDescent="0.25">
      <c r="AK1217" s="14">
        <v>769</v>
      </c>
      <c r="AO1217" s="14">
        <v>403</v>
      </c>
    </row>
    <row r="1218" spans="37:41" x14ac:dyDescent="0.25">
      <c r="AK1218" s="14">
        <v>862</v>
      </c>
      <c r="AO1218" s="14">
        <v>357</v>
      </c>
    </row>
    <row r="1219" spans="37:41" x14ac:dyDescent="0.25">
      <c r="AK1219" s="14">
        <v>926</v>
      </c>
      <c r="AO1219" s="14">
        <v>638</v>
      </c>
    </row>
    <row r="1220" spans="37:41" x14ac:dyDescent="0.25">
      <c r="AK1220" s="14">
        <v>105</v>
      </c>
      <c r="AO1220" s="14">
        <v>532</v>
      </c>
    </row>
    <row r="1221" spans="37:41" x14ac:dyDescent="0.25">
      <c r="AK1221" s="14">
        <v>250</v>
      </c>
      <c r="AO1221" s="14">
        <v>114</v>
      </c>
    </row>
    <row r="1222" spans="37:41" x14ac:dyDescent="0.25">
      <c r="AK1222" s="14">
        <v>660</v>
      </c>
      <c r="AO1222" s="14">
        <v>413</v>
      </c>
    </row>
    <row r="1223" spans="37:41" x14ac:dyDescent="0.25">
      <c r="AK1223" s="14">
        <v>205</v>
      </c>
      <c r="AO1223" s="14">
        <v>117</v>
      </c>
    </row>
    <row r="1224" spans="37:41" x14ac:dyDescent="0.25">
      <c r="AK1224" s="14">
        <v>319</v>
      </c>
      <c r="AO1224" s="14">
        <v>105</v>
      </c>
    </row>
    <row r="1225" spans="37:41" x14ac:dyDescent="0.25">
      <c r="AK1225" s="14">
        <v>924</v>
      </c>
      <c r="AO1225" s="14">
        <v>192</v>
      </c>
    </row>
    <row r="1226" spans="37:41" x14ac:dyDescent="0.25">
      <c r="AK1226" s="14">
        <v>987</v>
      </c>
      <c r="AO1226" s="14">
        <v>458</v>
      </c>
    </row>
    <row r="1227" spans="37:41" x14ac:dyDescent="0.25">
      <c r="AK1227" s="14">
        <v>204</v>
      </c>
      <c r="AO1227" s="14">
        <v>395</v>
      </c>
    </row>
    <row r="1228" spans="37:41" x14ac:dyDescent="0.25">
      <c r="AK1228" s="14">
        <v>323</v>
      </c>
      <c r="AO1228" s="14">
        <v>358</v>
      </c>
    </row>
    <row r="1229" spans="37:41" x14ac:dyDescent="0.25">
      <c r="AK1229" s="14">
        <v>860</v>
      </c>
      <c r="AO1229" s="14">
        <v>637</v>
      </c>
    </row>
    <row r="1230" spans="37:41" x14ac:dyDescent="0.25">
      <c r="AK1230" s="14">
        <v>121</v>
      </c>
      <c r="AO1230" s="14">
        <v>524</v>
      </c>
    </row>
    <row r="1231" spans="37:41" x14ac:dyDescent="0.25">
      <c r="AK1231" s="14">
        <v>941</v>
      </c>
      <c r="AO1231" s="14">
        <v>114</v>
      </c>
    </row>
    <row r="1232" spans="37:41" x14ac:dyDescent="0.25">
      <c r="AK1232" s="14">
        <v>577</v>
      </c>
      <c r="AO1232" s="14">
        <v>410</v>
      </c>
    </row>
    <row r="1233" spans="37:41" x14ac:dyDescent="0.25">
      <c r="AK1233" s="14">
        <v>117</v>
      </c>
      <c r="AO1233" s="14">
        <v>117</v>
      </c>
    </row>
    <row r="1234" spans="37:41" x14ac:dyDescent="0.25">
      <c r="AK1234" s="14">
        <v>138</v>
      </c>
      <c r="AO1234" s="14">
        <v>107</v>
      </c>
    </row>
    <row r="1235" spans="37:41" x14ac:dyDescent="0.25">
      <c r="AK1235" s="14">
        <v>145</v>
      </c>
      <c r="AO1235" s="14">
        <v>596</v>
      </c>
    </row>
    <row r="1236" spans="37:41" x14ac:dyDescent="0.25">
      <c r="AK1236" s="14">
        <v>409</v>
      </c>
      <c r="AO1236" s="14">
        <v>76</v>
      </c>
    </row>
    <row r="1237" spans="37:41" x14ac:dyDescent="0.25">
      <c r="AK1237" s="14">
        <v>384</v>
      </c>
      <c r="AO1237" s="14">
        <v>401</v>
      </c>
    </row>
    <row r="1238" spans="37:41" x14ac:dyDescent="0.25">
      <c r="AK1238" s="14">
        <v>96</v>
      </c>
      <c r="AO1238" s="14">
        <v>166</v>
      </c>
    </row>
    <row r="1239" spans="37:41" x14ac:dyDescent="0.25">
      <c r="AK1239" s="14">
        <v>278</v>
      </c>
      <c r="AO1239" s="14">
        <v>227</v>
      </c>
    </row>
    <row r="1240" spans="37:41" x14ac:dyDescent="0.25">
      <c r="AK1240" s="14">
        <v>872</v>
      </c>
      <c r="AO1240" s="14">
        <v>105</v>
      </c>
    </row>
    <row r="1241" spans="37:41" x14ac:dyDescent="0.25">
      <c r="AK1241" s="14">
        <v>199</v>
      </c>
      <c r="AO1241" s="14">
        <v>29</v>
      </c>
    </row>
    <row r="1242" spans="37:41" x14ac:dyDescent="0.25">
      <c r="AK1242" s="14">
        <v>262</v>
      </c>
      <c r="AO1242" s="14">
        <v>658</v>
      </c>
    </row>
    <row r="1243" spans="37:41" x14ac:dyDescent="0.25">
      <c r="AK1243" s="14">
        <v>224</v>
      </c>
      <c r="AO1243" s="14">
        <v>390</v>
      </c>
    </row>
    <row r="1244" spans="37:41" x14ac:dyDescent="0.25">
      <c r="AK1244" s="14">
        <v>300</v>
      </c>
      <c r="AO1244" s="14">
        <v>438</v>
      </c>
    </row>
    <row r="1245" spans="37:41" x14ac:dyDescent="0.25">
      <c r="AK1245" s="14">
        <v>430</v>
      </c>
      <c r="AO1245" s="14">
        <v>70</v>
      </c>
    </row>
    <row r="1246" spans="37:41" x14ac:dyDescent="0.25">
      <c r="AK1246" s="14">
        <v>134</v>
      </c>
      <c r="AO1246" s="14">
        <v>1</v>
      </c>
    </row>
    <row r="1247" spans="37:41" x14ac:dyDescent="0.25">
      <c r="AK1247" s="14">
        <v>246</v>
      </c>
      <c r="AO1247" s="14">
        <v>97</v>
      </c>
    </row>
    <row r="1248" spans="37:41" x14ac:dyDescent="0.25">
      <c r="AK1248" s="14">
        <v>135</v>
      </c>
      <c r="AO1248" s="14">
        <v>402</v>
      </c>
    </row>
    <row r="1249" spans="37:41" x14ac:dyDescent="0.25">
      <c r="AK1249" s="14">
        <v>15</v>
      </c>
      <c r="AO1249" s="14">
        <v>345</v>
      </c>
    </row>
    <row r="1250" spans="37:41" x14ac:dyDescent="0.25">
      <c r="AK1250" s="14">
        <v>702</v>
      </c>
      <c r="AO1250" s="14">
        <v>227</v>
      </c>
    </row>
    <row r="1251" spans="37:41" x14ac:dyDescent="0.25">
      <c r="AK1251" s="14">
        <v>895</v>
      </c>
      <c r="AO1251" s="14">
        <v>105</v>
      </c>
    </row>
    <row r="1252" spans="37:41" x14ac:dyDescent="0.25">
      <c r="AK1252" s="14">
        <v>116</v>
      </c>
      <c r="AO1252" s="14">
        <v>32</v>
      </c>
    </row>
    <row r="1253" spans="37:41" x14ac:dyDescent="0.25">
      <c r="AK1253" s="14">
        <v>66</v>
      </c>
      <c r="AO1253" s="14">
        <v>679</v>
      </c>
    </row>
    <row r="1254" spans="37:41" x14ac:dyDescent="0.25">
      <c r="AK1254" s="14">
        <v>200</v>
      </c>
      <c r="AO1254" s="14">
        <v>395</v>
      </c>
    </row>
    <row r="1255" spans="37:41" x14ac:dyDescent="0.25">
      <c r="AK1255" s="14">
        <v>343</v>
      </c>
      <c r="AO1255" s="14">
        <v>438</v>
      </c>
    </row>
    <row r="1256" spans="37:41" x14ac:dyDescent="0.25">
      <c r="AK1256" s="14">
        <v>15</v>
      </c>
      <c r="AO1256" s="14">
        <v>72</v>
      </c>
    </row>
    <row r="1257" spans="37:41" x14ac:dyDescent="0.25">
      <c r="AK1257" s="14">
        <v>146</v>
      </c>
      <c r="AO1257" s="14">
        <v>92</v>
      </c>
    </row>
    <row r="1258" spans="37:41" x14ac:dyDescent="0.25">
      <c r="AK1258" s="14">
        <v>120</v>
      </c>
      <c r="AO1258" s="14">
        <v>48</v>
      </c>
    </row>
    <row r="1259" spans="37:41" x14ac:dyDescent="0.25">
      <c r="AK1259" s="14">
        <v>701</v>
      </c>
    </row>
    <row r="1260" spans="37:41" x14ac:dyDescent="0.25">
      <c r="AK1260" s="14">
        <v>149</v>
      </c>
    </row>
    <row r="1261" spans="37:41" x14ac:dyDescent="0.25">
      <c r="AK1261" s="14">
        <v>990</v>
      </c>
    </row>
    <row r="1262" spans="37:41" x14ac:dyDescent="0.25">
      <c r="AK1262" s="14">
        <v>124</v>
      </c>
    </row>
    <row r="1263" spans="37:41" x14ac:dyDescent="0.25">
      <c r="AK1263" s="14">
        <v>224</v>
      </c>
    </row>
    <row r="1264" spans="37:41" x14ac:dyDescent="0.25">
      <c r="AK1264" s="14">
        <v>102</v>
      </c>
    </row>
    <row r="1265" spans="37:37" x14ac:dyDescent="0.25">
      <c r="AK1265" s="14">
        <v>525</v>
      </c>
    </row>
    <row r="1266" spans="37:37" x14ac:dyDescent="0.25">
      <c r="AK1266" s="14">
        <v>792</v>
      </c>
    </row>
    <row r="1267" spans="37:37" x14ac:dyDescent="0.25">
      <c r="AK1267" s="14">
        <v>687</v>
      </c>
    </row>
    <row r="1268" spans="37:37" x14ac:dyDescent="0.25">
      <c r="AK1268" s="14">
        <v>167</v>
      </c>
    </row>
    <row r="1269" spans="37:37" x14ac:dyDescent="0.25">
      <c r="AK1269" s="14">
        <v>88</v>
      </c>
    </row>
    <row r="1270" spans="37:37" x14ac:dyDescent="0.25">
      <c r="AK1270" s="14">
        <v>124</v>
      </c>
    </row>
    <row r="1271" spans="37:37" x14ac:dyDescent="0.25">
      <c r="AK1271" s="14">
        <v>192</v>
      </c>
    </row>
    <row r="1272" spans="37:37" x14ac:dyDescent="0.25">
      <c r="AK1272" s="14">
        <v>120</v>
      </c>
    </row>
    <row r="1273" spans="37:37" x14ac:dyDescent="0.25">
      <c r="AK1273" s="14">
        <v>885</v>
      </c>
    </row>
    <row r="1274" spans="37:37" x14ac:dyDescent="0.25">
      <c r="AK1274" s="14">
        <v>149</v>
      </c>
    </row>
    <row r="1275" spans="37:37" x14ac:dyDescent="0.25">
      <c r="AK1275" s="14">
        <v>773</v>
      </c>
    </row>
    <row r="1276" spans="37:37" x14ac:dyDescent="0.25">
      <c r="AK1276" s="14">
        <v>102</v>
      </c>
    </row>
    <row r="1277" spans="37:37" x14ac:dyDescent="0.25">
      <c r="AK1277" s="14">
        <v>604</v>
      </c>
    </row>
    <row r="1278" spans="37:37" x14ac:dyDescent="0.25">
      <c r="AK1278" s="14">
        <v>116</v>
      </c>
    </row>
    <row r="1279" spans="37:37" x14ac:dyDescent="0.25">
      <c r="AK1279" s="14">
        <v>155</v>
      </c>
    </row>
    <row r="1280" spans="37:37" x14ac:dyDescent="0.25">
      <c r="AK1280" s="14">
        <v>657</v>
      </c>
    </row>
    <row r="1281" spans="37:37" x14ac:dyDescent="0.25">
      <c r="AK1281" s="14">
        <v>768</v>
      </c>
    </row>
    <row r="1282" spans="37:37" x14ac:dyDescent="0.25">
      <c r="AK1282" s="14">
        <v>123</v>
      </c>
    </row>
    <row r="1283" spans="37:37" x14ac:dyDescent="0.25">
      <c r="AK1283" s="14">
        <v>147</v>
      </c>
    </row>
    <row r="1284" spans="37:37" x14ac:dyDescent="0.25">
      <c r="AK1284" s="14">
        <v>765</v>
      </c>
    </row>
    <row r="1285" spans="37:37" x14ac:dyDescent="0.25">
      <c r="AK1285" s="14">
        <v>663</v>
      </c>
    </row>
    <row r="1286" spans="37:37" x14ac:dyDescent="0.25">
      <c r="AK1286" s="14">
        <v>262</v>
      </c>
    </row>
    <row r="1287" spans="37:37" x14ac:dyDescent="0.25">
      <c r="AK1287" s="14">
        <v>137</v>
      </c>
    </row>
    <row r="1288" spans="37:37" x14ac:dyDescent="0.25">
      <c r="AK1288" s="14">
        <v>136</v>
      </c>
    </row>
    <row r="1289" spans="37:37" x14ac:dyDescent="0.25">
      <c r="AK1289" s="14">
        <v>167</v>
      </c>
    </row>
    <row r="1290" spans="37:37" x14ac:dyDescent="0.25">
      <c r="AK1290" s="14">
        <v>132</v>
      </c>
    </row>
    <row r="1291" spans="37:37" x14ac:dyDescent="0.25">
      <c r="AK1291" s="14">
        <v>193</v>
      </c>
    </row>
    <row r="1292" spans="37:37" x14ac:dyDescent="0.25">
      <c r="AK1292" s="14">
        <v>9</v>
      </c>
    </row>
    <row r="1293" spans="37:37" x14ac:dyDescent="0.25">
      <c r="AK1293" s="14">
        <v>408</v>
      </c>
    </row>
    <row r="1294" spans="37:37" x14ac:dyDescent="0.25">
      <c r="AK1294" s="14">
        <v>504</v>
      </c>
    </row>
    <row r="1295" spans="37:37" x14ac:dyDescent="0.25">
      <c r="AK1295" s="14">
        <v>177</v>
      </c>
    </row>
    <row r="1296" spans="37:37" x14ac:dyDescent="0.25">
      <c r="AK1296" s="14">
        <v>591</v>
      </c>
    </row>
    <row r="1297" spans="37:37" x14ac:dyDescent="0.25">
      <c r="AK1297" s="14">
        <v>139</v>
      </c>
    </row>
    <row r="1298" spans="37:37" x14ac:dyDescent="0.25">
      <c r="AK1298" s="14">
        <v>101</v>
      </c>
    </row>
    <row r="1299" spans="37:37" x14ac:dyDescent="0.25">
      <c r="AK1299" s="14">
        <v>220</v>
      </c>
    </row>
    <row r="1300" spans="37:37" x14ac:dyDescent="0.25">
      <c r="AK1300" s="14">
        <v>562</v>
      </c>
    </row>
    <row r="1301" spans="37:37" x14ac:dyDescent="0.25">
      <c r="AK1301" s="14">
        <v>496</v>
      </c>
    </row>
    <row r="1302" spans="37:37" x14ac:dyDescent="0.25">
      <c r="AK1302" s="14">
        <v>179</v>
      </c>
    </row>
    <row r="1303" spans="37:37" x14ac:dyDescent="0.25">
      <c r="AK1303" s="14">
        <v>6</v>
      </c>
    </row>
    <row r="1304" spans="37:37" x14ac:dyDescent="0.25">
      <c r="AK1304" s="14">
        <v>108</v>
      </c>
    </row>
    <row r="1305" spans="37:37" x14ac:dyDescent="0.25">
      <c r="AK1305" s="14">
        <v>983</v>
      </c>
    </row>
    <row r="1306" spans="37:37" x14ac:dyDescent="0.25">
      <c r="AK1306" s="14">
        <v>548</v>
      </c>
    </row>
    <row r="1307" spans="37:37" x14ac:dyDescent="0.25">
      <c r="AK1307" s="14">
        <v>138</v>
      </c>
    </row>
    <row r="1308" spans="37:37" x14ac:dyDescent="0.25">
      <c r="AK1308" s="14">
        <v>102</v>
      </c>
    </row>
    <row r="1309" spans="37:37" x14ac:dyDescent="0.25">
      <c r="AK1309" s="14">
        <v>117</v>
      </c>
    </row>
    <row r="1310" spans="37:37" x14ac:dyDescent="0.25">
      <c r="AK1310" s="14">
        <v>155</v>
      </c>
    </row>
    <row r="1311" spans="37:37" x14ac:dyDescent="0.25">
      <c r="AK1311" s="14">
        <v>758</v>
      </c>
    </row>
    <row r="1312" spans="37:37" x14ac:dyDescent="0.25">
      <c r="AK1312" s="14">
        <v>545</v>
      </c>
    </row>
    <row r="1313" spans="37:37" x14ac:dyDescent="0.25">
      <c r="AK1313" s="14">
        <v>148</v>
      </c>
    </row>
    <row r="1314" spans="37:37" x14ac:dyDescent="0.25">
      <c r="AK1314" s="14">
        <v>603</v>
      </c>
    </row>
    <row r="1315" spans="37:37" x14ac:dyDescent="0.25">
      <c r="AK1315" s="14">
        <v>206</v>
      </c>
    </row>
    <row r="1316" spans="37:37" x14ac:dyDescent="0.25">
      <c r="AK1316" s="14">
        <v>515</v>
      </c>
    </row>
    <row r="1317" spans="37:37" x14ac:dyDescent="0.25">
      <c r="AK1317" s="14">
        <v>220</v>
      </c>
    </row>
    <row r="1318" spans="37:37" x14ac:dyDescent="0.25">
      <c r="AK1318" s="14">
        <v>124</v>
      </c>
    </row>
    <row r="1319" spans="37:37" x14ac:dyDescent="0.25">
      <c r="AK1319" s="14">
        <v>439</v>
      </c>
    </row>
    <row r="1320" spans="37:37" x14ac:dyDescent="0.25">
      <c r="AK1320" s="14">
        <v>293</v>
      </c>
    </row>
    <row r="1321" spans="37:37" x14ac:dyDescent="0.25">
      <c r="AK1321" s="14">
        <v>171</v>
      </c>
    </row>
    <row r="1322" spans="37:37" x14ac:dyDescent="0.25">
      <c r="AK1322" s="14">
        <v>732</v>
      </c>
    </row>
    <row r="1323" spans="37:37" x14ac:dyDescent="0.25">
      <c r="AK1323" s="14">
        <v>380</v>
      </c>
    </row>
    <row r="1324" spans="37:37" x14ac:dyDescent="0.25">
      <c r="AK1324" s="14">
        <v>286</v>
      </c>
    </row>
    <row r="1325" spans="37:37" x14ac:dyDescent="0.25">
      <c r="AK1325" s="14">
        <v>177</v>
      </c>
    </row>
    <row r="1326" spans="37:37" x14ac:dyDescent="0.25">
      <c r="AK1326" s="14">
        <v>144</v>
      </c>
    </row>
    <row r="1327" spans="37:37" x14ac:dyDescent="0.25">
      <c r="AK1327" s="14">
        <v>370</v>
      </c>
    </row>
    <row r="1328" spans="37:37" x14ac:dyDescent="0.25">
      <c r="AK1328" s="14">
        <v>122</v>
      </c>
    </row>
    <row r="1329" spans="37:37" x14ac:dyDescent="0.25">
      <c r="AK1329" s="14">
        <v>284</v>
      </c>
    </row>
    <row r="1330" spans="37:37" x14ac:dyDescent="0.25">
      <c r="AK1330" s="14">
        <v>249</v>
      </c>
    </row>
    <row r="1331" spans="37:37" x14ac:dyDescent="0.25">
      <c r="AK1331" s="14">
        <v>757</v>
      </c>
    </row>
    <row r="1332" spans="37:37" x14ac:dyDescent="0.25">
      <c r="AK1332" s="14">
        <v>108</v>
      </c>
    </row>
    <row r="1333" spans="37:37" x14ac:dyDescent="0.25">
      <c r="AK1333" s="14">
        <v>280</v>
      </c>
    </row>
    <row r="1334" spans="37:37" x14ac:dyDescent="0.25">
      <c r="AK1334" s="14">
        <v>429</v>
      </c>
    </row>
    <row r="1335" spans="37:37" x14ac:dyDescent="0.25">
      <c r="AK1335" s="14">
        <v>660</v>
      </c>
    </row>
    <row r="1336" spans="37:37" x14ac:dyDescent="0.25">
      <c r="AK1336" s="14">
        <v>6</v>
      </c>
    </row>
    <row r="1337" spans="37:37" x14ac:dyDescent="0.25">
      <c r="AK1337" s="14">
        <v>987</v>
      </c>
    </row>
    <row r="1338" spans="37:37" x14ac:dyDescent="0.25">
      <c r="AK1338" s="14">
        <v>574</v>
      </c>
    </row>
    <row r="1339" spans="37:37" x14ac:dyDescent="0.25">
      <c r="AK1339" s="14">
        <v>501</v>
      </c>
    </row>
    <row r="1340" spans="37:37" x14ac:dyDescent="0.25">
      <c r="AK1340" s="14">
        <v>281</v>
      </c>
    </row>
    <row r="1341" spans="37:37" x14ac:dyDescent="0.25">
      <c r="AK1341" s="14">
        <v>153</v>
      </c>
    </row>
    <row r="1342" spans="37:37" x14ac:dyDescent="0.25">
      <c r="AK1342" s="14">
        <v>935</v>
      </c>
    </row>
    <row r="1343" spans="37:37" x14ac:dyDescent="0.25">
      <c r="AK1343" s="14">
        <v>279</v>
      </c>
    </row>
    <row r="1344" spans="37:37" x14ac:dyDescent="0.25">
      <c r="AK1344" s="14">
        <v>730</v>
      </c>
    </row>
    <row r="1345" spans="37:37" x14ac:dyDescent="0.25">
      <c r="AK1345" s="14">
        <v>114</v>
      </c>
    </row>
    <row r="1346" spans="37:37" x14ac:dyDescent="0.25">
      <c r="AK1346" s="14">
        <v>111</v>
      </c>
    </row>
    <row r="1347" spans="37:37" x14ac:dyDescent="0.25">
      <c r="AK1347" s="14">
        <v>183</v>
      </c>
    </row>
    <row r="1348" spans="37:37" x14ac:dyDescent="0.25">
      <c r="AK1348" s="14">
        <v>115</v>
      </c>
    </row>
    <row r="1349" spans="37:37" x14ac:dyDescent="0.25">
      <c r="AK1349" s="14">
        <v>641</v>
      </c>
    </row>
    <row r="1350" spans="37:37" x14ac:dyDescent="0.25">
      <c r="AK1350" s="14">
        <v>125</v>
      </c>
    </row>
    <row r="1351" spans="37:37" x14ac:dyDescent="0.25">
      <c r="AK1351" s="14">
        <v>686</v>
      </c>
    </row>
    <row r="1352" spans="37:37" x14ac:dyDescent="0.25">
      <c r="AK1352" s="14">
        <v>102</v>
      </c>
    </row>
    <row r="1353" spans="37:37" x14ac:dyDescent="0.25">
      <c r="AK1353" s="14">
        <v>513</v>
      </c>
    </row>
    <row r="1354" spans="37:37" x14ac:dyDescent="0.25">
      <c r="AK1354" s="14">
        <v>897</v>
      </c>
    </row>
    <row r="1355" spans="37:37" x14ac:dyDescent="0.25">
      <c r="AK1355" s="14">
        <v>101</v>
      </c>
    </row>
    <row r="1356" spans="37:37" x14ac:dyDescent="0.25">
      <c r="AK1356" s="14">
        <v>763</v>
      </c>
    </row>
    <row r="1357" spans="37:37" x14ac:dyDescent="0.25">
      <c r="AK1357" s="14">
        <v>550</v>
      </c>
    </row>
    <row r="1358" spans="37:37" x14ac:dyDescent="0.25">
      <c r="AK1358" s="14">
        <v>481</v>
      </c>
    </row>
    <row r="1359" spans="37:37" x14ac:dyDescent="0.25">
      <c r="AK1359" s="14">
        <v>318</v>
      </c>
    </row>
    <row r="1360" spans="37:37" x14ac:dyDescent="0.25">
      <c r="AK1360" s="14">
        <v>933</v>
      </c>
    </row>
    <row r="1361" spans="37:37" x14ac:dyDescent="0.25">
      <c r="AK1361" s="14">
        <v>292</v>
      </c>
    </row>
    <row r="1362" spans="37:37" x14ac:dyDescent="0.25">
      <c r="AK1362" s="14">
        <v>529</v>
      </c>
    </row>
    <row r="1363" spans="37:37" x14ac:dyDescent="0.25">
      <c r="AK1363" s="14">
        <v>398</v>
      </c>
    </row>
    <row r="1364" spans="37:37" x14ac:dyDescent="0.25">
      <c r="AK1364" s="14">
        <v>103</v>
      </c>
    </row>
    <row r="1365" spans="37:37" x14ac:dyDescent="0.25">
      <c r="AK1365" s="14">
        <v>165</v>
      </c>
    </row>
    <row r="1366" spans="37:37" x14ac:dyDescent="0.25">
      <c r="AK1366" s="14">
        <v>209</v>
      </c>
    </row>
    <row r="1367" spans="37:37" x14ac:dyDescent="0.25">
      <c r="AK1367" s="14">
        <v>530</v>
      </c>
    </row>
    <row r="1368" spans="37:37" x14ac:dyDescent="0.25">
      <c r="AK1368" s="14">
        <v>221</v>
      </c>
    </row>
    <row r="1369" spans="37:37" x14ac:dyDescent="0.25">
      <c r="AK1369" s="14">
        <v>112</v>
      </c>
    </row>
    <row r="1370" spans="37:37" x14ac:dyDescent="0.25">
      <c r="AK1370" s="14">
        <v>116</v>
      </c>
    </row>
    <row r="1371" spans="37:37" x14ac:dyDescent="0.25">
      <c r="AK1371" s="14">
        <v>195</v>
      </c>
    </row>
    <row r="1372" spans="37:37" x14ac:dyDescent="0.25">
      <c r="AK1372" s="14">
        <v>219</v>
      </c>
    </row>
    <row r="1373" spans="37:37" x14ac:dyDescent="0.25">
      <c r="AK1373" s="14">
        <v>344</v>
      </c>
    </row>
    <row r="1374" spans="37:37" x14ac:dyDescent="0.25">
      <c r="AK1374" s="14">
        <v>94</v>
      </c>
    </row>
    <row r="1375" spans="37:37" x14ac:dyDescent="0.25">
      <c r="AK1375" s="14">
        <v>575</v>
      </c>
    </row>
    <row r="1376" spans="37:37" x14ac:dyDescent="0.25">
      <c r="AK1376" s="14">
        <v>101</v>
      </c>
    </row>
    <row r="1377" spans="37:37" x14ac:dyDescent="0.25">
      <c r="AK1377" s="14">
        <v>525</v>
      </c>
    </row>
    <row r="1378" spans="37:37" x14ac:dyDescent="0.25">
      <c r="AK1378" s="14">
        <v>724</v>
      </c>
    </row>
    <row r="1379" spans="37:37" x14ac:dyDescent="0.25">
      <c r="AK1379" s="14">
        <v>573</v>
      </c>
    </row>
    <row r="1380" spans="37:37" x14ac:dyDescent="0.25">
      <c r="AK1380" s="14">
        <v>666</v>
      </c>
    </row>
    <row r="1381" spans="37:37" x14ac:dyDescent="0.25">
      <c r="AK1381" s="14">
        <v>174</v>
      </c>
    </row>
    <row r="1382" spans="37:37" x14ac:dyDescent="0.25">
      <c r="AK1382" s="14">
        <v>480</v>
      </c>
    </row>
    <row r="1383" spans="37:37" x14ac:dyDescent="0.25">
      <c r="AK1383" s="14">
        <v>115</v>
      </c>
    </row>
    <row r="1384" spans="37:37" x14ac:dyDescent="0.25">
      <c r="AK1384" s="14">
        <v>428</v>
      </c>
    </row>
    <row r="1385" spans="37:37" x14ac:dyDescent="0.25">
      <c r="AK1385" s="14">
        <v>268</v>
      </c>
    </row>
    <row r="1386" spans="37:37" x14ac:dyDescent="0.25">
      <c r="AK1386" s="14">
        <v>204</v>
      </c>
    </row>
    <row r="1387" spans="37:37" x14ac:dyDescent="0.25">
      <c r="AK1387" s="14">
        <v>192</v>
      </c>
    </row>
    <row r="1388" spans="37:37" x14ac:dyDescent="0.25">
      <c r="AK1388" s="14">
        <v>128</v>
      </c>
    </row>
    <row r="1389" spans="37:37" x14ac:dyDescent="0.25">
      <c r="AK1389" s="14">
        <v>128</v>
      </c>
    </row>
    <row r="1390" spans="37:37" x14ac:dyDescent="0.25">
      <c r="AK1390" s="14">
        <v>301</v>
      </c>
    </row>
    <row r="1391" spans="37:37" x14ac:dyDescent="0.25">
      <c r="AK1391" s="14">
        <v>203</v>
      </c>
    </row>
    <row r="1392" spans="37:37" x14ac:dyDescent="0.25">
      <c r="AK1392" s="14">
        <v>252</v>
      </c>
    </row>
    <row r="1393" spans="37:37" x14ac:dyDescent="0.25">
      <c r="AK1393" s="14">
        <v>676</v>
      </c>
    </row>
    <row r="1394" spans="37:37" x14ac:dyDescent="0.25">
      <c r="AK1394" s="14">
        <v>191</v>
      </c>
    </row>
    <row r="1395" spans="37:37" x14ac:dyDescent="0.25">
      <c r="AK1395" s="14">
        <v>749</v>
      </c>
    </row>
    <row r="1396" spans="37:37" x14ac:dyDescent="0.25">
      <c r="AK1396" s="14">
        <v>591</v>
      </c>
    </row>
    <row r="1397" spans="37:37" x14ac:dyDescent="0.25">
      <c r="AK1397" s="14">
        <v>841</v>
      </c>
    </row>
    <row r="1398" spans="37:37" x14ac:dyDescent="0.25">
      <c r="AK1398" s="14">
        <v>263</v>
      </c>
    </row>
    <row r="1399" spans="37:37" x14ac:dyDescent="0.25">
      <c r="AK1399" s="14">
        <v>412</v>
      </c>
    </row>
    <row r="1400" spans="37:37" x14ac:dyDescent="0.25">
      <c r="AK1400" s="14">
        <v>310</v>
      </c>
    </row>
    <row r="1401" spans="37:37" x14ac:dyDescent="0.25">
      <c r="AK1401" s="14">
        <v>603</v>
      </c>
    </row>
    <row r="1402" spans="37:37" x14ac:dyDescent="0.25">
      <c r="AK1402" s="14">
        <v>627</v>
      </c>
    </row>
    <row r="1403" spans="37:37" x14ac:dyDescent="0.25">
      <c r="AK1403" s="14">
        <v>229</v>
      </c>
    </row>
    <row r="1404" spans="37:37" x14ac:dyDescent="0.25">
      <c r="AK1404" s="14">
        <v>356</v>
      </c>
    </row>
    <row r="1405" spans="37:37" x14ac:dyDescent="0.25">
      <c r="AK1405" s="14">
        <v>158</v>
      </c>
    </row>
    <row r="1406" spans="37:37" x14ac:dyDescent="0.25">
      <c r="AK1406" s="14">
        <v>209</v>
      </c>
    </row>
    <row r="1407" spans="37:37" x14ac:dyDescent="0.25">
      <c r="AK1407" s="14">
        <v>103</v>
      </c>
    </row>
    <row r="1408" spans="37:37" x14ac:dyDescent="0.25">
      <c r="AK1408" s="14">
        <v>283</v>
      </c>
    </row>
    <row r="1409" spans="37:37" x14ac:dyDescent="0.25">
      <c r="AK1409" s="14">
        <v>105</v>
      </c>
    </row>
    <row r="1410" spans="37:37" x14ac:dyDescent="0.25">
      <c r="AK1410" s="14">
        <v>418</v>
      </c>
    </row>
    <row r="1411" spans="37:37" x14ac:dyDescent="0.25">
      <c r="AK1411" s="14">
        <v>892</v>
      </c>
    </row>
    <row r="1412" spans="37:37" x14ac:dyDescent="0.25">
      <c r="AK1412" s="14">
        <v>982</v>
      </c>
    </row>
    <row r="1413" spans="37:37" x14ac:dyDescent="0.25">
      <c r="AK1413" s="14">
        <v>142</v>
      </c>
    </row>
    <row r="1414" spans="37:37" x14ac:dyDescent="0.25">
      <c r="AK1414" s="14">
        <v>297</v>
      </c>
    </row>
    <row r="1415" spans="37:37" x14ac:dyDescent="0.25">
      <c r="AK1415" s="14">
        <v>106</v>
      </c>
    </row>
    <row r="1416" spans="37:37" x14ac:dyDescent="0.25">
      <c r="AK1416" s="14">
        <v>109</v>
      </c>
    </row>
    <row r="1417" spans="37:37" x14ac:dyDescent="0.25">
      <c r="AK1417" s="14">
        <v>225</v>
      </c>
    </row>
    <row r="1418" spans="37:37" x14ac:dyDescent="0.25">
      <c r="AK1418" s="14">
        <v>420</v>
      </c>
    </row>
    <row r="1419" spans="37:37" x14ac:dyDescent="0.25">
      <c r="AK1419" s="14">
        <v>179</v>
      </c>
    </row>
    <row r="1420" spans="37:37" x14ac:dyDescent="0.25">
      <c r="AK1420" s="14">
        <v>231</v>
      </c>
    </row>
    <row r="1421" spans="37:37" x14ac:dyDescent="0.25">
      <c r="AK1421" s="14">
        <v>463</v>
      </c>
    </row>
    <row r="1422" spans="37:37" x14ac:dyDescent="0.25">
      <c r="AK1422" s="14">
        <v>462</v>
      </c>
    </row>
    <row r="1423" spans="37:37" x14ac:dyDescent="0.25">
      <c r="AK1423" s="14">
        <v>495</v>
      </c>
    </row>
    <row r="1424" spans="37:37" x14ac:dyDescent="0.25">
      <c r="AK1424" s="14">
        <v>243</v>
      </c>
    </row>
    <row r="1425" spans="37:37" x14ac:dyDescent="0.25">
      <c r="AK1425" s="14">
        <v>865</v>
      </c>
    </row>
    <row r="1426" spans="37:37" x14ac:dyDescent="0.25">
      <c r="AK1426" s="14">
        <v>28</v>
      </c>
    </row>
    <row r="1427" spans="37:37" x14ac:dyDescent="0.25">
      <c r="AK1427" s="14">
        <v>209</v>
      </c>
    </row>
    <row r="1428" spans="37:37" x14ac:dyDescent="0.25">
      <c r="AK1428" s="14">
        <v>252</v>
      </c>
    </row>
    <row r="1429" spans="37:37" x14ac:dyDescent="0.25">
      <c r="AK1429" s="14">
        <v>741</v>
      </c>
    </row>
    <row r="1430" spans="37:37" x14ac:dyDescent="0.25">
      <c r="AK1430" s="14">
        <v>952</v>
      </c>
    </row>
    <row r="1431" spans="37:37" x14ac:dyDescent="0.25">
      <c r="AK1431" s="14">
        <v>958</v>
      </c>
    </row>
    <row r="1432" spans="37:37" x14ac:dyDescent="0.25">
      <c r="AK1432" s="14">
        <v>161</v>
      </c>
    </row>
    <row r="1433" spans="37:37" x14ac:dyDescent="0.25">
      <c r="AK1433" s="14">
        <v>495</v>
      </c>
    </row>
    <row r="1434" spans="37:37" x14ac:dyDescent="0.25">
      <c r="AK1434" s="14">
        <v>136</v>
      </c>
    </row>
    <row r="1435" spans="37:37" x14ac:dyDescent="0.25">
      <c r="AK1435" s="14">
        <v>686</v>
      </c>
    </row>
    <row r="1436" spans="37:37" x14ac:dyDescent="0.25">
      <c r="AK1436" s="14">
        <v>952</v>
      </c>
    </row>
    <row r="1437" spans="37:37" x14ac:dyDescent="0.25">
      <c r="AK1437" s="14">
        <v>111</v>
      </c>
    </row>
    <row r="1438" spans="37:37" x14ac:dyDescent="0.25">
      <c r="AK1438" s="14">
        <v>162</v>
      </c>
    </row>
    <row r="1439" spans="37:37" x14ac:dyDescent="0.25">
      <c r="AK1439" s="14">
        <v>125</v>
      </c>
    </row>
    <row r="1440" spans="37:37" x14ac:dyDescent="0.25">
      <c r="AK1440" s="14">
        <v>137</v>
      </c>
    </row>
    <row r="1441" spans="37:37" x14ac:dyDescent="0.25">
      <c r="AK1441" s="14">
        <v>222</v>
      </c>
    </row>
    <row r="1442" spans="37:37" x14ac:dyDescent="0.25">
      <c r="AK1442" s="14">
        <v>228</v>
      </c>
    </row>
    <row r="1443" spans="37:37" x14ac:dyDescent="0.25">
      <c r="AK1443" s="14">
        <v>33</v>
      </c>
    </row>
    <row r="1444" spans="37:37" x14ac:dyDescent="0.25">
      <c r="AK1444" s="14">
        <v>110</v>
      </c>
    </row>
    <row r="1445" spans="37:37" x14ac:dyDescent="0.25">
      <c r="AK1445" s="14">
        <v>150</v>
      </c>
    </row>
    <row r="1446" spans="37:37" x14ac:dyDescent="0.25">
      <c r="AK1446" s="14">
        <v>689</v>
      </c>
    </row>
    <row r="1447" spans="37:37" x14ac:dyDescent="0.25">
      <c r="AK1447" s="14">
        <v>732</v>
      </c>
    </row>
    <row r="1448" spans="37:37" x14ac:dyDescent="0.25">
      <c r="AK1448" s="14">
        <v>618</v>
      </c>
    </row>
    <row r="1449" spans="37:37" x14ac:dyDescent="0.25">
      <c r="AK1449" s="14">
        <v>425</v>
      </c>
    </row>
    <row r="1450" spans="37:37" x14ac:dyDescent="0.25">
      <c r="AK1450" s="14">
        <v>143</v>
      </c>
    </row>
    <row r="1451" spans="37:37" x14ac:dyDescent="0.25">
      <c r="AK1451" s="14">
        <v>678</v>
      </c>
    </row>
    <row r="1452" spans="37:37" x14ac:dyDescent="0.25">
      <c r="AK1452" s="14">
        <v>604</v>
      </c>
    </row>
    <row r="1453" spans="37:37" x14ac:dyDescent="0.25">
      <c r="AK1453" s="14">
        <v>426</v>
      </c>
    </row>
    <row r="1454" spans="37:37" x14ac:dyDescent="0.25">
      <c r="AK1454" s="14">
        <v>297</v>
      </c>
    </row>
    <row r="1455" spans="37:37" x14ac:dyDescent="0.25">
      <c r="AK1455" s="14">
        <v>108</v>
      </c>
    </row>
    <row r="1456" spans="37:37" x14ac:dyDescent="0.25">
      <c r="AK1456" s="14">
        <v>656</v>
      </c>
    </row>
    <row r="1457" spans="37:37" x14ac:dyDescent="0.25">
      <c r="AK1457" s="14">
        <v>350</v>
      </c>
    </row>
    <row r="1458" spans="37:37" x14ac:dyDescent="0.25">
      <c r="AK1458" s="14">
        <v>193</v>
      </c>
    </row>
    <row r="1459" spans="37:37" x14ac:dyDescent="0.25">
      <c r="AK1459" s="14">
        <v>80</v>
      </c>
    </row>
    <row r="1460" spans="37:37" x14ac:dyDescent="0.25">
      <c r="AK1460" s="14">
        <v>117</v>
      </c>
    </row>
    <row r="1461" spans="37:37" x14ac:dyDescent="0.25">
      <c r="AK1461" s="14">
        <v>686</v>
      </c>
    </row>
    <row r="1462" spans="37:37" x14ac:dyDescent="0.25">
      <c r="AK1462" s="14">
        <v>607</v>
      </c>
    </row>
    <row r="1463" spans="37:37" x14ac:dyDescent="0.25">
      <c r="AK1463" s="14">
        <v>158</v>
      </c>
    </row>
    <row r="1464" spans="37:37" x14ac:dyDescent="0.25">
      <c r="AK1464" s="14">
        <v>38</v>
      </c>
    </row>
    <row r="1465" spans="37:37" x14ac:dyDescent="0.25">
      <c r="AK1465" s="14">
        <v>123</v>
      </c>
    </row>
    <row r="1466" spans="37:37" x14ac:dyDescent="0.25">
      <c r="AK1466" s="14">
        <v>259</v>
      </c>
    </row>
    <row r="1467" spans="37:37" x14ac:dyDescent="0.25">
      <c r="AK1467" s="14">
        <v>71</v>
      </c>
    </row>
    <row r="1468" spans="37:37" x14ac:dyDescent="0.25">
      <c r="AK1468" s="14">
        <v>106</v>
      </c>
    </row>
    <row r="1469" spans="37:37" x14ac:dyDescent="0.25">
      <c r="AK1469" s="14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4D75-F641-4808-938D-459CECB3B9C8}">
  <dimension ref="A1:G24"/>
  <sheetViews>
    <sheetView tabSelected="1" workbookViewId="0">
      <selection activeCell="J8" sqref="J8"/>
    </sheetView>
  </sheetViews>
  <sheetFormatPr defaultRowHeight="15" x14ac:dyDescent="0.25"/>
  <sheetData>
    <row r="1" spans="1:7" x14ac:dyDescent="0.25">
      <c r="A1" t="s">
        <v>602</v>
      </c>
    </row>
    <row r="3" spans="1:7" x14ac:dyDescent="0.25">
      <c r="A3" t="s">
        <v>598</v>
      </c>
    </row>
    <row r="4" spans="1:7" x14ac:dyDescent="0.25">
      <c r="A4" t="s">
        <v>599</v>
      </c>
    </row>
    <row r="5" spans="1:7" x14ac:dyDescent="0.25">
      <c r="A5" t="s">
        <v>600</v>
      </c>
    </row>
    <row r="7" spans="1:7" x14ac:dyDescent="0.25">
      <c r="A7" t="s">
        <v>601</v>
      </c>
    </row>
    <row r="8" spans="1:7" x14ac:dyDescent="0.25">
      <c r="A8" t="s">
        <v>603</v>
      </c>
    </row>
    <row r="10" spans="1:7" x14ac:dyDescent="0.25">
      <c r="A10" s="1" t="s">
        <v>605</v>
      </c>
      <c r="B10" s="1"/>
      <c r="C10" s="1"/>
      <c r="D10" s="1"/>
      <c r="E10" s="1"/>
      <c r="F10" s="1"/>
      <c r="G10" s="1"/>
    </row>
    <row r="11" spans="1:7" x14ac:dyDescent="0.25">
      <c r="A11" t="s">
        <v>604</v>
      </c>
    </row>
    <row r="12" spans="1:7" x14ac:dyDescent="0.25">
      <c r="A12" t="s">
        <v>244</v>
      </c>
    </row>
    <row r="14" spans="1:7" x14ac:dyDescent="0.25">
      <c r="A14" t="s">
        <v>590</v>
      </c>
    </row>
    <row r="16" spans="1:7" x14ac:dyDescent="0.25">
      <c r="A16" t="s">
        <v>588</v>
      </c>
    </row>
    <row r="18" spans="1:5" x14ac:dyDescent="0.25">
      <c r="A18" t="s">
        <v>591</v>
      </c>
    </row>
    <row r="19" spans="1:5" ht="15.75" customHeight="1" x14ac:dyDescent="0.25"/>
    <row r="20" spans="1:5" x14ac:dyDescent="0.25">
      <c r="A20" t="s">
        <v>592</v>
      </c>
    </row>
    <row r="22" spans="1:5" x14ac:dyDescent="0.25">
      <c r="A22" t="s">
        <v>589</v>
      </c>
    </row>
    <row r="24" spans="1:5" x14ac:dyDescent="0.25">
      <c r="A24" t="s">
        <v>593</v>
      </c>
      <c r="E24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Yearly Data</vt:lpstr>
      <vt:lpstr>coef</vt:lpstr>
      <vt:lpstr>se</vt:lpstr>
      <vt:lpstr>tstat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Giles</dc:creator>
  <cp:lastModifiedBy>David Giles</cp:lastModifiedBy>
  <dcterms:created xsi:type="dcterms:W3CDTF">2026-03-07T22:30:14Z</dcterms:created>
  <dcterms:modified xsi:type="dcterms:W3CDTF">2026-06-08T00:24:45Z</dcterms:modified>
</cp:coreProperties>
</file>